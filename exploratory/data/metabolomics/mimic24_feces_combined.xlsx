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zhang_6517_buckeyemail_osu_edu/Documents/BRB mimic study_collaboration/04-2024 mimic 24/feces/"/>
    </mc:Choice>
  </mc:AlternateContent>
  <xr:revisionPtr revIDLastSave="404" documentId="11_F25DC773A252ABDACC104820091F743E5BDE58E8" xr6:coauthVersionLast="47" xr6:coauthVersionMax="47" xr10:uidLastSave="{3249D68D-ACDC-4B6E-9757-7FC7A66FD25F}"/>
  <bookViews>
    <workbookView xWindow="25490" yWindow="-110" windowWidth="38620" windowHeight="21100" activeTab="9" xr2:uid="{00000000-000D-0000-FFFF-FFFF00000000}"/>
  </bookViews>
  <sheets>
    <sheet name="Full" sheetId="1" r:id="rId1"/>
    <sheet name="redundancy" sheetId="2" r:id="rId2"/>
    <sheet name="QC Check" sheetId="3" r:id="rId3"/>
    <sheet name="Normalization" sheetId="4" r:id="rId4"/>
    <sheet name="Normalized" sheetId="5" r:id="rId5"/>
    <sheet name="Correlation significance" sheetId="10" r:id="rId6"/>
    <sheet name="PBS vs Blautia mass" sheetId="8" r:id="rId7"/>
    <sheet name="FDR-adjusted" sheetId="9" r:id="rId8"/>
    <sheet name="PBS vs Blautia obeum" sheetId="6" r:id="rId9"/>
    <sheet name="SIgnificant FDR-adjusted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9" l="1"/>
  <c r="D13" i="9"/>
  <c r="E13" i="9"/>
  <c r="F13" i="9"/>
  <c r="G13" i="9"/>
  <c r="H13" i="9"/>
  <c r="I13" i="9"/>
  <c r="J13" i="9"/>
  <c r="K13" i="9"/>
  <c r="L13" i="9"/>
  <c r="M13" i="9"/>
  <c r="C14" i="9"/>
  <c r="D14" i="9"/>
  <c r="E14" i="9"/>
  <c r="F14" i="9"/>
  <c r="G14" i="9"/>
  <c r="H14" i="9"/>
  <c r="I14" i="9"/>
  <c r="J14" i="9"/>
  <c r="K14" i="9"/>
  <c r="L14" i="9"/>
  <c r="M14" i="9"/>
  <c r="C15" i="9"/>
  <c r="D15" i="9"/>
  <c r="E15" i="9"/>
  <c r="F15" i="9"/>
  <c r="G15" i="9"/>
  <c r="H15" i="9"/>
  <c r="I15" i="9"/>
  <c r="J15" i="9"/>
  <c r="K15" i="9"/>
  <c r="L15" i="9"/>
  <c r="M15" i="9"/>
  <c r="C16" i="9"/>
  <c r="D16" i="9"/>
  <c r="E16" i="9"/>
  <c r="F16" i="9"/>
  <c r="G16" i="9"/>
  <c r="H16" i="9"/>
  <c r="I16" i="9"/>
  <c r="J16" i="9"/>
  <c r="K16" i="9"/>
  <c r="L16" i="9"/>
  <c r="M16" i="9"/>
  <c r="C17" i="9"/>
  <c r="D17" i="9"/>
  <c r="E17" i="9"/>
  <c r="F17" i="9"/>
  <c r="G17" i="9"/>
  <c r="H17" i="9"/>
  <c r="I17" i="9"/>
  <c r="J17" i="9"/>
  <c r="K17" i="9"/>
  <c r="L17" i="9"/>
  <c r="M17" i="9"/>
  <c r="C18" i="9"/>
  <c r="D18" i="9"/>
  <c r="E18" i="9"/>
  <c r="F18" i="9"/>
  <c r="G18" i="9"/>
  <c r="H18" i="9"/>
  <c r="I18" i="9"/>
  <c r="J18" i="9"/>
  <c r="K18" i="9"/>
  <c r="L18" i="9"/>
  <c r="M18" i="9"/>
  <c r="B14" i="9"/>
  <c r="B15" i="9"/>
  <c r="B16" i="9"/>
  <c r="B17" i="9"/>
  <c r="B18" i="9"/>
  <c r="B13" i="9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33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C33" i="7"/>
  <c r="D33" i="7"/>
  <c r="E33" i="7"/>
  <c r="F33" i="7"/>
  <c r="G33" i="7"/>
  <c r="H33" i="7"/>
  <c r="I33" i="7"/>
  <c r="J33" i="7"/>
  <c r="K33" i="7"/>
  <c r="L33" i="7"/>
  <c r="C34" i="7"/>
  <c r="D34" i="7"/>
  <c r="E34" i="7"/>
  <c r="F34" i="7"/>
  <c r="G34" i="7"/>
  <c r="H34" i="7"/>
  <c r="I34" i="7"/>
  <c r="J34" i="7"/>
  <c r="K34" i="7"/>
  <c r="L34" i="7"/>
  <c r="C35" i="7"/>
  <c r="D35" i="7"/>
  <c r="E35" i="7"/>
  <c r="F35" i="7"/>
  <c r="G35" i="7"/>
  <c r="H35" i="7"/>
  <c r="I35" i="7"/>
  <c r="J35" i="7"/>
  <c r="K35" i="7"/>
  <c r="L35" i="7"/>
  <c r="C36" i="7"/>
  <c r="D36" i="7"/>
  <c r="E36" i="7"/>
  <c r="F36" i="7"/>
  <c r="G36" i="7"/>
  <c r="H36" i="7"/>
  <c r="I36" i="7"/>
  <c r="J36" i="7"/>
  <c r="K36" i="7"/>
  <c r="L36" i="7"/>
  <c r="C37" i="7"/>
  <c r="D37" i="7"/>
  <c r="E37" i="7"/>
  <c r="F37" i="7"/>
  <c r="G37" i="7"/>
  <c r="H37" i="7"/>
  <c r="I37" i="7"/>
  <c r="J37" i="7"/>
  <c r="K37" i="7"/>
  <c r="L37" i="7"/>
  <c r="C38" i="7"/>
  <c r="D38" i="7"/>
  <c r="E38" i="7"/>
  <c r="F38" i="7"/>
  <c r="G38" i="7"/>
  <c r="H38" i="7"/>
  <c r="I38" i="7"/>
  <c r="J38" i="7"/>
  <c r="K38" i="7"/>
  <c r="L38" i="7"/>
  <c r="C39" i="7"/>
  <c r="D39" i="7"/>
  <c r="E39" i="7"/>
  <c r="F39" i="7"/>
  <c r="G39" i="7"/>
  <c r="H39" i="7"/>
  <c r="I39" i="7"/>
  <c r="J39" i="7"/>
  <c r="K39" i="7"/>
  <c r="L39" i="7"/>
  <c r="C40" i="7"/>
  <c r="D40" i="7"/>
  <c r="E40" i="7"/>
  <c r="F40" i="7"/>
  <c r="G40" i="7"/>
  <c r="H40" i="7"/>
  <c r="I40" i="7"/>
  <c r="J40" i="7"/>
  <c r="K40" i="7"/>
  <c r="L40" i="7"/>
  <c r="C41" i="7"/>
  <c r="D41" i="7"/>
  <c r="E41" i="7"/>
  <c r="F41" i="7"/>
  <c r="G41" i="7"/>
  <c r="H41" i="7"/>
  <c r="I41" i="7"/>
  <c r="J41" i="7"/>
  <c r="K41" i="7"/>
  <c r="L41" i="7"/>
  <c r="C42" i="7"/>
  <c r="D42" i="7"/>
  <c r="E42" i="7"/>
  <c r="F42" i="7"/>
  <c r="G42" i="7"/>
  <c r="H42" i="7"/>
  <c r="I42" i="7"/>
  <c r="J42" i="7"/>
  <c r="K42" i="7"/>
  <c r="L42" i="7"/>
  <c r="C43" i="7"/>
  <c r="D43" i="7"/>
  <c r="E43" i="7"/>
  <c r="F43" i="7"/>
  <c r="G43" i="7"/>
  <c r="H43" i="7"/>
  <c r="I43" i="7"/>
  <c r="J43" i="7"/>
  <c r="K43" i="7"/>
  <c r="L43" i="7"/>
  <c r="C44" i="7"/>
  <c r="D44" i="7"/>
  <c r="E44" i="7"/>
  <c r="F44" i="7"/>
  <c r="G44" i="7"/>
  <c r="H44" i="7"/>
  <c r="I44" i="7"/>
  <c r="J44" i="7"/>
  <c r="K44" i="7"/>
  <c r="L44" i="7"/>
  <c r="C45" i="7"/>
  <c r="D45" i="7"/>
  <c r="E45" i="7"/>
  <c r="F45" i="7"/>
  <c r="G45" i="7"/>
  <c r="H45" i="7"/>
  <c r="I45" i="7"/>
  <c r="J45" i="7"/>
  <c r="K45" i="7"/>
  <c r="L45" i="7"/>
  <c r="C46" i="7"/>
  <c r="D46" i="7"/>
  <c r="E46" i="7"/>
  <c r="F46" i="7"/>
  <c r="G46" i="7"/>
  <c r="H46" i="7"/>
  <c r="I46" i="7"/>
  <c r="J46" i="7"/>
  <c r="K46" i="7"/>
  <c r="L46" i="7"/>
  <c r="C47" i="7"/>
  <c r="D47" i="7"/>
  <c r="E47" i="7"/>
  <c r="F47" i="7"/>
  <c r="G47" i="7"/>
  <c r="H47" i="7"/>
  <c r="I47" i="7"/>
  <c r="J47" i="7"/>
  <c r="K47" i="7"/>
  <c r="L47" i="7"/>
  <c r="C48" i="7"/>
  <c r="D48" i="7"/>
  <c r="E48" i="7"/>
  <c r="F48" i="7"/>
  <c r="G48" i="7"/>
  <c r="H48" i="7"/>
  <c r="I48" i="7"/>
  <c r="J48" i="7"/>
  <c r="K48" i="7"/>
  <c r="L48" i="7"/>
  <c r="C49" i="7"/>
  <c r="D49" i="7"/>
  <c r="E49" i="7"/>
  <c r="F49" i="7"/>
  <c r="G49" i="7"/>
  <c r="H49" i="7"/>
  <c r="I49" i="7"/>
  <c r="J49" i="7"/>
  <c r="K49" i="7"/>
  <c r="L49" i="7"/>
  <c r="C50" i="7"/>
  <c r="D50" i="7"/>
  <c r="E50" i="7"/>
  <c r="F50" i="7"/>
  <c r="G50" i="7"/>
  <c r="H50" i="7"/>
  <c r="I50" i="7"/>
  <c r="J50" i="7"/>
  <c r="K50" i="7"/>
  <c r="L50" i="7"/>
  <c r="C51" i="7"/>
  <c r="D51" i="7"/>
  <c r="E51" i="7"/>
  <c r="F51" i="7"/>
  <c r="G51" i="7"/>
  <c r="H51" i="7"/>
  <c r="I51" i="7"/>
  <c r="J51" i="7"/>
  <c r="K51" i="7"/>
  <c r="L51" i="7"/>
  <c r="C52" i="7"/>
  <c r="D52" i="7"/>
  <c r="E52" i="7"/>
  <c r="F52" i="7"/>
  <c r="G52" i="7"/>
  <c r="H52" i="7"/>
  <c r="I52" i="7"/>
  <c r="J52" i="7"/>
  <c r="K52" i="7"/>
  <c r="L52" i="7"/>
  <c r="C53" i="7"/>
  <c r="D53" i="7"/>
  <c r="E53" i="7"/>
  <c r="F53" i="7"/>
  <c r="G53" i="7"/>
  <c r="H53" i="7"/>
  <c r="I53" i="7"/>
  <c r="J53" i="7"/>
  <c r="K53" i="7"/>
  <c r="L53" i="7"/>
  <c r="C54" i="7"/>
  <c r="D54" i="7"/>
  <c r="E54" i="7"/>
  <c r="F54" i="7"/>
  <c r="G54" i="7"/>
  <c r="H54" i="7"/>
  <c r="I54" i="7"/>
  <c r="J54" i="7"/>
  <c r="K54" i="7"/>
  <c r="L54" i="7"/>
  <c r="C55" i="7"/>
  <c r="D55" i="7"/>
  <c r="E55" i="7"/>
  <c r="F55" i="7"/>
  <c r="G55" i="7"/>
  <c r="H55" i="7"/>
  <c r="I55" i="7"/>
  <c r="J55" i="7"/>
  <c r="K55" i="7"/>
  <c r="L55" i="7"/>
  <c r="C56" i="7"/>
  <c r="D56" i="7"/>
  <c r="E56" i="7"/>
  <c r="F56" i="7"/>
  <c r="G56" i="7"/>
  <c r="H56" i="7"/>
  <c r="I56" i="7"/>
  <c r="J56" i="7"/>
  <c r="K56" i="7"/>
  <c r="L56" i="7"/>
  <c r="C57" i="7"/>
  <c r="D57" i="7"/>
  <c r="E57" i="7"/>
  <c r="F57" i="7"/>
  <c r="G57" i="7"/>
  <c r="H57" i="7"/>
  <c r="I57" i="7"/>
  <c r="J57" i="7"/>
  <c r="K57" i="7"/>
  <c r="L57" i="7"/>
  <c r="C58" i="7"/>
  <c r="D58" i="7"/>
  <c r="E58" i="7"/>
  <c r="F58" i="7"/>
  <c r="G58" i="7"/>
  <c r="H58" i="7"/>
  <c r="I58" i="7"/>
  <c r="J58" i="7"/>
  <c r="K58" i="7"/>
  <c r="L58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33" i="7"/>
  <c r="Q4" i="9"/>
  <c r="Q5" i="9"/>
  <c r="Q6" i="9"/>
  <c r="Q7" i="9"/>
  <c r="Q8" i="9"/>
  <c r="Q3" i="9"/>
  <c r="N8" i="9"/>
  <c r="P8" i="9" s="1"/>
  <c r="N7" i="9"/>
  <c r="P7" i="9" s="1"/>
  <c r="N6" i="9"/>
  <c r="P6" i="9" s="1"/>
  <c r="N5" i="9"/>
  <c r="P5" i="9" s="1"/>
  <c r="N4" i="9"/>
  <c r="P4" i="9" s="1"/>
  <c r="N3" i="9"/>
  <c r="P3" i="9" s="1"/>
  <c r="N90" i="8"/>
  <c r="N169" i="8"/>
  <c r="N51" i="8"/>
  <c r="N295" i="8"/>
  <c r="N235" i="8"/>
  <c r="N241" i="8"/>
  <c r="N254" i="8"/>
  <c r="N100" i="8"/>
  <c r="N299" i="8"/>
  <c r="N148" i="8"/>
  <c r="N275" i="8"/>
  <c r="N86" i="8"/>
  <c r="N245" i="8"/>
  <c r="N6" i="8"/>
  <c r="P6" i="8" s="1"/>
  <c r="N98" i="8"/>
  <c r="N233" i="8"/>
  <c r="N307" i="8"/>
  <c r="N138" i="8"/>
  <c r="N294" i="8"/>
  <c r="N288" i="8"/>
  <c r="N32" i="8"/>
  <c r="N272" i="8"/>
  <c r="N41" i="8"/>
  <c r="N50" i="8"/>
  <c r="N167" i="8"/>
  <c r="N234" i="8"/>
  <c r="N55" i="8"/>
  <c r="N216" i="8"/>
  <c r="N163" i="8"/>
  <c r="N269" i="8"/>
  <c r="N183" i="8"/>
  <c r="N242" i="8"/>
  <c r="N54" i="8"/>
  <c r="N126" i="8"/>
  <c r="N99" i="8"/>
  <c r="N129" i="8"/>
  <c r="N134" i="8"/>
  <c r="N39" i="8"/>
  <c r="N12" i="8"/>
  <c r="N314" i="8"/>
  <c r="N24" i="8"/>
  <c r="N171" i="8"/>
  <c r="N158" i="8"/>
  <c r="N278" i="8"/>
  <c r="N58" i="8"/>
  <c r="N60" i="8"/>
  <c r="N164" i="8"/>
  <c r="N243" i="8"/>
  <c r="N267" i="8"/>
  <c r="N111" i="8"/>
  <c r="N133" i="8"/>
  <c r="N22" i="8"/>
  <c r="N277" i="8"/>
  <c r="N149" i="8"/>
  <c r="N136" i="8"/>
  <c r="N88" i="8"/>
  <c r="N93" i="8"/>
  <c r="N261" i="8"/>
  <c r="N290" i="8"/>
  <c r="N59" i="8"/>
  <c r="N304" i="8"/>
  <c r="N300" i="8"/>
  <c r="N180" i="8"/>
  <c r="N190" i="8"/>
  <c r="N227" i="8"/>
  <c r="N151" i="8"/>
  <c r="N203" i="8"/>
  <c r="N9" i="8"/>
  <c r="P9" i="8" s="1"/>
  <c r="N175" i="8"/>
  <c r="N162" i="8"/>
  <c r="N226" i="8"/>
  <c r="N231" i="8"/>
  <c r="N67" i="8"/>
  <c r="N155" i="8"/>
  <c r="N198" i="8"/>
  <c r="N236" i="8"/>
  <c r="N11" i="8"/>
  <c r="N273" i="8"/>
  <c r="N293" i="8"/>
  <c r="N73" i="8"/>
  <c r="N209" i="8"/>
  <c r="N297" i="8"/>
  <c r="N280" i="8"/>
  <c r="N317" i="8"/>
  <c r="N178" i="8"/>
  <c r="N28" i="8"/>
  <c r="N36" i="8"/>
  <c r="N142" i="8"/>
  <c r="N213" i="8"/>
  <c r="N157" i="8"/>
  <c r="N116" i="8"/>
  <c r="N224" i="8"/>
  <c r="N318" i="8"/>
  <c r="N310" i="8"/>
  <c r="N44" i="8"/>
  <c r="N292" i="8"/>
  <c r="N199" i="8"/>
  <c r="N177" i="8"/>
  <c r="N184" i="8"/>
  <c r="N172" i="8"/>
  <c r="N195" i="8"/>
  <c r="N122" i="8"/>
  <c r="N189" i="8"/>
  <c r="N270" i="8"/>
  <c r="N306" i="8"/>
  <c r="N101" i="8"/>
  <c r="N107" i="8"/>
  <c r="N160" i="8"/>
  <c r="N145" i="8"/>
  <c r="N208" i="8"/>
  <c r="N240" i="8"/>
  <c r="N156" i="8"/>
  <c r="N223" i="8"/>
  <c r="N279" i="8"/>
  <c r="N66" i="8"/>
  <c r="N33" i="8"/>
  <c r="N313" i="8"/>
  <c r="N257" i="8"/>
  <c r="N124" i="8"/>
  <c r="N71" i="8"/>
  <c r="N179" i="8"/>
  <c r="N95" i="8"/>
  <c r="N166" i="8"/>
  <c r="N63" i="8"/>
  <c r="N26" i="8"/>
  <c r="N45" i="8"/>
  <c r="N7" i="8"/>
  <c r="P7" i="8" s="1"/>
  <c r="N258" i="8"/>
  <c r="N47" i="8"/>
  <c r="N252" i="8"/>
  <c r="N14" i="8"/>
  <c r="N112" i="8"/>
  <c r="N114" i="8"/>
  <c r="N253" i="8"/>
  <c r="N305" i="8"/>
  <c r="N283" i="8"/>
  <c r="N274" i="8"/>
  <c r="N298" i="8"/>
  <c r="N80" i="8"/>
  <c r="N232" i="8"/>
  <c r="N31" i="8"/>
  <c r="N123" i="8"/>
  <c r="N286" i="8"/>
  <c r="N201" i="8"/>
  <c r="N82" i="8"/>
  <c r="N46" i="8"/>
  <c r="N249" i="8"/>
  <c r="N152" i="8"/>
  <c r="N65" i="8"/>
  <c r="N220" i="8"/>
  <c r="N194" i="8"/>
  <c r="N215" i="8"/>
  <c r="N127" i="8"/>
  <c r="N13" i="8"/>
  <c r="N165" i="8"/>
  <c r="N248" i="8"/>
  <c r="N5" i="8"/>
  <c r="P5" i="8" s="1"/>
  <c r="N56" i="8"/>
  <c r="N89" i="8"/>
  <c r="N64" i="8"/>
  <c r="N70" i="8"/>
  <c r="N193" i="8"/>
  <c r="N262" i="8"/>
  <c r="N21" i="8"/>
  <c r="N72" i="8"/>
  <c r="N228" i="8"/>
  <c r="N238" i="8"/>
  <c r="N52" i="8"/>
  <c r="N113" i="8"/>
  <c r="N10" i="8"/>
  <c r="P10" i="8" s="1"/>
  <c r="N38" i="8"/>
  <c r="N301" i="8"/>
  <c r="N219" i="8"/>
  <c r="N81" i="8"/>
  <c r="N185" i="8"/>
  <c r="N4" i="8"/>
  <c r="P4" i="8" s="1"/>
  <c r="N191" i="8"/>
  <c r="N76" i="8"/>
  <c r="N115" i="8"/>
  <c r="N137" i="8"/>
  <c r="N92" i="8"/>
  <c r="N147" i="8"/>
  <c r="N75" i="8"/>
  <c r="N217" i="8"/>
  <c r="N170" i="8"/>
  <c r="N161" i="8"/>
  <c r="N296" i="8"/>
  <c r="N212" i="8"/>
  <c r="N74" i="8"/>
  <c r="N268" i="8"/>
  <c r="N119" i="8"/>
  <c r="N68" i="8"/>
  <c r="N84" i="8"/>
  <c r="N49" i="8"/>
  <c r="N40" i="8"/>
  <c r="N139" i="8"/>
  <c r="N230" i="8"/>
  <c r="N25" i="8"/>
  <c r="N20" i="8"/>
  <c r="N239" i="8"/>
  <c r="N291" i="8"/>
  <c r="N263" i="8"/>
  <c r="N83" i="8"/>
  <c r="N206" i="8"/>
  <c r="N214" i="8"/>
  <c r="N174" i="8"/>
  <c r="N3" i="8"/>
  <c r="P3" i="8" s="1"/>
  <c r="N186" i="8"/>
  <c r="N284" i="8"/>
  <c r="N222" i="8"/>
  <c r="N319" i="8"/>
  <c r="N260" i="8"/>
  <c r="N311" i="8"/>
  <c r="N265" i="8"/>
  <c r="N77" i="8"/>
  <c r="N104" i="8"/>
  <c r="N27" i="8"/>
  <c r="N244" i="8"/>
  <c r="N15" i="8"/>
  <c r="N150" i="8"/>
  <c r="N130" i="8"/>
  <c r="N135" i="8"/>
  <c r="N197" i="8"/>
  <c r="N256" i="8"/>
  <c r="N120" i="8"/>
  <c r="N144" i="8"/>
  <c r="N200" i="8"/>
  <c r="N87" i="8"/>
  <c r="N94" i="8"/>
  <c r="N308" i="8"/>
  <c r="N125" i="8"/>
  <c r="N182" i="8"/>
  <c r="N103" i="8"/>
  <c r="N16" i="8"/>
  <c r="N37" i="8"/>
  <c r="N153" i="8"/>
  <c r="N312" i="8"/>
  <c r="N78" i="8"/>
  <c r="N17" i="8"/>
  <c r="N159" i="8"/>
  <c r="N246" i="8"/>
  <c r="N237" i="8"/>
  <c r="N42" i="8"/>
  <c r="N225" i="8"/>
  <c r="N316" i="8"/>
  <c r="N247" i="8"/>
  <c r="N110" i="8"/>
  <c r="N61" i="8"/>
  <c r="N229" i="8"/>
  <c r="N204" i="8"/>
  <c r="N176" i="8"/>
  <c r="N271" i="8"/>
  <c r="N23" i="8"/>
  <c r="N48" i="8"/>
  <c r="N121" i="8"/>
  <c r="N128" i="8"/>
  <c r="N34" i="8"/>
  <c r="N285" i="8"/>
  <c r="N140" i="8"/>
  <c r="N289" i="8"/>
  <c r="N211" i="8"/>
  <c r="N18" i="8"/>
  <c r="N108" i="8"/>
  <c r="N266" i="8"/>
  <c r="N118" i="8"/>
  <c r="N146" i="8"/>
  <c r="N141" i="8"/>
  <c r="N173" i="8"/>
  <c r="N96" i="8"/>
  <c r="N281" i="8"/>
  <c r="N132" i="8"/>
  <c r="N53" i="8"/>
  <c r="N117" i="8"/>
  <c r="N207" i="8"/>
  <c r="N143" i="8"/>
  <c r="N276" i="8"/>
  <c r="N105" i="8"/>
  <c r="N303" i="8"/>
  <c r="N196" i="8"/>
  <c r="N218" i="8"/>
  <c r="N168" i="8"/>
  <c r="N8" i="8"/>
  <c r="P8" i="8" s="1"/>
  <c r="N205" i="8"/>
  <c r="N19" i="8"/>
  <c r="N188" i="8"/>
  <c r="N106" i="8"/>
  <c r="N259" i="8"/>
  <c r="N57" i="8"/>
  <c r="N29" i="8"/>
  <c r="N97" i="8"/>
  <c r="N202" i="8"/>
  <c r="N35" i="8"/>
  <c r="N43" i="8"/>
  <c r="N315" i="8"/>
  <c r="N287" i="8"/>
  <c r="N181" i="8"/>
  <c r="N221" i="8"/>
  <c r="N109" i="8"/>
  <c r="N210" i="8"/>
  <c r="N282" i="8"/>
  <c r="N264" i="8"/>
  <c r="N62" i="8"/>
  <c r="N79" i="8"/>
  <c r="N251" i="8"/>
  <c r="N102" i="8"/>
  <c r="N91" i="8"/>
  <c r="N69" i="8"/>
  <c r="N154" i="8"/>
  <c r="N302" i="8"/>
  <c r="N192" i="8"/>
  <c r="N131" i="8"/>
  <c r="N255" i="8"/>
  <c r="N187" i="8"/>
  <c r="N85" i="8"/>
  <c r="N309" i="8"/>
  <c r="N30" i="8"/>
  <c r="N250" i="8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3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2" i="6"/>
  <c r="N20" i="6"/>
  <c r="N311" i="6"/>
  <c r="N212" i="6"/>
  <c r="N87" i="6"/>
  <c r="N121" i="6"/>
  <c r="N109" i="6"/>
  <c r="N305" i="6"/>
  <c r="N64" i="6"/>
  <c r="N191" i="6"/>
  <c r="N178" i="6"/>
  <c r="N242" i="6"/>
  <c r="N243" i="6"/>
  <c r="N135" i="6"/>
  <c r="N75" i="6"/>
  <c r="N183" i="6"/>
  <c r="N231" i="6"/>
  <c r="N48" i="6"/>
  <c r="N304" i="6"/>
  <c r="N69" i="6"/>
  <c r="N232" i="6"/>
  <c r="N7" i="6"/>
  <c r="N176" i="6"/>
  <c r="N10" i="6"/>
  <c r="N9" i="6"/>
  <c r="N38" i="6"/>
  <c r="N65" i="6"/>
  <c r="N21" i="6"/>
  <c r="N167" i="6"/>
  <c r="N282" i="6"/>
  <c r="N156" i="6"/>
  <c r="N225" i="6"/>
  <c r="N263" i="6"/>
  <c r="N205" i="6"/>
  <c r="N202" i="6"/>
  <c r="N201" i="6"/>
  <c r="N23" i="6"/>
  <c r="N91" i="6"/>
  <c r="N98" i="6"/>
  <c r="N110" i="6"/>
  <c r="N206" i="6"/>
  <c r="N296" i="6"/>
  <c r="N119" i="6"/>
  <c r="N54" i="6"/>
  <c r="N239" i="6"/>
  <c r="N295" i="6"/>
  <c r="N273" i="6"/>
  <c r="N252" i="6"/>
  <c r="N256" i="6"/>
  <c r="N17" i="6"/>
  <c r="N278" i="6"/>
  <c r="N314" i="6"/>
  <c r="N35" i="6"/>
  <c r="N226" i="6"/>
  <c r="N58" i="6"/>
  <c r="N274" i="6"/>
  <c r="N316" i="6"/>
  <c r="N99" i="6"/>
  <c r="N291" i="6"/>
  <c r="N289" i="6"/>
  <c r="N190" i="6"/>
  <c r="N16" i="6"/>
  <c r="N152" i="6"/>
  <c r="N90" i="6"/>
  <c r="N84" i="6"/>
  <c r="N78" i="6"/>
  <c r="N57" i="6"/>
  <c r="N108" i="6"/>
  <c r="N164" i="6"/>
  <c r="N41" i="6"/>
  <c r="N53" i="6"/>
  <c r="N44" i="6"/>
  <c r="N162" i="6"/>
  <c r="N83" i="6"/>
  <c r="N149" i="6"/>
  <c r="N51" i="6"/>
  <c r="N204" i="6"/>
  <c r="N27" i="6"/>
  <c r="N270" i="6"/>
  <c r="N276" i="6"/>
  <c r="N128" i="6"/>
  <c r="N114" i="6"/>
  <c r="N246" i="6"/>
  <c r="N217" i="6"/>
  <c r="N101" i="6"/>
  <c r="N250" i="6"/>
  <c r="N129" i="6"/>
  <c r="N52" i="6"/>
  <c r="N174" i="6"/>
  <c r="N113" i="6"/>
  <c r="N155" i="6"/>
  <c r="N293" i="6"/>
  <c r="N193" i="6"/>
  <c r="N66" i="6"/>
  <c r="N163" i="6"/>
  <c r="N31" i="6"/>
  <c r="N132" i="6"/>
  <c r="N265" i="6"/>
  <c r="N216" i="6"/>
  <c r="N207" i="6"/>
  <c r="N141" i="6"/>
  <c r="N292" i="6"/>
  <c r="N185" i="6"/>
  <c r="N62" i="6"/>
  <c r="N172" i="6"/>
  <c r="N253" i="6"/>
  <c r="N320" i="6"/>
  <c r="N300" i="6"/>
  <c r="N118" i="6"/>
  <c r="N277" i="6"/>
  <c r="N255" i="6"/>
  <c r="N37" i="6"/>
  <c r="N228" i="6"/>
  <c r="N106" i="6"/>
  <c r="N227" i="6"/>
  <c r="N230" i="6"/>
  <c r="N237" i="6"/>
  <c r="N96" i="6"/>
  <c r="N77" i="6"/>
  <c r="N259" i="6"/>
  <c r="N8" i="6"/>
  <c r="N169" i="6"/>
  <c r="N306" i="6"/>
  <c r="N302" i="6"/>
  <c r="N303" i="6"/>
  <c r="N85" i="6"/>
  <c r="N89" i="6"/>
  <c r="N24" i="6"/>
  <c r="N220" i="6"/>
  <c r="N67" i="6"/>
  <c r="N39" i="6"/>
  <c r="N203" i="6"/>
  <c r="N160" i="6"/>
  <c r="N43" i="6"/>
  <c r="N166" i="6"/>
  <c r="N260" i="6"/>
  <c r="N81" i="6"/>
  <c r="N95" i="6"/>
  <c r="N157" i="6"/>
  <c r="N254" i="6"/>
  <c r="N248" i="6"/>
  <c r="N88" i="6"/>
  <c r="N46" i="6"/>
  <c r="N271" i="6"/>
  <c r="N97" i="6"/>
  <c r="N153" i="6"/>
  <c r="N285" i="6"/>
  <c r="N284" i="6"/>
  <c r="N251" i="6"/>
  <c r="N30" i="6"/>
  <c r="N11" i="6"/>
  <c r="N281" i="6"/>
  <c r="N210" i="6"/>
  <c r="N241" i="6"/>
  <c r="N307" i="6"/>
  <c r="N238" i="6"/>
  <c r="N150" i="6"/>
  <c r="N211" i="6"/>
  <c r="N317" i="6"/>
  <c r="N68" i="6"/>
  <c r="N104" i="6"/>
  <c r="N171" i="6"/>
  <c r="N130" i="6"/>
  <c r="N309" i="6"/>
  <c r="N175" i="6"/>
  <c r="N192" i="6"/>
  <c r="N4" i="6"/>
  <c r="N79" i="6"/>
  <c r="N223" i="6"/>
  <c r="N299" i="6"/>
  <c r="N144" i="6"/>
  <c r="N257" i="6"/>
  <c r="N116" i="6"/>
  <c r="N92" i="6"/>
  <c r="N301" i="6"/>
  <c r="N42" i="6"/>
  <c r="N154" i="6"/>
  <c r="N209" i="6"/>
  <c r="N214" i="6"/>
  <c r="N74" i="6"/>
  <c r="N199" i="6"/>
  <c r="N142" i="6"/>
  <c r="N102" i="6"/>
  <c r="N194" i="6"/>
  <c r="N139" i="6"/>
  <c r="N297" i="6"/>
  <c r="N290" i="6"/>
  <c r="N275" i="6"/>
  <c r="N2" i="6"/>
  <c r="N70" i="6"/>
  <c r="N112" i="6"/>
  <c r="N33" i="6"/>
  <c r="N50" i="6"/>
  <c r="N313" i="6"/>
  <c r="N268" i="6"/>
  <c r="N47" i="6"/>
  <c r="N120" i="6"/>
  <c r="N127" i="6"/>
  <c r="N25" i="6"/>
  <c r="N197" i="6"/>
  <c r="N318" i="6"/>
  <c r="N158" i="6"/>
  <c r="N63" i="6"/>
  <c r="N258" i="6"/>
  <c r="N266" i="6"/>
  <c r="N264" i="6"/>
  <c r="N244" i="6"/>
  <c r="N134" i="6"/>
  <c r="N269" i="6"/>
  <c r="N294" i="6"/>
  <c r="N117" i="6"/>
  <c r="N125" i="6"/>
  <c r="N19" i="6"/>
  <c r="N5" i="6"/>
  <c r="N177" i="6"/>
  <c r="N272" i="6"/>
  <c r="N283" i="6"/>
  <c r="N151" i="6"/>
  <c r="N86" i="6"/>
  <c r="N236" i="6"/>
  <c r="N76" i="6"/>
  <c r="N6" i="6"/>
  <c r="N188" i="6"/>
  <c r="N105" i="6"/>
  <c r="N165" i="6"/>
  <c r="N13" i="6"/>
  <c r="N45" i="6"/>
  <c r="N136" i="6"/>
  <c r="N131" i="6"/>
  <c r="N261" i="6"/>
  <c r="N111" i="6"/>
  <c r="N126" i="6"/>
  <c r="N200" i="6"/>
  <c r="N12" i="6"/>
  <c r="N40" i="6"/>
  <c r="N22" i="6"/>
  <c r="N28" i="6"/>
  <c r="N140" i="6"/>
  <c r="N49" i="6"/>
  <c r="N280" i="6"/>
  <c r="N159" i="6"/>
  <c r="N195" i="6"/>
  <c r="N249" i="6"/>
  <c r="N103" i="6"/>
  <c r="N29" i="6"/>
  <c r="N60" i="6"/>
  <c r="N148" i="6"/>
  <c r="N312" i="6"/>
  <c r="N218" i="6"/>
  <c r="N18" i="6"/>
  <c r="N235" i="6"/>
  <c r="N310" i="6"/>
  <c r="N93" i="6"/>
  <c r="N182" i="6"/>
  <c r="N32" i="6"/>
  <c r="N73" i="6"/>
  <c r="N15" i="6"/>
  <c r="N186" i="6"/>
  <c r="N147" i="6"/>
  <c r="N180" i="6"/>
  <c r="N170" i="6"/>
  <c r="N107" i="6"/>
  <c r="N184" i="6"/>
  <c r="N36" i="6"/>
  <c r="N173" i="6"/>
  <c r="N34" i="6"/>
  <c r="N61" i="6"/>
  <c r="N181" i="6"/>
  <c r="N80" i="6"/>
  <c r="N146" i="6"/>
  <c r="N72" i="6"/>
  <c r="N245" i="6"/>
  <c r="N319" i="6"/>
  <c r="N229" i="6"/>
  <c r="N198" i="6"/>
  <c r="N224" i="6"/>
  <c r="N137" i="6"/>
  <c r="N221" i="6"/>
  <c r="N145" i="6"/>
  <c r="N288" i="6"/>
  <c r="N196" i="6"/>
  <c r="N122" i="6"/>
  <c r="N215" i="6"/>
  <c r="N187" i="6"/>
  <c r="N161" i="6"/>
  <c r="N143" i="6"/>
  <c r="N123" i="6"/>
  <c r="N82" i="6"/>
  <c r="N59" i="6"/>
  <c r="N233" i="6"/>
  <c r="N55" i="6"/>
  <c r="N262" i="6"/>
  <c r="N247" i="6"/>
  <c r="N14" i="6"/>
  <c r="N287" i="6"/>
  <c r="N298" i="6"/>
  <c r="N222" i="6"/>
  <c r="N133" i="6"/>
  <c r="N26" i="6"/>
  <c r="N115" i="6"/>
  <c r="N124" i="6"/>
  <c r="N219" i="6"/>
  <c r="N138" i="6"/>
  <c r="N279" i="6"/>
  <c r="N189" i="6"/>
  <c r="N286" i="6"/>
  <c r="N71" i="6"/>
  <c r="N213" i="6"/>
  <c r="N208" i="6"/>
  <c r="N56" i="6"/>
  <c r="N94" i="6"/>
  <c r="N3" i="6"/>
  <c r="N315" i="6"/>
  <c r="N168" i="6"/>
  <c r="N234" i="6"/>
  <c r="N100" i="6"/>
  <c r="N267" i="6"/>
  <c r="N240" i="6"/>
  <c r="N179" i="6"/>
  <c r="N308" i="6"/>
  <c r="Y635" i="4"/>
  <c r="C636" i="4"/>
  <c r="D636" i="4"/>
  <c r="E636" i="4"/>
  <c r="F636" i="4"/>
  <c r="G636" i="4"/>
  <c r="H636" i="4"/>
  <c r="I636" i="4"/>
  <c r="J636" i="4"/>
  <c r="K636" i="4"/>
  <c r="L636" i="4"/>
  <c r="M636" i="4"/>
  <c r="N636" i="4"/>
  <c r="O636" i="4"/>
  <c r="P636" i="4"/>
  <c r="Q636" i="4"/>
  <c r="R636" i="4"/>
  <c r="S636" i="4"/>
  <c r="T636" i="4"/>
  <c r="U636" i="4"/>
  <c r="V636" i="4"/>
  <c r="W636" i="4"/>
  <c r="X636" i="4"/>
  <c r="Y636" i="4"/>
  <c r="C637" i="4"/>
  <c r="D637" i="4"/>
  <c r="E637" i="4"/>
  <c r="F637" i="4"/>
  <c r="G637" i="4"/>
  <c r="H637" i="4"/>
  <c r="I637" i="4"/>
  <c r="J637" i="4"/>
  <c r="K637" i="4"/>
  <c r="L637" i="4"/>
  <c r="M637" i="4"/>
  <c r="N637" i="4"/>
  <c r="O637" i="4"/>
  <c r="P637" i="4"/>
  <c r="Q637" i="4"/>
  <c r="R637" i="4"/>
  <c r="S637" i="4"/>
  <c r="T637" i="4"/>
  <c r="U637" i="4"/>
  <c r="V637" i="4"/>
  <c r="W637" i="4"/>
  <c r="X637" i="4"/>
  <c r="Y637" i="4"/>
  <c r="C638" i="4"/>
  <c r="D638" i="4"/>
  <c r="E638" i="4"/>
  <c r="F638" i="4"/>
  <c r="G638" i="4"/>
  <c r="H638" i="4"/>
  <c r="I638" i="4"/>
  <c r="J638" i="4"/>
  <c r="K638" i="4"/>
  <c r="L638" i="4"/>
  <c r="M638" i="4"/>
  <c r="N638" i="4"/>
  <c r="O638" i="4"/>
  <c r="P638" i="4"/>
  <c r="Q638" i="4"/>
  <c r="R638" i="4"/>
  <c r="S638" i="4"/>
  <c r="T638" i="4"/>
  <c r="U638" i="4"/>
  <c r="V638" i="4"/>
  <c r="W638" i="4"/>
  <c r="X638" i="4"/>
  <c r="Y638" i="4"/>
  <c r="C639" i="4"/>
  <c r="D639" i="4"/>
  <c r="E639" i="4"/>
  <c r="F639" i="4"/>
  <c r="G639" i="4"/>
  <c r="H639" i="4"/>
  <c r="I639" i="4"/>
  <c r="J639" i="4"/>
  <c r="K639" i="4"/>
  <c r="L639" i="4"/>
  <c r="M639" i="4"/>
  <c r="N639" i="4"/>
  <c r="O639" i="4"/>
  <c r="P639" i="4"/>
  <c r="Q639" i="4"/>
  <c r="R639" i="4"/>
  <c r="S639" i="4"/>
  <c r="T639" i="4"/>
  <c r="U639" i="4"/>
  <c r="V639" i="4"/>
  <c r="W639" i="4"/>
  <c r="X639" i="4"/>
  <c r="Y639" i="4"/>
  <c r="C640" i="4"/>
  <c r="D640" i="4"/>
  <c r="E640" i="4"/>
  <c r="F640" i="4"/>
  <c r="G640" i="4"/>
  <c r="H640" i="4"/>
  <c r="I640" i="4"/>
  <c r="J640" i="4"/>
  <c r="K640" i="4"/>
  <c r="L640" i="4"/>
  <c r="M640" i="4"/>
  <c r="N640" i="4"/>
  <c r="O640" i="4"/>
  <c r="P640" i="4"/>
  <c r="Q640" i="4"/>
  <c r="R640" i="4"/>
  <c r="S640" i="4"/>
  <c r="T640" i="4"/>
  <c r="U640" i="4"/>
  <c r="V640" i="4"/>
  <c r="W640" i="4"/>
  <c r="X640" i="4"/>
  <c r="Y640" i="4"/>
  <c r="C641" i="4"/>
  <c r="D641" i="4"/>
  <c r="E641" i="4"/>
  <c r="F641" i="4"/>
  <c r="G641" i="4"/>
  <c r="H641" i="4"/>
  <c r="I641" i="4"/>
  <c r="J641" i="4"/>
  <c r="K641" i="4"/>
  <c r="L641" i="4"/>
  <c r="M641" i="4"/>
  <c r="N641" i="4"/>
  <c r="O641" i="4"/>
  <c r="P641" i="4"/>
  <c r="Q641" i="4"/>
  <c r="R641" i="4"/>
  <c r="S641" i="4"/>
  <c r="T641" i="4"/>
  <c r="U641" i="4"/>
  <c r="V641" i="4"/>
  <c r="W641" i="4"/>
  <c r="X641" i="4"/>
  <c r="Y641" i="4"/>
  <c r="C642" i="4"/>
  <c r="D642" i="4"/>
  <c r="E642" i="4"/>
  <c r="F642" i="4"/>
  <c r="G642" i="4"/>
  <c r="H642" i="4"/>
  <c r="I642" i="4"/>
  <c r="J642" i="4"/>
  <c r="K642" i="4"/>
  <c r="L642" i="4"/>
  <c r="M642" i="4"/>
  <c r="N642" i="4"/>
  <c r="O642" i="4"/>
  <c r="P642" i="4"/>
  <c r="Q642" i="4"/>
  <c r="R642" i="4"/>
  <c r="S642" i="4"/>
  <c r="T642" i="4"/>
  <c r="U642" i="4"/>
  <c r="V642" i="4"/>
  <c r="W642" i="4"/>
  <c r="X642" i="4"/>
  <c r="Y642" i="4"/>
  <c r="C643" i="4"/>
  <c r="D643" i="4"/>
  <c r="E643" i="4"/>
  <c r="F643" i="4"/>
  <c r="G643" i="4"/>
  <c r="H643" i="4"/>
  <c r="I643" i="4"/>
  <c r="J643" i="4"/>
  <c r="K643" i="4"/>
  <c r="L643" i="4"/>
  <c r="M643" i="4"/>
  <c r="N643" i="4"/>
  <c r="O643" i="4"/>
  <c r="P643" i="4"/>
  <c r="Q643" i="4"/>
  <c r="R643" i="4"/>
  <c r="S643" i="4"/>
  <c r="T643" i="4"/>
  <c r="U643" i="4"/>
  <c r="V643" i="4"/>
  <c r="W643" i="4"/>
  <c r="X643" i="4"/>
  <c r="Y643" i="4"/>
  <c r="C644" i="4"/>
  <c r="D644" i="4"/>
  <c r="E644" i="4"/>
  <c r="F644" i="4"/>
  <c r="G644" i="4"/>
  <c r="H644" i="4"/>
  <c r="I644" i="4"/>
  <c r="J644" i="4"/>
  <c r="K644" i="4"/>
  <c r="L644" i="4"/>
  <c r="M644" i="4"/>
  <c r="N644" i="4"/>
  <c r="O644" i="4"/>
  <c r="P644" i="4"/>
  <c r="Q644" i="4"/>
  <c r="R644" i="4"/>
  <c r="S644" i="4"/>
  <c r="T644" i="4"/>
  <c r="U644" i="4"/>
  <c r="V644" i="4"/>
  <c r="W644" i="4"/>
  <c r="X644" i="4"/>
  <c r="Y644" i="4"/>
  <c r="C645" i="4"/>
  <c r="D645" i="4"/>
  <c r="E645" i="4"/>
  <c r="F645" i="4"/>
  <c r="G645" i="4"/>
  <c r="H645" i="4"/>
  <c r="I645" i="4"/>
  <c r="J645" i="4"/>
  <c r="K645" i="4"/>
  <c r="L645" i="4"/>
  <c r="M645" i="4"/>
  <c r="N645" i="4"/>
  <c r="O645" i="4"/>
  <c r="P645" i="4"/>
  <c r="Q645" i="4"/>
  <c r="R645" i="4"/>
  <c r="S645" i="4"/>
  <c r="T645" i="4"/>
  <c r="U645" i="4"/>
  <c r="V645" i="4"/>
  <c r="W645" i="4"/>
  <c r="X645" i="4"/>
  <c r="Y645" i="4"/>
  <c r="C646" i="4"/>
  <c r="D646" i="4"/>
  <c r="E646" i="4"/>
  <c r="F646" i="4"/>
  <c r="G646" i="4"/>
  <c r="H646" i="4"/>
  <c r="I646" i="4"/>
  <c r="J646" i="4"/>
  <c r="K646" i="4"/>
  <c r="L646" i="4"/>
  <c r="M646" i="4"/>
  <c r="N646" i="4"/>
  <c r="O646" i="4"/>
  <c r="P646" i="4"/>
  <c r="Q646" i="4"/>
  <c r="R646" i="4"/>
  <c r="S646" i="4"/>
  <c r="T646" i="4"/>
  <c r="U646" i="4"/>
  <c r="V646" i="4"/>
  <c r="W646" i="4"/>
  <c r="X646" i="4"/>
  <c r="Y646" i="4"/>
  <c r="C647" i="4"/>
  <c r="D647" i="4"/>
  <c r="E647" i="4"/>
  <c r="F647" i="4"/>
  <c r="G647" i="4"/>
  <c r="H647" i="4"/>
  <c r="I647" i="4"/>
  <c r="J647" i="4"/>
  <c r="K647" i="4"/>
  <c r="L647" i="4"/>
  <c r="M647" i="4"/>
  <c r="N647" i="4"/>
  <c r="O647" i="4"/>
  <c r="P647" i="4"/>
  <c r="Q647" i="4"/>
  <c r="R647" i="4"/>
  <c r="S647" i="4"/>
  <c r="T647" i="4"/>
  <c r="U647" i="4"/>
  <c r="V647" i="4"/>
  <c r="W647" i="4"/>
  <c r="X647" i="4"/>
  <c r="Y647" i="4"/>
  <c r="C648" i="4"/>
  <c r="D648" i="4"/>
  <c r="E648" i="4"/>
  <c r="F648" i="4"/>
  <c r="G648" i="4"/>
  <c r="H648" i="4"/>
  <c r="I648" i="4"/>
  <c r="J648" i="4"/>
  <c r="K648" i="4"/>
  <c r="L648" i="4"/>
  <c r="M648" i="4"/>
  <c r="N648" i="4"/>
  <c r="O648" i="4"/>
  <c r="P648" i="4"/>
  <c r="Q648" i="4"/>
  <c r="R648" i="4"/>
  <c r="S648" i="4"/>
  <c r="T648" i="4"/>
  <c r="U648" i="4"/>
  <c r="V648" i="4"/>
  <c r="W648" i="4"/>
  <c r="X648" i="4"/>
  <c r="Y648" i="4"/>
  <c r="C649" i="4"/>
  <c r="D649" i="4"/>
  <c r="E649" i="4"/>
  <c r="F649" i="4"/>
  <c r="G649" i="4"/>
  <c r="H649" i="4"/>
  <c r="I649" i="4"/>
  <c r="J649" i="4"/>
  <c r="K649" i="4"/>
  <c r="L649" i="4"/>
  <c r="M649" i="4"/>
  <c r="N649" i="4"/>
  <c r="O649" i="4"/>
  <c r="P649" i="4"/>
  <c r="Q649" i="4"/>
  <c r="R649" i="4"/>
  <c r="S649" i="4"/>
  <c r="T649" i="4"/>
  <c r="U649" i="4"/>
  <c r="V649" i="4"/>
  <c r="W649" i="4"/>
  <c r="X649" i="4"/>
  <c r="Y649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331" i="4"/>
  <c r="AH320" i="2"/>
  <c r="AG320" i="2"/>
  <c r="B320" i="2"/>
  <c r="AH319" i="2"/>
  <c r="AG319" i="2"/>
  <c r="B319" i="2"/>
  <c r="AH318" i="2"/>
  <c r="AG318" i="2"/>
  <c r="B318" i="2"/>
  <c r="AH315" i="2"/>
  <c r="AG315" i="2"/>
  <c r="B315" i="2"/>
  <c r="AH314" i="2"/>
  <c r="AG314" i="2"/>
  <c r="B314" i="2"/>
  <c r="AH313" i="2"/>
  <c r="AG313" i="2"/>
  <c r="B313" i="2"/>
  <c r="AH312" i="2"/>
  <c r="AG312" i="2"/>
  <c r="B312" i="2"/>
  <c r="AH311" i="2"/>
  <c r="AG311" i="2"/>
  <c r="B311" i="2"/>
  <c r="AH310" i="2"/>
  <c r="AG310" i="2"/>
  <c r="B310" i="2"/>
  <c r="AH309" i="2"/>
  <c r="AG309" i="2"/>
  <c r="B309" i="2"/>
  <c r="AH308" i="2"/>
  <c r="AG308" i="2"/>
  <c r="B308" i="2"/>
  <c r="AH307" i="2"/>
  <c r="AG307" i="2"/>
  <c r="B307" i="2"/>
  <c r="AH305" i="2"/>
  <c r="AG305" i="2"/>
  <c r="B305" i="2"/>
  <c r="AH304" i="2"/>
  <c r="AG304" i="2"/>
  <c r="B304" i="2"/>
  <c r="AH303" i="2"/>
  <c r="AG303" i="2"/>
  <c r="B303" i="2"/>
  <c r="AH302" i="2"/>
  <c r="AG302" i="2"/>
  <c r="B302" i="2"/>
  <c r="AH301" i="2"/>
  <c r="AI301" i="2" s="1"/>
  <c r="AG301" i="2"/>
  <c r="B301" i="2"/>
  <c r="AH299" i="2"/>
  <c r="AG299" i="2"/>
  <c r="B299" i="2"/>
  <c r="AH298" i="2"/>
  <c r="AG298" i="2"/>
  <c r="B298" i="2"/>
  <c r="AH296" i="2"/>
  <c r="AG296" i="2"/>
  <c r="B296" i="2"/>
  <c r="AH295" i="2"/>
  <c r="AG295" i="2"/>
  <c r="B295" i="2"/>
  <c r="AH294" i="2"/>
  <c r="AG294" i="2"/>
  <c r="B294" i="2"/>
  <c r="AH293" i="2"/>
  <c r="AG293" i="2"/>
  <c r="B293" i="2"/>
  <c r="AH292" i="2"/>
  <c r="AG292" i="2"/>
  <c r="B292" i="2"/>
  <c r="AH291" i="2"/>
  <c r="AG291" i="2"/>
  <c r="B291" i="2"/>
  <c r="AH290" i="2"/>
  <c r="AG290" i="2"/>
  <c r="B290" i="2"/>
  <c r="AH289" i="2"/>
  <c r="AG289" i="2"/>
  <c r="B289" i="2"/>
  <c r="AH288" i="2"/>
  <c r="AG288" i="2"/>
  <c r="B288" i="2"/>
  <c r="AH286" i="2"/>
  <c r="AG286" i="2"/>
  <c r="B286" i="2"/>
  <c r="AH285" i="2"/>
  <c r="AG285" i="2"/>
  <c r="B285" i="2"/>
  <c r="AH284" i="2"/>
  <c r="AG284" i="2"/>
  <c r="B284" i="2"/>
  <c r="AH283" i="2"/>
  <c r="AG283" i="2"/>
  <c r="B283" i="2"/>
  <c r="AH282" i="2"/>
  <c r="AG282" i="2"/>
  <c r="B282" i="2"/>
  <c r="AH281" i="2"/>
  <c r="AG281" i="2"/>
  <c r="B281" i="2"/>
  <c r="AH280" i="2"/>
  <c r="AG280" i="2"/>
  <c r="B280" i="2"/>
  <c r="AH279" i="2"/>
  <c r="AG279" i="2"/>
  <c r="B279" i="2"/>
  <c r="AH277" i="2"/>
  <c r="AG277" i="2"/>
  <c r="B277" i="2"/>
  <c r="AH274" i="2"/>
  <c r="AG274" i="2"/>
  <c r="B274" i="2"/>
  <c r="AH273" i="2"/>
  <c r="AG273" i="2"/>
  <c r="B273" i="2"/>
  <c r="AH272" i="2"/>
  <c r="AG272" i="2"/>
  <c r="B272" i="2"/>
  <c r="AH271" i="2"/>
  <c r="AG271" i="2"/>
  <c r="B271" i="2"/>
  <c r="AH267" i="2"/>
  <c r="AG267" i="2"/>
  <c r="B267" i="2"/>
  <c r="AH266" i="2"/>
  <c r="AG266" i="2"/>
  <c r="B266" i="2"/>
  <c r="AH265" i="2"/>
  <c r="AG265" i="2"/>
  <c r="B265" i="2"/>
  <c r="AH264" i="2"/>
  <c r="AG264" i="2"/>
  <c r="B264" i="2"/>
  <c r="AH263" i="2"/>
  <c r="AG263" i="2"/>
  <c r="B263" i="2"/>
  <c r="AH262" i="2"/>
  <c r="AG262" i="2"/>
  <c r="B262" i="2"/>
  <c r="AH260" i="2"/>
  <c r="AG260" i="2"/>
  <c r="B260" i="2"/>
  <c r="AH259" i="2"/>
  <c r="AG259" i="2"/>
  <c r="B259" i="2"/>
  <c r="AH257" i="2"/>
  <c r="AG257" i="2"/>
  <c r="B257" i="2"/>
  <c r="AH256" i="2"/>
  <c r="AG256" i="2"/>
  <c r="B256" i="2"/>
  <c r="AH255" i="2"/>
  <c r="AG255" i="2"/>
  <c r="B255" i="2"/>
  <c r="AH253" i="2"/>
  <c r="AG253" i="2"/>
  <c r="B253" i="2"/>
  <c r="AH252" i="2"/>
  <c r="AG252" i="2"/>
  <c r="B252" i="2"/>
  <c r="AH251" i="2"/>
  <c r="AG251" i="2"/>
  <c r="B251" i="2"/>
  <c r="AH250" i="2"/>
  <c r="AG250" i="2"/>
  <c r="B250" i="2"/>
  <c r="AH248" i="2"/>
  <c r="AG248" i="2"/>
  <c r="B248" i="2"/>
  <c r="AH247" i="2"/>
  <c r="AG247" i="2"/>
  <c r="B247" i="2"/>
  <c r="AH246" i="2"/>
  <c r="AG246" i="2"/>
  <c r="B246" i="2"/>
  <c r="AH245" i="2"/>
  <c r="AG245" i="2"/>
  <c r="B245" i="2"/>
  <c r="AH244" i="2"/>
  <c r="AG244" i="2"/>
  <c r="B244" i="2"/>
  <c r="AH243" i="2"/>
  <c r="AI243" i="2" s="1"/>
  <c r="AG243" i="2"/>
  <c r="B243" i="2"/>
  <c r="AH242" i="2"/>
  <c r="AI242" i="2" s="1"/>
  <c r="AG242" i="2"/>
  <c r="B242" i="2"/>
  <c r="AH241" i="2"/>
  <c r="AG241" i="2"/>
  <c r="B241" i="2"/>
  <c r="AH240" i="2"/>
  <c r="AG240" i="2"/>
  <c r="B240" i="2"/>
  <c r="AH239" i="2"/>
  <c r="AG239" i="2"/>
  <c r="B239" i="2"/>
  <c r="AH238" i="2"/>
  <c r="AG238" i="2"/>
  <c r="B238" i="2"/>
  <c r="AH237" i="2"/>
  <c r="AG237" i="2"/>
  <c r="B237" i="2"/>
  <c r="AH236" i="2"/>
  <c r="AG236" i="2"/>
  <c r="B236" i="2"/>
  <c r="AH235" i="2"/>
  <c r="AG235" i="2"/>
  <c r="B235" i="2"/>
  <c r="AH234" i="2"/>
  <c r="AG234" i="2"/>
  <c r="B234" i="2"/>
  <c r="AH233" i="2"/>
  <c r="AG233" i="2"/>
  <c r="B233" i="2"/>
  <c r="AH232" i="2"/>
  <c r="AG232" i="2"/>
  <c r="B232" i="2"/>
  <c r="AH231" i="2"/>
  <c r="AG231" i="2"/>
  <c r="B231" i="2"/>
  <c r="AH230" i="2"/>
  <c r="AG230" i="2"/>
  <c r="B230" i="2"/>
  <c r="AH229" i="2"/>
  <c r="AG229" i="2"/>
  <c r="B229" i="2"/>
  <c r="AH228" i="2"/>
  <c r="AG228" i="2"/>
  <c r="B228" i="2"/>
  <c r="AH227" i="2"/>
  <c r="AG227" i="2"/>
  <c r="B227" i="2"/>
  <c r="AH226" i="2"/>
  <c r="AG226" i="2"/>
  <c r="B226" i="2"/>
  <c r="AH225" i="2"/>
  <c r="AI225" i="2" s="1"/>
  <c r="AG225" i="2"/>
  <c r="B225" i="2"/>
  <c r="AH224" i="2"/>
  <c r="AG224" i="2"/>
  <c r="B224" i="2"/>
  <c r="AH223" i="2"/>
  <c r="AG223" i="2"/>
  <c r="B223" i="2"/>
  <c r="AH222" i="2"/>
  <c r="AG222" i="2"/>
  <c r="B222" i="2"/>
  <c r="AH221" i="2"/>
  <c r="AG221" i="2"/>
  <c r="B221" i="2"/>
  <c r="AH220" i="2"/>
  <c r="AG220" i="2"/>
  <c r="B220" i="2"/>
  <c r="AH219" i="2"/>
  <c r="AG219" i="2"/>
  <c r="B219" i="2"/>
  <c r="AH218" i="2"/>
  <c r="AG218" i="2"/>
  <c r="B218" i="2"/>
  <c r="AH217" i="2"/>
  <c r="AG217" i="2"/>
  <c r="B217" i="2"/>
  <c r="AH216" i="2"/>
  <c r="AG216" i="2"/>
  <c r="B216" i="2"/>
  <c r="AH215" i="2"/>
  <c r="AG215" i="2"/>
  <c r="B215" i="2"/>
  <c r="AH214" i="2"/>
  <c r="AG214" i="2"/>
  <c r="B214" i="2"/>
  <c r="AH213" i="2"/>
  <c r="AG213" i="2"/>
  <c r="B213" i="2"/>
  <c r="AH212" i="2"/>
  <c r="AG212" i="2"/>
  <c r="B212" i="2"/>
  <c r="AH211" i="2"/>
  <c r="AG211" i="2"/>
  <c r="B211" i="2"/>
  <c r="AH210" i="2"/>
  <c r="AG210" i="2"/>
  <c r="B210" i="2"/>
  <c r="AH209" i="2"/>
  <c r="AG209" i="2"/>
  <c r="B209" i="2"/>
  <c r="AH208" i="2"/>
  <c r="AG208" i="2"/>
  <c r="B208" i="2"/>
  <c r="AH207" i="2"/>
  <c r="AG207" i="2"/>
  <c r="B207" i="2"/>
  <c r="AH204" i="2"/>
  <c r="AG204" i="2"/>
  <c r="B204" i="2"/>
  <c r="AH306" i="2"/>
  <c r="AG306" i="2"/>
  <c r="B306" i="2"/>
  <c r="AH300" i="2"/>
  <c r="AG300" i="2"/>
  <c r="B300" i="2"/>
  <c r="AH287" i="2"/>
  <c r="AG287" i="2"/>
  <c r="B287" i="2"/>
  <c r="AH199" i="2"/>
  <c r="AG199" i="2"/>
  <c r="B199" i="2"/>
  <c r="AH254" i="2"/>
  <c r="AG254" i="2"/>
  <c r="B254" i="2"/>
  <c r="AH198" i="2"/>
  <c r="AG198" i="2"/>
  <c r="B198" i="2"/>
  <c r="AH206" i="2"/>
  <c r="AG206" i="2"/>
  <c r="B206" i="2"/>
  <c r="AH197" i="2"/>
  <c r="AG197" i="2"/>
  <c r="B197" i="2"/>
  <c r="AH180" i="2"/>
  <c r="AG180" i="2"/>
  <c r="B180" i="2"/>
  <c r="AH196" i="2"/>
  <c r="AG196" i="2"/>
  <c r="B196" i="2"/>
  <c r="AH195" i="2"/>
  <c r="AG195" i="2"/>
  <c r="B195" i="2"/>
  <c r="AH194" i="2"/>
  <c r="AG194" i="2"/>
  <c r="B194" i="2"/>
  <c r="AH192" i="2"/>
  <c r="AG192" i="2"/>
  <c r="B192" i="2"/>
  <c r="AH191" i="2"/>
  <c r="AG191" i="2"/>
  <c r="B191" i="2"/>
  <c r="AH190" i="2"/>
  <c r="AG190" i="2"/>
  <c r="B190" i="2"/>
  <c r="AH189" i="2"/>
  <c r="AG189" i="2"/>
  <c r="AI189" i="2" s="1"/>
  <c r="B189" i="2"/>
  <c r="AH186" i="2"/>
  <c r="AG186" i="2"/>
  <c r="B186" i="2"/>
  <c r="AH185" i="2"/>
  <c r="AG185" i="2"/>
  <c r="B185" i="2"/>
  <c r="AH126" i="2"/>
  <c r="AG126" i="2"/>
  <c r="B126" i="2"/>
  <c r="AH105" i="2"/>
  <c r="AG105" i="2"/>
  <c r="B105" i="2"/>
  <c r="AH37" i="2"/>
  <c r="AG37" i="2"/>
  <c r="B37" i="2"/>
  <c r="AH203" i="2"/>
  <c r="AG203" i="2"/>
  <c r="B203" i="2"/>
  <c r="AH188" i="2"/>
  <c r="AG188" i="2"/>
  <c r="B188" i="2"/>
  <c r="AH160" i="2"/>
  <c r="AG160" i="2"/>
  <c r="B160" i="2"/>
  <c r="AH120" i="2"/>
  <c r="AG120" i="2"/>
  <c r="B120" i="2"/>
  <c r="AH95" i="2"/>
  <c r="AG95" i="2"/>
  <c r="B95" i="2"/>
  <c r="AH205" i="2"/>
  <c r="AI205" i="2" s="1"/>
  <c r="AG205" i="2"/>
  <c r="B205" i="2"/>
  <c r="AH116" i="2"/>
  <c r="AG116" i="2"/>
  <c r="B116" i="2"/>
  <c r="AH184" i="2"/>
  <c r="AG184" i="2"/>
  <c r="B184" i="2"/>
  <c r="AH183" i="2"/>
  <c r="AG183" i="2"/>
  <c r="B183" i="2"/>
  <c r="AH182" i="2"/>
  <c r="AG182" i="2"/>
  <c r="B182" i="2"/>
  <c r="AH181" i="2"/>
  <c r="AG181" i="2"/>
  <c r="B181" i="2"/>
  <c r="AH179" i="2"/>
  <c r="AG179" i="2"/>
  <c r="B179" i="2"/>
  <c r="AH178" i="2"/>
  <c r="AG178" i="2"/>
  <c r="B178" i="2"/>
  <c r="AH177" i="2"/>
  <c r="AG177" i="2"/>
  <c r="B177" i="2"/>
  <c r="AH176" i="2"/>
  <c r="AG176" i="2"/>
  <c r="B176" i="2"/>
  <c r="AH175" i="2"/>
  <c r="AG175" i="2"/>
  <c r="B175" i="2"/>
  <c r="AH174" i="2"/>
  <c r="AG174" i="2"/>
  <c r="B174" i="2"/>
  <c r="AH173" i="2"/>
  <c r="AG173" i="2"/>
  <c r="B173" i="2"/>
  <c r="AH171" i="2"/>
  <c r="AG171" i="2"/>
  <c r="B171" i="2"/>
  <c r="AH170" i="2"/>
  <c r="AG170" i="2"/>
  <c r="B170" i="2"/>
  <c r="AH169" i="2"/>
  <c r="AG169" i="2"/>
  <c r="B169" i="2"/>
  <c r="AH168" i="2"/>
  <c r="AG168" i="2"/>
  <c r="B168" i="2"/>
  <c r="AH167" i="2"/>
  <c r="AG167" i="2"/>
  <c r="B167" i="2"/>
  <c r="AH166" i="2"/>
  <c r="AG166" i="2"/>
  <c r="B166" i="2"/>
  <c r="AH165" i="2"/>
  <c r="AG165" i="2"/>
  <c r="B165" i="2"/>
  <c r="AH164" i="2"/>
  <c r="AG164" i="2"/>
  <c r="B164" i="2"/>
  <c r="AH163" i="2"/>
  <c r="AG163" i="2"/>
  <c r="AI163" i="2" s="1"/>
  <c r="B163" i="2"/>
  <c r="AH162" i="2"/>
  <c r="AI162" i="2" s="1"/>
  <c r="AG162" i="2"/>
  <c r="B162" i="2"/>
  <c r="AH158" i="2"/>
  <c r="AG158" i="2"/>
  <c r="B158" i="2"/>
  <c r="AH157" i="2"/>
  <c r="AG157" i="2"/>
  <c r="B157" i="2"/>
  <c r="AH156" i="2"/>
  <c r="AG156" i="2"/>
  <c r="B156" i="2"/>
  <c r="AH155" i="2"/>
  <c r="AG155" i="2"/>
  <c r="B155" i="2"/>
  <c r="AH154" i="2"/>
  <c r="AG154" i="2"/>
  <c r="B154" i="2"/>
  <c r="AH153" i="2"/>
  <c r="AG153" i="2"/>
  <c r="B153" i="2"/>
  <c r="AH151" i="2"/>
  <c r="AG151" i="2"/>
  <c r="B151" i="2"/>
  <c r="AH150" i="2"/>
  <c r="AI150" i="2" s="1"/>
  <c r="AG150" i="2"/>
  <c r="B150" i="2"/>
  <c r="AH149" i="2"/>
  <c r="AG149" i="2"/>
  <c r="B149" i="2"/>
  <c r="AH148" i="2"/>
  <c r="AG148" i="2"/>
  <c r="B148" i="2"/>
  <c r="AH147" i="2"/>
  <c r="AG147" i="2"/>
  <c r="B147" i="2"/>
  <c r="AH146" i="2"/>
  <c r="AG146" i="2"/>
  <c r="B146" i="2"/>
  <c r="AH145" i="2"/>
  <c r="AG145" i="2"/>
  <c r="B145" i="2"/>
  <c r="AH144" i="2"/>
  <c r="AG144" i="2"/>
  <c r="B144" i="2"/>
  <c r="AH317" i="2"/>
  <c r="AG317" i="2"/>
  <c r="B317" i="2"/>
  <c r="AH275" i="2"/>
  <c r="AG275" i="2"/>
  <c r="B275" i="2"/>
  <c r="AH143" i="2"/>
  <c r="AG143" i="2"/>
  <c r="B143" i="2"/>
  <c r="AH142" i="2"/>
  <c r="AI142" i="2" s="1"/>
  <c r="AG142" i="2"/>
  <c r="B142" i="2"/>
  <c r="AH316" i="2"/>
  <c r="AG316" i="2"/>
  <c r="B316" i="2"/>
  <c r="AH297" i="2"/>
  <c r="AG297" i="2"/>
  <c r="B297" i="2"/>
  <c r="AH278" i="2"/>
  <c r="AG278" i="2"/>
  <c r="B278" i="2"/>
  <c r="AH276" i="2"/>
  <c r="AG276" i="2"/>
  <c r="B276" i="2"/>
  <c r="AH201" i="2"/>
  <c r="AG201" i="2"/>
  <c r="B201" i="2"/>
  <c r="AH200" i="2"/>
  <c r="AI200" i="2" s="1"/>
  <c r="AG200" i="2"/>
  <c r="B200" i="2"/>
  <c r="AH141" i="2"/>
  <c r="AG141" i="2"/>
  <c r="B141" i="2"/>
  <c r="AH172" i="2"/>
  <c r="AI172" i="2" s="1"/>
  <c r="AG172" i="2"/>
  <c r="B172" i="2"/>
  <c r="AH161" i="2"/>
  <c r="AG161" i="2"/>
  <c r="B161" i="2"/>
  <c r="AH103" i="2"/>
  <c r="AG103" i="2"/>
  <c r="B103" i="2"/>
  <c r="AH140" i="2"/>
  <c r="AG140" i="2"/>
  <c r="B140" i="2"/>
  <c r="AH139" i="2"/>
  <c r="AG139" i="2"/>
  <c r="B139" i="2"/>
  <c r="AH138" i="2"/>
  <c r="AG138" i="2"/>
  <c r="B138" i="2"/>
  <c r="AH137" i="2"/>
  <c r="AG137" i="2"/>
  <c r="B137" i="2"/>
  <c r="AH135" i="2"/>
  <c r="AG135" i="2"/>
  <c r="B135" i="2"/>
  <c r="AH134" i="2"/>
  <c r="AG134" i="2"/>
  <c r="B134" i="2"/>
  <c r="AH133" i="2"/>
  <c r="AG133" i="2"/>
  <c r="B133" i="2"/>
  <c r="AH132" i="2"/>
  <c r="AG132" i="2"/>
  <c r="B132" i="2"/>
  <c r="AH131" i="2"/>
  <c r="AI131" i="2" s="1"/>
  <c r="AG131" i="2"/>
  <c r="B131" i="2"/>
  <c r="AH130" i="2"/>
  <c r="AG130" i="2"/>
  <c r="B130" i="2"/>
  <c r="AH129" i="2"/>
  <c r="AG129" i="2"/>
  <c r="B129" i="2"/>
  <c r="AH268" i="2"/>
  <c r="AI268" i="2" s="1"/>
  <c r="AG268" i="2"/>
  <c r="B268" i="2"/>
  <c r="AH261" i="2"/>
  <c r="AG261" i="2"/>
  <c r="B261" i="2"/>
  <c r="AH258" i="2"/>
  <c r="AG258" i="2"/>
  <c r="B258" i="2"/>
  <c r="AH202" i="2"/>
  <c r="AG202" i="2"/>
  <c r="B202" i="2"/>
  <c r="AH159" i="2"/>
  <c r="AG159" i="2"/>
  <c r="B159" i="2"/>
  <c r="AH101" i="2"/>
  <c r="AI101" i="2" s="1"/>
  <c r="AG101" i="2"/>
  <c r="B101" i="2"/>
  <c r="AH269" i="2"/>
  <c r="AG269" i="2"/>
  <c r="B269" i="2"/>
  <c r="AH187" i="2"/>
  <c r="AG187" i="2"/>
  <c r="B187" i="2"/>
  <c r="AH128" i="2"/>
  <c r="AG128" i="2"/>
  <c r="B128" i="2"/>
  <c r="AH127" i="2"/>
  <c r="AG127" i="2"/>
  <c r="B127" i="2"/>
  <c r="AH125" i="2"/>
  <c r="AI125" i="2" s="1"/>
  <c r="AG125" i="2"/>
  <c r="B125" i="2"/>
  <c r="AH124" i="2"/>
  <c r="AG124" i="2"/>
  <c r="B124" i="2"/>
  <c r="AH123" i="2"/>
  <c r="AG123" i="2"/>
  <c r="B123" i="2"/>
  <c r="AH122" i="2"/>
  <c r="AG122" i="2"/>
  <c r="B122" i="2"/>
  <c r="AH121" i="2"/>
  <c r="AG121" i="2"/>
  <c r="B121" i="2"/>
  <c r="AH119" i="2"/>
  <c r="AG119" i="2"/>
  <c r="B119" i="2"/>
  <c r="AH118" i="2"/>
  <c r="AG118" i="2"/>
  <c r="B118" i="2"/>
  <c r="AH117" i="2"/>
  <c r="AG117" i="2"/>
  <c r="B117" i="2"/>
  <c r="AH115" i="2"/>
  <c r="AG115" i="2"/>
  <c r="B115" i="2"/>
  <c r="AH113" i="2"/>
  <c r="AG113" i="2"/>
  <c r="B113" i="2"/>
  <c r="AH112" i="2"/>
  <c r="AG112" i="2"/>
  <c r="B112" i="2"/>
  <c r="AH111" i="2"/>
  <c r="AG111" i="2"/>
  <c r="B111" i="2"/>
  <c r="AH110" i="2"/>
  <c r="AG110" i="2"/>
  <c r="B110" i="2"/>
  <c r="AH109" i="2"/>
  <c r="AG109" i="2"/>
  <c r="B109" i="2"/>
  <c r="AH108" i="2"/>
  <c r="AG108" i="2"/>
  <c r="B108" i="2"/>
  <c r="AH107" i="2"/>
  <c r="AG107" i="2"/>
  <c r="B107" i="2"/>
  <c r="AH106" i="2"/>
  <c r="AG106" i="2"/>
  <c r="B106" i="2"/>
  <c r="AH104" i="2"/>
  <c r="AG104" i="2"/>
  <c r="B104" i="2"/>
  <c r="AH102" i="2"/>
  <c r="AG102" i="2"/>
  <c r="B102" i="2"/>
  <c r="AH100" i="2"/>
  <c r="AG100" i="2"/>
  <c r="B100" i="2"/>
  <c r="AH99" i="2"/>
  <c r="AG99" i="2"/>
  <c r="B99" i="2"/>
  <c r="AH98" i="2"/>
  <c r="AG98" i="2"/>
  <c r="B98" i="2"/>
  <c r="AH97" i="2"/>
  <c r="AG97" i="2"/>
  <c r="B97" i="2"/>
  <c r="AH96" i="2"/>
  <c r="AG96" i="2"/>
  <c r="B96" i="2"/>
  <c r="AH94" i="2"/>
  <c r="AG94" i="2"/>
  <c r="B94" i="2"/>
  <c r="AH93" i="2"/>
  <c r="AG93" i="2"/>
  <c r="B93" i="2"/>
  <c r="AH92" i="2"/>
  <c r="AG92" i="2"/>
  <c r="B92" i="2"/>
  <c r="AH91" i="2"/>
  <c r="AG91" i="2"/>
  <c r="B91" i="2"/>
  <c r="AH90" i="2"/>
  <c r="AG90" i="2"/>
  <c r="B90" i="2"/>
  <c r="AH89" i="2"/>
  <c r="AG89" i="2"/>
  <c r="B89" i="2"/>
  <c r="AH88" i="2"/>
  <c r="AG88" i="2"/>
  <c r="B88" i="2"/>
  <c r="AH87" i="2"/>
  <c r="AG87" i="2"/>
  <c r="B87" i="2"/>
  <c r="AH86" i="2"/>
  <c r="AG86" i="2"/>
  <c r="B86" i="2"/>
  <c r="AH85" i="2"/>
  <c r="AG85" i="2"/>
  <c r="B85" i="2"/>
  <c r="AH83" i="2"/>
  <c r="AG83" i="2"/>
  <c r="B83" i="2"/>
  <c r="AH82" i="2"/>
  <c r="AG82" i="2"/>
  <c r="B82" i="2"/>
  <c r="AH81" i="2"/>
  <c r="AG81" i="2"/>
  <c r="B81" i="2"/>
  <c r="AH80" i="2"/>
  <c r="AG80" i="2"/>
  <c r="B80" i="2"/>
  <c r="AH79" i="2"/>
  <c r="AG79" i="2"/>
  <c r="B79" i="2"/>
  <c r="AH78" i="2"/>
  <c r="AG78" i="2"/>
  <c r="B78" i="2"/>
  <c r="AH77" i="2"/>
  <c r="AG77" i="2"/>
  <c r="B77" i="2"/>
  <c r="AH76" i="2"/>
  <c r="AG76" i="2"/>
  <c r="B76" i="2"/>
  <c r="AH75" i="2"/>
  <c r="AG75" i="2"/>
  <c r="B75" i="2"/>
  <c r="AH74" i="2"/>
  <c r="AG74" i="2"/>
  <c r="B74" i="2"/>
  <c r="AH73" i="2"/>
  <c r="AG73" i="2"/>
  <c r="B73" i="2"/>
  <c r="AH72" i="2"/>
  <c r="AG72" i="2"/>
  <c r="B72" i="2"/>
  <c r="AH71" i="2"/>
  <c r="AG71" i="2"/>
  <c r="B71" i="2"/>
  <c r="AH70" i="2"/>
  <c r="AG70" i="2"/>
  <c r="B70" i="2"/>
  <c r="AH69" i="2"/>
  <c r="AG69" i="2"/>
  <c r="B69" i="2"/>
  <c r="AH68" i="2"/>
  <c r="AG68" i="2"/>
  <c r="B68" i="2"/>
  <c r="AH67" i="2"/>
  <c r="AG67" i="2"/>
  <c r="B67" i="2"/>
  <c r="AH66" i="2"/>
  <c r="AI66" i="2" s="1"/>
  <c r="AG66" i="2"/>
  <c r="B66" i="2"/>
  <c r="AH65" i="2"/>
  <c r="AG65" i="2"/>
  <c r="B65" i="2"/>
  <c r="AH64" i="2"/>
  <c r="AG64" i="2"/>
  <c r="B64" i="2"/>
  <c r="AH63" i="2"/>
  <c r="AG63" i="2"/>
  <c r="B63" i="2"/>
  <c r="AH62" i="2"/>
  <c r="AG62" i="2"/>
  <c r="B62" i="2"/>
  <c r="AH61" i="2"/>
  <c r="AG61" i="2"/>
  <c r="B61" i="2"/>
  <c r="AH60" i="2"/>
  <c r="AG60" i="2"/>
  <c r="B60" i="2"/>
  <c r="AH59" i="2"/>
  <c r="AG59" i="2"/>
  <c r="B59" i="2"/>
  <c r="AH58" i="2"/>
  <c r="AG58" i="2"/>
  <c r="B58" i="2"/>
  <c r="AH57" i="2"/>
  <c r="AG57" i="2"/>
  <c r="B57" i="2"/>
  <c r="AH56" i="2"/>
  <c r="AG56" i="2"/>
  <c r="B56" i="2"/>
  <c r="AH55" i="2"/>
  <c r="AG55" i="2"/>
  <c r="B55" i="2"/>
  <c r="AH54" i="2"/>
  <c r="AG54" i="2"/>
  <c r="B54" i="2"/>
  <c r="AH53" i="2"/>
  <c r="AI53" i="2" s="1"/>
  <c r="AG53" i="2"/>
  <c r="B53" i="2"/>
  <c r="AH52" i="2"/>
  <c r="AG52" i="2"/>
  <c r="B52" i="2"/>
  <c r="AH51" i="2"/>
  <c r="AG51" i="2"/>
  <c r="B51" i="2"/>
  <c r="AH50" i="2"/>
  <c r="AI50" i="2" s="1"/>
  <c r="AG50" i="2"/>
  <c r="B50" i="2"/>
  <c r="AH49" i="2"/>
  <c r="AG49" i="2"/>
  <c r="B49" i="2"/>
  <c r="AH48" i="2"/>
  <c r="AG48" i="2"/>
  <c r="B48" i="2"/>
  <c r="AH47" i="2"/>
  <c r="AG47" i="2"/>
  <c r="B47" i="2"/>
  <c r="AH46" i="2"/>
  <c r="AG46" i="2"/>
  <c r="B46" i="2"/>
  <c r="AH45" i="2"/>
  <c r="AG45" i="2"/>
  <c r="B45" i="2"/>
  <c r="AH44" i="2"/>
  <c r="AG44" i="2"/>
  <c r="B44" i="2"/>
  <c r="AH43" i="2"/>
  <c r="AG43" i="2"/>
  <c r="B43" i="2"/>
  <c r="AH42" i="2"/>
  <c r="AG42" i="2"/>
  <c r="B42" i="2"/>
  <c r="AH41" i="2"/>
  <c r="AG41" i="2"/>
  <c r="B41" i="2"/>
  <c r="AH40" i="2"/>
  <c r="AG40" i="2"/>
  <c r="B40" i="2"/>
  <c r="AH39" i="2"/>
  <c r="AG39" i="2"/>
  <c r="B39" i="2"/>
  <c r="AH38" i="2"/>
  <c r="AG38" i="2"/>
  <c r="B38" i="2"/>
  <c r="AH36" i="2"/>
  <c r="AI36" i="2" s="1"/>
  <c r="AG36" i="2"/>
  <c r="B36" i="2"/>
  <c r="AH35" i="2"/>
  <c r="AG35" i="2"/>
  <c r="B35" i="2"/>
  <c r="AH34" i="2"/>
  <c r="AG34" i="2"/>
  <c r="B34" i="2"/>
  <c r="AH33" i="2"/>
  <c r="AI33" i="2" s="1"/>
  <c r="AG33" i="2"/>
  <c r="B33" i="2"/>
  <c r="AH32" i="2"/>
  <c r="AG32" i="2"/>
  <c r="B32" i="2"/>
  <c r="AH31" i="2"/>
  <c r="AG31" i="2"/>
  <c r="B31" i="2"/>
  <c r="AH30" i="2"/>
  <c r="AG30" i="2"/>
  <c r="B30" i="2"/>
  <c r="AH29" i="2"/>
  <c r="AG29" i="2"/>
  <c r="B29" i="2"/>
  <c r="AH28" i="2"/>
  <c r="AI28" i="2" s="1"/>
  <c r="AG28" i="2"/>
  <c r="B28" i="2"/>
  <c r="AH27" i="2"/>
  <c r="AG27" i="2"/>
  <c r="B27" i="2"/>
  <c r="AH26" i="2"/>
  <c r="AG26" i="2"/>
  <c r="B26" i="2"/>
  <c r="AH25" i="2"/>
  <c r="AG25" i="2"/>
  <c r="B25" i="2"/>
  <c r="AH24" i="2"/>
  <c r="AG24" i="2"/>
  <c r="B24" i="2"/>
  <c r="AH23" i="2"/>
  <c r="AG23" i="2"/>
  <c r="B23" i="2"/>
  <c r="AH22" i="2"/>
  <c r="AG22" i="2"/>
  <c r="B22" i="2"/>
  <c r="AH21" i="2"/>
  <c r="AG21" i="2"/>
  <c r="B21" i="2"/>
  <c r="AH20" i="2"/>
  <c r="AI20" i="2" s="1"/>
  <c r="AG20" i="2"/>
  <c r="B20" i="2"/>
  <c r="AH19" i="2"/>
  <c r="AG19" i="2"/>
  <c r="B19" i="2"/>
  <c r="AH18" i="2"/>
  <c r="AG18" i="2"/>
  <c r="B18" i="2"/>
  <c r="AH17" i="2"/>
  <c r="AG17" i="2"/>
  <c r="B17" i="2"/>
  <c r="AH16" i="2"/>
  <c r="AG16" i="2"/>
  <c r="B16" i="2"/>
  <c r="AH15" i="2"/>
  <c r="AG15" i="2"/>
  <c r="B15" i="2"/>
  <c r="AH152" i="2"/>
  <c r="AG152" i="2"/>
  <c r="B152" i="2"/>
  <c r="AH193" i="2"/>
  <c r="AG193" i="2"/>
  <c r="B193" i="2"/>
  <c r="AH249" i="2"/>
  <c r="AG249" i="2"/>
  <c r="B249" i="2"/>
  <c r="AH14" i="2"/>
  <c r="AG14" i="2"/>
  <c r="B14" i="2"/>
  <c r="AH13" i="2"/>
  <c r="AG13" i="2"/>
  <c r="B13" i="2"/>
  <c r="AH12" i="2"/>
  <c r="AG12" i="2"/>
  <c r="B12" i="2"/>
  <c r="AH11" i="2"/>
  <c r="AG11" i="2"/>
  <c r="B11" i="2"/>
  <c r="AH10" i="2"/>
  <c r="AG10" i="2"/>
  <c r="B10" i="2"/>
  <c r="AH9" i="2"/>
  <c r="AG9" i="2"/>
  <c r="B9" i="2"/>
  <c r="AH8" i="2"/>
  <c r="AG8" i="2"/>
  <c r="B8" i="2"/>
  <c r="AH7" i="2"/>
  <c r="AG7" i="2"/>
  <c r="B7" i="2"/>
  <c r="AH6" i="2"/>
  <c r="AG6" i="2"/>
  <c r="B6" i="2"/>
  <c r="AH5" i="2"/>
  <c r="AG5" i="2"/>
  <c r="B5" i="2"/>
  <c r="AH4" i="2"/>
  <c r="AG4" i="2"/>
  <c r="B4" i="2"/>
  <c r="AH3" i="2"/>
  <c r="AG3" i="2"/>
  <c r="B3" i="2"/>
  <c r="AH2" i="2"/>
  <c r="AG2" i="2"/>
  <c r="B2" i="2"/>
  <c r="AH84" i="2"/>
  <c r="AG84" i="2"/>
  <c r="B84" i="2"/>
  <c r="AH114" i="2"/>
  <c r="AG114" i="2"/>
  <c r="B114" i="2"/>
  <c r="AH270" i="2"/>
  <c r="AI270" i="2" s="1"/>
  <c r="AG270" i="2"/>
  <c r="B270" i="2"/>
  <c r="AH136" i="2"/>
  <c r="AG136" i="2"/>
  <c r="B136" i="2"/>
  <c r="AH334" i="1"/>
  <c r="AG334" i="1"/>
  <c r="B334" i="1"/>
  <c r="AH333" i="1"/>
  <c r="AG333" i="1"/>
  <c r="B333" i="1"/>
  <c r="AH332" i="1"/>
  <c r="AG332" i="1"/>
  <c r="AI332" i="1" s="1"/>
  <c r="B332" i="1"/>
  <c r="AH331" i="1"/>
  <c r="AG331" i="1"/>
  <c r="B331" i="1"/>
  <c r="AH328" i="1"/>
  <c r="AG328" i="1"/>
  <c r="B328" i="1"/>
  <c r="AH327" i="1"/>
  <c r="AG327" i="1"/>
  <c r="B327" i="1"/>
  <c r="AH324" i="1"/>
  <c r="AG324" i="1"/>
  <c r="B324" i="1"/>
  <c r="AH321" i="1"/>
  <c r="AG321" i="1"/>
  <c r="B321" i="1"/>
  <c r="AH318" i="1"/>
  <c r="AG318" i="1"/>
  <c r="B318" i="1"/>
  <c r="AH317" i="1"/>
  <c r="AG317" i="1"/>
  <c r="B317" i="1"/>
  <c r="AH308" i="1"/>
  <c r="AG308" i="1"/>
  <c r="B308" i="1"/>
  <c r="AH307" i="1"/>
  <c r="AG307" i="1"/>
  <c r="B307" i="1"/>
  <c r="AH305" i="1"/>
  <c r="AG305" i="1"/>
  <c r="B305" i="1"/>
  <c r="AH303" i="1"/>
  <c r="AG303" i="1"/>
  <c r="B303" i="1"/>
  <c r="AH301" i="1"/>
  <c r="AG301" i="1"/>
  <c r="B301" i="1"/>
  <c r="AH300" i="1"/>
  <c r="AG300" i="1"/>
  <c r="B300" i="1"/>
  <c r="AH299" i="1"/>
  <c r="AG299" i="1"/>
  <c r="B299" i="1"/>
  <c r="AH296" i="1"/>
  <c r="AG296" i="1"/>
  <c r="B296" i="1"/>
  <c r="AH290" i="1"/>
  <c r="AG290" i="1"/>
  <c r="B290" i="1"/>
  <c r="AH284" i="1"/>
  <c r="AG284" i="1"/>
  <c r="B284" i="1"/>
  <c r="AH280" i="1"/>
  <c r="AG280" i="1"/>
  <c r="B280" i="1"/>
  <c r="AH279" i="1"/>
  <c r="AG279" i="1"/>
  <c r="B279" i="1"/>
  <c r="AH277" i="1"/>
  <c r="AG277" i="1"/>
  <c r="B277" i="1"/>
  <c r="AH275" i="1"/>
  <c r="AG275" i="1"/>
  <c r="B275" i="1"/>
  <c r="AH274" i="1"/>
  <c r="AG274" i="1"/>
  <c r="B274" i="1"/>
  <c r="AH266" i="1"/>
  <c r="AG266" i="1"/>
  <c r="B266" i="1"/>
  <c r="AH264" i="1"/>
  <c r="AG264" i="1"/>
  <c r="B264" i="1"/>
  <c r="AH261" i="1"/>
  <c r="AG261" i="1"/>
  <c r="B261" i="1"/>
  <c r="AH260" i="1"/>
  <c r="AG260" i="1"/>
  <c r="B260" i="1"/>
  <c r="AH258" i="1"/>
  <c r="AG258" i="1"/>
  <c r="B258" i="1"/>
  <c r="AH257" i="1"/>
  <c r="AG257" i="1"/>
  <c r="B257" i="1"/>
  <c r="AH254" i="1"/>
  <c r="AG254" i="1"/>
  <c r="B254" i="1"/>
  <c r="AH253" i="1"/>
  <c r="AG253" i="1"/>
  <c r="B253" i="1"/>
  <c r="AH252" i="1"/>
  <c r="AG252" i="1"/>
  <c r="B252" i="1"/>
  <c r="AH251" i="1"/>
  <c r="AG251" i="1"/>
  <c r="B251" i="1"/>
  <c r="AH250" i="1"/>
  <c r="AG250" i="1"/>
  <c r="B250" i="1"/>
  <c r="AH248" i="1"/>
  <c r="AG248" i="1"/>
  <c r="B248" i="1"/>
  <c r="AH242" i="1"/>
  <c r="AG242" i="1"/>
  <c r="B242" i="1"/>
  <c r="AH240" i="1"/>
  <c r="AG240" i="1"/>
  <c r="B240" i="1"/>
  <c r="AH239" i="1"/>
  <c r="AG239" i="1"/>
  <c r="B239" i="1"/>
  <c r="AH238" i="1"/>
  <c r="AG238" i="1"/>
  <c r="B238" i="1"/>
  <c r="AH236" i="1"/>
  <c r="AG236" i="1"/>
  <c r="B236" i="1"/>
  <c r="AH234" i="1"/>
  <c r="AG234" i="1"/>
  <c r="B234" i="1"/>
  <c r="AH233" i="1"/>
  <c r="AG233" i="1"/>
  <c r="B233" i="1"/>
  <c r="AH231" i="1"/>
  <c r="AG231" i="1"/>
  <c r="B231" i="1"/>
  <c r="AH228" i="1"/>
  <c r="AG228" i="1"/>
  <c r="B228" i="1"/>
  <c r="AH225" i="1"/>
  <c r="AG225" i="1"/>
  <c r="B225" i="1"/>
  <c r="AH222" i="1"/>
  <c r="AG222" i="1"/>
  <c r="B222" i="1"/>
  <c r="AH220" i="1"/>
  <c r="AG220" i="1"/>
  <c r="B220" i="1"/>
  <c r="AH217" i="1"/>
  <c r="AG217" i="1"/>
  <c r="B217" i="1"/>
  <c r="AH215" i="1"/>
  <c r="AG215" i="1"/>
  <c r="B215" i="1"/>
  <c r="AH195" i="1"/>
  <c r="AG195" i="1"/>
  <c r="B195" i="1"/>
  <c r="AH194" i="1"/>
  <c r="AG194" i="1"/>
  <c r="B194" i="1"/>
  <c r="AH193" i="1"/>
  <c r="AG193" i="1"/>
  <c r="B193" i="1"/>
  <c r="AH192" i="1"/>
  <c r="AG192" i="1"/>
  <c r="B192" i="1"/>
  <c r="AH189" i="1"/>
  <c r="AG189" i="1"/>
  <c r="B189" i="1"/>
  <c r="AH184" i="1"/>
  <c r="AG184" i="1"/>
  <c r="B184" i="1"/>
  <c r="AH178" i="1"/>
  <c r="AG178" i="1"/>
  <c r="B178" i="1"/>
  <c r="AH176" i="1"/>
  <c r="AG176" i="1"/>
  <c r="B176" i="1"/>
  <c r="AH173" i="1"/>
  <c r="AG173" i="1"/>
  <c r="B173" i="1"/>
  <c r="AH171" i="1"/>
  <c r="AG171" i="1"/>
  <c r="B171" i="1"/>
  <c r="AH168" i="1"/>
  <c r="AG168" i="1"/>
  <c r="B168" i="1"/>
  <c r="AH167" i="1"/>
  <c r="AG167" i="1"/>
  <c r="B167" i="1"/>
  <c r="AH164" i="1"/>
  <c r="AG164" i="1"/>
  <c r="B164" i="1"/>
  <c r="AH163" i="1"/>
  <c r="AG163" i="1"/>
  <c r="B163" i="1"/>
  <c r="AH162" i="1"/>
  <c r="AG162" i="1"/>
  <c r="B162" i="1"/>
  <c r="AH160" i="1"/>
  <c r="AG160" i="1"/>
  <c r="B160" i="1"/>
  <c r="AH159" i="1"/>
  <c r="AG159" i="1"/>
  <c r="B159" i="1"/>
  <c r="AH154" i="1"/>
  <c r="AG154" i="1"/>
  <c r="B154" i="1"/>
  <c r="AH146" i="1"/>
  <c r="AG146" i="1"/>
  <c r="B146" i="1"/>
  <c r="AH144" i="1"/>
  <c r="AG144" i="1"/>
  <c r="B144" i="1"/>
  <c r="AH143" i="1"/>
  <c r="AG143" i="1"/>
  <c r="B143" i="1"/>
  <c r="AH138" i="1"/>
  <c r="AG138" i="1"/>
  <c r="B138" i="1"/>
  <c r="AH132" i="1"/>
  <c r="AG132" i="1"/>
  <c r="B132" i="1"/>
  <c r="AH131" i="1"/>
  <c r="AG131" i="1"/>
  <c r="B131" i="1"/>
  <c r="AH130" i="1"/>
  <c r="AG130" i="1"/>
  <c r="B130" i="1"/>
  <c r="AH128" i="1"/>
  <c r="AG128" i="1"/>
  <c r="B128" i="1"/>
  <c r="AH120" i="1"/>
  <c r="AG120" i="1"/>
  <c r="B120" i="1"/>
  <c r="AH119" i="1"/>
  <c r="AG119" i="1"/>
  <c r="B119" i="1"/>
  <c r="AH109" i="1"/>
  <c r="AG109" i="1"/>
  <c r="B109" i="1"/>
  <c r="AH108" i="1"/>
  <c r="AG108" i="1"/>
  <c r="B108" i="1"/>
  <c r="AH106" i="1"/>
  <c r="AG106" i="1"/>
  <c r="B106" i="1"/>
  <c r="AH102" i="1"/>
  <c r="AG102" i="1"/>
  <c r="B102" i="1"/>
  <c r="AH95" i="1"/>
  <c r="AG95" i="1"/>
  <c r="B95" i="1"/>
  <c r="AH88" i="1"/>
  <c r="AG88" i="1"/>
  <c r="B88" i="1"/>
  <c r="AH87" i="1"/>
  <c r="AG87" i="1"/>
  <c r="B87" i="1"/>
  <c r="AH84" i="1"/>
  <c r="AG84" i="1"/>
  <c r="B84" i="1"/>
  <c r="AH83" i="1"/>
  <c r="AG83" i="1"/>
  <c r="B83" i="1"/>
  <c r="AH79" i="1"/>
  <c r="AG79" i="1"/>
  <c r="B79" i="1"/>
  <c r="AH78" i="1"/>
  <c r="AG78" i="1"/>
  <c r="B78" i="1"/>
  <c r="AH77" i="1"/>
  <c r="AG77" i="1"/>
  <c r="B77" i="1"/>
  <c r="AH75" i="1"/>
  <c r="AG75" i="1"/>
  <c r="B75" i="1"/>
  <c r="AH71" i="1"/>
  <c r="AG71" i="1"/>
  <c r="B71" i="1"/>
  <c r="AH64" i="1"/>
  <c r="AG64" i="1"/>
  <c r="B64" i="1"/>
  <c r="AH62" i="1"/>
  <c r="AG62" i="1"/>
  <c r="B62" i="1"/>
  <c r="AH60" i="1"/>
  <c r="AG60" i="1"/>
  <c r="B60" i="1"/>
  <c r="AH59" i="1"/>
  <c r="AG59" i="1"/>
  <c r="B59" i="1"/>
  <c r="AH58" i="1"/>
  <c r="AG58" i="1"/>
  <c r="B58" i="1"/>
  <c r="AH57" i="1"/>
  <c r="AG57" i="1"/>
  <c r="B57" i="1"/>
  <c r="AH55" i="1"/>
  <c r="AG55" i="1"/>
  <c r="B55" i="1"/>
  <c r="AH53" i="1"/>
  <c r="AG53" i="1"/>
  <c r="B53" i="1"/>
  <c r="AH34" i="1"/>
  <c r="AG34" i="1"/>
  <c r="B34" i="1"/>
  <c r="AH26" i="1"/>
  <c r="AG26" i="1"/>
  <c r="B26" i="1"/>
  <c r="AH25" i="1"/>
  <c r="AG25" i="1"/>
  <c r="B25" i="1"/>
  <c r="AH23" i="1"/>
  <c r="AG23" i="1"/>
  <c r="B23" i="1"/>
  <c r="AH17" i="1"/>
  <c r="AG17" i="1"/>
  <c r="B17" i="1"/>
  <c r="AH12" i="1"/>
  <c r="AG12" i="1"/>
  <c r="B12" i="1"/>
  <c r="AH7" i="1"/>
  <c r="AG7" i="1"/>
  <c r="B7" i="1"/>
  <c r="AH6" i="1"/>
  <c r="AG6" i="1"/>
  <c r="B6" i="1"/>
  <c r="AH5" i="1"/>
  <c r="AG5" i="1"/>
  <c r="B5" i="1"/>
  <c r="AH330" i="1"/>
  <c r="AG330" i="1"/>
  <c r="B330" i="1"/>
  <c r="AH329" i="1"/>
  <c r="AG329" i="1"/>
  <c r="B329" i="1"/>
  <c r="AH326" i="1"/>
  <c r="AG326" i="1"/>
  <c r="B326" i="1"/>
  <c r="AH325" i="1"/>
  <c r="AG325" i="1"/>
  <c r="B325" i="1"/>
  <c r="AH323" i="1"/>
  <c r="AG323" i="1"/>
  <c r="B323" i="1"/>
  <c r="AH322" i="1"/>
  <c r="AG322" i="1"/>
  <c r="B322" i="1"/>
  <c r="AH320" i="1"/>
  <c r="AG320" i="1"/>
  <c r="B320" i="1"/>
  <c r="AH319" i="1"/>
  <c r="AG319" i="1"/>
  <c r="B319" i="1"/>
  <c r="AH316" i="1"/>
  <c r="AG316" i="1"/>
  <c r="B316" i="1"/>
  <c r="AH315" i="1"/>
  <c r="AG315" i="1"/>
  <c r="B315" i="1"/>
  <c r="AH314" i="1"/>
  <c r="AG314" i="1"/>
  <c r="B314" i="1"/>
  <c r="AH313" i="1"/>
  <c r="AG313" i="1"/>
  <c r="B313" i="1"/>
  <c r="AH312" i="1"/>
  <c r="AG312" i="1"/>
  <c r="B312" i="1"/>
  <c r="AH311" i="1"/>
  <c r="AG311" i="1"/>
  <c r="B311" i="1"/>
  <c r="AH310" i="1"/>
  <c r="AG310" i="1"/>
  <c r="B310" i="1"/>
  <c r="AH309" i="1"/>
  <c r="AG309" i="1"/>
  <c r="B309" i="1"/>
  <c r="AH306" i="1"/>
  <c r="AG306" i="1"/>
  <c r="B306" i="1"/>
  <c r="AH304" i="1"/>
  <c r="AG304" i="1"/>
  <c r="B304" i="1"/>
  <c r="AH302" i="1"/>
  <c r="AG302" i="1"/>
  <c r="B302" i="1"/>
  <c r="AH298" i="1"/>
  <c r="AG298" i="1"/>
  <c r="B298" i="1"/>
  <c r="AH297" i="1"/>
  <c r="AG297" i="1"/>
  <c r="B297" i="1"/>
  <c r="AH295" i="1"/>
  <c r="AG295" i="1"/>
  <c r="B295" i="1"/>
  <c r="AH294" i="1"/>
  <c r="AG294" i="1"/>
  <c r="B294" i="1"/>
  <c r="AH293" i="1"/>
  <c r="AG293" i="1"/>
  <c r="B293" i="1"/>
  <c r="AH292" i="1"/>
  <c r="AG292" i="1"/>
  <c r="B292" i="1"/>
  <c r="AH291" i="1"/>
  <c r="AG291" i="1"/>
  <c r="B291" i="1"/>
  <c r="AH289" i="1"/>
  <c r="AG289" i="1"/>
  <c r="B289" i="1"/>
  <c r="AH288" i="1"/>
  <c r="AG288" i="1"/>
  <c r="B288" i="1"/>
  <c r="AH287" i="1"/>
  <c r="AG287" i="1"/>
  <c r="B287" i="1"/>
  <c r="AH286" i="1"/>
  <c r="AG286" i="1"/>
  <c r="B286" i="1"/>
  <c r="AH285" i="1"/>
  <c r="AG285" i="1"/>
  <c r="B285" i="1"/>
  <c r="AH283" i="1"/>
  <c r="AG283" i="1"/>
  <c r="B283" i="1"/>
  <c r="AH282" i="1"/>
  <c r="AG282" i="1"/>
  <c r="B282" i="1"/>
  <c r="AH281" i="1"/>
  <c r="AG281" i="1"/>
  <c r="B281" i="1"/>
  <c r="AH278" i="1"/>
  <c r="AG278" i="1"/>
  <c r="B278" i="1"/>
  <c r="AH276" i="1"/>
  <c r="AG276" i="1"/>
  <c r="B276" i="1"/>
  <c r="AH273" i="1"/>
  <c r="AG273" i="1"/>
  <c r="B273" i="1"/>
  <c r="AH272" i="1"/>
  <c r="AG272" i="1"/>
  <c r="B272" i="1"/>
  <c r="AH271" i="1"/>
  <c r="AG271" i="1"/>
  <c r="B271" i="1"/>
  <c r="AH270" i="1"/>
  <c r="AG270" i="1"/>
  <c r="B270" i="1"/>
  <c r="AH269" i="1"/>
  <c r="AG269" i="1"/>
  <c r="B269" i="1"/>
  <c r="AH268" i="1"/>
  <c r="AG268" i="1"/>
  <c r="B268" i="1"/>
  <c r="AH267" i="1"/>
  <c r="AG267" i="1"/>
  <c r="B267" i="1"/>
  <c r="AH265" i="1"/>
  <c r="AG265" i="1"/>
  <c r="B265" i="1"/>
  <c r="AH263" i="1"/>
  <c r="AG263" i="1"/>
  <c r="B263" i="1"/>
  <c r="AH262" i="1"/>
  <c r="AG262" i="1"/>
  <c r="B262" i="1"/>
  <c r="AH259" i="1"/>
  <c r="AG259" i="1"/>
  <c r="B259" i="1"/>
  <c r="AH256" i="1"/>
  <c r="AG256" i="1"/>
  <c r="B256" i="1"/>
  <c r="AH255" i="1"/>
  <c r="AG255" i="1"/>
  <c r="B255" i="1"/>
  <c r="AH249" i="1"/>
  <c r="AG249" i="1"/>
  <c r="B249" i="1"/>
  <c r="AH247" i="1"/>
  <c r="AG247" i="1"/>
  <c r="B247" i="1"/>
  <c r="AH246" i="1"/>
  <c r="AG246" i="1"/>
  <c r="B246" i="1"/>
  <c r="AH245" i="1"/>
  <c r="AG245" i="1"/>
  <c r="B245" i="1"/>
  <c r="AH244" i="1"/>
  <c r="AG244" i="1"/>
  <c r="B244" i="1"/>
  <c r="AH243" i="1"/>
  <c r="AG243" i="1"/>
  <c r="B243" i="1"/>
  <c r="AH241" i="1"/>
  <c r="AG241" i="1"/>
  <c r="B241" i="1"/>
  <c r="AH237" i="1"/>
  <c r="AG237" i="1"/>
  <c r="B237" i="1"/>
  <c r="AH235" i="1"/>
  <c r="AG235" i="1"/>
  <c r="B235" i="1"/>
  <c r="AH232" i="1"/>
  <c r="AG232" i="1"/>
  <c r="B232" i="1"/>
  <c r="AH230" i="1"/>
  <c r="AG230" i="1"/>
  <c r="B230" i="1"/>
  <c r="AH229" i="1"/>
  <c r="AG229" i="1"/>
  <c r="B229" i="1"/>
  <c r="AH227" i="1"/>
  <c r="AG227" i="1"/>
  <c r="B227" i="1"/>
  <c r="AH226" i="1"/>
  <c r="AG226" i="1"/>
  <c r="B226" i="1"/>
  <c r="AH224" i="1"/>
  <c r="AG224" i="1"/>
  <c r="B224" i="1"/>
  <c r="AH223" i="1"/>
  <c r="AG223" i="1"/>
  <c r="B223" i="1"/>
  <c r="AH221" i="1"/>
  <c r="AG221" i="1"/>
  <c r="B221" i="1"/>
  <c r="AH219" i="1"/>
  <c r="AG219" i="1"/>
  <c r="B219" i="1"/>
  <c r="AH218" i="1"/>
  <c r="AG218" i="1"/>
  <c r="B218" i="1"/>
  <c r="AH216" i="1"/>
  <c r="AG216" i="1"/>
  <c r="B216" i="1"/>
  <c r="AH214" i="1"/>
  <c r="AG214" i="1"/>
  <c r="B214" i="1"/>
  <c r="AH213" i="1"/>
  <c r="AG213" i="1"/>
  <c r="B213" i="1"/>
  <c r="AH212" i="1"/>
  <c r="AG212" i="1"/>
  <c r="B212" i="1"/>
  <c r="AH211" i="1"/>
  <c r="AG211" i="1"/>
  <c r="B211" i="1"/>
  <c r="AH210" i="1"/>
  <c r="AG210" i="1"/>
  <c r="B210" i="1"/>
  <c r="AH209" i="1"/>
  <c r="AG209" i="1"/>
  <c r="B209" i="1"/>
  <c r="AH208" i="1"/>
  <c r="AG208" i="1"/>
  <c r="B208" i="1"/>
  <c r="AH207" i="1"/>
  <c r="AG207" i="1"/>
  <c r="B207" i="1"/>
  <c r="AH206" i="1"/>
  <c r="AG206" i="1"/>
  <c r="B206" i="1"/>
  <c r="AH205" i="1"/>
  <c r="AG205" i="1"/>
  <c r="B205" i="1"/>
  <c r="AH204" i="1"/>
  <c r="AG204" i="1"/>
  <c r="B204" i="1"/>
  <c r="AH203" i="1"/>
  <c r="AG203" i="1"/>
  <c r="B203" i="1"/>
  <c r="AH202" i="1"/>
  <c r="AG202" i="1"/>
  <c r="B202" i="1"/>
  <c r="AH201" i="1"/>
  <c r="AG201" i="1"/>
  <c r="B201" i="1"/>
  <c r="AH200" i="1"/>
  <c r="AG200" i="1"/>
  <c r="B200" i="1"/>
  <c r="AH199" i="1"/>
  <c r="AG199" i="1"/>
  <c r="B199" i="1"/>
  <c r="AH198" i="1"/>
  <c r="AG198" i="1"/>
  <c r="B198" i="1"/>
  <c r="AH197" i="1"/>
  <c r="AG197" i="1"/>
  <c r="B197" i="1"/>
  <c r="AH196" i="1"/>
  <c r="AG196" i="1"/>
  <c r="B196" i="1"/>
  <c r="AH191" i="1"/>
  <c r="AG191" i="1"/>
  <c r="B191" i="1"/>
  <c r="AH190" i="1"/>
  <c r="AG190" i="1"/>
  <c r="B190" i="1"/>
  <c r="AH188" i="1"/>
  <c r="AG188" i="1"/>
  <c r="B188" i="1"/>
  <c r="AH187" i="1"/>
  <c r="AG187" i="1"/>
  <c r="B187" i="1"/>
  <c r="AH186" i="1"/>
  <c r="AG186" i="1"/>
  <c r="B186" i="1"/>
  <c r="AH185" i="1"/>
  <c r="AG185" i="1"/>
  <c r="B185" i="1"/>
  <c r="AH183" i="1"/>
  <c r="AG183" i="1"/>
  <c r="B183" i="1"/>
  <c r="AH182" i="1"/>
  <c r="AG182" i="1"/>
  <c r="B182" i="1"/>
  <c r="AH181" i="1"/>
  <c r="AG181" i="1"/>
  <c r="B181" i="1"/>
  <c r="AH180" i="1"/>
  <c r="AG180" i="1"/>
  <c r="B180" i="1"/>
  <c r="AH179" i="1"/>
  <c r="AG179" i="1"/>
  <c r="B179" i="1"/>
  <c r="AH177" i="1"/>
  <c r="AG177" i="1"/>
  <c r="B177" i="1"/>
  <c r="AH175" i="1"/>
  <c r="AG175" i="1"/>
  <c r="B175" i="1"/>
  <c r="AH174" i="1"/>
  <c r="AG174" i="1"/>
  <c r="B174" i="1"/>
  <c r="AH172" i="1"/>
  <c r="AG172" i="1"/>
  <c r="B172" i="1"/>
  <c r="AH170" i="1"/>
  <c r="AG170" i="1"/>
  <c r="B170" i="1"/>
  <c r="AH169" i="1"/>
  <c r="AG169" i="1"/>
  <c r="B169" i="1"/>
  <c r="AH166" i="1"/>
  <c r="AG166" i="1"/>
  <c r="B166" i="1"/>
  <c r="AH165" i="1"/>
  <c r="AG165" i="1"/>
  <c r="B165" i="1"/>
  <c r="AH161" i="1"/>
  <c r="AG161" i="1"/>
  <c r="B161" i="1"/>
  <c r="AH158" i="1"/>
  <c r="AG158" i="1"/>
  <c r="B158" i="1"/>
  <c r="AH157" i="1"/>
  <c r="AG157" i="1"/>
  <c r="B157" i="1"/>
  <c r="AH156" i="1"/>
  <c r="AG156" i="1"/>
  <c r="B156" i="1"/>
  <c r="AH155" i="1"/>
  <c r="AG155" i="1"/>
  <c r="B155" i="1"/>
  <c r="AH153" i="1"/>
  <c r="AG153" i="1"/>
  <c r="B153" i="1"/>
  <c r="AH152" i="1"/>
  <c r="AG152" i="1"/>
  <c r="B152" i="1"/>
  <c r="AH151" i="1"/>
  <c r="AG151" i="1"/>
  <c r="B151" i="1"/>
  <c r="AH150" i="1"/>
  <c r="AG150" i="1"/>
  <c r="B150" i="1"/>
  <c r="AH149" i="1"/>
  <c r="AG149" i="1"/>
  <c r="B149" i="1"/>
  <c r="AH148" i="1"/>
  <c r="AG148" i="1"/>
  <c r="B148" i="1"/>
  <c r="AH147" i="1"/>
  <c r="AG147" i="1"/>
  <c r="B147" i="1"/>
  <c r="AH145" i="1"/>
  <c r="AG145" i="1"/>
  <c r="B145" i="1"/>
  <c r="AH142" i="1"/>
  <c r="AG142" i="1"/>
  <c r="B142" i="1"/>
  <c r="AH141" i="1"/>
  <c r="AG141" i="1"/>
  <c r="B141" i="1"/>
  <c r="AH140" i="1"/>
  <c r="AG140" i="1"/>
  <c r="B140" i="1"/>
  <c r="AH139" i="1"/>
  <c r="AG139" i="1"/>
  <c r="B139" i="1"/>
  <c r="AH137" i="1"/>
  <c r="AG137" i="1"/>
  <c r="B137" i="1"/>
  <c r="AH136" i="1"/>
  <c r="AG136" i="1"/>
  <c r="B136" i="1"/>
  <c r="AH135" i="1"/>
  <c r="AG135" i="1"/>
  <c r="B135" i="1"/>
  <c r="AH134" i="1"/>
  <c r="AG134" i="1"/>
  <c r="B134" i="1"/>
  <c r="AH133" i="1"/>
  <c r="AG133" i="1"/>
  <c r="B133" i="1"/>
  <c r="AH129" i="1"/>
  <c r="AG129" i="1"/>
  <c r="B129" i="1"/>
  <c r="AH127" i="1"/>
  <c r="AG127" i="1"/>
  <c r="B127" i="1"/>
  <c r="AH126" i="1"/>
  <c r="AG126" i="1"/>
  <c r="B126" i="1"/>
  <c r="AH125" i="1"/>
  <c r="AG125" i="1"/>
  <c r="B125" i="1"/>
  <c r="AH124" i="1"/>
  <c r="AG124" i="1"/>
  <c r="B124" i="1"/>
  <c r="AH123" i="1"/>
  <c r="AG123" i="1"/>
  <c r="B123" i="1"/>
  <c r="AH122" i="1"/>
  <c r="AG122" i="1"/>
  <c r="B122" i="1"/>
  <c r="AH121" i="1"/>
  <c r="AG121" i="1"/>
  <c r="B121" i="1"/>
  <c r="AH118" i="1"/>
  <c r="AG118" i="1"/>
  <c r="B118" i="1"/>
  <c r="AH117" i="1"/>
  <c r="AG117" i="1"/>
  <c r="B117" i="1"/>
  <c r="AH116" i="1"/>
  <c r="AG116" i="1"/>
  <c r="B116" i="1"/>
  <c r="AH115" i="1"/>
  <c r="AG115" i="1"/>
  <c r="B115" i="1"/>
  <c r="AH114" i="1"/>
  <c r="AG114" i="1"/>
  <c r="B114" i="1"/>
  <c r="AH113" i="1"/>
  <c r="AG113" i="1"/>
  <c r="B113" i="1"/>
  <c r="AH112" i="1"/>
  <c r="AG112" i="1"/>
  <c r="B112" i="1"/>
  <c r="AH111" i="1"/>
  <c r="AG111" i="1"/>
  <c r="B111" i="1"/>
  <c r="AH110" i="1"/>
  <c r="AG110" i="1"/>
  <c r="B110" i="1"/>
  <c r="AH107" i="1"/>
  <c r="AG107" i="1"/>
  <c r="B107" i="1"/>
  <c r="AH105" i="1"/>
  <c r="AG105" i="1"/>
  <c r="B105" i="1"/>
  <c r="AH104" i="1"/>
  <c r="AG104" i="1"/>
  <c r="B104" i="1"/>
  <c r="AH103" i="1"/>
  <c r="AG103" i="1"/>
  <c r="B103" i="1"/>
  <c r="AH101" i="1"/>
  <c r="AG101" i="1"/>
  <c r="B101" i="1"/>
  <c r="AH100" i="1"/>
  <c r="AG100" i="1"/>
  <c r="B100" i="1"/>
  <c r="AH99" i="1"/>
  <c r="AG99" i="1"/>
  <c r="B99" i="1"/>
  <c r="AH98" i="1"/>
  <c r="AG98" i="1"/>
  <c r="B98" i="1"/>
  <c r="AH97" i="1"/>
  <c r="AG97" i="1"/>
  <c r="B97" i="1"/>
  <c r="AH96" i="1"/>
  <c r="AG96" i="1"/>
  <c r="B96" i="1"/>
  <c r="AH94" i="1"/>
  <c r="AG94" i="1"/>
  <c r="B94" i="1"/>
  <c r="AH93" i="1"/>
  <c r="AG93" i="1"/>
  <c r="B93" i="1"/>
  <c r="AH92" i="1"/>
  <c r="AG92" i="1"/>
  <c r="B92" i="1"/>
  <c r="AH91" i="1"/>
  <c r="AG91" i="1"/>
  <c r="B91" i="1"/>
  <c r="AH90" i="1"/>
  <c r="AG90" i="1"/>
  <c r="B90" i="1"/>
  <c r="AH89" i="1"/>
  <c r="AG89" i="1"/>
  <c r="B89" i="1"/>
  <c r="AH86" i="1"/>
  <c r="AG86" i="1"/>
  <c r="B86" i="1"/>
  <c r="AH85" i="1"/>
  <c r="AG85" i="1"/>
  <c r="B85" i="1"/>
  <c r="AH82" i="1"/>
  <c r="AG82" i="1"/>
  <c r="B82" i="1"/>
  <c r="AH81" i="1"/>
  <c r="AG81" i="1"/>
  <c r="B81" i="1"/>
  <c r="AH80" i="1"/>
  <c r="AG80" i="1"/>
  <c r="B80" i="1"/>
  <c r="AH76" i="1"/>
  <c r="AG76" i="1"/>
  <c r="B76" i="1"/>
  <c r="AH74" i="1"/>
  <c r="AG74" i="1"/>
  <c r="B74" i="1"/>
  <c r="AH73" i="1"/>
  <c r="AG73" i="1"/>
  <c r="B73" i="1"/>
  <c r="AH72" i="1"/>
  <c r="AG72" i="1"/>
  <c r="B72" i="1"/>
  <c r="AH70" i="1"/>
  <c r="AG70" i="1"/>
  <c r="B70" i="1"/>
  <c r="AH69" i="1"/>
  <c r="AG69" i="1"/>
  <c r="B69" i="1"/>
  <c r="AH68" i="1"/>
  <c r="AG68" i="1"/>
  <c r="B68" i="1"/>
  <c r="AH67" i="1"/>
  <c r="AG67" i="1"/>
  <c r="B67" i="1"/>
  <c r="AH66" i="1"/>
  <c r="AG66" i="1"/>
  <c r="B66" i="1"/>
  <c r="AH65" i="1"/>
  <c r="AG65" i="1"/>
  <c r="B65" i="1"/>
  <c r="AH63" i="1"/>
  <c r="AG63" i="1"/>
  <c r="B63" i="1"/>
  <c r="AH61" i="1"/>
  <c r="AG61" i="1"/>
  <c r="B61" i="1"/>
  <c r="AH56" i="1"/>
  <c r="AG56" i="1"/>
  <c r="B56" i="1"/>
  <c r="AH54" i="1"/>
  <c r="AG54" i="1"/>
  <c r="B54" i="1"/>
  <c r="AH52" i="1"/>
  <c r="AG52" i="1"/>
  <c r="B52" i="1"/>
  <c r="AH51" i="1"/>
  <c r="AG51" i="1"/>
  <c r="B51" i="1"/>
  <c r="AH50" i="1"/>
  <c r="AG50" i="1"/>
  <c r="B50" i="1"/>
  <c r="AH49" i="1"/>
  <c r="AG49" i="1"/>
  <c r="B49" i="1"/>
  <c r="AH48" i="1"/>
  <c r="AG48" i="1"/>
  <c r="B48" i="1"/>
  <c r="AH47" i="1"/>
  <c r="AG47" i="1"/>
  <c r="B47" i="1"/>
  <c r="AH46" i="1"/>
  <c r="AG46" i="1"/>
  <c r="B46" i="1"/>
  <c r="AH45" i="1"/>
  <c r="AG45" i="1"/>
  <c r="B45" i="1"/>
  <c r="AH44" i="1"/>
  <c r="AG44" i="1"/>
  <c r="B44" i="1"/>
  <c r="AH43" i="1"/>
  <c r="AG43" i="1"/>
  <c r="B43" i="1"/>
  <c r="AH42" i="1"/>
  <c r="AG42" i="1"/>
  <c r="B42" i="1"/>
  <c r="AH41" i="1"/>
  <c r="AG41" i="1"/>
  <c r="B41" i="1"/>
  <c r="AH40" i="1"/>
  <c r="AG40" i="1"/>
  <c r="B40" i="1"/>
  <c r="AH39" i="1"/>
  <c r="AG39" i="1"/>
  <c r="B39" i="1"/>
  <c r="AH38" i="1"/>
  <c r="AG38" i="1"/>
  <c r="B38" i="1"/>
  <c r="AH37" i="1"/>
  <c r="AG37" i="1"/>
  <c r="B37" i="1"/>
  <c r="AH36" i="1"/>
  <c r="AG36" i="1"/>
  <c r="B36" i="1"/>
  <c r="AH35" i="1"/>
  <c r="AG35" i="1"/>
  <c r="B35" i="1"/>
  <c r="AH33" i="1"/>
  <c r="AG33" i="1"/>
  <c r="B33" i="1"/>
  <c r="AH32" i="1"/>
  <c r="AG32" i="1"/>
  <c r="B32" i="1"/>
  <c r="AH31" i="1"/>
  <c r="AG31" i="1"/>
  <c r="B31" i="1"/>
  <c r="AH30" i="1"/>
  <c r="AG30" i="1"/>
  <c r="B30" i="1"/>
  <c r="AH29" i="1"/>
  <c r="AG29" i="1"/>
  <c r="B29" i="1"/>
  <c r="AH28" i="1"/>
  <c r="AG28" i="1"/>
  <c r="B28" i="1"/>
  <c r="AH27" i="1"/>
  <c r="AG27" i="1"/>
  <c r="B27" i="1"/>
  <c r="AH24" i="1"/>
  <c r="AG24" i="1"/>
  <c r="B24" i="1"/>
  <c r="AH22" i="1"/>
  <c r="AG22" i="1"/>
  <c r="B22" i="1"/>
  <c r="AH21" i="1"/>
  <c r="AG21" i="1"/>
  <c r="B21" i="1"/>
  <c r="AH20" i="1"/>
  <c r="AG20" i="1"/>
  <c r="B20" i="1"/>
  <c r="AH19" i="1"/>
  <c r="AG19" i="1"/>
  <c r="B19" i="1"/>
  <c r="AH18" i="1"/>
  <c r="AG18" i="1"/>
  <c r="B18" i="1"/>
  <c r="AH16" i="1"/>
  <c r="AG16" i="1"/>
  <c r="B16" i="1"/>
  <c r="AH15" i="1"/>
  <c r="AG15" i="1"/>
  <c r="B15" i="1"/>
  <c r="AH14" i="1"/>
  <c r="AG14" i="1"/>
  <c r="B14" i="1"/>
  <c r="AH13" i="1"/>
  <c r="AG13" i="1"/>
  <c r="B13" i="1"/>
  <c r="AH11" i="1"/>
  <c r="AG11" i="1"/>
  <c r="B11" i="1"/>
  <c r="AH10" i="1"/>
  <c r="AG10" i="1"/>
  <c r="B10" i="1"/>
  <c r="AH9" i="1"/>
  <c r="AG9" i="1"/>
  <c r="B9" i="1"/>
  <c r="AH8" i="1"/>
  <c r="AG8" i="1"/>
  <c r="B8" i="1"/>
  <c r="AH4" i="1"/>
  <c r="AG4" i="1"/>
  <c r="B4" i="1"/>
  <c r="AH3" i="1"/>
  <c r="AG3" i="1"/>
  <c r="B3" i="1"/>
  <c r="AH2" i="1"/>
  <c r="AG2" i="1"/>
  <c r="B2" i="1"/>
  <c r="AI15" i="2" l="1"/>
  <c r="AI23" i="2"/>
  <c r="AI31" i="2"/>
  <c r="AI40" i="2"/>
  <c r="AI48" i="2"/>
  <c r="AI109" i="2"/>
  <c r="AI197" i="2"/>
  <c r="AI230" i="2"/>
  <c r="AI256" i="2"/>
  <c r="AI280" i="2"/>
  <c r="AI289" i="2"/>
  <c r="AI308" i="2"/>
  <c r="AI318" i="2"/>
  <c r="AI193" i="2"/>
  <c r="AI117" i="2"/>
  <c r="AI185" i="2"/>
  <c r="AI133" i="2"/>
  <c r="AI316" i="2"/>
  <c r="AI293" i="2"/>
  <c r="AI312" i="2"/>
  <c r="AI25" i="2"/>
  <c r="AI91" i="2"/>
  <c r="AI310" i="2"/>
  <c r="AI114" i="2"/>
  <c r="AI171" i="2"/>
  <c r="AI120" i="2"/>
  <c r="AI210" i="2"/>
  <c r="AI226" i="2"/>
  <c r="AI244" i="2"/>
  <c r="AI264" i="2"/>
  <c r="AI286" i="2"/>
  <c r="AI302" i="2"/>
  <c r="AI46" i="2"/>
  <c r="AI62" i="2"/>
  <c r="AI78" i="2"/>
  <c r="AI96" i="2"/>
  <c r="AI159" i="2"/>
  <c r="AI65" i="2"/>
  <c r="AI208" i="2"/>
  <c r="AI237" i="2"/>
  <c r="AI84" i="2"/>
  <c r="AI35" i="2"/>
  <c r="AI44" i="2"/>
  <c r="AI52" i="2"/>
  <c r="AI60" i="2"/>
  <c r="AI85" i="2"/>
  <c r="AI93" i="2"/>
  <c r="AI104" i="2"/>
  <c r="AI139" i="2"/>
  <c r="AI276" i="2"/>
  <c r="AI160" i="2"/>
  <c r="AI265" i="2"/>
  <c r="AI29" i="2"/>
  <c r="AI290" i="2"/>
  <c r="AI126" i="2"/>
  <c r="AI198" i="2"/>
  <c r="AI216" i="2"/>
  <c r="AI111" i="2"/>
  <c r="AI124" i="2"/>
  <c r="AI202" i="2"/>
  <c r="AI176" i="2"/>
  <c r="AI116" i="2"/>
  <c r="AI37" i="2"/>
  <c r="AI192" i="2"/>
  <c r="AI214" i="2"/>
  <c r="AI235" i="2"/>
  <c r="AI248" i="2"/>
  <c r="AI259" i="2"/>
  <c r="AI282" i="2"/>
  <c r="AI307" i="2"/>
  <c r="AI119" i="2"/>
  <c r="AI129" i="2"/>
  <c r="AI317" i="2"/>
  <c r="AI181" i="2"/>
  <c r="AI186" i="2"/>
  <c r="AI199" i="2"/>
  <c r="AI295" i="2"/>
  <c r="AI11" i="2"/>
  <c r="AI21" i="2"/>
  <c r="AI87" i="2"/>
  <c r="AI73" i="2"/>
  <c r="AI90" i="2"/>
  <c r="AI110" i="2"/>
  <c r="AI169" i="2"/>
  <c r="AI195" i="2"/>
  <c r="AI170" i="2"/>
  <c r="AI320" i="2"/>
  <c r="AI8" i="2"/>
  <c r="AI112" i="2"/>
  <c r="AI218" i="2"/>
  <c r="AI239" i="2"/>
  <c r="AI277" i="2"/>
  <c r="AI311" i="2"/>
  <c r="AI3" i="2"/>
  <c r="AI81" i="2"/>
  <c r="AI158" i="2"/>
  <c r="AI262" i="2"/>
  <c r="AI298" i="2"/>
  <c r="AI246" i="2"/>
  <c r="AI9" i="2"/>
  <c r="AI19" i="2"/>
  <c r="AI27" i="2"/>
  <c r="AI32" i="2"/>
  <c r="AI64" i="2"/>
  <c r="AI72" i="2"/>
  <c r="AI86" i="2"/>
  <c r="AI94" i="2"/>
  <c r="AI100" i="2"/>
  <c r="AI108" i="2"/>
  <c r="AI269" i="2"/>
  <c r="AI261" i="2"/>
  <c r="AI135" i="2"/>
  <c r="AI141" i="2"/>
  <c r="AI177" i="2"/>
  <c r="AI183" i="2"/>
  <c r="AI194" i="2"/>
  <c r="AI207" i="2"/>
  <c r="AI215" i="2"/>
  <c r="AI250" i="2"/>
  <c r="AI288" i="2"/>
  <c r="AI309" i="2"/>
  <c r="AI38" i="2"/>
  <c r="AI121" i="2"/>
  <c r="AI174" i="2"/>
  <c r="AI203" i="2"/>
  <c r="AI220" i="2"/>
  <c r="AI305" i="2"/>
  <c r="AI4" i="2"/>
  <c r="AI49" i="2"/>
  <c r="AI54" i="2"/>
  <c r="AI80" i="2"/>
  <c r="AI89" i="2"/>
  <c r="AI253" i="2"/>
  <c r="AI266" i="2"/>
  <c r="AI291" i="2"/>
  <c r="AI303" i="2"/>
  <c r="AI24" i="2"/>
  <c r="AI77" i="2"/>
  <c r="AI127" i="2"/>
  <c r="AI297" i="2"/>
  <c r="AI314" i="2"/>
  <c r="AI7" i="2"/>
  <c r="AI249" i="2"/>
  <c r="AI17" i="2"/>
  <c r="AI39" i="2"/>
  <c r="AI42" i="2"/>
  <c r="AI57" i="2"/>
  <c r="AI70" i="2"/>
  <c r="AI98" i="2"/>
  <c r="AI106" i="2"/>
  <c r="AI115" i="2"/>
  <c r="AI122" i="2"/>
  <c r="AI146" i="2"/>
  <c r="AI155" i="2"/>
  <c r="AI166" i="2"/>
  <c r="AI175" i="2"/>
  <c r="AI191" i="2"/>
  <c r="AI306" i="2"/>
  <c r="AI213" i="2"/>
  <c r="AI221" i="2"/>
  <c r="AI234" i="2"/>
  <c r="AI247" i="2"/>
  <c r="AI251" i="2"/>
  <c r="AI260" i="2"/>
  <c r="AI272" i="2"/>
  <c r="AI16" i="2"/>
  <c r="AI56" i="2"/>
  <c r="AI69" i="2"/>
  <c r="AI82" i="2"/>
  <c r="AI103" i="2"/>
  <c r="AI212" i="2"/>
  <c r="AI10" i="2"/>
  <c r="AI13" i="2"/>
  <c r="AI113" i="2"/>
  <c r="AI132" i="2"/>
  <c r="AI271" i="2"/>
  <c r="AI284" i="2"/>
  <c r="AI5" i="2"/>
  <c r="AI55" i="2"/>
  <c r="AI58" i="2"/>
  <c r="AI68" i="2"/>
  <c r="AI76" i="2"/>
  <c r="AI187" i="2"/>
  <c r="AI140" i="2"/>
  <c r="AI156" i="2"/>
  <c r="AI167" i="2"/>
  <c r="AI287" i="2"/>
  <c r="AI204" i="2"/>
  <c r="AI211" i="2"/>
  <c r="AI222" i="2"/>
  <c r="AI227" i="2"/>
  <c r="AI232" i="2"/>
  <c r="AI240" i="2"/>
  <c r="AI245" i="2"/>
  <c r="AI267" i="2"/>
  <c r="AI273" i="2"/>
  <c r="AI283" i="2"/>
  <c r="AI292" i="2"/>
  <c r="AI74" i="2"/>
  <c r="AI99" i="2"/>
  <c r="AI107" i="2"/>
  <c r="AI138" i="2"/>
  <c r="AI201" i="2"/>
  <c r="AI275" i="2"/>
  <c r="AI238" i="2"/>
  <c r="AI6" i="2"/>
  <c r="AI18" i="2"/>
  <c r="AI34" i="2"/>
  <c r="AI51" i="2"/>
  <c r="AI67" i="2"/>
  <c r="AI83" i="2"/>
  <c r="AI102" i="2"/>
  <c r="AI123" i="2"/>
  <c r="AI130" i="2"/>
  <c r="AI151" i="2"/>
  <c r="AI173" i="2"/>
  <c r="AI178" i="2"/>
  <c r="AI184" i="2"/>
  <c r="AI190" i="2"/>
  <c r="AI196" i="2"/>
  <c r="AI254" i="2"/>
  <c r="AI223" i="2"/>
  <c r="AI228" i="2"/>
  <c r="AI233" i="2"/>
  <c r="AI263" i="2"/>
  <c r="AI285" i="2"/>
  <c r="AI304" i="2"/>
  <c r="AI2" i="2"/>
  <c r="AI152" i="2"/>
  <c r="AI30" i="2"/>
  <c r="AI47" i="2"/>
  <c r="AI63" i="2"/>
  <c r="AI79" i="2"/>
  <c r="AI97" i="2"/>
  <c r="AI118" i="2"/>
  <c r="AI258" i="2"/>
  <c r="AI161" i="2"/>
  <c r="AI144" i="2"/>
  <c r="AI154" i="2"/>
  <c r="AI165" i="2"/>
  <c r="AI182" i="2"/>
  <c r="AI95" i="2"/>
  <c r="AI206" i="2"/>
  <c r="AI300" i="2"/>
  <c r="AI209" i="2"/>
  <c r="AI231" i="2"/>
  <c r="AI236" i="2"/>
  <c r="AI241" i="2"/>
  <c r="AI257" i="2"/>
  <c r="AI281" i="2"/>
  <c r="AI299" i="2"/>
  <c r="AI319" i="2"/>
  <c r="AI45" i="2"/>
  <c r="AI61" i="2"/>
  <c r="AI179" i="2"/>
  <c r="AI180" i="2"/>
  <c r="AI219" i="2"/>
  <c r="AI224" i="2"/>
  <c r="AI229" i="2"/>
  <c r="AI255" i="2"/>
  <c r="AI279" i="2"/>
  <c r="AI296" i="2"/>
  <c r="AI315" i="2"/>
  <c r="AI136" i="2"/>
  <c r="AI14" i="2"/>
  <c r="AI26" i="2"/>
  <c r="AI43" i="2"/>
  <c r="AI59" i="2"/>
  <c r="AI75" i="2"/>
  <c r="AI92" i="2"/>
  <c r="AI143" i="2"/>
  <c r="AI147" i="2"/>
  <c r="AI188" i="2"/>
  <c r="AI105" i="2"/>
  <c r="AI217" i="2"/>
  <c r="AI252" i="2"/>
  <c r="AI274" i="2"/>
  <c r="AI294" i="2"/>
  <c r="AI313" i="2"/>
  <c r="AI12" i="2"/>
  <c r="AI41" i="2"/>
  <c r="AI137" i="2"/>
  <c r="AI22" i="2"/>
  <c r="AI71" i="2"/>
  <c r="AI88" i="2"/>
  <c r="AI128" i="2"/>
  <c r="AI134" i="2"/>
  <c r="AI278" i="2"/>
  <c r="AI148" i="2"/>
  <c r="AI157" i="2"/>
  <c r="AI153" i="2"/>
  <c r="AI149" i="2"/>
  <c r="AI168" i="2"/>
  <c r="AI145" i="2"/>
  <c r="AI164" i="2"/>
  <c r="AI251" i="1"/>
  <c r="AI87" i="1"/>
  <c r="AI59" i="1"/>
  <c r="AI19" i="1"/>
  <c r="AI47" i="1"/>
  <c r="AI39" i="1"/>
  <c r="AI167" i="1"/>
  <c r="AI72" i="1"/>
  <c r="AI55" i="1"/>
  <c r="AI102" i="1"/>
  <c r="AI164" i="1"/>
  <c r="AI302" i="1"/>
  <c r="AI293" i="1"/>
  <c r="AI58" i="1"/>
  <c r="AI101" i="1"/>
  <c r="AI111" i="1"/>
  <c r="AI150" i="1"/>
  <c r="AI183" i="1"/>
  <c r="AI247" i="1"/>
  <c r="AI263" i="1"/>
  <c r="AI295" i="1"/>
  <c r="AI319" i="1"/>
  <c r="AI329" i="1"/>
  <c r="AI109" i="1"/>
  <c r="AI131" i="1"/>
  <c r="AI154" i="1"/>
  <c r="AI189" i="1"/>
  <c r="AI231" i="1"/>
  <c r="AI88" i="1"/>
  <c r="AI93" i="1"/>
  <c r="AI161" i="1"/>
  <c r="AI174" i="1"/>
  <c r="AI265" i="1"/>
  <c r="AI287" i="1"/>
  <c r="AI297" i="1"/>
  <c r="AI310" i="1"/>
  <c r="AI320" i="1"/>
  <c r="AI215" i="1"/>
  <c r="AI159" i="1"/>
  <c r="AI301" i="1"/>
  <c r="AI321" i="1"/>
  <c r="AI107" i="1"/>
  <c r="AI155" i="1"/>
  <c r="AI220" i="1"/>
  <c r="AI242" i="1"/>
  <c r="AI299" i="1"/>
  <c r="AI92" i="1"/>
  <c r="AI118" i="1"/>
  <c r="AI127" i="1"/>
  <c r="AI232" i="1"/>
  <c r="AI113" i="1"/>
  <c r="AI122" i="1"/>
  <c r="AI134" i="1"/>
  <c r="AI142" i="1"/>
  <c r="AI255" i="1"/>
  <c r="AI276" i="1"/>
  <c r="AI288" i="1"/>
  <c r="AI322" i="1"/>
  <c r="AI143" i="1"/>
  <c r="AI239" i="1"/>
  <c r="AI253" i="1"/>
  <c r="AI266" i="1"/>
  <c r="AI290" i="1"/>
  <c r="AI307" i="1"/>
  <c r="AI169" i="1"/>
  <c r="AI187" i="1"/>
  <c r="AI46" i="1"/>
  <c r="AI149" i="1"/>
  <c r="AI203" i="1"/>
  <c r="AI23" i="1"/>
  <c r="AI57" i="1"/>
  <c r="AI324" i="1"/>
  <c r="AI16" i="1"/>
  <c r="AI27" i="1"/>
  <c r="AI36" i="1"/>
  <c r="AI44" i="1"/>
  <c r="AI52" i="1"/>
  <c r="AI68" i="1"/>
  <c r="AI81" i="1"/>
  <c r="AI90" i="1"/>
  <c r="AI12" i="1"/>
  <c r="AI71" i="1"/>
  <c r="AI176" i="1"/>
  <c r="AI194" i="1"/>
  <c r="AI222" i="1"/>
  <c r="AI233" i="1"/>
  <c r="AI248" i="1"/>
  <c r="AI258" i="1"/>
  <c r="AI115" i="1"/>
  <c r="AI136" i="1"/>
  <c r="AI281" i="1"/>
  <c r="AI304" i="1"/>
  <c r="AI38" i="1"/>
  <c r="AI3" i="1"/>
  <c r="AI14" i="1"/>
  <c r="AI22" i="1"/>
  <c r="AI66" i="1"/>
  <c r="AI76" i="1"/>
  <c r="AI96" i="1"/>
  <c r="AI105" i="1"/>
  <c r="AI114" i="1"/>
  <c r="AI145" i="1"/>
  <c r="AI199" i="1"/>
  <c r="AI207" i="1"/>
  <c r="AI216" i="1"/>
  <c r="AI227" i="1"/>
  <c r="AI241" i="1"/>
  <c r="AI256" i="1"/>
  <c r="AI267" i="1"/>
  <c r="AI278" i="1"/>
  <c r="AI312" i="1"/>
  <c r="AI323" i="1"/>
  <c r="AI6" i="1"/>
  <c r="AI62" i="1"/>
  <c r="AI83" i="1"/>
  <c r="AI144" i="1"/>
  <c r="AI171" i="1"/>
  <c r="AI124" i="1"/>
  <c r="AI179" i="1"/>
  <c r="AI268" i="1"/>
  <c r="AI291" i="1"/>
  <c r="AI257" i="1"/>
  <c r="AI70" i="1"/>
  <c r="AI79" i="1"/>
  <c r="AI98" i="1"/>
  <c r="AI116" i="1"/>
  <c r="AI125" i="1"/>
  <c r="AI197" i="1"/>
  <c r="AI205" i="1"/>
  <c r="AI213" i="1"/>
  <c r="AI224" i="1"/>
  <c r="AI306" i="1"/>
  <c r="AI34" i="1"/>
  <c r="AI119" i="1"/>
  <c r="AI217" i="1"/>
  <c r="AI280" i="1"/>
  <c r="AI317" i="1"/>
  <c r="AI30" i="1"/>
  <c r="AI61" i="1"/>
  <c r="AI180" i="1"/>
  <c r="AI188" i="1"/>
  <c r="AI208" i="1"/>
  <c r="AI26" i="1"/>
  <c r="AI8" i="1"/>
  <c r="AI28" i="1"/>
  <c r="AI37" i="1"/>
  <c r="AI45" i="1"/>
  <c r="AI54" i="1"/>
  <c r="AI69" i="1"/>
  <c r="AI82" i="1"/>
  <c r="AI91" i="1"/>
  <c r="AI99" i="1"/>
  <c r="AI148" i="1"/>
  <c r="AI166" i="1"/>
  <c r="AI177" i="1"/>
  <c r="AI186" i="1"/>
  <c r="AI198" i="1"/>
  <c r="AI226" i="1"/>
  <c r="AI237" i="1"/>
  <c r="AI262" i="1"/>
  <c r="AI271" i="1"/>
  <c r="AI285" i="1"/>
  <c r="AI294" i="1"/>
  <c r="AI106" i="1"/>
  <c r="AI138" i="1"/>
  <c r="AI178" i="1"/>
  <c r="AI192" i="1"/>
  <c r="AI240" i="1"/>
  <c r="AI254" i="1"/>
  <c r="AI284" i="1"/>
  <c r="AI121" i="1"/>
  <c r="AI141" i="1"/>
  <c r="AI151" i="1"/>
  <c r="AI157" i="1"/>
  <c r="AI181" i="1"/>
  <c r="AI219" i="1"/>
  <c r="AI84" i="1"/>
  <c r="AI128" i="1"/>
  <c r="AI146" i="1"/>
  <c r="AI168" i="1"/>
  <c r="AI234" i="1"/>
  <c r="AI274" i="1"/>
  <c r="AI327" i="1"/>
  <c r="AI333" i="1"/>
  <c r="AI212" i="1"/>
  <c r="AI223" i="1"/>
  <c r="AI244" i="1"/>
  <c r="AI259" i="1"/>
  <c r="AI269" i="1"/>
  <c r="AI326" i="1"/>
  <c r="AI77" i="1"/>
  <c r="AI95" i="1"/>
  <c r="AI132" i="1"/>
  <c r="AI252" i="1"/>
  <c r="AI260" i="1"/>
  <c r="AI279" i="1"/>
  <c r="AI308" i="1"/>
  <c r="AI331" i="1"/>
  <c r="AI139" i="1"/>
  <c r="AI53" i="1"/>
  <c r="AI21" i="1"/>
  <c r="AI202" i="1"/>
  <c r="AI210" i="1"/>
  <c r="AI221" i="1"/>
  <c r="AI289" i="1"/>
  <c r="AI130" i="1"/>
  <c r="AI162" i="1"/>
  <c r="AI225" i="1"/>
  <c r="AI250" i="1"/>
  <c r="AI275" i="1"/>
  <c r="AI334" i="1"/>
  <c r="AI94" i="1"/>
  <c r="AI158" i="1"/>
  <c r="AI206" i="1"/>
  <c r="AI245" i="1"/>
  <c r="AI282" i="1"/>
  <c r="AI4" i="1"/>
  <c r="AI15" i="1"/>
  <c r="AI24" i="1"/>
  <c r="AI35" i="1"/>
  <c r="AI43" i="1"/>
  <c r="AI51" i="1"/>
  <c r="AI67" i="1"/>
  <c r="AI80" i="1"/>
  <c r="AI89" i="1"/>
  <c r="AI97" i="1"/>
  <c r="AI112" i="1"/>
  <c r="AI117" i="1"/>
  <c r="AI135" i="1"/>
  <c r="AI140" i="1"/>
  <c r="AI147" i="1"/>
  <c r="AI165" i="1"/>
  <c r="AI172" i="1"/>
  <c r="AI196" i="1"/>
  <c r="AI201" i="1"/>
  <c r="AI214" i="1"/>
  <c r="AI229" i="1"/>
  <c r="AI249" i="1"/>
  <c r="AI286" i="1"/>
  <c r="AI292" i="1"/>
  <c r="AI311" i="1"/>
  <c r="AI316" i="1"/>
  <c r="AI325" i="1"/>
  <c r="AI17" i="1"/>
  <c r="AI75" i="1"/>
  <c r="AI120" i="1"/>
  <c r="AI160" i="1"/>
  <c r="AI193" i="1"/>
  <c r="AI236" i="1"/>
  <c r="AI261" i="1"/>
  <c r="AI303" i="1"/>
  <c r="AI40" i="1"/>
  <c r="AI103" i="1"/>
  <c r="AI123" i="1"/>
  <c r="AI218" i="1"/>
  <c r="AI298" i="1"/>
  <c r="AI330" i="1"/>
  <c r="AI163" i="1"/>
  <c r="AI9" i="1"/>
  <c r="AI18" i="1"/>
  <c r="AI29" i="1"/>
  <c r="AI56" i="1"/>
  <c r="AI100" i="1"/>
  <c r="AI126" i="1"/>
  <c r="AI156" i="1"/>
  <c r="AI175" i="1"/>
  <c r="AI182" i="1"/>
  <c r="AI204" i="1"/>
  <c r="AI209" i="1"/>
  <c r="AI243" i="1"/>
  <c r="AI270" i="1"/>
  <c r="AI7" i="1"/>
  <c r="AI64" i="1"/>
  <c r="AI300" i="1"/>
  <c r="AI31" i="1"/>
  <c r="AI48" i="1"/>
  <c r="AI190" i="1"/>
  <c r="AI272" i="1"/>
  <c r="AI78" i="1"/>
  <c r="AI2" i="1"/>
  <c r="AI13" i="1"/>
  <c r="AI32" i="1"/>
  <c r="AI41" i="1"/>
  <c r="AI49" i="1"/>
  <c r="AI65" i="1"/>
  <c r="AI74" i="1"/>
  <c r="AI86" i="1"/>
  <c r="AI104" i="1"/>
  <c r="AI110" i="1"/>
  <c r="AI133" i="1"/>
  <c r="AI153" i="1"/>
  <c r="AI170" i="1"/>
  <c r="AI185" i="1"/>
  <c r="AI191" i="1"/>
  <c r="AI246" i="1"/>
  <c r="AI273" i="1"/>
  <c r="AI283" i="1"/>
  <c r="AI309" i="1"/>
  <c r="AI314" i="1"/>
  <c r="AI5" i="1"/>
  <c r="AI60" i="1"/>
  <c r="AI108" i="1"/>
  <c r="AI184" i="1"/>
  <c r="AI228" i="1"/>
  <c r="AI296" i="1"/>
  <c r="AI20" i="1"/>
  <c r="AI73" i="1"/>
  <c r="AI137" i="1"/>
  <c r="AI238" i="1"/>
  <c r="AI305" i="1"/>
  <c r="AI230" i="1"/>
  <c r="AI328" i="1"/>
  <c r="AI11" i="1"/>
  <c r="AI63" i="1"/>
  <c r="AI85" i="1"/>
  <c r="AI129" i="1"/>
  <c r="AI152" i="1"/>
  <c r="AI211" i="1"/>
  <c r="AI235" i="1"/>
  <c r="AI264" i="1"/>
  <c r="AI10" i="1"/>
  <c r="AI173" i="1"/>
  <c r="AI313" i="1"/>
  <c r="AI25" i="1"/>
  <c r="AI195" i="1"/>
  <c r="AI33" i="1"/>
  <c r="AI42" i="1"/>
  <c r="AI50" i="1"/>
  <c r="AI200" i="1"/>
  <c r="AI315" i="1"/>
  <c r="AI277" i="1"/>
  <c r="AI318" i="1"/>
  <c r="Y326" i="4"/>
  <c r="Y440" i="4" s="1"/>
  <c r="X326" i="4"/>
  <c r="X613" i="4" s="1"/>
  <c r="W326" i="4"/>
  <c r="W527" i="4" s="1"/>
  <c r="V326" i="4"/>
  <c r="V489" i="4" s="1"/>
  <c r="U326" i="4"/>
  <c r="U487" i="4" s="1"/>
  <c r="T326" i="4"/>
  <c r="T515" i="4" s="1"/>
  <c r="S326" i="4"/>
  <c r="S464" i="4" s="1"/>
  <c r="R326" i="4"/>
  <c r="R480" i="4" s="1"/>
  <c r="Q326" i="4"/>
  <c r="Q622" i="4" s="1"/>
  <c r="P326" i="4"/>
  <c r="O326" i="4"/>
  <c r="O520" i="4" s="1"/>
  <c r="N326" i="4"/>
  <c r="N501" i="4" s="1"/>
  <c r="M326" i="4"/>
  <c r="M468" i="4" s="1"/>
  <c r="L326" i="4"/>
  <c r="L493" i="4" s="1"/>
  <c r="K326" i="4"/>
  <c r="K499" i="4" s="1"/>
  <c r="J326" i="4"/>
  <c r="J539" i="4" s="1"/>
  <c r="I326" i="4"/>
  <c r="I621" i="4" s="1"/>
  <c r="H326" i="4"/>
  <c r="G326" i="4"/>
  <c r="G533" i="4" s="1"/>
  <c r="F326" i="4"/>
  <c r="F487" i="4" s="1"/>
  <c r="E326" i="4"/>
  <c r="E466" i="4" s="1"/>
  <c r="D326" i="4"/>
  <c r="D505" i="4" s="1"/>
  <c r="C326" i="4"/>
  <c r="C470" i="4" s="1"/>
  <c r="B326" i="4"/>
  <c r="B490" i="4" s="1"/>
  <c r="K625" i="4" l="1"/>
  <c r="W557" i="4"/>
  <c r="D532" i="4"/>
  <c r="G614" i="4"/>
  <c r="O544" i="4"/>
  <c r="W600" i="4"/>
  <c r="V530" i="4"/>
  <c r="G587" i="4"/>
  <c r="D522" i="4"/>
  <c r="D331" i="4"/>
  <c r="O585" i="4"/>
  <c r="F503" i="4"/>
  <c r="S635" i="4"/>
  <c r="G572" i="4"/>
  <c r="L502" i="4"/>
  <c r="S630" i="4"/>
  <c r="G558" i="4"/>
  <c r="U478" i="4"/>
  <c r="S634" i="4"/>
  <c r="K629" i="4"/>
  <c r="C624" i="4"/>
  <c r="O608" i="4"/>
  <c r="O579" i="4"/>
  <c r="W550" i="4"/>
  <c r="V526" i="4"/>
  <c r="E493" i="4"/>
  <c r="K630" i="4"/>
  <c r="K634" i="4"/>
  <c r="C629" i="4"/>
  <c r="S623" i="4"/>
  <c r="W606" i="4"/>
  <c r="G579" i="4"/>
  <c r="G550" i="4"/>
  <c r="T526" i="4"/>
  <c r="T490" i="4"/>
  <c r="K633" i="4"/>
  <c r="S622" i="4"/>
  <c r="C633" i="4"/>
  <c r="S627" i="4"/>
  <c r="K622" i="4"/>
  <c r="O600" i="4"/>
  <c r="O571" i="4"/>
  <c r="W542" i="4"/>
  <c r="L521" i="4"/>
  <c r="F476" i="4"/>
  <c r="C625" i="4"/>
  <c r="C628" i="4"/>
  <c r="C632" i="4"/>
  <c r="S626" i="4"/>
  <c r="C621" i="4"/>
  <c r="O593" i="4"/>
  <c r="W565" i="4"/>
  <c r="W536" i="4"/>
  <c r="M513" i="4"/>
  <c r="V466" i="4"/>
  <c r="S631" i="4"/>
  <c r="K626" i="4"/>
  <c r="S619" i="4"/>
  <c r="W592" i="4"/>
  <c r="G564" i="4"/>
  <c r="O536" i="4"/>
  <c r="L511" i="4"/>
  <c r="V462" i="4"/>
  <c r="Y632" i="4"/>
  <c r="Q627" i="4"/>
  <c r="T331" i="4"/>
  <c r="K635" i="4"/>
  <c r="C634" i="4"/>
  <c r="S632" i="4"/>
  <c r="K631" i="4"/>
  <c r="C630" i="4"/>
  <c r="S628" i="4"/>
  <c r="K627" i="4"/>
  <c r="C626" i="4"/>
  <c r="S624" i="4"/>
  <c r="K623" i="4"/>
  <c r="C622" i="4"/>
  <c r="S620" i="4"/>
  <c r="K619" i="4"/>
  <c r="W613" i="4"/>
  <c r="G606" i="4"/>
  <c r="W598" i="4"/>
  <c r="O592" i="4"/>
  <c r="W584" i="4"/>
  <c r="O577" i="4"/>
  <c r="G571" i="4"/>
  <c r="O563" i="4"/>
  <c r="G556" i="4"/>
  <c r="W549" i="4"/>
  <c r="G542" i="4"/>
  <c r="W534" i="4"/>
  <c r="O530" i="4"/>
  <c r="N525" i="4"/>
  <c r="W519" i="4"/>
  <c r="F511" i="4"/>
  <c r="T499" i="4"/>
  <c r="M490" i="4"/>
  <c r="O475" i="4"/>
  <c r="V460" i="4"/>
  <c r="Q635" i="4"/>
  <c r="Q631" i="4"/>
  <c r="I626" i="4"/>
  <c r="Q619" i="4"/>
  <c r="Q331" i="4"/>
  <c r="I635" i="4"/>
  <c r="Y633" i="4"/>
  <c r="Q632" i="4"/>
  <c r="I631" i="4"/>
  <c r="Y629" i="4"/>
  <c r="Q628" i="4"/>
  <c r="I627" i="4"/>
  <c r="Y625" i="4"/>
  <c r="Q624" i="4"/>
  <c r="I623" i="4"/>
  <c r="Y621" i="4"/>
  <c r="Q620" i="4"/>
  <c r="G619" i="4"/>
  <c r="G612" i="4"/>
  <c r="W605" i="4"/>
  <c r="G598" i="4"/>
  <c r="W590" i="4"/>
  <c r="O584" i="4"/>
  <c r="W576" i="4"/>
  <c r="O569" i="4"/>
  <c r="G563" i="4"/>
  <c r="O555" i="4"/>
  <c r="G548" i="4"/>
  <c r="W541" i="4"/>
  <c r="G534" i="4"/>
  <c r="F530" i="4"/>
  <c r="G525" i="4"/>
  <c r="O519" i="4"/>
  <c r="W509" i="4"/>
  <c r="M498" i="4"/>
  <c r="F488" i="4"/>
  <c r="Q474" i="4"/>
  <c r="Q456" i="4"/>
  <c r="Y331" i="4"/>
  <c r="I630" i="4"/>
  <c r="Y620" i="4"/>
  <c r="L331" i="4"/>
  <c r="C635" i="4"/>
  <c r="S633" i="4"/>
  <c r="K632" i="4"/>
  <c r="C631" i="4"/>
  <c r="S629" i="4"/>
  <c r="K628" i="4"/>
  <c r="C627" i="4"/>
  <c r="S625" i="4"/>
  <c r="K624" i="4"/>
  <c r="C623" i="4"/>
  <c r="S621" i="4"/>
  <c r="K620" i="4"/>
  <c r="O617" i="4"/>
  <c r="O611" i="4"/>
  <c r="G604" i="4"/>
  <c r="W597" i="4"/>
  <c r="G590" i="4"/>
  <c r="W582" i="4"/>
  <c r="O576" i="4"/>
  <c r="W568" i="4"/>
  <c r="O561" i="4"/>
  <c r="G555" i="4"/>
  <c r="O547" i="4"/>
  <c r="G540" i="4"/>
  <c r="V533" i="4"/>
  <c r="G529" i="4"/>
  <c r="V524" i="4"/>
  <c r="E519" i="4"/>
  <c r="G509" i="4"/>
  <c r="V497" i="4"/>
  <c r="D488" i="4"/>
  <c r="N472" i="4"/>
  <c r="U455" i="4"/>
  <c r="I622" i="4"/>
  <c r="I331" i="4"/>
  <c r="Y634" i="4"/>
  <c r="Q633" i="4"/>
  <c r="I632" i="4"/>
  <c r="Y630" i="4"/>
  <c r="Q629" i="4"/>
  <c r="I628" i="4"/>
  <c r="Y626" i="4"/>
  <c r="Q625" i="4"/>
  <c r="I624" i="4"/>
  <c r="Y622" i="4"/>
  <c r="Q621" i="4"/>
  <c r="I620" i="4"/>
  <c r="W616" i="4"/>
  <c r="G611" i="4"/>
  <c r="O603" i="4"/>
  <c r="G596" i="4"/>
  <c r="W589" i="4"/>
  <c r="G582" i="4"/>
  <c r="W574" i="4"/>
  <c r="O568" i="4"/>
  <c r="W560" i="4"/>
  <c r="O553" i="4"/>
  <c r="G547" i="4"/>
  <c r="O539" i="4"/>
  <c r="U533" i="4"/>
  <c r="T528" i="4"/>
  <c r="W523" i="4"/>
  <c r="N517" i="4"/>
  <c r="E509" i="4"/>
  <c r="D496" i="4"/>
  <c r="W484" i="4"/>
  <c r="N471" i="4"/>
  <c r="U450" i="4"/>
  <c r="Y624" i="4"/>
  <c r="K621" i="4"/>
  <c r="C620" i="4"/>
  <c r="O616" i="4"/>
  <c r="O609" i="4"/>
  <c r="G603" i="4"/>
  <c r="O595" i="4"/>
  <c r="G588" i="4"/>
  <c r="W581" i="4"/>
  <c r="G574" i="4"/>
  <c r="W566" i="4"/>
  <c r="O560" i="4"/>
  <c r="W552" i="4"/>
  <c r="O545" i="4"/>
  <c r="G539" i="4"/>
  <c r="T532" i="4"/>
  <c r="O528" i="4"/>
  <c r="L523" i="4"/>
  <c r="G515" i="4"/>
  <c r="K507" i="4"/>
  <c r="F495" i="4"/>
  <c r="W481" i="4"/>
  <c r="Y470" i="4"/>
  <c r="D445" i="4"/>
  <c r="I634" i="4"/>
  <c r="Y628" i="4"/>
  <c r="Q623" i="4"/>
  <c r="Q634" i="4"/>
  <c r="I633" i="4"/>
  <c r="Y631" i="4"/>
  <c r="Q630" i="4"/>
  <c r="I629" i="4"/>
  <c r="Y627" i="4"/>
  <c r="Q626" i="4"/>
  <c r="I625" i="4"/>
  <c r="Y623" i="4"/>
  <c r="Y619" i="4"/>
  <c r="W614" i="4"/>
  <c r="W608" i="4"/>
  <c r="O601" i="4"/>
  <c r="G595" i="4"/>
  <c r="O587" i="4"/>
  <c r="G580" i="4"/>
  <c r="W573" i="4"/>
  <c r="G566" i="4"/>
  <c r="W558" i="4"/>
  <c r="O552" i="4"/>
  <c r="W544" i="4"/>
  <c r="O537" i="4"/>
  <c r="F532" i="4"/>
  <c r="L527" i="4"/>
  <c r="G523" i="4"/>
  <c r="U513" i="4"/>
  <c r="V506" i="4"/>
  <c r="N493" i="4"/>
  <c r="W479" i="4"/>
  <c r="R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8" i="4"/>
  <c r="H367" i="4"/>
  <c r="H374" i="4"/>
  <c r="H366" i="4"/>
  <c r="H365" i="4"/>
  <c r="H364" i="4"/>
  <c r="H381" i="4"/>
  <c r="H387" i="4"/>
  <c r="H395" i="4"/>
  <c r="H403" i="4"/>
  <c r="H411" i="4"/>
  <c r="H363" i="4"/>
  <c r="H370" i="4"/>
  <c r="H382" i="4"/>
  <c r="H386" i="4"/>
  <c r="H394" i="4"/>
  <c r="H402" i="4"/>
  <c r="H376" i="4"/>
  <c r="H384" i="4"/>
  <c r="H392" i="4"/>
  <c r="H400" i="4"/>
  <c r="H408" i="4"/>
  <c r="H362" i="4"/>
  <c r="H369" i="4"/>
  <c r="H372" i="4"/>
  <c r="H373" i="4"/>
  <c r="H377" i="4"/>
  <c r="H391" i="4"/>
  <c r="H399" i="4"/>
  <c r="H407" i="4"/>
  <c r="H383" i="4"/>
  <c r="H401" i="4"/>
  <c r="H413" i="4"/>
  <c r="H415" i="4"/>
  <c r="H423" i="4"/>
  <c r="H431" i="4"/>
  <c r="H378" i="4"/>
  <c r="H385" i="4"/>
  <c r="H398" i="4"/>
  <c r="H422" i="4"/>
  <c r="H430" i="4"/>
  <c r="H361" i="4"/>
  <c r="H380" i="4"/>
  <c r="H396" i="4"/>
  <c r="H420" i="4"/>
  <c r="H428" i="4"/>
  <c r="H436" i="4"/>
  <c r="H375" i="4"/>
  <c r="H393" i="4"/>
  <c r="H409" i="4"/>
  <c r="H410" i="4"/>
  <c r="H419" i="4"/>
  <c r="H427" i="4"/>
  <c r="H435" i="4"/>
  <c r="H388" i="4"/>
  <c r="H424" i="4"/>
  <c r="H445" i="4"/>
  <c r="H406" i="4"/>
  <c r="H418" i="4"/>
  <c r="H442" i="4"/>
  <c r="H453" i="4"/>
  <c r="H417" i="4"/>
  <c r="H439" i="4"/>
  <c r="H405" i="4"/>
  <c r="H371" i="4"/>
  <c r="H389" i="4"/>
  <c r="H397" i="4"/>
  <c r="H425" i="4"/>
  <c r="H390" i="4"/>
  <c r="H414" i="4"/>
  <c r="H432" i="4"/>
  <c r="H460" i="4"/>
  <c r="H416" i="4"/>
  <c r="H421" i="4"/>
  <c r="H429" i="4"/>
  <c r="H434" i="4"/>
  <c r="H438" i="4"/>
  <c r="H443" i="4"/>
  <c r="H457" i="4"/>
  <c r="H465" i="4"/>
  <c r="H468" i="4"/>
  <c r="H476" i="4"/>
  <c r="H484" i="4"/>
  <c r="H437" i="4"/>
  <c r="H440" i="4"/>
  <c r="H446" i="4"/>
  <c r="H449" i="4"/>
  <c r="H451" i="4"/>
  <c r="H404" i="4"/>
  <c r="H447" i="4"/>
  <c r="H470" i="4"/>
  <c r="H478" i="4"/>
  <c r="H486" i="4"/>
  <c r="H444" i="4"/>
  <c r="H475" i="4"/>
  <c r="H483" i="4"/>
  <c r="H412" i="4"/>
  <c r="H426" i="4"/>
  <c r="H448" i="4"/>
  <c r="H441" i="4"/>
  <c r="H456" i="4"/>
  <c r="H471" i="4"/>
  <c r="H462" i="4"/>
  <c r="H464" i="4"/>
  <c r="H466" i="4"/>
  <c r="H467" i="4"/>
  <c r="H514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452" i="4"/>
  <c r="H459" i="4"/>
  <c r="H461" i="4"/>
  <c r="H463" i="4"/>
  <c r="H480" i="4"/>
  <c r="H489" i="4"/>
  <c r="H493" i="4"/>
  <c r="H497" i="4"/>
  <c r="H501" i="4"/>
  <c r="H505" i="4"/>
  <c r="H511" i="4"/>
  <c r="H519" i="4"/>
  <c r="H458" i="4"/>
  <c r="H474" i="4"/>
  <c r="H477" i="4"/>
  <c r="H508" i="4"/>
  <c r="H516" i="4"/>
  <c r="H379" i="4"/>
  <c r="H450" i="4"/>
  <c r="H455" i="4"/>
  <c r="H485" i="4"/>
  <c r="H490" i="4"/>
  <c r="H494" i="4"/>
  <c r="H498" i="4"/>
  <c r="H502" i="4"/>
  <c r="H506" i="4"/>
  <c r="H513" i="4"/>
  <c r="H521" i="4"/>
  <c r="H473" i="4"/>
  <c r="H481" i="4"/>
  <c r="H487" i="4"/>
  <c r="H488" i="4"/>
  <c r="H496" i="4"/>
  <c r="H504" i="4"/>
  <c r="H509" i="4"/>
  <c r="H433" i="4"/>
  <c r="H472" i="4"/>
  <c r="H510" i="4"/>
  <c r="H469" i="4"/>
  <c r="H479" i="4"/>
  <c r="H491" i="4"/>
  <c r="H499" i="4"/>
  <c r="H507" i="4"/>
  <c r="H520" i="4"/>
  <c r="H495" i="4"/>
  <c r="H503" i="4"/>
  <c r="H515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5" i="4"/>
  <c r="P364" i="4"/>
  <c r="P363" i="4"/>
  <c r="P371" i="4"/>
  <c r="P362" i="4"/>
  <c r="P370" i="4"/>
  <c r="P372" i="4"/>
  <c r="P361" i="4"/>
  <c r="P369" i="4"/>
  <c r="P378" i="4"/>
  <c r="P392" i="4"/>
  <c r="P400" i="4"/>
  <c r="P408" i="4"/>
  <c r="P379" i="4"/>
  <c r="P385" i="4"/>
  <c r="P391" i="4"/>
  <c r="P399" i="4"/>
  <c r="P407" i="4"/>
  <c r="P381" i="4"/>
  <c r="P389" i="4"/>
  <c r="P397" i="4"/>
  <c r="P405" i="4"/>
  <c r="P413" i="4"/>
  <c r="P382" i="4"/>
  <c r="P388" i="4"/>
  <c r="P396" i="4"/>
  <c r="P404" i="4"/>
  <c r="P412" i="4"/>
  <c r="P360" i="4"/>
  <c r="P390" i="4"/>
  <c r="P406" i="4"/>
  <c r="P411" i="4"/>
  <c r="P420" i="4"/>
  <c r="P428" i="4"/>
  <c r="P366" i="4"/>
  <c r="P374" i="4"/>
  <c r="P383" i="4"/>
  <c r="P387" i="4"/>
  <c r="P403" i="4"/>
  <c r="P419" i="4"/>
  <c r="P427" i="4"/>
  <c r="P435" i="4"/>
  <c r="P401" i="4"/>
  <c r="P417" i="4"/>
  <c r="P425" i="4"/>
  <c r="P433" i="4"/>
  <c r="P441" i="4"/>
  <c r="P367" i="4"/>
  <c r="P380" i="4"/>
  <c r="P398" i="4"/>
  <c r="P416" i="4"/>
  <c r="P424" i="4"/>
  <c r="P432" i="4"/>
  <c r="P440" i="4"/>
  <c r="P442" i="4"/>
  <c r="P409" i="4"/>
  <c r="P429" i="4"/>
  <c r="P443" i="4"/>
  <c r="P368" i="4"/>
  <c r="P386" i="4"/>
  <c r="P393" i="4"/>
  <c r="P410" i="4"/>
  <c r="P431" i="4"/>
  <c r="P450" i="4"/>
  <c r="P430" i="4"/>
  <c r="P436" i="4"/>
  <c r="P437" i="4"/>
  <c r="P444" i="4"/>
  <c r="P452" i="4"/>
  <c r="P377" i="4"/>
  <c r="P415" i="4"/>
  <c r="P373" i="4"/>
  <c r="P422" i="4"/>
  <c r="P449" i="4"/>
  <c r="P451" i="4"/>
  <c r="P453" i="4"/>
  <c r="P457" i="4"/>
  <c r="P465" i="4"/>
  <c r="P394" i="4"/>
  <c r="P414" i="4"/>
  <c r="P447" i="4"/>
  <c r="P448" i="4"/>
  <c r="P455" i="4"/>
  <c r="P462" i="4"/>
  <c r="P426" i="4"/>
  <c r="P434" i="4"/>
  <c r="P473" i="4"/>
  <c r="P481" i="4"/>
  <c r="P375" i="4"/>
  <c r="P384" i="4"/>
  <c r="P421" i="4"/>
  <c r="P376" i="4"/>
  <c r="P445" i="4"/>
  <c r="P459" i="4"/>
  <c r="P461" i="4"/>
  <c r="P463" i="4"/>
  <c r="P467" i="4"/>
  <c r="P475" i="4"/>
  <c r="P483" i="4"/>
  <c r="P456" i="4"/>
  <c r="P458" i="4"/>
  <c r="P460" i="4"/>
  <c r="P472" i="4"/>
  <c r="P480" i="4"/>
  <c r="P395" i="4"/>
  <c r="P423" i="4"/>
  <c r="P438" i="4"/>
  <c r="P402" i="4"/>
  <c r="P418" i="4"/>
  <c r="P468" i="4"/>
  <c r="P476" i="4"/>
  <c r="P446" i="4"/>
  <c r="P469" i="4"/>
  <c r="P482" i="4"/>
  <c r="P511" i="4"/>
  <c r="P519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479" i="4"/>
  <c r="P490" i="4"/>
  <c r="P494" i="4"/>
  <c r="P498" i="4"/>
  <c r="P502" i="4"/>
  <c r="P506" i="4"/>
  <c r="P508" i="4"/>
  <c r="P516" i="4"/>
  <c r="P439" i="4"/>
  <c r="P513" i="4"/>
  <c r="P521" i="4"/>
  <c r="P464" i="4"/>
  <c r="P466" i="4"/>
  <c r="P470" i="4"/>
  <c r="P484" i="4"/>
  <c r="P491" i="4"/>
  <c r="P495" i="4"/>
  <c r="P499" i="4"/>
  <c r="P503" i="4"/>
  <c r="P510" i="4"/>
  <c r="P518" i="4"/>
  <c r="P454" i="4"/>
  <c r="P493" i="4"/>
  <c r="P501" i="4"/>
  <c r="P514" i="4"/>
  <c r="P487" i="4"/>
  <c r="P515" i="4"/>
  <c r="P486" i="4"/>
  <c r="P488" i="4"/>
  <c r="P496" i="4"/>
  <c r="P504" i="4"/>
  <c r="P512" i="4"/>
  <c r="P509" i="4"/>
  <c r="P474" i="4"/>
  <c r="P492" i="4"/>
  <c r="P500" i="4"/>
  <c r="P520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2" i="4"/>
  <c r="X370" i="4"/>
  <c r="X361" i="4"/>
  <c r="X369" i="4"/>
  <c r="X372" i="4"/>
  <c r="X360" i="4"/>
  <c r="X368" i="4"/>
  <c r="X367" i="4"/>
  <c r="X373" i="4"/>
  <c r="X366" i="4"/>
  <c r="X365" i="4"/>
  <c r="X375" i="4"/>
  <c r="X383" i="4"/>
  <c r="X389" i="4"/>
  <c r="X397" i="4"/>
  <c r="X405" i="4"/>
  <c r="X413" i="4"/>
  <c r="X376" i="4"/>
  <c r="X384" i="4"/>
  <c r="X388" i="4"/>
  <c r="X396" i="4"/>
  <c r="X404" i="4"/>
  <c r="X364" i="4"/>
  <c r="X371" i="4"/>
  <c r="X378" i="4"/>
  <c r="X386" i="4"/>
  <c r="X394" i="4"/>
  <c r="X402" i="4"/>
  <c r="X410" i="4"/>
  <c r="X379" i="4"/>
  <c r="X393" i="4"/>
  <c r="X401" i="4"/>
  <c r="X409" i="4"/>
  <c r="X377" i="4"/>
  <c r="X395" i="4"/>
  <c r="X417" i="4"/>
  <c r="X425" i="4"/>
  <c r="X433" i="4"/>
  <c r="X392" i="4"/>
  <c r="X408" i="4"/>
  <c r="X416" i="4"/>
  <c r="X424" i="4"/>
  <c r="X432" i="4"/>
  <c r="X374" i="4"/>
  <c r="X390" i="4"/>
  <c r="X406" i="4"/>
  <c r="X414" i="4"/>
  <c r="X422" i="4"/>
  <c r="X430" i="4"/>
  <c r="X438" i="4"/>
  <c r="X442" i="4"/>
  <c r="X387" i="4"/>
  <c r="X403" i="4"/>
  <c r="X411" i="4"/>
  <c r="X421" i="4"/>
  <c r="X429" i="4"/>
  <c r="X437" i="4"/>
  <c r="X382" i="4"/>
  <c r="X398" i="4"/>
  <c r="X418" i="4"/>
  <c r="X434" i="4"/>
  <c r="X427" i="4"/>
  <c r="X444" i="4"/>
  <c r="X447" i="4"/>
  <c r="X363" i="4"/>
  <c r="X391" i="4"/>
  <c r="X420" i="4"/>
  <c r="X426" i="4"/>
  <c r="X431" i="4"/>
  <c r="X449" i="4"/>
  <c r="X381" i="4"/>
  <c r="X385" i="4"/>
  <c r="X400" i="4"/>
  <c r="X380" i="4"/>
  <c r="X443" i="4"/>
  <c r="X446" i="4"/>
  <c r="X462" i="4"/>
  <c r="X459" i="4"/>
  <c r="X423" i="4"/>
  <c r="X436" i="4"/>
  <c r="X456" i="4"/>
  <c r="X458" i="4"/>
  <c r="X460" i="4"/>
  <c r="X470" i="4"/>
  <c r="X478" i="4"/>
  <c r="X441" i="4"/>
  <c r="X472" i="4"/>
  <c r="X480" i="4"/>
  <c r="X419" i="4"/>
  <c r="X455" i="4"/>
  <c r="X469" i="4"/>
  <c r="X477" i="4"/>
  <c r="X485" i="4"/>
  <c r="X448" i="4"/>
  <c r="X450" i="4"/>
  <c r="X407" i="4"/>
  <c r="X412" i="4"/>
  <c r="X415" i="4"/>
  <c r="X428" i="4"/>
  <c r="X439" i="4"/>
  <c r="X461" i="4"/>
  <c r="X463" i="4"/>
  <c r="X465" i="4"/>
  <c r="X473" i="4"/>
  <c r="X399" i="4"/>
  <c r="X451" i="4"/>
  <c r="X474" i="4"/>
  <c r="X481" i="4"/>
  <c r="X508" i="4"/>
  <c r="X516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454" i="4"/>
  <c r="X471" i="4"/>
  <c r="X487" i="4"/>
  <c r="X491" i="4"/>
  <c r="X495" i="4"/>
  <c r="X499" i="4"/>
  <c r="X503" i="4"/>
  <c r="X513" i="4"/>
  <c r="X521" i="4"/>
  <c r="X468" i="4"/>
  <c r="X483" i="4"/>
  <c r="X486" i="4"/>
  <c r="X510" i="4"/>
  <c r="X518" i="4"/>
  <c r="X453" i="4"/>
  <c r="X475" i="4"/>
  <c r="X488" i="4"/>
  <c r="X492" i="4"/>
  <c r="X496" i="4"/>
  <c r="X500" i="4"/>
  <c r="X504" i="4"/>
  <c r="X507" i="4"/>
  <c r="X515" i="4"/>
  <c r="X435" i="4"/>
  <c r="X445" i="4"/>
  <c r="X484" i="4"/>
  <c r="X490" i="4"/>
  <c r="X498" i="4"/>
  <c r="X506" i="4"/>
  <c r="X519" i="4"/>
  <c r="X482" i="4"/>
  <c r="X520" i="4"/>
  <c r="X452" i="4"/>
  <c r="X493" i="4"/>
  <c r="X501" i="4"/>
  <c r="X517" i="4"/>
  <c r="X476" i="4"/>
  <c r="X514" i="4"/>
  <c r="X479" i="4"/>
  <c r="X489" i="4"/>
  <c r="X497" i="4"/>
  <c r="X505" i="4"/>
  <c r="X509" i="4"/>
  <c r="P618" i="4"/>
  <c r="R617" i="4"/>
  <c r="X615" i="4"/>
  <c r="B615" i="4"/>
  <c r="H613" i="4"/>
  <c r="J612" i="4"/>
  <c r="P610" i="4"/>
  <c r="R609" i="4"/>
  <c r="X607" i="4"/>
  <c r="B607" i="4"/>
  <c r="H605" i="4"/>
  <c r="J604" i="4"/>
  <c r="P602" i="4"/>
  <c r="R601" i="4"/>
  <c r="X599" i="4"/>
  <c r="B599" i="4"/>
  <c r="H597" i="4"/>
  <c r="J596" i="4"/>
  <c r="P594" i="4"/>
  <c r="R593" i="4"/>
  <c r="X591" i="4"/>
  <c r="B591" i="4"/>
  <c r="H589" i="4"/>
  <c r="J588" i="4"/>
  <c r="P586" i="4"/>
  <c r="R585" i="4"/>
  <c r="X583" i="4"/>
  <c r="B583" i="4"/>
  <c r="H581" i="4"/>
  <c r="J580" i="4"/>
  <c r="P578" i="4"/>
  <c r="R577" i="4"/>
  <c r="X575" i="4"/>
  <c r="B575" i="4"/>
  <c r="H573" i="4"/>
  <c r="J572" i="4"/>
  <c r="P570" i="4"/>
  <c r="R569" i="4"/>
  <c r="X567" i="4"/>
  <c r="B567" i="4"/>
  <c r="H565" i="4"/>
  <c r="J564" i="4"/>
  <c r="P562" i="4"/>
  <c r="R561" i="4"/>
  <c r="X559" i="4"/>
  <c r="B559" i="4"/>
  <c r="H557" i="4"/>
  <c r="J556" i="4"/>
  <c r="P554" i="4"/>
  <c r="R553" i="4"/>
  <c r="X551" i="4"/>
  <c r="B551" i="4"/>
  <c r="H549" i="4"/>
  <c r="J548" i="4"/>
  <c r="P546" i="4"/>
  <c r="R545" i="4"/>
  <c r="X543" i="4"/>
  <c r="B543" i="4"/>
  <c r="H541" i="4"/>
  <c r="J540" i="4"/>
  <c r="P538" i="4"/>
  <c r="R537" i="4"/>
  <c r="X535" i="4"/>
  <c r="B535" i="4"/>
  <c r="C518" i="4"/>
  <c r="B516" i="4"/>
  <c r="X511" i="4"/>
  <c r="S507" i="4"/>
  <c r="P505" i="4"/>
  <c r="R500" i="4"/>
  <c r="K491" i="4"/>
  <c r="B489" i="4"/>
  <c r="C486" i="4"/>
  <c r="C483" i="4"/>
  <c r="X457" i="4"/>
  <c r="I334" i="4"/>
  <c r="I343" i="4"/>
  <c r="I351" i="4"/>
  <c r="I335" i="4"/>
  <c r="I342" i="4"/>
  <c r="I350" i="4"/>
  <c r="I336" i="4"/>
  <c r="I341" i="4"/>
  <c r="I349" i="4"/>
  <c r="I340" i="4"/>
  <c r="I348" i="4"/>
  <c r="I356" i="4"/>
  <c r="I339" i="4"/>
  <c r="I347" i="4"/>
  <c r="I355" i="4"/>
  <c r="I359" i="4"/>
  <c r="I337" i="4"/>
  <c r="I344" i="4"/>
  <c r="I361" i="4"/>
  <c r="I369" i="4"/>
  <c r="I373" i="4"/>
  <c r="I357" i="4"/>
  <c r="I360" i="4"/>
  <c r="I368" i="4"/>
  <c r="I333" i="4"/>
  <c r="I346" i="4"/>
  <c r="I367" i="4"/>
  <c r="I374" i="4"/>
  <c r="I358" i="4"/>
  <c r="I366" i="4"/>
  <c r="I354" i="4"/>
  <c r="I365" i="4"/>
  <c r="I380" i="4"/>
  <c r="I388" i="4"/>
  <c r="I396" i="4"/>
  <c r="I404" i="4"/>
  <c r="I412" i="4"/>
  <c r="I381" i="4"/>
  <c r="I387" i="4"/>
  <c r="I395" i="4"/>
  <c r="I403" i="4"/>
  <c r="I375" i="4"/>
  <c r="I383" i="4"/>
  <c r="I393" i="4"/>
  <c r="I401" i="4"/>
  <c r="I409" i="4"/>
  <c r="I376" i="4"/>
  <c r="I384" i="4"/>
  <c r="I392" i="4"/>
  <c r="I400" i="4"/>
  <c r="I408" i="4"/>
  <c r="I363" i="4"/>
  <c r="I386" i="4"/>
  <c r="I402" i="4"/>
  <c r="I416" i="4"/>
  <c r="I424" i="4"/>
  <c r="I432" i="4"/>
  <c r="I345" i="4"/>
  <c r="I352" i="4"/>
  <c r="I372" i="4"/>
  <c r="I399" i="4"/>
  <c r="I413" i="4"/>
  <c r="I415" i="4"/>
  <c r="I423" i="4"/>
  <c r="I431" i="4"/>
  <c r="I353" i="4"/>
  <c r="I364" i="4"/>
  <c r="I397" i="4"/>
  <c r="I414" i="4"/>
  <c r="I421" i="4"/>
  <c r="I429" i="4"/>
  <c r="I437" i="4"/>
  <c r="I443" i="4"/>
  <c r="I370" i="4"/>
  <c r="I382" i="4"/>
  <c r="I394" i="4"/>
  <c r="I420" i="4"/>
  <c r="I428" i="4"/>
  <c r="I436" i="4"/>
  <c r="I332" i="4"/>
  <c r="I371" i="4"/>
  <c r="I379" i="4"/>
  <c r="I405" i="4"/>
  <c r="I425" i="4"/>
  <c r="I441" i="4"/>
  <c r="I338" i="4"/>
  <c r="I430" i="4"/>
  <c r="I435" i="4"/>
  <c r="I448" i="4"/>
  <c r="I389" i="4"/>
  <c r="I434" i="4"/>
  <c r="I438" i="4"/>
  <c r="I446" i="4"/>
  <c r="I450" i="4"/>
  <c r="I378" i="4"/>
  <c r="I411" i="4"/>
  <c r="I417" i="4"/>
  <c r="I422" i="4"/>
  <c r="I419" i="4"/>
  <c r="I439" i="4"/>
  <c r="I440" i="4"/>
  <c r="I463" i="4"/>
  <c r="I390" i="4"/>
  <c r="I398" i="4"/>
  <c r="I406" i="4"/>
  <c r="I460" i="4"/>
  <c r="I391" i="4"/>
  <c r="I456" i="4"/>
  <c r="I471" i="4"/>
  <c r="I479" i="4"/>
  <c r="I385" i="4"/>
  <c r="I410" i="4"/>
  <c r="I427" i="4"/>
  <c r="I449" i="4"/>
  <c r="I451" i="4"/>
  <c r="I455" i="4"/>
  <c r="I473" i="4"/>
  <c r="I481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362" i="4"/>
  <c r="I377" i="4"/>
  <c r="I447" i="4"/>
  <c r="I470" i="4"/>
  <c r="I478" i="4"/>
  <c r="I486" i="4"/>
  <c r="I418" i="4"/>
  <c r="I445" i="4"/>
  <c r="I426" i="4"/>
  <c r="I458" i="4"/>
  <c r="I474" i="4"/>
  <c r="I465" i="4"/>
  <c r="I462" i="4"/>
  <c r="I464" i="4"/>
  <c r="I466" i="4"/>
  <c r="I467" i="4"/>
  <c r="I483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444" i="4"/>
  <c r="I452" i="4"/>
  <c r="I457" i="4"/>
  <c r="I459" i="4"/>
  <c r="I461" i="4"/>
  <c r="I480" i="4"/>
  <c r="I407" i="4"/>
  <c r="I468" i="4"/>
  <c r="I477" i="4"/>
  <c r="I476" i="4"/>
  <c r="I475" i="4"/>
  <c r="I485" i="4"/>
  <c r="I433" i="4"/>
  <c r="I472" i="4"/>
  <c r="I469" i="4"/>
  <c r="I442" i="4"/>
  <c r="I454" i="4"/>
  <c r="I482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Q340" i="4"/>
  <c r="Q348" i="4"/>
  <c r="Q356" i="4"/>
  <c r="Q358" i="4"/>
  <c r="Q332" i="4"/>
  <c r="Q339" i="4"/>
  <c r="Q347" i="4"/>
  <c r="Q333" i="4"/>
  <c r="Q338" i="4"/>
  <c r="Q346" i="4"/>
  <c r="Q334" i="4"/>
  <c r="Q337" i="4"/>
  <c r="Q345" i="4"/>
  <c r="Q353" i="4"/>
  <c r="Q335" i="4"/>
  <c r="Q344" i="4"/>
  <c r="Q352" i="4"/>
  <c r="Q351" i="4"/>
  <c r="Q354" i="4"/>
  <c r="Q366" i="4"/>
  <c r="Q374" i="4"/>
  <c r="Q341" i="4"/>
  <c r="Q355" i="4"/>
  <c r="Q365" i="4"/>
  <c r="Q359" i="4"/>
  <c r="Q364" i="4"/>
  <c r="Q343" i="4"/>
  <c r="Q350" i="4"/>
  <c r="Q363" i="4"/>
  <c r="Q371" i="4"/>
  <c r="Q336" i="4"/>
  <c r="Q357" i="4"/>
  <c r="Q362" i="4"/>
  <c r="Q370" i="4"/>
  <c r="Q372" i="4"/>
  <c r="Q342" i="4"/>
  <c r="Q361" i="4"/>
  <c r="Q368" i="4"/>
  <c r="Q377" i="4"/>
  <c r="Q393" i="4"/>
  <c r="Q401" i="4"/>
  <c r="Q409" i="4"/>
  <c r="Q378" i="4"/>
  <c r="Q392" i="4"/>
  <c r="Q400" i="4"/>
  <c r="Q408" i="4"/>
  <c r="Q360" i="4"/>
  <c r="Q367" i="4"/>
  <c r="Q380" i="4"/>
  <c r="Q390" i="4"/>
  <c r="Q398" i="4"/>
  <c r="Q406" i="4"/>
  <c r="Q381" i="4"/>
  <c r="Q389" i="4"/>
  <c r="Q397" i="4"/>
  <c r="Q405" i="4"/>
  <c r="Q413" i="4"/>
  <c r="Q379" i="4"/>
  <c r="Q391" i="4"/>
  <c r="Q407" i="4"/>
  <c r="Q410" i="4"/>
  <c r="Q421" i="4"/>
  <c r="Q429" i="4"/>
  <c r="Q369" i="4"/>
  <c r="Q388" i="4"/>
  <c r="Q404" i="4"/>
  <c r="Q411" i="4"/>
  <c r="Q420" i="4"/>
  <c r="Q428" i="4"/>
  <c r="Q436" i="4"/>
  <c r="Q376" i="4"/>
  <c r="Q386" i="4"/>
  <c r="Q402" i="4"/>
  <c r="Q418" i="4"/>
  <c r="Q426" i="4"/>
  <c r="Q434" i="4"/>
  <c r="Q385" i="4"/>
  <c r="Q399" i="4"/>
  <c r="Q417" i="4"/>
  <c r="Q425" i="4"/>
  <c r="Q433" i="4"/>
  <c r="Q441" i="4"/>
  <c r="Q349" i="4"/>
  <c r="Q394" i="4"/>
  <c r="Q414" i="4"/>
  <c r="Q430" i="4"/>
  <c r="Q440" i="4"/>
  <c r="Q442" i="4"/>
  <c r="Q445" i="4"/>
  <c r="Q403" i="4"/>
  <c r="Q412" i="4"/>
  <c r="Q415" i="4"/>
  <c r="Q446" i="4"/>
  <c r="Q453" i="4"/>
  <c r="Q375" i="4"/>
  <c r="Q419" i="4"/>
  <c r="Q424" i="4"/>
  <c r="Q447" i="4"/>
  <c r="Q373" i="4"/>
  <c r="Q395" i="4"/>
  <c r="Q384" i="4"/>
  <c r="Q435" i="4"/>
  <c r="Q444" i="4"/>
  <c r="Q452" i="4"/>
  <c r="Q454" i="4"/>
  <c r="Q460" i="4"/>
  <c r="Q422" i="4"/>
  <c r="Q427" i="4"/>
  <c r="Q449" i="4"/>
  <c r="Q450" i="4"/>
  <c r="Q451" i="4"/>
  <c r="Q457" i="4"/>
  <c r="Q465" i="4"/>
  <c r="Q383" i="4"/>
  <c r="Q396" i="4"/>
  <c r="Q431" i="4"/>
  <c r="Q468" i="4"/>
  <c r="Q476" i="4"/>
  <c r="Q484" i="4"/>
  <c r="Q416" i="4"/>
  <c r="Q432" i="4"/>
  <c r="Q448" i="4"/>
  <c r="Q462" i="4"/>
  <c r="Q464" i="4"/>
  <c r="Q466" i="4"/>
  <c r="Q470" i="4"/>
  <c r="Q478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437" i="4"/>
  <c r="Q459" i="4"/>
  <c r="Q461" i="4"/>
  <c r="Q463" i="4"/>
  <c r="Q467" i="4"/>
  <c r="Q475" i="4"/>
  <c r="Q483" i="4"/>
  <c r="Q443" i="4"/>
  <c r="Q382" i="4"/>
  <c r="Q423" i="4"/>
  <c r="Q438" i="4"/>
  <c r="Q471" i="4"/>
  <c r="Q472" i="4"/>
  <c r="Q485" i="4"/>
  <c r="Q469" i="4"/>
  <c r="Q482" i="4"/>
  <c r="Q522" i="4"/>
  <c r="Q523" i="4"/>
  <c r="Q524" i="4"/>
  <c r="Q525" i="4"/>
  <c r="Q526" i="4"/>
  <c r="Q527" i="4"/>
  <c r="Q528" i="4"/>
  <c r="Q529" i="4"/>
  <c r="Q530" i="4"/>
  <c r="Q531" i="4"/>
  <c r="Q532" i="4"/>
  <c r="Q479" i="4"/>
  <c r="Q439" i="4"/>
  <c r="Q473" i="4"/>
  <c r="Q387" i="4"/>
  <c r="Q477" i="4"/>
  <c r="Q481" i="4"/>
  <c r="Q533" i="4"/>
  <c r="Q455" i="4"/>
  <c r="Q480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Y337" i="4"/>
  <c r="Y345" i="4"/>
  <c r="Y353" i="4"/>
  <c r="Y359" i="4"/>
  <c r="Y336" i="4"/>
  <c r="Y344" i="4"/>
  <c r="Y352" i="4"/>
  <c r="Y343" i="4"/>
  <c r="Y342" i="4"/>
  <c r="Y350" i="4"/>
  <c r="Y332" i="4"/>
  <c r="Y341" i="4"/>
  <c r="Y349" i="4"/>
  <c r="Y357" i="4"/>
  <c r="Y363" i="4"/>
  <c r="Y371" i="4"/>
  <c r="Y348" i="4"/>
  <c r="Y362" i="4"/>
  <c r="Y370" i="4"/>
  <c r="Y338" i="4"/>
  <c r="Y358" i="4"/>
  <c r="Y361" i="4"/>
  <c r="Y369" i="4"/>
  <c r="Y372" i="4"/>
  <c r="Y333" i="4"/>
  <c r="Y335" i="4"/>
  <c r="Y351" i="4"/>
  <c r="Y354" i="4"/>
  <c r="Y360" i="4"/>
  <c r="Y368" i="4"/>
  <c r="Y340" i="4"/>
  <c r="Y347" i="4"/>
  <c r="Y355" i="4"/>
  <c r="Y367" i="4"/>
  <c r="Y373" i="4"/>
  <c r="Y374" i="4"/>
  <c r="Y382" i="4"/>
  <c r="Y390" i="4"/>
  <c r="Y398" i="4"/>
  <c r="Y406" i="4"/>
  <c r="Y365" i="4"/>
  <c r="Y375" i="4"/>
  <c r="Y383" i="4"/>
  <c r="Y389" i="4"/>
  <c r="Y397" i="4"/>
  <c r="Y405" i="4"/>
  <c r="Y334" i="4"/>
  <c r="Y339" i="4"/>
  <c r="Y356" i="4"/>
  <c r="Y377" i="4"/>
  <c r="Y387" i="4"/>
  <c r="Y395" i="4"/>
  <c r="Y403" i="4"/>
  <c r="Y411" i="4"/>
  <c r="Y364" i="4"/>
  <c r="Y378" i="4"/>
  <c r="Y386" i="4"/>
  <c r="Y394" i="4"/>
  <c r="Y402" i="4"/>
  <c r="Y410" i="4"/>
  <c r="Y384" i="4"/>
  <c r="Y396" i="4"/>
  <c r="Y418" i="4"/>
  <c r="Y426" i="4"/>
  <c r="Y434" i="4"/>
  <c r="Y379" i="4"/>
  <c r="Y393" i="4"/>
  <c r="Y409" i="4"/>
  <c r="Y417" i="4"/>
  <c r="Y425" i="4"/>
  <c r="Y433" i="4"/>
  <c r="Y381" i="4"/>
  <c r="Y391" i="4"/>
  <c r="Y407" i="4"/>
  <c r="Y415" i="4"/>
  <c r="Y423" i="4"/>
  <c r="Y431" i="4"/>
  <c r="Y439" i="4"/>
  <c r="Y346" i="4"/>
  <c r="Y376" i="4"/>
  <c r="Y388" i="4"/>
  <c r="Y404" i="4"/>
  <c r="Y414" i="4"/>
  <c r="Y422" i="4"/>
  <c r="Y430" i="4"/>
  <c r="Y438" i="4"/>
  <c r="Y442" i="4"/>
  <c r="Y419" i="4"/>
  <c r="Y435" i="4"/>
  <c r="Y436" i="4"/>
  <c r="Y441" i="4"/>
  <c r="Y400" i="4"/>
  <c r="Y416" i="4"/>
  <c r="Y443" i="4"/>
  <c r="Y450" i="4"/>
  <c r="Y401" i="4"/>
  <c r="Y408" i="4"/>
  <c r="Y412" i="4"/>
  <c r="Y452" i="4"/>
  <c r="Y392" i="4"/>
  <c r="Y437" i="4"/>
  <c r="Y385" i="4"/>
  <c r="Y420" i="4"/>
  <c r="Y428" i="4"/>
  <c r="Y455" i="4"/>
  <c r="Y457" i="4"/>
  <c r="Y465" i="4"/>
  <c r="Y380" i="4"/>
  <c r="Y446" i="4"/>
  <c r="Y462" i="4"/>
  <c r="Y459" i="4"/>
  <c r="Y461" i="4"/>
  <c r="Y463" i="4"/>
  <c r="Y473" i="4"/>
  <c r="Y481" i="4"/>
  <c r="Y413" i="4"/>
  <c r="Y421" i="4"/>
  <c r="Y429" i="4"/>
  <c r="Y449" i="4"/>
  <c r="Y451" i="4"/>
  <c r="Y453" i="4"/>
  <c r="Y467" i="4"/>
  <c r="Y475" i="4"/>
  <c r="Y483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424" i="4"/>
  <c r="Y432" i="4"/>
  <c r="Y444" i="4"/>
  <c r="Y447" i="4"/>
  <c r="Y472" i="4"/>
  <c r="Y480" i="4"/>
  <c r="Y448" i="4"/>
  <c r="Y464" i="4"/>
  <c r="Y466" i="4"/>
  <c r="Y468" i="4"/>
  <c r="Y427" i="4"/>
  <c r="Y484" i="4"/>
  <c r="Y366" i="4"/>
  <c r="Y399" i="4"/>
  <c r="Y474" i="4"/>
  <c r="Y478" i="4"/>
  <c r="Y522" i="4"/>
  <c r="Y523" i="4"/>
  <c r="Y524" i="4"/>
  <c r="Y525" i="4"/>
  <c r="Y526" i="4"/>
  <c r="Y527" i="4"/>
  <c r="Y528" i="4"/>
  <c r="Y529" i="4"/>
  <c r="Y530" i="4"/>
  <c r="Y531" i="4"/>
  <c r="Y532" i="4"/>
  <c r="Y454" i="4"/>
  <c r="Y471" i="4"/>
  <c r="Y477" i="4"/>
  <c r="Y456" i="4"/>
  <c r="Y458" i="4"/>
  <c r="Y460" i="4"/>
  <c r="Y445" i="4"/>
  <c r="Y482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S331" i="4"/>
  <c r="K331" i="4"/>
  <c r="C331" i="4"/>
  <c r="R635" i="4"/>
  <c r="J635" i="4"/>
  <c r="B635" i="4"/>
  <c r="R634" i="4"/>
  <c r="J634" i="4"/>
  <c r="B634" i="4"/>
  <c r="R633" i="4"/>
  <c r="J633" i="4"/>
  <c r="B633" i="4"/>
  <c r="R632" i="4"/>
  <c r="J632" i="4"/>
  <c r="B632" i="4"/>
  <c r="R631" i="4"/>
  <c r="J631" i="4"/>
  <c r="B631" i="4"/>
  <c r="R630" i="4"/>
  <c r="J630" i="4"/>
  <c r="B630" i="4"/>
  <c r="R629" i="4"/>
  <c r="J629" i="4"/>
  <c r="B629" i="4"/>
  <c r="R628" i="4"/>
  <c r="J628" i="4"/>
  <c r="B628" i="4"/>
  <c r="R627" i="4"/>
  <c r="J627" i="4"/>
  <c r="B627" i="4"/>
  <c r="R626" i="4"/>
  <c r="J626" i="4"/>
  <c r="B626" i="4"/>
  <c r="R625" i="4"/>
  <c r="J625" i="4"/>
  <c r="B625" i="4"/>
  <c r="R624" i="4"/>
  <c r="J624" i="4"/>
  <c r="B624" i="4"/>
  <c r="R623" i="4"/>
  <c r="J623" i="4"/>
  <c r="B623" i="4"/>
  <c r="R622" i="4"/>
  <c r="J622" i="4"/>
  <c r="B622" i="4"/>
  <c r="R621" i="4"/>
  <c r="J621" i="4"/>
  <c r="B621" i="4"/>
  <c r="R620" i="4"/>
  <c r="J620" i="4"/>
  <c r="B620" i="4"/>
  <c r="R619" i="4"/>
  <c r="J619" i="4"/>
  <c r="O618" i="4"/>
  <c r="P617" i="4"/>
  <c r="R616" i="4"/>
  <c r="W615" i="4"/>
  <c r="X614" i="4"/>
  <c r="B614" i="4"/>
  <c r="G613" i="4"/>
  <c r="H612" i="4"/>
  <c r="J611" i="4"/>
  <c r="O610" i="4"/>
  <c r="P609" i="4"/>
  <c r="R608" i="4"/>
  <c r="W607" i="4"/>
  <c r="X606" i="4"/>
  <c r="B606" i="4"/>
  <c r="G605" i="4"/>
  <c r="H604" i="4"/>
  <c r="J603" i="4"/>
  <c r="O602" i="4"/>
  <c r="P601" i="4"/>
  <c r="R600" i="4"/>
  <c r="W599" i="4"/>
  <c r="X598" i="4"/>
  <c r="B598" i="4"/>
  <c r="G597" i="4"/>
  <c r="H596" i="4"/>
  <c r="J595" i="4"/>
  <c r="O594" i="4"/>
  <c r="P593" i="4"/>
  <c r="R592" i="4"/>
  <c r="W591" i="4"/>
  <c r="X590" i="4"/>
  <c r="B590" i="4"/>
  <c r="G589" i="4"/>
  <c r="H588" i="4"/>
  <c r="J587" i="4"/>
  <c r="O586" i="4"/>
  <c r="P585" i="4"/>
  <c r="R584" i="4"/>
  <c r="W583" i="4"/>
  <c r="X582" i="4"/>
  <c r="B582" i="4"/>
  <c r="G581" i="4"/>
  <c r="H580" i="4"/>
  <c r="J579" i="4"/>
  <c r="O578" i="4"/>
  <c r="P577" i="4"/>
  <c r="R576" i="4"/>
  <c r="W575" i="4"/>
  <c r="X574" i="4"/>
  <c r="B574" i="4"/>
  <c r="G573" i="4"/>
  <c r="H572" i="4"/>
  <c r="J571" i="4"/>
  <c r="O570" i="4"/>
  <c r="P569" i="4"/>
  <c r="R568" i="4"/>
  <c r="W567" i="4"/>
  <c r="X566" i="4"/>
  <c r="B566" i="4"/>
  <c r="G565" i="4"/>
  <c r="H564" i="4"/>
  <c r="J563" i="4"/>
  <c r="O562" i="4"/>
  <c r="P561" i="4"/>
  <c r="R560" i="4"/>
  <c r="W559" i="4"/>
  <c r="X558" i="4"/>
  <c r="B558" i="4"/>
  <c r="G557" i="4"/>
  <c r="H556" i="4"/>
  <c r="J555" i="4"/>
  <c r="O554" i="4"/>
  <c r="P553" i="4"/>
  <c r="R552" i="4"/>
  <c r="W551" i="4"/>
  <c r="X550" i="4"/>
  <c r="B550" i="4"/>
  <c r="G549" i="4"/>
  <c r="H548" i="4"/>
  <c r="J547" i="4"/>
  <c r="O546" i="4"/>
  <c r="P545" i="4"/>
  <c r="R544" i="4"/>
  <c r="W543" i="4"/>
  <c r="X542" i="4"/>
  <c r="B542" i="4"/>
  <c r="G541" i="4"/>
  <c r="H540" i="4"/>
  <c r="O538" i="4"/>
  <c r="P537" i="4"/>
  <c r="R536" i="4"/>
  <c r="W535" i="4"/>
  <c r="X534" i="4"/>
  <c r="Y533" i="4"/>
  <c r="O532" i="4"/>
  <c r="T530" i="4"/>
  <c r="V528" i="4"/>
  <c r="G527" i="4"/>
  <c r="L525" i="4"/>
  <c r="N523" i="4"/>
  <c r="V521" i="4"/>
  <c r="U519" i="4"/>
  <c r="P517" i="4"/>
  <c r="S513" i="4"/>
  <c r="N511" i="4"/>
  <c r="R509" i="4"/>
  <c r="P507" i="4"/>
  <c r="X502" i="4"/>
  <c r="N500" i="4"/>
  <c r="B498" i="4"/>
  <c r="U495" i="4"/>
  <c r="V490" i="4"/>
  <c r="S488" i="4"/>
  <c r="Y485" i="4"/>
  <c r="K482" i="4"/>
  <c r="N479" i="4"/>
  <c r="C476" i="4"/>
  <c r="P471" i="4"/>
  <c r="X467" i="4"/>
  <c r="S462" i="4"/>
  <c r="S456" i="4"/>
  <c r="V448" i="4"/>
  <c r="J333" i="4"/>
  <c r="J344" i="4"/>
  <c r="J352" i="4"/>
  <c r="J334" i="4"/>
  <c r="J343" i="4"/>
  <c r="J351" i="4"/>
  <c r="J335" i="4"/>
  <c r="J342" i="4"/>
  <c r="J350" i="4"/>
  <c r="J336" i="4"/>
  <c r="J341" i="4"/>
  <c r="J349" i="4"/>
  <c r="J357" i="4"/>
  <c r="J358" i="4"/>
  <c r="J340" i="4"/>
  <c r="J348" i="4"/>
  <c r="J356" i="4"/>
  <c r="J347" i="4"/>
  <c r="J362" i="4"/>
  <c r="J370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337" i="4"/>
  <c r="J361" i="4"/>
  <c r="J369" i="4"/>
  <c r="J373" i="4"/>
  <c r="J360" i="4"/>
  <c r="J368" i="4"/>
  <c r="J339" i="4"/>
  <c r="J346" i="4"/>
  <c r="J367" i="4"/>
  <c r="J374" i="4"/>
  <c r="J366" i="4"/>
  <c r="J353" i="4"/>
  <c r="J364" i="4"/>
  <c r="J371" i="4"/>
  <c r="J363" i="4"/>
  <c r="J332" i="4"/>
  <c r="J417" i="4"/>
  <c r="J425" i="4"/>
  <c r="J433" i="4"/>
  <c r="J416" i="4"/>
  <c r="J424" i="4"/>
  <c r="J432" i="4"/>
  <c r="J338" i="4"/>
  <c r="J422" i="4"/>
  <c r="J430" i="4"/>
  <c r="J438" i="4"/>
  <c r="J354" i="4"/>
  <c r="J421" i="4"/>
  <c r="J429" i="4"/>
  <c r="J437" i="4"/>
  <c r="J443" i="4"/>
  <c r="J426" i="4"/>
  <c r="J419" i="4"/>
  <c r="J445" i="4"/>
  <c r="J451" i="4"/>
  <c r="J418" i="4"/>
  <c r="J423" i="4"/>
  <c r="J442" i="4"/>
  <c r="J453" i="4"/>
  <c r="J345" i="4"/>
  <c r="J427" i="4"/>
  <c r="J441" i="4"/>
  <c r="J446" i="4"/>
  <c r="J458" i="4"/>
  <c r="J466" i="4"/>
  <c r="J365" i="4"/>
  <c r="J439" i="4"/>
  <c r="J440" i="4"/>
  <c r="J463" i="4"/>
  <c r="J359" i="4"/>
  <c r="J372" i="4"/>
  <c r="J474" i="4"/>
  <c r="J482" i="4"/>
  <c r="J355" i="4"/>
  <c r="J468" i="4"/>
  <c r="J476" i="4"/>
  <c r="J484" i="4"/>
  <c r="J435" i="4"/>
  <c r="J449" i="4"/>
  <c r="J455" i="4"/>
  <c r="J473" i="4"/>
  <c r="J481" i="4"/>
  <c r="J487" i="4"/>
  <c r="J415" i="4"/>
  <c r="J436" i="4"/>
  <c r="J450" i="4"/>
  <c r="J452" i="4"/>
  <c r="J431" i="4"/>
  <c r="J434" i="4"/>
  <c r="J448" i="4"/>
  <c r="J457" i="4"/>
  <c r="J459" i="4"/>
  <c r="J461" i="4"/>
  <c r="J469" i="4"/>
  <c r="J470" i="4"/>
  <c r="J478" i="4"/>
  <c r="J488" i="4"/>
  <c r="J492" i="4"/>
  <c r="J496" i="4"/>
  <c r="J500" i="4"/>
  <c r="J504" i="4"/>
  <c r="J509" i="4"/>
  <c r="J517" i="4"/>
  <c r="J428" i="4"/>
  <c r="J465" i="4"/>
  <c r="J486" i="4"/>
  <c r="J514" i="4"/>
  <c r="J447" i="4"/>
  <c r="J460" i="4"/>
  <c r="J462" i="4"/>
  <c r="J464" i="4"/>
  <c r="J467" i="4"/>
  <c r="J483" i="4"/>
  <c r="J489" i="4"/>
  <c r="J493" i="4"/>
  <c r="J497" i="4"/>
  <c r="J501" i="4"/>
  <c r="J505" i="4"/>
  <c r="J511" i="4"/>
  <c r="J519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420" i="4"/>
  <c r="J444" i="4"/>
  <c r="J456" i="4"/>
  <c r="J471" i="4"/>
  <c r="J480" i="4"/>
  <c r="J508" i="4"/>
  <c r="J516" i="4"/>
  <c r="J512" i="4"/>
  <c r="J490" i="4"/>
  <c r="J498" i="4"/>
  <c r="J506" i="4"/>
  <c r="J513" i="4"/>
  <c r="J475" i="4"/>
  <c r="J485" i="4"/>
  <c r="J510" i="4"/>
  <c r="J472" i="4"/>
  <c r="J479" i="4"/>
  <c r="J491" i="4"/>
  <c r="J499" i="4"/>
  <c r="J507" i="4"/>
  <c r="J518" i="4"/>
  <c r="P616" i="4"/>
  <c r="B613" i="4"/>
  <c r="P608" i="4"/>
  <c r="X605" i="4"/>
  <c r="X597" i="4"/>
  <c r="J594" i="4"/>
  <c r="R583" i="4"/>
  <c r="X573" i="4"/>
  <c r="H571" i="4"/>
  <c r="R567" i="4"/>
  <c r="B565" i="4"/>
  <c r="X557" i="4"/>
  <c r="R551" i="4"/>
  <c r="J515" i="4"/>
  <c r="B505" i="4"/>
  <c r="B462" i="4"/>
  <c r="P635" i="4"/>
  <c r="X633" i="4"/>
  <c r="P632" i="4"/>
  <c r="X630" i="4"/>
  <c r="H629" i="4"/>
  <c r="X627" i="4"/>
  <c r="X626" i="4"/>
  <c r="H625" i="4"/>
  <c r="X623" i="4"/>
  <c r="P622" i="4"/>
  <c r="P621" i="4"/>
  <c r="P620" i="4"/>
  <c r="P615" i="4"/>
  <c r="X612" i="4"/>
  <c r="H610" i="4"/>
  <c r="P607" i="4"/>
  <c r="X604" i="4"/>
  <c r="P599" i="4"/>
  <c r="B596" i="4"/>
  <c r="B588" i="4"/>
  <c r="P583" i="4"/>
  <c r="X580" i="4"/>
  <c r="H578" i="4"/>
  <c r="P575" i="4"/>
  <c r="X572" i="4"/>
  <c r="H570" i="4"/>
  <c r="P567" i="4"/>
  <c r="X564" i="4"/>
  <c r="J561" i="4"/>
  <c r="P559" i="4"/>
  <c r="H554" i="4"/>
  <c r="R550" i="4"/>
  <c r="X548" i="4"/>
  <c r="B548" i="4"/>
  <c r="J545" i="4"/>
  <c r="J537" i="4"/>
  <c r="P535" i="4"/>
  <c r="J521" i="4"/>
  <c r="H517" i="4"/>
  <c r="C513" i="4"/>
  <c r="S504" i="4"/>
  <c r="P478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6" i="4"/>
  <c r="D365" i="4"/>
  <c r="D364" i="4"/>
  <c r="D372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63" i="4"/>
  <c r="D371" i="4"/>
  <c r="D362" i="4"/>
  <c r="D370" i="4"/>
  <c r="D373" i="4"/>
  <c r="D367" i="4"/>
  <c r="D393" i="4"/>
  <c r="D401" i="4"/>
  <c r="D409" i="4"/>
  <c r="D374" i="4"/>
  <c r="D392" i="4"/>
  <c r="D400" i="4"/>
  <c r="D408" i="4"/>
  <c r="D390" i="4"/>
  <c r="D398" i="4"/>
  <c r="D406" i="4"/>
  <c r="D414" i="4"/>
  <c r="D389" i="4"/>
  <c r="D397" i="4"/>
  <c r="D405" i="4"/>
  <c r="D413" i="4"/>
  <c r="D369" i="4"/>
  <c r="D399" i="4"/>
  <c r="D421" i="4"/>
  <c r="D429" i="4"/>
  <c r="D361" i="4"/>
  <c r="D396" i="4"/>
  <c r="D420" i="4"/>
  <c r="D428" i="4"/>
  <c r="D436" i="4"/>
  <c r="D394" i="4"/>
  <c r="D410" i="4"/>
  <c r="D418" i="4"/>
  <c r="D426" i="4"/>
  <c r="D434" i="4"/>
  <c r="D442" i="4"/>
  <c r="D391" i="4"/>
  <c r="D407" i="4"/>
  <c r="D411" i="4"/>
  <c r="D417" i="4"/>
  <c r="D425" i="4"/>
  <c r="D433" i="4"/>
  <c r="D441" i="4"/>
  <c r="D444" i="4"/>
  <c r="D422" i="4"/>
  <c r="D447" i="4"/>
  <c r="D452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387" i="4"/>
  <c r="D416" i="4"/>
  <c r="D440" i="4"/>
  <c r="D454" i="4"/>
  <c r="D368" i="4"/>
  <c r="D427" i="4"/>
  <c r="D430" i="4"/>
  <c r="D432" i="4"/>
  <c r="D435" i="4"/>
  <c r="D412" i="4"/>
  <c r="D424" i="4"/>
  <c r="D438" i="4"/>
  <c r="D451" i="4"/>
  <c r="D453" i="4"/>
  <c r="D402" i="4"/>
  <c r="D437" i="4"/>
  <c r="D448" i="4"/>
  <c r="D449" i="4"/>
  <c r="D450" i="4"/>
  <c r="D403" i="4"/>
  <c r="D404" i="4"/>
  <c r="D419" i="4"/>
  <c r="D443" i="4"/>
  <c r="D439" i="4"/>
  <c r="D446" i="4"/>
  <c r="D490" i="4"/>
  <c r="D494" i="4"/>
  <c r="D498" i="4"/>
  <c r="D502" i="4"/>
  <c r="D506" i="4"/>
  <c r="D510" i="4"/>
  <c r="D518" i="4"/>
  <c r="D515" i="4"/>
  <c r="D491" i="4"/>
  <c r="D495" i="4"/>
  <c r="D499" i="4"/>
  <c r="D503" i="4"/>
  <c r="D507" i="4"/>
  <c r="D512" i="4"/>
  <c r="D520" i="4"/>
  <c r="D431" i="4"/>
  <c r="D509" i="4"/>
  <c r="D517" i="4"/>
  <c r="D415" i="4"/>
  <c r="D513" i="4"/>
  <c r="D388" i="4"/>
  <c r="D492" i="4"/>
  <c r="D500" i="4"/>
  <c r="D514" i="4"/>
  <c r="D523" i="4"/>
  <c r="D525" i="4"/>
  <c r="D527" i="4"/>
  <c r="D529" i="4"/>
  <c r="D531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395" i="4"/>
  <c r="D511" i="4"/>
  <c r="D493" i="4"/>
  <c r="D501" i="4"/>
  <c r="D508" i="4"/>
  <c r="D519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3" i="4"/>
  <c r="L371" i="4"/>
  <c r="L372" i="4"/>
  <c r="L362" i="4"/>
  <c r="L370" i="4"/>
  <c r="L361" i="4"/>
  <c r="L369" i="4"/>
  <c r="L373" i="4"/>
  <c r="L375" i="4"/>
  <c r="L376" i="4"/>
  <c r="L377" i="4"/>
  <c r="L378" i="4"/>
  <c r="L379" i="4"/>
  <c r="L380" i="4"/>
  <c r="L381" i="4"/>
  <c r="L382" i="4"/>
  <c r="L383" i="4"/>
  <c r="L384" i="4"/>
  <c r="L385" i="4"/>
  <c r="L360" i="4"/>
  <c r="L368" i="4"/>
  <c r="L367" i="4"/>
  <c r="L374" i="4"/>
  <c r="L390" i="4"/>
  <c r="L398" i="4"/>
  <c r="L406" i="4"/>
  <c r="L364" i="4"/>
  <c r="L389" i="4"/>
  <c r="L397" i="4"/>
  <c r="L405" i="4"/>
  <c r="L366" i="4"/>
  <c r="L387" i="4"/>
  <c r="L395" i="4"/>
  <c r="L403" i="4"/>
  <c r="L411" i="4"/>
  <c r="L386" i="4"/>
  <c r="L394" i="4"/>
  <c r="L402" i="4"/>
  <c r="L410" i="4"/>
  <c r="L388" i="4"/>
  <c r="L404" i="4"/>
  <c r="L418" i="4"/>
  <c r="L426" i="4"/>
  <c r="L434" i="4"/>
  <c r="L401" i="4"/>
  <c r="L412" i="4"/>
  <c r="L417" i="4"/>
  <c r="L425" i="4"/>
  <c r="L433" i="4"/>
  <c r="L399" i="4"/>
  <c r="L415" i="4"/>
  <c r="L423" i="4"/>
  <c r="L431" i="4"/>
  <c r="L439" i="4"/>
  <c r="L396" i="4"/>
  <c r="L414" i="4"/>
  <c r="L422" i="4"/>
  <c r="L430" i="4"/>
  <c r="L438" i="4"/>
  <c r="L407" i="4"/>
  <c r="L427" i="4"/>
  <c r="L446" i="4"/>
  <c r="L408" i="4"/>
  <c r="L436" i="4"/>
  <c r="L437" i="4"/>
  <c r="L441" i="4"/>
  <c r="L449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29" i="4"/>
  <c r="L435" i="4"/>
  <c r="L451" i="4"/>
  <c r="L393" i="4"/>
  <c r="L400" i="4"/>
  <c r="L420" i="4"/>
  <c r="L409" i="4"/>
  <c r="L442" i="4"/>
  <c r="L419" i="4"/>
  <c r="L424" i="4"/>
  <c r="L432" i="4"/>
  <c r="L413" i="4"/>
  <c r="L416" i="4"/>
  <c r="L448" i="4"/>
  <c r="L450" i="4"/>
  <c r="L452" i="4"/>
  <c r="L391" i="4"/>
  <c r="L440" i="4"/>
  <c r="L392" i="4"/>
  <c r="L453" i="4"/>
  <c r="L428" i="4"/>
  <c r="L444" i="4"/>
  <c r="L421" i="4"/>
  <c r="L445" i="4"/>
  <c r="L454" i="4"/>
  <c r="L365" i="4"/>
  <c r="L443" i="4"/>
  <c r="L491" i="4"/>
  <c r="L495" i="4"/>
  <c r="L499" i="4"/>
  <c r="L503" i="4"/>
  <c r="L507" i="4"/>
  <c r="L515" i="4"/>
  <c r="L487" i="4"/>
  <c r="L512" i="4"/>
  <c r="L520" i="4"/>
  <c r="L488" i="4"/>
  <c r="L492" i="4"/>
  <c r="L496" i="4"/>
  <c r="L500" i="4"/>
  <c r="L504" i="4"/>
  <c r="L509" i="4"/>
  <c r="L517" i="4"/>
  <c r="L447" i="4"/>
  <c r="L514" i="4"/>
  <c r="L518" i="4"/>
  <c r="L489" i="4"/>
  <c r="L497" i="4"/>
  <c r="L505" i="4"/>
  <c r="L519" i="4"/>
  <c r="L522" i="4"/>
  <c r="L524" i="4"/>
  <c r="L526" i="4"/>
  <c r="L528" i="4"/>
  <c r="L530" i="4"/>
  <c r="L532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516" i="4"/>
  <c r="L490" i="4"/>
  <c r="L498" i="4"/>
  <c r="L506" i="4"/>
  <c r="L513" i="4"/>
  <c r="L508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8" i="4"/>
  <c r="T373" i="4"/>
  <c r="T367" i="4"/>
  <c r="T366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65" i="4"/>
  <c r="T364" i="4"/>
  <c r="T372" i="4"/>
  <c r="T387" i="4"/>
  <c r="T395" i="4"/>
  <c r="T403" i="4"/>
  <c r="T411" i="4"/>
  <c r="T371" i="4"/>
  <c r="T386" i="4"/>
  <c r="T394" i="4"/>
  <c r="T402" i="4"/>
  <c r="T392" i="4"/>
  <c r="T400" i="4"/>
  <c r="T408" i="4"/>
  <c r="T363" i="4"/>
  <c r="T370" i="4"/>
  <c r="T391" i="4"/>
  <c r="T399" i="4"/>
  <c r="T407" i="4"/>
  <c r="T393" i="4"/>
  <c r="T409" i="4"/>
  <c r="T415" i="4"/>
  <c r="T423" i="4"/>
  <c r="T431" i="4"/>
  <c r="T390" i="4"/>
  <c r="T406" i="4"/>
  <c r="T410" i="4"/>
  <c r="T414" i="4"/>
  <c r="T422" i="4"/>
  <c r="T430" i="4"/>
  <c r="T369" i="4"/>
  <c r="T388" i="4"/>
  <c r="T404" i="4"/>
  <c r="T420" i="4"/>
  <c r="T428" i="4"/>
  <c r="T436" i="4"/>
  <c r="T361" i="4"/>
  <c r="T401" i="4"/>
  <c r="T412" i="4"/>
  <c r="T419" i="4"/>
  <c r="T427" i="4"/>
  <c r="T435" i="4"/>
  <c r="T443" i="4"/>
  <c r="T396" i="4"/>
  <c r="T416" i="4"/>
  <c r="T432" i="4"/>
  <c r="T398" i="4"/>
  <c r="T421" i="4"/>
  <c r="T426" i="4"/>
  <c r="T439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25" i="4"/>
  <c r="T446" i="4"/>
  <c r="T448" i="4"/>
  <c r="T362" i="4"/>
  <c r="T397" i="4"/>
  <c r="T405" i="4"/>
  <c r="T433" i="4"/>
  <c r="T445" i="4"/>
  <c r="T417" i="4"/>
  <c r="T418" i="4"/>
  <c r="T441" i="4"/>
  <c r="T444" i="4"/>
  <c r="T447" i="4"/>
  <c r="T449" i="4"/>
  <c r="T413" i="4"/>
  <c r="T429" i="4"/>
  <c r="T434" i="4"/>
  <c r="T438" i="4"/>
  <c r="T424" i="4"/>
  <c r="T440" i="4"/>
  <c r="T450" i="4"/>
  <c r="T452" i="4"/>
  <c r="T389" i="4"/>
  <c r="T442" i="4"/>
  <c r="T451" i="4"/>
  <c r="T437" i="4"/>
  <c r="T488" i="4"/>
  <c r="T492" i="4"/>
  <c r="T496" i="4"/>
  <c r="T500" i="4"/>
  <c r="T504" i="4"/>
  <c r="T512" i="4"/>
  <c r="T520" i="4"/>
  <c r="T509" i="4"/>
  <c r="T517" i="4"/>
  <c r="T453" i="4"/>
  <c r="T489" i="4"/>
  <c r="T493" i="4"/>
  <c r="T497" i="4"/>
  <c r="T501" i="4"/>
  <c r="T505" i="4"/>
  <c r="T514" i="4"/>
  <c r="T511" i="4"/>
  <c r="T519" i="4"/>
  <c r="T507" i="4"/>
  <c r="T494" i="4"/>
  <c r="T502" i="4"/>
  <c r="T508" i="4"/>
  <c r="T523" i="4"/>
  <c r="T525" i="4"/>
  <c r="T527" i="4"/>
  <c r="T529" i="4"/>
  <c r="T531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521" i="4"/>
  <c r="T487" i="4"/>
  <c r="T495" i="4"/>
  <c r="T503" i="4"/>
  <c r="T518" i="4"/>
  <c r="T533" i="4"/>
  <c r="T513" i="4"/>
  <c r="X331" i="4"/>
  <c r="P331" i="4"/>
  <c r="H331" i="4"/>
  <c r="W635" i="4"/>
  <c r="O635" i="4"/>
  <c r="G635" i="4"/>
  <c r="W634" i="4"/>
  <c r="O634" i="4"/>
  <c r="G634" i="4"/>
  <c r="W633" i="4"/>
  <c r="O633" i="4"/>
  <c r="G633" i="4"/>
  <c r="W632" i="4"/>
  <c r="O632" i="4"/>
  <c r="G632" i="4"/>
  <c r="W631" i="4"/>
  <c r="O631" i="4"/>
  <c r="G631" i="4"/>
  <c r="W630" i="4"/>
  <c r="O630" i="4"/>
  <c r="G630" i="4"/>
  <c r="W629" i="4"/>
  <c r="O629" i="4"/>
  <c r="G629" i="4"/>
  <c r="W628" i="4"/>
  <c r="O628" i="4"/>
  <c r="G628" i="4"/>
  <c r="W627" i="4"/>
  <c r="O627" i="4"/>
  <c r="G627" i="4"/>
  <c r="W626" i="4"/>
  <c r="O626" i="4"/>
  <c r="G626" i="4"/>
  <c r="W625" i="4"/>
  <c r="O625" i="4"/>
  <c r="G625" i="4"/>
  <c r="W624" i="4"/>
  <c r="O624" i="4"/>
  <c r="G624" i="4"/>
  <c r="W623" i="4"/>
  <c r="O623" i="4"/>
  <c r="G623" i="4"/>
  <c r="W622" i="4"/>
  <c r="O622" i="4"/>
  <c r="G622" i="4"/>
  <c r="W621" i="4"/>
  <c r="O621" i="4"/>
  <c r="G621" i="4"/>
  <c r="W620" i="4"/>
  <c r="O620" i="4"/>
  <c r="G620" i="4"/>
  <c r="W619" i="4"/>
  <c r="O619" i="4"/>
  <c r="B619" i="4"/>
  <c r="G618" i="4"/>
  <c r="H617" i="4"/>
  <c r="J616" i="4"/>
  <c r="O615" i="4"/>
  <c r="P614" i="4"/>
  <c r="R613" i="4"/>
  <c r="W612" i="4"/>
  <c r="X611" i="4"/>
  <c r="B611" i="4"/>
  <c r="G610" i="4"/>
  <c r="H609" i="4"/>
  <c r="J608" i="4"/>
  <c r="O607" i="4"/>
  <c r="P606" i="4"/>
  <c r="R605" i="4"/>
  <c r="W604" i="4"/>
  <c r="X603" i="4"/>
  <c r="B603" i="4"/>
  <c r="G602" i="4"/>
  <c r="H601" i="4"/>
  <c r="J600" i="4"/>
  <c r="O599" i="4"/>
  <c r="P598" i="4"/>
  <c r="R597" i="4"/>
  <c r="W596" i="4"/>
  <c r="X595" i="4"/>
  <c r="B595" i="4"/>
  <c r="G594" i="4"/>
  <c r="H593" i="4"/>
  <c r="J592" i="4"/>
  <c r="O591" i="4"/>
  <c r="P590" i="4"/>
  <c r="R589" i="4"/>
  <c r="W588" i="4"/>
  <c r="X587" i="4"/>
  <c r="B587" i="4"/>
  <c r="G586" i="4"/>
  <c r="H585" i="4"/>
  <c r="J584" i="4"/>
  <c r="O583" i="4"/>
  <c r="P582" i="4"/>
  <c r="R581" i="4"/>
  <c r="W580" i="4"/>
  <c r="X579" i="4"/>
  <c r="B579" i="4"/>
  <c r="G578" i="4"/>
  <c r="H577" i="4"/>
  <c r="J576" i="4"/>
  <c r="O575" i="4"/>
  <c r="P574" i="4"/>
  <c r="R573" i="4"/>
  <c r="W572" i="4"/>
  <c r="X571" i="4"/>
  <c r="B571" i="4"/>
  <c r="G570" i="4"/>
  <c r="H569" i="4"/>
  <c r="J568" i="4"/>
  <c r="O567" i="4"/>
  <c r="P566" i="4"/>
  <c r="R565" i="4"/>
  <c r="W564" i="4"/>
  <c r="X563" i="4"/>
  <c r="B563" i="4"/>
  <c r="G562" i="4"/>
  <c r="H561" i="4"/>
  <c r="J560" i="4"/>
  <c r="O559" i="4"/>
  <c r="P558" i="4"/>
  <c r="R557" i="4"/>
  <c r="W556" i="4"/>
  <c r="X555" i="4"/>
  <c r="B555" i="4"/>
  <c r="G554" i="4"/>
  <c r="H553" i="4"/>
  <c r="J552" i="4"/>
  <c r="O551" i="4"/>
  <c r="P550" i="4"/>
  <c r="R549" i="4"/>
  <c r="W548" i="4"/>
  <c r="X547" i="4"/>
  <c r="B547" i="4"/>
  <c r="G546" i="4"/>
  <c r="H545" i="4"/>
  <c r="J544" i="4"/>
  <c r="O543" i="4"/>
  <c r="P542" i="4"/>
  <c r="R541" i="4"/>
  <c r="W540" i="4"/>
  <c r="X539" i="4"/>
  <c r="B539" i="4"/>
  <c r="G538" i="4"/>
  <c r="H537" i="4"/>
  <c r="J536" i="4"/>
  <c r="O535" i="4"/>
  <c r="P534" i="4"/>
  <c r="N533" i="4"/>
  <c r="W531" i="4"/>
  <c r="D530" i="4"/>
  <c r="F528" i="4"/>
  <c r="O526" i="4"/>
  <c r="T524" i="4"/>
  <c r="V522" i="4"/>
  <c r="D521" i="4"/>
  <c r="C519" i="4"/>
  <c r="V516" i="4"/>
  <c r="B515" i="4"/>
  <c r="X512" i="4"/>
  <c r="T510" i="4"/>
  <c r="W508" i="4"/>
  <c r="T506" i="4"/>
  <c r="F504" i="4"/>
  <c r="C502" i="4"/>
  <c r="R499" i="4"/>
  <c r="D497" i="4"/>
  <c r="X494" i="4"/>
  <c r="N492" i="4"/>
  <c r="R484" i="4"/>
  <c r="F481" i="4"/>
  <c r="G478" i="4"/>
  <c r="O474" i="4"/>
  <c r="S460" i="4"/>
  <c r="J454" i="4"/>
  <c r="X440" i="4"/>
  <c r="B332" i="4"/>
  <c r="B336" i="4"/>
  <c r="B339" i="4"/>
  <c r="B347" i="4"/>
  <c r="B355" i="4"/>
  <c r="B338" i="4"/>
  <c r="B346" i="4"/>
  <c r="B354" i="4"/>
  <c r="B337" i="4"/>
  <c r="B345" i="4"/>
  <c r="B344" i="4"/>
  <c r="B352" i="4"/>
  <c r="B343" i="4"/>
  <c r="B351" i="4"/>
  <c r="B333" i="4"/>
  <c r="B335" i="4"/>
  <c r="B340" i="4"/>
  <c r="B365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364" i="4"/>
  <c r="B372" i="4"/>
  <c r="B342" i="4"/>
  <c r="B349" i="4"/>
  <c r="B363" i="4"/>
  <c r="B371" i="4"/>
  <c r="B353" i="4"/>
  <c r="B359" i="4"/>
  <c r="B362" i="4"/>
  <c r="B370" i="4"/>
  <c r="B373" i="4"/>
  <c r="B334" i="4"/>
  <c r="B361" i="4"/>
  <c r="B369" i="4"/>
  <c r="B350" i="4"/>
  <c r="B356" i="4"/>
  <c r="B358" i="4"/>
  <c r="B360" i="4"/>
  <c r="B374" i="4"/>
  <c r="B348" i="4"/>
  <c r="B341" i="4"/>
  <c r="B357" i="4"/>
  <c r="B368" i="4"/>
  <c r="B366" i="4"/>
  <c r="B420" i="4"/>
  <c r="B428" i="4"/>
  <c r="B436" i="4"/>
  <c r="B419" i="4"/>
  <c r="B427" i="4"/>
  <c r="B435" i="4"/>
  <c r="B367" i="4"/>
  <c r="B417" i="4"/>
  <c r="B425" i="4"/>
  <c r="B433" i="4"/>
  <c r="B441" i="4"/>
  <c r="B416" i="4"/>
  <c r="B424" i="4"/>
  <c r="B432" i="4"/>
  <c r="B440" i="4"/>
  <c r="B421" i="4"/>
  <c r="B446" i="4"/>
  <c r="B423" i="4"/>
  <c r="B429" i="4"/>
  <c r="B434" i="4"/>
  <c r="B439" i="4"/>
  <c r="B454" i="4"/>
  <c r="B422" i="4"/>
  <c r="B443" i="4"/>
  <c r="B445" i="4"/>
  <c r="B448" i="4"/>
  <c r="B437" i="4"/>
  <c r="B449" i="4"/>
  <c r="B461" i="4"/>
  <c r="B426" i="4"/>
  <c r="B431" i="4"/>
  <c r="B444" i="4"/>
  <c r="B456" i="4"/>
  <c r="B458" i="4"/>
  <c r="B466" i="4"/>
  <c r="B447" i="4"/>
  <c r="B463" i="4"/>
  <c r="B465" i="4"/>
  <c r="B467" i="4"/>
  <c r="B469" i="4"/>
  <c r="B477" i="4"/>
  <c r="B485" i="4"/>
  <c r="B457" i="4"/>
  <c r="B459" i="4"/>
  <c r="B471" i="4"/>
  <c r="B479" i="4"/>
  <c r="B415" i="4"/>
  <c r="B430" i="4"/>
  <c r="B442" i="4"/>
  <c r="B450" i="4"/>
  <c r="B452" i="4"/>
  <c r="B468" i="4"/>
  <c r="B476" i="4"/>
  <c r="B484" i="4"/>
  <c r="B487" i="4"/>
  <c r="B451" i="4"/>
  <c r="B455" i="4"/>
  <c r="B472" i="4"/>
  <c r="B491" i="4"/>
  <c r="B495" i="4"/>
  <c r="B499" i="4"/>
  <c r="B503" i="4"/>
  <c r="B507" i="4"/>
  <c r="B512" i="4"/>
  <c r="B520" i="4"/>
  <c r="B418" i="4"/>
  <c r="B438" i="4"/>
  <c r="B482" i="4"/>
  <c r="B509" i="4"/>
  <c r="B517" i="4"/>
  <c r="B475" i="4"/>
  <c r="B488" i="4"/>
  <c r="B492" i="4"/>
  <c r="B496" i="4"/>
  <c r="B500" i="4"/>
  <c r="B504" i="4"/>
  <c r="B514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481" i="4"/>
  <c r="B511" i="4"/>
  <c r="B519" i="4"/>
  <c r="B480" i="4"/>
  <c r="B478" i="4"/>
  <c r="B493" i="4"/>
  <c r="B501" i="4"/>
  <c r="B508" i="4"/>
  <c r="B521" i="4"/>
  <c r="B453" i="4"/>
  <c r="B483" i="4"/>
  <c r="B494" i="4"/>
  <c r="B502" i="4"/>
  <c r="B518" i="4"/>
  <c r="B470" i="4"/>
  <c r="B486" i="4"/>
  <c r="B513" i="4"/>
  <c r="J331" i="4"/>
  <c r="H611" i="4"/>
  <c r="P600" i="4"/>
  <c r="B597" i="4"/>
  <c r="H587" i="4"/>
  <c r="P584" i="4"/>
  <c r="B581" i="4"/>
  <c r="J562" i="4"/>
  <c r="P560" i="4"/>
  <c r="B557" i="4"/>
  <c r="J554" i="4"/>
  <c r="H547" i="4"/>
  <c r="X541" i="4"/>
  <c r="P536" i="4"/>
  <c r="H500" i="4"/>
  <c r="H482" i="4"/>
  <c r="X466" i="4"/>
  <c r="C332" i="4"/>
  <c r="C335" i="4"/>
  <c r="C340" i="4"/>
  <c r="C348" i="4"/>
  <c r="C356" i="4"/>
  <c r="C359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36" i="4"/>
  <c r="C339" i="4"/>
  <c r="C347" i="4"/>
  <c r="C338" i="4"/>
  <c r="C346" i="4"/>
  <c r="C337" i="4"/>
  <c r="C345" i="4"/>
  <c r="C353" i="4"/>
  <c r="C344" i="4"/>
  <c r="C352" i="4"/>
  <c r="C343" i="4"/>
  <c r="C350" i="4"/>
  <c r="C358" i="4"/>
  <c r="C333" i="4"/>
  <c r="C375" i="4"/>
  <c r="C376" i="4"/>
  <c r="C377" i="4"/>
  <c r="C378" i="4"/>
  <c r="C379" i="4"/>
  <c r="C380" i="4"/>
  <c r="C381" i="4"/>
  <c r="C382" i="4"/>
  <c r="C383" i="4"/>
  <c r="C384" i="4"/>
  <c r="C342" i="4"/>
  <c r="C349" i="4"/>
  <c r="C354" i="4"/>
  <c r="C355" i="4"/>
  <c r="C334" i="4"/>
  <c r="C392" i="4"/>
  <c r="C400" i="4"/>
  <c r="C408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351" i="4"/>
  <c r="C360" i="4"/>
  <c r="C391" i="4"/>
  <c r="C399" i="4"/>
  <c r="C407" i="4"/>
  <c r="C385" i="4"/>
  <c r="C389" i="4"/>
  <c r="C397" i="4"/>
  <c r="C405" i="4"/>
  <c r="C413" i="4"/>
  <c r="C388" i="4"/>
  <c r="C396" i="4"/>
  <c r="C404" i="4"/>
  <c r="C412" i="4"/>
  <c r="C398" i="4"/>
  <c r="C414" i="4"/>
  <c r="C357" i="4"/>
  <c r="C395" i="4"/>
  <c r="C393" i="4"/>
  <c r="C409" i="4"/>
  <c r="C411" i="4"/>
  <c r="C444" i="4"/>
  <c r="C445" i="4"/>
  <c r="C446" i="4"/>
  <c r="C447" i="4"/>
  <c r="C390" i="4"/>
  <c r="C406" i="4"/>
  <c r="C386" i="4"/>
  <c r="C401" i="4"/>
  <c r="C449" i="4"/>
  <c r="C451" i="4"/>
  <c r="C403" i="4"/>
  <c r="C341" i="4"/>
  <c r="C394" i="4"/>
  <c r="C402" i="4"/>
  <c r="C448" i="4"/>
  <c r="C450" i="4"/>
  <c r="C452" i="4"/>
  <c r="C455" i="4"/>
  <c r="C464" i="4"/>
  <c r="C387" i="4"/>
  <c r="C461" i="4"/>
  <c r="C466" i="4"/>
  <c r="C472" i="4"/>
  <c r="C480" i="4"/>
  <c r="C410" i="4"/>
  <c r="C458" i="4"/>
  <c r="C460" i="4"/>
  <c r="C462" i="4"/>
  <c r="C474" i="4"/>
  <c r="C482" i="4"/>
  <c r="C454" i="4"/>
  <c r="C457" i="4"/>
  <c r="C459" i="4"/>
  <c r="C471" i="4"/>
  <c r="C479" i="4"/>
  <c r="C453" i="4"/>
  <c r="C475" i="4"/>
  <c r="C456" i="4"/>
  <c r="C468" i="4"/>
  <c r="C477" i="4"/>
  <c r="C515" i="4"/>
  <c r="C485" i="4"/>
  <c r="C491" i="4"/>
  <c r="C495" i="4"/>
  <c r="C499" i="4"/>
  <c r="C503" i="4"/>
  <c r="C507" i="4"/>
  <c r="C512" i="4"/>
  <c r="C520" i="4"/>
  <c r="C509" i="4"/>
  <c r="C517" i="4"/>
  <c r="C469" i="4"/>
  <c r="C484" i="4"/>
  <c r="C487" i="4"/>
  <c r="C488" i="4"/>
  <c r="C492" i="4"/>
  <c r="C496" i="4"/>
  <c r="C500" i="4"/>
  <c r="C504" i="4"/>
  <c r="C514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463" i="4"/>
  <c r="C465" i="4"/>
  <c r="C467" i="4"/>
  <c r="C490" i="4"/>
  <c r="C498" i="4"/>
  <c r="C506" i="4"/>
  <c r="C510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511" i="4"/>
  <c r="C478" i="4"/>
  <c r="C493" i="4"/>
  <c r="C501" i="4"/>
  <c r="C508" i="4"/>
  <c r="C521" i="4"/>
  <c r="C473" i="4"/>
  <c r="C489" i="4"/>
  <c r="C497" i="4"/>
  <c r="C505" i="4"/>
  <c r="C516" i="4"/>
  <c r="H635" i="4"/>
  <c r="H634" i="4"/>
  <c r="H633" i="4"/>
  <c r="X631" i="4"/>
  <c r="P630" i="4"/>
  <c r="P629" i="4"/>
  <c r="H628" i="4"/>
  <c r="H627" i="4"/>
  <c r="X625" i="4"/>
  <c r="H624" i="4"/>
  <c r="X622" i="4"/>
  <c r="H621" i="4"/>
  <c r="X619" i="4"/>
  <c r="H618" i="4"/>
  <c r="R614" i="4"/>
  <c r="B604" i="4"/>
  <c r="J593" i="4"/>
  <c r="P591" i="4"/>
  <c r="X588" i="4"/>
  <c r="B580" i="4"/>
  <c r="J577" i="4"/>
  <c r="R558" i="4"/>
  <c r="X556" i="4"/>
  <c r="J553" i="4"/>
  <c r="P551" i="4"/>
  <c r="H546" i="4"/>
  <c r="X540" i="4"/>
  <c r="B540" i="4"/>
  <c r="H538" i="4"/>
  <c r="R534" i="4"/>
  <c r="J502" i="4"/>
  <c r="E332" i="4"/>
  <c r="E333" i="4"/>
  <c r="E334" i="4"/>
  <c r="E335" i="4"/>
  <c r="E336" i="4"/>
  <c r="E341" i="4"/>
  <c r="E349" i="4"/>
  <c r="E357" i="4"/>
  <c r="E340" i="4"/>
  <c r="E348" i="4"/>
  <c r="E339" i="4"/>
  <c r="E347" i="4"/>
  <c r="E338" i="4"/>
  <c r="E346" i="4"/>
  <c r="E354" i="4"/>
  <c r="E360" i="4"/>
  <c r="E337" i="4"/>
  <c r="E345" i="4"/>
  <c r="E353" i="4"/>
  <c r="E367" i="4"/>
  <c r="E343" i="4"/>
  <c r="E350" i="4"/>
  <c r="E358" i="4"/>
  <c r="E366" i="4"/>
  <c r="E365" i="4"/>
  <c r="E364" i="4"/>
  <c r="E372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342" i="4"/>
  <c r="E352" i="4"/>
  <c r="E359" i="4"/>
  <c r="E363" i="4"/>
  <c r="E371" i="4"/>
  <c r="E370" i="4"/>
  <c r="E356" i="4"/>
  <c r="E344" i="4"/>
  <c r="E362" i="4"/>
  <c r="E369" i="4"/>
  <c r="E414" i="4"/>
  <c r="E351" i="4"/>
  <c r="E374" i="4"/>
  <c r="E422" i="4"/>
  <c r="E430" i="4"/>
  <c r="E421" i="4"/>
  <c r="E429" i="4"/>
  <c r="E437" i="4"/>
  <c r="E419" i="4"/>
  <c r="E427" i="4"/>
  <c r="E435" i="4"/>
  <c r="E373" i="4"/>
  <c r="E418" i="4"/>
  <c r="E426" i="4"/>
  <c r="E434" i="4"/>
  <c r="E442" i="4"/>
  <c r="E423" i="4"/>
  <c r="E439" i="4"/>
  <c r="E443" i="4"/>
  <c r="E444" i="4"/>
  <c r="E355" i="4"/>
  <c r="E424" i="4"/>
  <c r="E438" i="4"/>
  <c r="E428" i="4"/>
  <c r="E433" i="4"/>
  <c r="E449" i="4"/>
  <c r="E361" i="4"/>
  <c r="E416" i="4"/>
  <c r="E454" i="4"/>
  <c r="E459" i="4"/>
  <c r="E467" i="4"/>
  <c r="E451" i="4"/>
  <c r="E452" i="4"/>
  <c r="E453" i="4"/>
  <c r="E455" i="4"/>
  <c r="E464" i="4"/>
  <c r="E440" i="4"/>
  <c r="E475" i="4"/>
  <c r="E483" i="4"/>
  <c r="E432" i="4"/>
  <c r="E447" i="4"/>
  <c r="E461" i="4"/>
  <c r="E463" i="4"/>
  <c r="E465" i="4"/>
  <c r="E469" i="4"/>
  <c r="E477" i="4"/>
  <c r="E485" i="4"/>
  <c r="E417" i="4"/>
  <c r="E458" i="4"/>
  <c r="E460" i="4"/>
  <c r="E462" i="4"/>
  <c r="E474" i="4"/>
  <c r="E482" i="4"/>
  <c r="E368" i="4"/>
  <c r="E431" i="4"/>
  <c r="E441" i="4"/>
  <c r="E446" i="4"/>
  <c r="E470" i="4"/>
  <c r="E457" i="4"/>
  <c r="E471" i="4"/>
  <c r="E480" i="4"/>
  <c r="E513" i="4"/>
  <c r="E521" i="4"/>
  <c r="E456" i="4"/>
  <c r="E468" i="4"/>
  <c r="E490" i="4"/>
  <c r="E494" i="4"/>
  <c r="E498" i="4"/>
  <c r="E502" i="4"/>
  <c r="E506" i="4"/>
  <c r="E510" i="4"/>
  <c r="E518" i="4"/>
  <c r="E420" i="4"/>
  <c r="E450" i="4"/>
  <c r="E479" i="4"/>
  <c r="E515" i="4"/>
  <c r="E472" i="4"/>
  <c r="E491" i="4"/>
  <c r="E495" i="4"/>
  <c r="E499" i="4"/>
  <c r="E503" i="4"/>
  <c r="E507" i="4"/>
  <c r="E512" i="4"/>
  <c r="E520" i="4"/>
  <c r="E425" i="4"/>
  <c r="E445" i="4"/>
  <c r="E486" i="4"/>
  <c r="E489" i="4"/>
  <c r="E497" i="4"/>
  <c r="E505" i="4"/>
  <c r="E516" i="4"/>
  <c r="E484" i="4"/>
  <c r="E517" i="4"/>
  <c r="E448" i="4"/>
  <c r="E492" i="4"/>
  <c r="E500" i="4"/>
  <c r="E514" i="4"/>
  <c r="E523" i="4"/>
  <c r="E525" i="4"/>
  <c r="E527" i="4"/>
  <c r="E529" i="4"/>
  <c r="E531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436" i="4"/>
  <c r="E478" i="4"/>
  <c r="E511" i="4"/>
  <c r="E476" i="4"/>
  <c r="E481" i="4"/>
  <c r="E487" i="4"/>
  <c r="E488" i="4"/>
  <c r="E496" i="4"/>
  <c r="E504" i="4"/>
  <c r="E522" i="4"/>
  <c r="E524" i="4"/>
  <c r="E526" i="4"/>
  <c r="E528" i="4"/>
  <c r="E530" i="4"/>
  <c r="E532" i="4"/>
  <c r="M332" i="4"/>
  <c r="M333" i="4"/>
  <c r="M334" i="4"/>
  <c r="M335" i="4"/>
  <c r="M336" i="4"/>
  <c r="M338" i="4"/>
  <c r="M346" i="4"/>
  <c r="M354" i="4"/>
  <c r="M337" i="4"/>
  <c r="M345" i="4"/>
  <c r="M353" i="4"/>
  <c r="M344" i="4"/>
  <c r="M343" i="4"/>
  <c r="M351" i="4"/>
  <c r="M342" i="4"/>
  <c r="M350" i="4"/>
  <c r="M355" i="4"/>
  <c r="M359" i="4"/>
  <c r="M364" i="4"/>
  <c r="M356" i="4"/>
  <c r="M363" i="4"/>
  <c r="M371" i="4"/>
  <c r="M372" i="4"/>
  <c r="M340" i="4"/>
  <c r="M347" i="4"/>
  <c r="M357" i="4"/>
  <c r="M362" i="4"/>
  <c r="M370" i="4"/>
  <c r="M361" i="4"/>
  <c r="M369" i="4"/>
  <c r="M373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349" i="4"/>
  <c r="M358" i="4"/>
  <c r="M360" i="4"/>
  <c r="M368" i="4"/>
  <c r="M339" i="4"/>
  <c r="M367" i="4"/>
  <c r="M374" i="4"/>
  <c r="M366" i="4"/>
  <c r="M419" i="4"/>
  <c r="M427" i="4"/>
  <c r="M435" i="4"/>
  <c r="M418" i="4"/>
  <c r="M426" i="4"/>
  <c r="M434" i="4"/>
  <c r="M416" i="4"/>
  <c r="M424" i="4"/>
  <c r="M432" i="4"/>
  <c r="M440" i="4"/>
  <c r="M415" i="4"/>
  <c r="M423" i="4"/>
  <c r="M431" i="4"/>
  <c r="M439" i="4"/>
  <c r="M365" i="4"/>
  <c r="M428" i="4"/>
  <c r="M438" i="4"/>
  <c r="M414" i="4"/>
  <c r="M420" i="4"/>
  <c r="M425" i="4"/>
  <c r="M443" i="4"/>
  <c r="M444" i="4"/>
  <c r="M452" i="4"/>
  <c r="M341" i="4"/>
  <c r="M445" i="4"/>
  <c r="M454" i="4"/>
  <c r="M433" i="4"/>
  <c r="M447" i="4"/>
  <c r="M464" i="4"/>
  <c r="M348" i="4"/>
  <c r="M441" i="4"/>
  <c r="M442" i="4"/>
  <c r="M446" i="4"/>
  <c r="M456" i="4"/>
  <c r="M461" i="4"/>
  <c r="M421" i="4"/>
  <c r="M429" i="4"/>
  <c r="M458" i="4"/>
  <c r="M460" i="4"/>
  <c r="M462" i="4"/>
  <c r="M467" i="4"/>
  <c r="M472" i="4"/>
  <c r="M480" i="4"/>
  <c r="M352" i="4"/>
  <c r="M448" i="4"/>
  <c r="M450" i="4"/>
  <c r="M437" i="4"/>
  <c r="M474" i="4"/>
  <c r="M482" i="4"/>
  <c r="M422" i="4"/>
  <c r="M471" i="4"/>
  <c r="M479" i="4"/>
  <c r="M436" i="4"/>
  <c r="M463" i="4"/>
  <c r="M465" i="4"/>
  <c r="M475" i="4"/>
  <c r="M417" i="4"/>
  <c r="M453" i="4"/>
  <c r="M476" i="4"/>
  <c r="M484" i="4"/>
  <c r="M510" i="4"/>
  <c r="M518" i="4"/>
  <c r="M449" i="4"/>
  <c r="M473" i="4"/>
  <c r="M481" i="4"/>
  <c r="M491" i="4"/>
  <c r="M495" i="4"/>
  <c r="M499" i="4"/>
  <c r="M503" i="4"/>
  <c r="M507" i="4"/>
  <c r="M515" i="4"/>
  <c r="M430" i="4"/>
  <c r="M466" i="4"/>
  <c r="M470" i="4"/>
  <c r="M478" i="4"/>
  <c r="M487" i="4"/>
  <c r="M512" i="4"/>
  <c r="M520" i="4"/>
  <c r="M457" i="4"/>
  <c r="M459" i="4"/>
  <c r="M486" i="4"/>
  <c r="M488" i="4"/>
  <c r="M492" i="4"/>
  <c r="M496" i="4"/>
  <c r="M500" i="4"/>
  <c r="M504" i="4"/>
  <c r="M509" i="4"/>
  <c r="M517" i="4"/>
  <c r="M494" i="4"/>
  <c r="M502" i="4"/>
  <c r="M521" i="4"/>
  <c r="M455" i="4"/>
  <c r="M489" i="4"/>
  <c r="M497" i="4"/>
  <c r="M505" i="4"/>
  <c r="M519" i="4"/>
  <c r="M522" i="4"/>
  <c r="M524" i="4"/>
  <c r="M526" i="4"/>
  <c r="M528" i="4"/>
  <c r="M530" i="4"/>
  <c r="M532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485" i="4"/>
  <c r="M516" i="4"/>
  <c r="M477" i="4"/>
  <c r="M493" i="4"/>
  <c r="M501" i="4"/>
  <c r="M511" i="4"/>
  <c r="M523" i="4"/>
  <c r="M525" i="4"/>
  <c r="M527" i="4"/>
  <c r="M529" i="4"/>
  <c r="M531" i="4"/>
  <c r="M533" i="4"/>
  <c r="U332" i="4"/>
  <c r="U333" i="4"/>
  <c r="U334" i="4"/>
  <c r="U335" i="4"/>
  <c r="U336" i="4"/>
  <c r="U343" i="4"/>
  <c r="U351" i="4"/>
  <c r="U342" i="4"/>
  <c r="U350" i="4"/>
  <c r="U341" i="4"/>
  <c r="U349" i="4"/>
  <c r="U340" i="4"/>
  <c r="U348" i="4"/>
  <c r="U356" i="4"/>
  <c r="U358" i="4"/>
  <c r="U339" i="4"/>
  <c r="U347" i="4"/>
  <c r="U355" i="4"/>
  <c r="U338" i="4"/>
  <c r="U345" i="4"/>
  <c r="U361" i="4"/>
  <c r="U369" i="4"/>
  <c r="U353" i="4"/>
  <c r="U354" i="4"/>
  <c r="U360" i="4"/>
  <c r="U368" i="4"/>
  <c r="U373" i="4"/>
  <c r="U352" i="4"/>
  <c r="U367" i="4"/>
  <c r="U337" i="4"/>
  <c r="U344" i="4"/>
  <c r="U359" i="4"/>
  <c r="U366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365" i="4"/>
  <c r="U346" i="4"/>
  <c r="U362" i="4"/>
  <c r="U372" i="4"/>
  <c r="U371" i="4"/>
  <c r="U416" i="4"/>
  <c r="U424" i="4"/>
  <c r="U432" i="4"/>
  <c r="U363" i="4"/>
  <c r="U415" i="4"/>
  <c r="U423" i="4"/>
  <c r="U431" i="4"/>
  <c r="U357" i="4"/>
  <c r="U421" i="4"/>
  <c r="U429" i="4"/>
  <c r="U437" i="4"/>
  <c r="U364" i="4"/>
  <c r="U420" i="4"/>
  <c r="U428" i="4"/>
  <c r="U436" i="4"/>
  <c r="U417" i="4"/>
  <c r="U433" i="4"/>
  <c r="U439" i="4"/>
  <c r="U446" i="4"/>
  <c r="U445" i="4"/>
  <c r="U449" i="4"/>
  <c r="U370" i="4"/>
  <c r="U414" i="4"/>
  <c r="U440" i="4"/>
  <c r="U451" i="4"/>
  <c r="U418" i="4"/>
  <c r="U425" i="4"/>
  <c r="U430" i="4"/>
  <c r="U461" i="4"/>
  <c r="U435" i="4"/>
  <c r="U458" i="4"/>
  <c r="U466" i="4"/>
  <c r="U442" i="4"/>
  <c r="U469" i="4"/>
  <c r="U477" i="4"/>
  <c r="U485" i="4"/>
  <c r="U426" i="4"/>
  <c r="U441" i="4"/>
  <c r="U444" i="4"/>
  <c r="U447" i="4"/>
  <c r="U419" i="4"/>
  <c r="U434" i="4"/>
  <c r="U438" i="4"/>
  <c r="U471" i="4"/>
  <c r="U479" i="4"/>
  <c r="U427" i="4"/>
  <c r="U454" i="4"/>
  <c r="U468" i="4"/>
  <c r="U476" i="4"/>
  <c r="U484" i="4"/>
  <c r="U443" i="4"/>
  <c r="U453" i="4"/>
  <c r="U456" i="4"/>
  <c r="U472" i="4"/>
  <c r="U483" i="4"/>
  <c r="U486" i="4"/>
  <c r="U507" i="4"/>
  <c r="U515" i="4"/>
  <c r="U480" i="4"/>
  <c r="U488" i="4"/>
  <c r="U492" i="4"/>
  <c r="U496" i="4"/>
  <c r="U500" i="4"/>
  <c r="U504" i="4"/>
  <c r="U512" i="4"/>
  <c r="U520" i="4"/>
  <c r="U475" i="4"/>
  <c r="U509" i="4"/>
  <c r="U517" i="4"/>
  <c r="U482" i="4"/>
  <c r="U489" i="4"/>
  <c r="U493" i="4"/>
  <c r="U497" i="4"/>
  <c r="U501" i="4"/>
  <c r="U505" i="4"/>
  <c r="U514" i="4"/>
  <c r="U448" i="4"/>
  <c r="U474" i="4"/>
  <c r="U491" i="4"/>
  <c r="U499" i="4"/>
  <c r="U510" i="4"/>
  <c r="U452" i="4"/>
  <c r="U463" i="4"/>
  <c r="U465" i="4"/>
  <c r="U473" i="4"/>
  <c r="U511" i="4"/>
  <c r="U470" i="4"/>
  <c r="U481" i="4"/>
  <c r="U494" i="4"/>
  <c r="U502" i="4"/>
  <c r="U508" i="4"/>
  <c r="U523" i="4"/>
  <c r="U525" i="4"/>
  <c r="U527" i="4"/>
  <c r="U529" i="4"/>
  <c r="U531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457" i="4"/>
  <c r="U459" i="4"/>
  <c r="U467" i="4"/>
  <c r="U521" i="4"/>
  <c r="U422" i="4"/>
  <c r="U460" i="4"/>
  <c r="U462" i="4"/>
  <c r="U464" i="4"/>
  <c r="U490" i="4"/>
  <c r="U498" i="4"/>
  <c r="U506" i="4"/>
  <c r="U516" i="4"/>
  <c r="U522" i="4"/>
  <c r="U524" i="4"/>
  <c r="U526" i="4"/>
  <c r="U528" i="4"/>
  <c r="U530" i="4"/>
  <c r="U532" i="4"/>
  <c r="W331" i="4"/>
  <c r="O331" i="4"/>
  <c r="G331" i="4"/>
  <c r="V635" i="4"/>
  <c r="N635" i="4"/>
  <c r="F635" i="4"/>
  <c r="V634" i="4"/>
  <c r="N634" i="4"/>
  <c r="F634" i="4"/>
  <c r="V633" i="4"/>
  <c r="N633" i="4"/>
  <c r="F633" i="4"/>
  <c r="V632" i="4"/>
  <c r="N632" i="4"/>
  <c r="F632" i="4"/>
  <c r="V631" i="4"/>
  <c r="N631" i="4"/>
  <c r="F631" i="4"/>
  <c r="V630" i="4"/>
  <c r="N630" i="4"/>
  <c r="F630" i="4"/>
  <c r="V629" i="4"/>
  <c r="N629" i="4"/>
  <c r="F629" i="4"/>
  <c r="V628" i="4"/>
  <c r="N628" i="4"/>
  <c r="F628" i="4"/>
  <c r="V627" i="4"/>
  <c r="N627" i="4"/>
  <c r="F627" i="4"/>
  <c r="V626" i="4"/>
  <c r="N626" i="4"/>
  <c r="F626" i="4"/>
  <c r="V625" i="4"/>
  <c r="N625" i="4"/>
  <c r="F625" i="4"/>
  <c r="V624" i="4"/>
  <c r="N624" i="4"/>
  <c r="F624" i="4"/>
  <c r="V623" i="4"/>
  <c r="N623" i="4"/>
  <c r="F623" i="4"/>
  <c r="V622" i="4"/>
  <c r="N622" i="4"/>
  <c r="F622" i="4"/>
  <c r="V621" i="4"/>
  <c r="N621" i="4"/>
  <c r="F621" i="4"/>
  <c r="V620" i="4"/>
  <c r="N620" i="4"/>
  <c r="F620" i="4"/>
  <c r="V619" i="4"/>
  <c r="N619" i="4"/>
  <c r="X618" i="4"/>
  <c r="B618" i="4"/>
  <c r="G617" i="4"/>
  <c r="H616" i="4"/>
  <c r="J615" i="4"/>
  <c r="O614" i="4"/>
  <c r="P613" i="4"/>
  <c r="R612" i="4"/>
  <c r="W611" i="4"/>
  <c r="X610" i="4"/>
  <c r="B610" i="4"/>
  <c r="G609" i="4"/>
  <c r="H608" i="4"/>
  <c r="J607" i="4"/>
  <c r="O606" i="4"/>
  <c r="P605" i="4"/>
  <c r="R604" i="4"/>
  <c r="W603" i="4"/>
  <c r="X602" i="4"/>
  <c r="B602" i="4"/>
  <c r="G601" i="4"/>
  <c r="H600" i="4"/>
  <c r="J599" i="4"/>
  <c r="O598" i="4"/>
  <c r="P597" i="4"/>
  <c r="R596" i="4"/>
  <c r="W595" i="4"/>
  <c r="X594" i="4"/>
  <c r="B594" i="4"/>
  <c r="G593" i="4"/>
  <c r="H592" i="4"/>
  <c r="J591" i="4"/>
  <c r="O590" i="4"/>
  <c r="P589" i="4"/>
  <c r="R588" i="4"/>
  <c r="W587" i="4"/>
  <c r="X586" i="4"/>
  <c r="B586" i="4"/>
  <c r="G585" i="4"/>
  <c r="H584" i="4"/>
  <c r="J583" i="4"/>
  <c r="O582" i="4"/>
  <c r="P581" i="4"/>
  <c r="R580" i="4"/>
  <c r="W579" i="4"/>
  <c r="X578" i="4"/>
  <c r="B578" i="4"/>
  <c r="G577" i="4"/>
  <c r="H576" i="4"/>
  <c r="J575" i="4"/>
  <c r="O574" i="4"/>
  <c r="P573" i="4"/>
  <c r="R572" i="4"/>
  <c r="W571" i="4"/>
  <c r="X570" i="4"/>
  <c r="B570" i="4"/>
  <c r="G569" i="4"/>
  <c r="H568" i="4"/>
  <c r="J567" i="4"/>
  <c r="O566" i="4"/>
  <c r="P565" i="4"/>
  <c r="R564" i="4"/>
  <c r="W563" i="4"/>
  <c r="X562" i="4"/>
  <c r="B562" i="4"/>
  <c r="G561" i="4"/>
  <c r="H560" i="4"/>
  <c r="J559" i="4"/>
  <c r="O558" i="4"/>
  <c r="P557" i="4"/>
  <c r="R556" i="4"/>
  <c r="W555" i="4"/>
  <c r="X554" i="4"/>
  <c r="B554" i="4"/>
  <c r="G553" i="4"/>
  <c r="H552" i="4"/>
  <c r="J551" i="4"/>
  <c r="O550" i="4"/>
  <c r="P549" i="4"/>
  <c r="R548" i="4"/>
  <c r="W547" i="4"/>
  <c r="X546" i="4"/>
  <c r="B546" i="4"/>
  <c r="G545" i="4"/>
  <c r="H544" i="4"/>
  <c r="J543" i="4"/>
  <c r="O542" i="4"/>
  <c r="P541" i="4"/>
  <c r="R540" i="4"/>
  <c r="W539" i="4"/>
  <c r="X538" i="4"/>
  <c r="B538" i="4"/>
  <c r="G537" i="4"/>
  <c r="H536" i="4"/>
  <c r="J535" i="4"/>
  <c r="O534" i="4"/>
  <c r="L533" i="4"/>
  <c r="N531" i="4"/>
  <c r="W529" i="4"/>
  <c r="D528" i="4"/>
  <c r="F526" i="4"/>
  <c r="O524" i="4"/>
  <c r="T522" i="4"/>
  <c r="R520" i="4"/>
  <c r="U518" i="4"/>
  <c r="T516" i="4"/>
  <c r="O514" i="4"/>
  <c r="S512" i="4"/>
  <c r="R510" i="4"/>
  <c r="M508" i="4"/>
  <c r="M506" i="4"/>
  <c r="D504" i="4"/>
  <c r="B497" i="4"/>
  <c r="L494" i="4"/>
  <c r="H492" i="4"/>
  <c r="I484" i="4"/>
  <c r="C481" i="4"/>
  <c r="P477" i="4"/>
  <c r="B474" i="4"/>
  <c r="Y469" i="4"/>
  <c r="X464" i="4"/>
  <c r="B460" i="4"/>
  <c r="H454" i="4"/>
  <c r="D423" i="4"/>
  <c r="H619" i="4"/>
  <c r="R615" i="4"/>
  <c r="R607" i="4"/>
  <c r="B605" i="4"/>
  <c r="J602" i="4"/>
  <c r="H595" i="4"/>
  <c r="R591" i="4"/>
  <c r="B589" i="4"/>
  <c r="X581" i="4"/>
  <c r="J578" i="4"/>
  <c r="P576" i="4"/>
  <c r="B573" i="4"/>
  <c r="J570" i="4"/>
  <c r="R559" i="4"/>
  <c r="X549" i="4"/>
  <c r="J546" i="4"/>
  <c r="R543" i="4"/>
  <c r="B541" i="4"/>
  <c r="H539" i="4"/>
  <c r="R535" i="4"/>
  <c r="J495" i="4"/>
  <c r="P485" i="4"/>
  <c r="K332" i="4"/>
  <c r="K337" i="4"/>
  <c r="K345" i="4"/>
  <c r="K353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33" i="4"/>
  <c r="K344" i="4"/>
  <c r="K352" i="4"/>
  <c r="K334" i="4"/>
  <c r="K343" i="4"/>
  <c r="K351" i="4"/>
  <c r="K335" i="4"/>
  <c r="K342" i="4"/>
  <c r="K350" i="4"/>
  <c r="K336" i="4"/>
  <c r="K341" i="4"/>
  <c r="K349" i="4"/>
  <c r="K357" i="4"/>
  <c r="K358" i="4"/>
  <c r="K356" i="4"/>
  <c r="K340" i="4"/>
  <c r="K347" i="4"/>
  <c r="K375" i="4"/>
  <c r="K376" i="4"/>
  <c r="K377" i="4"/>
  <c r="K378" i="4"/>
  <c r="K379" i="4"/>
  <c r="K380" i="4"/>
  <c r="K381" i="4"/>
  <c r="K382" i="4"/>
  <c r="K383" i="4"/>
  <c r="K384" i="4"/>
  <c r="K339" i="4"/>
  <c r="K346" i="4"/>
  <c r="K338" i="4"/>
  <c r="K389" i="4"/>
  <c r="K397" i="4"/>
  <c r="K405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388" i="4"/>
  <c r="K396" i="4"/>
  <c r="K404" i="4"/>
  <c r="K354" i="4"/>
  <c r="K386" i="4"/>
  <c r="K394" i="4"/>
  <c r="K402" i="4"/>
  <c r="K410" i="4"/>
  <c r="K348" i="4"/>
  <c r="K393" i="4"/>
  <c r="K401" i="4"/>
  <c r="K409" i="4"/>
  <c r="K387" i="4"/>
  <c r="K403" i="4"/>
  <c r="K412" i="4"/>
  <c r="K400" i="4"/>
  <c r="K385" i="4"/>
  <c r="K398" i="4"/>
  <c r="K444" i="4"/>
  <c r="K445" i="4"/>
  <c r="K446" i="4"/>
  <c r="K447" i="4"/>
  <c r="K395" i="4"/>
  <c r="K390" i="4"/>
  <c r="K411" i="4"/>
  <c r="K391" i="4"/>
  <c r="K454" i="4"/>
  <c r="K355" i="4"/>
  <c r="K399" i="4"/>
  <c r="K406" i="4"/>
  <c r="K448" i="4"/>
  <c r="K359" i="4"/>
  <c r="K408" i="4"/>
  <c r="K456" i="4"/>
  <c r="K461" i="4"/>
  <c r="K458" i="4"/>
  <c r="K466" i="4"/>
  <c r="K457" i="4"/>
  <c r="K459" i="4"/>
  <c r="K469" i="4"/>
  <c r="K477" i="4"/>
  <c r="K485" i="4"/>
  <c r="K392" i="4"/>
  <c r="K453" i="4"/>
  <c r="K471" i="4"/>
  <c r="K479" i="4"/>
  <c r="K451" i="4"/>
  <c r="K468" i="4"/>
  <c r="K476" i="4"/>
  <c r="K484" i="4"/>
  <c r="K407" i="4"/>
  <c r="K450" i="4"/>
  <c r="K452" i="4"/>
  <c r="K460" i="4"/>
  <c r="K462" i="4"/>
  <c r="K464" i="4"/>
  <c r="K467" i="4"/>
  <c r="K472" i="4"/>
  <c r="K449" i="4"/>
  <c r="K473" i="4"/>
  <c r="K481" i="4"/>
  <c r="K487" i="4"/>
  <c r="K512" i="4"/>
  <c r="K520" i="4"/>
  <c r="K470" i="4"/>
  <c r="K478" i="4"/>
  <c r="K488" i="4"/>
  <c r="K492" i="4"/>
  <c r="K496" i="4"/>
  <c r="K500" i="4"/>
  <c r="K504" i="4"/>
  <c r="K509" i="4"/>
  <c r="K517" i="4"/>
  <c r="K463" i="4"/>
  <c r="K465" i="4"/>
  <c r="K486" i="4"/>
  <c r="K514" i="4"/>
  <c r="K474" i="4"/>
  <c r="K483" i="4"/>
  <c r="K489" i="4"/>
  <c r="K493" i="4"/>
  <c r="K497" i="4"/>
  <c r="K501" i="4"/>
  <c r="K505" i="4"/>
  <c r="K511" i="4"/>
  <c r="K519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495" i="4"/>
  <c r="K503" i="4"/>
  <c r="K515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455" i="4"/>
  <c r="K480" i="4"/>
  <c r="K516" i="4"/>
  <c r="K490" i="4"/>
  <c r="K498" i="4"/>
  <c r="K506" i="4"/>
  <c r="K513" i="4"/>
  <c r="K475" i="4"/>
  <c r="K510" i="4"/>
  <c r="K494" i="4"/>
  <c r="K502" i="4"/>
  <c r="K521" i="4"/>
  <c r="X634" i="4"/>
  <c r="P633" i="4"/>
  <c r="H632" i="4"/>
  <c r="P631" i="4"/>
  <c r="H630" i="4"/>
  <c r="X628" i="4"/>
  <c r="P626" i="4"/>
  <c r="P625" i="4"/>
  <c r="P624" i="4"/>
  <c r="H623" i="4"/>
  <c r="X621" i="4"/>
  <c r="X620" i="4"/>
  <c r="P619" i="4"/>
  <c r="J617" i="4"/>
  <c r="J609" i="4"/>
  <c r="J601" i="4"/>
  <c r="R598" i="4"/>
  <c r="X596" i="4"/>
  <c r="R590" i="4"/>
  <c r="H586" i="4"/>
  <c r="R582" i="4"/>
  <c r="R574" i="4"/>
  <c r="J569" i="4"/>
  <c r="B564" i="4"/>
  <c r="R542" i="4"/>
  <c r="P497" i="4"/>
  <c r="F332" i="4"/>
  <c r="F333" i="4"/>
  <c r="F334" i="4"/>
  <c r="F335" i="4"/>
  <c r="F336" i="4"/>
  <c r="F342" i="4"/>
  <c r="F350" i="4"/>
  <c r="F358" i="4"/>
  <c r="F341" i="4"/>
  <c r="F349" i="4"/>
  <c r="F340" i="4"/>
  <c r="F348" i="4"/>
  <c r="F339" i="4"/>
  <c r="F347" i="4"/>
  <c r="F355" i="4"/>
  <c r="F361" i="4"/>
  <c r="F362" i="4"/>
  <c r="F363" i="4"/>
  <c r="F364" i="4"/>
  <c r="F365" i="4"/>
  <c r="F366" i="4"/>
  <c r="F367" i="4"/>
  <c r="F368" i="4"/>
  <c r="F369" i="4"/>
  <c r="F370" i="4"/>
  <c r="F371" i="4"/>
  <c r="F338" i="4"/>
  <c r="F346" i="4"/>
  <c r="F354" i="4"/>
  <c r="F360" i="4"/>
  <c r="F357" i="4"/>
  <c r="F374" i="4"/>
  <c r="F343" i="4"/>
  <c r="F345" i="4"/>
  <c r="F353" i="4"/>
  <c r="F372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351" i="4"/>
  <c r="F373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344" i="4"/>
  <c r="F352" i="4"/>
  <c r="F359" i="4"/>
  <c r="F356" i="4"/>
  <c r="F337" i="4"/>
  <c r="F447" i="4"/>
  <c r="F450" i="4"/>
  <c r="F444" i="4"/>
  <c r="F452" i="4"/>
  <c r="F455" i="4"/>
  <c r="F456" i="4"/>
  <c r="F445" i="4"/>
  <c r="F462" i="4"/>
  <c r="F454" i="4"/>
  <c r="F459" i="4"/>
  <c r="F446" i="4"/>
  <c r="F449" i="4"/>
  <c r="F451" i="4"/>
  <c r="F453" i="4"/>
  <c r="F470" i="4"/>
  <c r="F478" i="4"/>
  <c r="F486" i="4"/>
  <c r="F464" i="4"/>
  <c r="F466" i="4"/>
  <c r="F467" i="4"/>
  <c r="F472" i="4"/>
  <c r="F480" i="4"/>
  <c r="F443" i="4"/>
  <c r="F461" i="4"/>
  <c r="F463" i="4"/>
  <c r="F465" i="4"/>
  <c r="F469" i="4"/>
  <c r="F477" i="4"/>
  <c r="F485" i="4"/>
  <c r="F473" i="4"/>
  <c r="F458" i="4"/>
  <c r="F460" i="4"/>
  <c r="F474" i="4"/>
  <c r="F483" i="4"/>
  <c r="F489" i="4"/>
  <c r="F493" i="4"/>
  <c r="F497" i="4"/>
  <c r="F501" i="4"/>
  <c r="F505" i="4"/>
  <c r="F508" i="4"/>
  <c r="F516" i="4"/>
  <c r="F457" i="4"/>
  <c r="F471" i="4"/>
  <c r="F513" i="4"/>
  <c r="F521" i="4"/>
  <c r="F468" i="4"/>
  <c r="F482" i="4"/>
  <c r="F490" i="4"/>
  <c r="F494" i="4"/>
  <c r="F498" i="4"/>
  <c r="F502" i="4"/>
  <c r="F506" i="4"/>
  <c r="F510" i="4"/>
  <c r="F518" i="4"/>
  <c r="F475" i="4"/>
  <c r="F479" i="4"/>
  <c r="F515" i="4"/>
  <c r="F442" i="4"/>
  <c r="F519" i="4"/>
  <c r="F491" i="4"/>
  <c r="F499" i="4"/>
  <c r="F507" i="4"/>
  <c r="F520" i="4"/>
  <c r="F484" i="4"/>
  <c r="F517" i="4"/>
  <c r="F448" i="4"/>
  <c r="F492" i="4"/>
  <c r="F500" i="4"/>
  <c r="F514" i="4"/>
  <c r="F523" i="4"/>
  <c r="F525" i="4"/>
  <c r="F527" i="4"/>
  <c r="F529" i="4"/>
  <c r="F531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509" i="4"/>
  <c r="N332" i="4"/>
  <c r="N333" i="4"/>
  <c r="N334" i="4"/>
  <c r="N335" i="4"/>
  <c r="N336" i="4"/>
  <c r="N339" i="4"/>
  <c r="N347" i="4"/>
  <c r="N355" i="4"/>
  <c r="N359" i="4"/>
  <c r="N338" i="4"/>
  <c r="N346" i="4"/>
  <c r="N337" i="4"/>
  <c r="N345" i="4"/>
  <c r="N344" i="4"/>
  <c r="N352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43" i="4"/>
  <c r="N351" i="4"/>
  <c r="N341" i="4"/>
  <c r="N348" i="4"/>
  <c r="N350" i="4"/>
  <c r="N356" i="4"/>
  <c r="N372" i="4"/>
  <c r="N340" i="4"/>
  <c r="N357" i="4"/>
  <c r="N373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353" i="4"/>
  <c r="N358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354" i="4"/>
  <c r="N374" i="4"/>
  <c r="N442" i="4"/>
  <c r="N444" i="4"/>
  <c r="N447" i="4"/>
  <c r="N449" i="4"/>
  <c r="N455" i="4"/>
  <c r="N456" i="4"/>
  <c r="N349" i="4"/>
  <c r="N448" i="4"/>
  <c r="N450" i="4"/>
  <c r="N459" i="4"/>
  <c r="N467" i="4"/>
  <c r="N464" i="4"/>
  <c r="N342" i="4"/>
  <c r="N445" i="4"/>
  <c r="N454" i="4"/>
  <c r="N461" i="4"/>
  <c r="N463" i="4"/>
  <c r="N465" i="4"/>
  <c r="N475" i="4"/>
  <c r="N483" i="4"/>
  <c r="N446" i="4"/>
  <c r="N457" i="4"/>
  <c r="N469" i="4"/>
  <c r="N477" i="4"/>
  <c r="N485" i="4"/>
  <c r="N474" i="4"/>
  <c r="N482" i="4"/>
  <c r="N466" i="4"/>
  <c r="N470" i="4"/>
  <c r="N490" i="4"/>
  <c r="N494" i="4"/>
  <c r="N498" i="4"/>
  <c r="N502" i="4"/>
  <c r="N506" i="4"/>
  <c r="N513" i="4"/>
  <c r="N521" i="4"/>
  <c r="N443" i="4"/>
  <c r="N453" i="4"/>
  <c r="N476" i="4"/>
  <c r="N484" i="4"/>
  <c r="N510" i="4"/>
  <c r="N518" i="4"/>
  <c r="N473" i="4"/>
  <c r="N481" i="4"/>
  <c r="N491" i="4"/>
  <c r="N495" i="4"/>
  <c r="N499" i="4"/>
  <c r="N503" i="4"/>
  <c r="N507" i="4"/>
  <c r="N515" i="4"/>
  <c r="N452" i="4"/>
  <c r="N458" i="4"/>
  <c r="N460" i="4"/>
  <c r="N462" i="4"/>
  <c r="N478" i="4"/>
  <c r="N487" i="4"/>
  <c r="N512" i="4"/>
  <c r="N520" i="4"/>
  <c r="N451" i="4"/>
  <c r="N508" i="4"/>
  <c r="N486" i="4"/>
  <c r="N488" i="4"/>
  <c r="N496" i="4"/>
  <c r="N504" i="4"/>
  <c r="N509" i="4"/>
  <c r="N480" i="4"/>
  <c r="N489" i="4"/>
  <c r="N497" i="4"/>
  <c r="N505" i="4"/>
  <c r="N519" i="4"/>
  <c r="N522" i="4"/>
  <c r="N524" i="4"/>
  <c r="N526" i="4"/>
  <c r="N528" i="4"/>
  <c r="N530" i="4"/>
  <c r="N532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468" i="4"/>
  <c r="N514" i="4"/>
  <c r="V332" i="4"/>
  <c r="V333" i="4"/>
  <c r="V334" i="4"/>
  <c r="V335" i="4"/>
  <c r="V336" i="4"/>
  <c r="V344" i="4"/>
  <c r="V352" i="4"/>
  <c r="V343" i="4"/>
  <c r="V351" i="4"/>
  <c r="V342" i="4"/>
  <c r="V350" i="4"/>
  <c r="V341" i="4"/>
  <c r="V349" i="4"/>
  <c r="V357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40" i="4"/>
  <c r="V348" i="4"/>
  <c r="V356" i="4"/>
  <c r="V358" i="4"/>
  <c r="V372" i="4"/>
  <c r="V338" i="4"/>
  <c r="V345" i="4"/>
  <c r="V353" i="4"/>
  <c r="V354" i="4"/>
  <c r="V373" i="4"/>
  <c r="V347" i="4"/>
  <c r="V355" i="4"/>
  <c r="V337" i="4"/>
  <c r="V359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346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339" i="4"/>
  <c r="V442" i="4"/>
  <c r="V452" i="4"/>
  <c r="V454" i="4"/>
  <c r="V455" i="4"/>
  <c r="V456" i="4"/>
  <c r="V464" i="4"/>
  <c r="V445" i="4"/>
  <c r="V461" i="4"/>
  <c r="V443" i="4"/>
  <c r="V451" i="4"/>
  <c r="V453" i="4"/>
  <c r="V472" i="4"/>
  <c r="V480" i="4"/>
  <c r="V449" i="4"/>
  <c r="V444" i="4"/>
  <c r="V447" i="4"/>
  <c r="V474" i="4"/>
  <c r="V482" i="4"/>
  <c r="V471" i="4"/>
  <c r="V479" i="4"/>
  <c r="V446" i="4"/>
  <c r="V457" i="4"/>
  <c r="V459" i="4"/>
  <c r="V467" i="4"/>
  <c r="V475" i="4"/>
  <c r="V468" i="4"/>
  <c r="V487" i="4"/>
  <c r="V491" i="4"/>
  <c r="V495" i="4"/>
  <c r="V499" i="4"/>
  <c r="V503" i="4"/>
  <c r="V510" i="4"/>
  <c r="V518" i="4"/>
  <c r="V483" i="4"/>
  <c r="V486" i="4"/>
  <c r="V507" i="4"/>
  <c r="V515" i="4"/>
  <c r="V477" i="4"/>
  <c r="V488" i="4"/>
  <c r="V492" i="4"/>
  <c r="V496" i="4"/>
  <c r="V500" i="4"/>
  <c r="V504" i="4"/>
  <c r="V512" i="4"/>
  <c r="V520" i="4"/>
  <c r="V469" i="4"/>
  <c r="V485" i="4"/>
  <c r="V509" i="4"/>
  <c r="V517" i="4"/>
  <c r="V478" i="4"/>
  <c r="V513" i="4"/>
  <c r="V476" i="4"/>
  <c r="V493" i="4"/>
  <c r="V501" i="4"/>
  <c r="V514" i="4"/>
  <c r="V463" i="4"/>
  <c r="V465" i="4"/>
  <c r="V473" i="4"/>
  <c r="V511" i="4"/>
  <c r="V470" i="4"/>
  <c r="V481" i="4"/>
  <c r="V494" i="4"/>
  <c r="V502" i="4"/>
  <c r="V508" i="4"/>
  <c r="V523" i="4"/>
  <c r="V525" i="4"/>
  <c r="V527" i="4"/>
  <c r="V529" i="4"/>
  <c r="V531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450" i="4"/>
  <c r="V484" i="4"/>
  <c r="V519" i="4"/>
  <c r="V331" i="4"/>
  <c r="N331" i="4"/>
  <c r="F331" i="4"/>
  <c r="U635" i="4"/>
  <c r="M635" i="4"/>
  <c r="E635" i="4"/>
  <c r="U634" i="4"/>
  <c r="M634" i="4"/>
  <c r="E634" i="4"/>
  <c r="U633" i="4"/>
  <c r="M633" i="4"/>
  <c r="E633" i="4"/>
  <c r="U632" i="4"/>
  <c r="M632" i="4"/>
  <c r="E632" i="4"/>
  <c r="U631" i="4"/>
  <c r="M631" i="4"/>
  <c r="E631" i="4"/>
  <c r="U630" i="4"/>
  <c r="M630" i="4"/>
  <c r="E630" i="4"/>
  <c r="U629" i="4"/>
  <c r="M629" i="4"/>
  <c r="E629" i="4"/>
  <c r="U628" i="4"/>
  <c r="M628" i="4"/>
  <c r="E628" i="4"/>
  <c r="U627" i="4"/>
  <c r="M627" i="4"/>
  <c r="E627" i="4"/>
  <c r="U626" i="4"/>
  <c r="M626" i="4"/>
  <c r="E626" i="4"/>
  <c r="U625" i="4"/>
  <c r="M625" i="4"/>
  <c r="E625" i="4"/>
  <c r="U624" i="4"/>
  <c r="M624" i="4"/>
  <c r="E624" i="4"/>
  <c r="U623" i="4"/>
  <c r="M623" i="4"/>
  <c r="E623" i="4"/>
  <c r="U622" i="4"/>
  <c r="M622" i="4"/>
  <c r="E622" i="4"/>
  <c r="U621" i="4"/>
  <c r="M621" i="4"/>
  <c r="E621" i="4"/>
  <c r="U620" i="4"/>
  <c r="M620" i="4"/>
  <c r="E620" i="4"/>
  <c r="U619" i="4"/>
  <c r="M619" i="4"/>
  <c r="W618" i="4"/>
  <c r="X617" i="4"/>
  <c r="B617" i="4"/>
  <c r="G616" i="4"/>
  <c r="H615" i="4"/>
  <c r="J614" i="4"/>
  <c r="O613" i="4"/>
  <c r="P612" i="4"/>
  <c r="R611" i="4"/>
  <c r="W610" i="4"/>
  <c r="X609" i="4"/>
  <c r="B609" i="4"/>
  <c r="G608" i="4"/>
  <c r="H607" i="4"/>
  <c r="J606" i="4"/>
  <c r="O605" i="4"/>
  <c r="P604" i="4"/>
  <c r="R603" i="4"/>
  <c r="W602" i="4"/>
  <c r="X601" i="4"/>
  <c r="B601" i="4"/>
  <c r="G600" i="4"/>
  <c r="H599" i="4"/>
  <c r="J598" i="4"/>
  <c r="O597" i="4"/>
  <c r="P596" i="4"/>
  <c r="R595" i="4"/>
  <c r="W594" i="4"/>
  <c r="X593" i="4"/>
  <c r="B593" i="4"/>
  <c r="G592" i="4"/>
  <c r="H591" i="4"/>
  <c r="J590" i="4"/>
  <c r="O589" i="4"/>
  <c r="P588" i="4"/>
  <c r="R587" i="4"/>
  <c r="W586" i="4"/>
  <c r="X585" i="4"/>
  <c r="B585" i="4"/>
  <c r="G584" i="4"/>
  <c r="H583" i="4"/>
  <c r="J582" i="4"/>
  <c r="O581" i="4"/>
  <c r="P580" i="4"/>
  <c r="R579" i="4"/>
  <c r="W578" i="4"/>
  <c r="X577" i="4"/>
  <c r="B577" i="4"/>
  <c r="G576" i="4"/>
  <c r="H575" i="4"/>
  <c r="J574" i="4"/>
  <c r="O573" i="4"/>
  <c r="P572" i="4"/>
  <c r="R571" i="4"/>
  <c r="W570" i="4"/>
  <c r="X569" i="4"/>
  <c r="B569" i="4"/>
  <c r="G568" i="4"/>
  <c r="H567" i="4"/>
  <c r="J566" i="4"/>
  <c r="O565" i="4"/>
  <c r="P564" i="4"/>
  <c r="R563" i="4"/>
  <c r="W562" i="4"/>
  <c r="X561" i="4"/>
  <c r="B561" i="4"/>
  <c r="G560" i="4"/>
  <c r="H559" i="4"/>
  <c r="J558" i="4"/>
  <c r="O557" i="4"/>
  <c r="P556" i="4"/>
  <c r="R555" i="4"/>
  <c r="W554" i="4"/>
  <c r="X553" i="4"/>
  <c r="B553" i="4"/>
  <c r="G552" i="4"/>
  <c r="H551" i="4"/>
  <c r="J550" i="4"/>
  <c r="O549" i="4"/>
  <c r="P548" i="4"/>
  <c r="R547" i="4"/>
  <c r="W546" i="4"/>
  <c r="X545" i="4"/>
  <c r="B545" i="4"/>
  <c r="G544" i="4"/>
  <c r="H543" i="4"/>
  <c r="J542" i="4"/>
  <c r="O541" i="4"/>
  <c r="P540" i="4"/>
  <c r="R539" i="4"/>
  <c r="W538" i="4"/>
  <c r="X537" i="4"/>
  <c r="B537" i="4"/>
  <c r="G536" i="4"/>
  <c r="H535" i="4"/>
  <c r="J534" i="4"/>
  <c r="L531" i="4"/>
  <c r="N529" i="4"/>
  <c r="D526" i="4"/>
  <c r="F524" i="4"/>
  <c r="O522" i="4"/>
  <c r="K518" i="4"/>
  <c r="N516" i="4"/>
  <c r="M514" i="4"/>
  <c r="H512" i="4"/>
  <c r="L510" i="4"/>
  <c r="K508" i="4"/>
  <c r="B506" i="4"/>
  <c r="U503" i="4"/>
  <c r="L501" i="4"/>
  <c r="V498" i="4"/>
  <c r="S496" i="4"/>
  <c r="J494" i="4"/>
  <c r="T491" i="4"/>
  <c r="P489" i="4"/>
  <c r="D487" i="4"/>
  <c r="R483" i="4"/>
  <c r="J477" i="4"/>
  <c r="E473" i="4"/>
  <c r="M469" i="4"/>
  <c r="V458" i="4"/>
  <c r="I453" i="4"/>
  <c r="E415" i="4"/>
  <c r="R341" i="4"/>
  <c r="R349" i="4"/>
  <c r="R357" i="4"/>
  <c r="R340" i="4"/>
  <c r="R348" i="4"/>
  <c r="R332" i="4"/>
  <c r="R339" i="4"/>
  <c r="R347" i="4"/>
  <c r="R333" i="4"/>
  <c r="R338" i="4"/>
  <c r="R346" i="4"/>
  <c r="R354" i="4"/>
  <c r="R359" i="4"/>
  <c r="R334" i="4"/>
  <c r="R337" i="4"/>
  <c r="R345" i="4"/>
  <c r="R353" i="4"/>
  <c r="R352" i="4"/>
  <c r="R367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335" i="4"/>
  <c r="R344" i="4"/>
  <c r="R351" i="4"/>
  <c r="R366" i="4"/>
  <c r="R374" i="4"/>
  <c r="R355" i="4"/>
  <c r="R365" i="4"/>
  <c r="R356" i="4"/>
  <c r="R364" i="4"/>
  <c r="R343" i="4"/>
  <c r="R350" i="4"/>
  <c r="R363" i="4"/>
  <c r="R371" i="4"/>
  <c r="R342" i="4"/>
  <c r="R361" i="4"/>
  <c r="R368" i="4"/>
  <c r="R336" i="4"/>
  <c r="R358" i="4"/>
  <c r="R370" i="4"/>
  <c r="R360" i="4"/>
  <c r="R414" i="4"/>
  <c r="R422" i="4"/>
  <c r="R430" i="4"/>
  <c r="R421" i="4"/>
  <c r="R429" i="4"/>
  <c r="R372" i="4"/>
  <c r="R419" i="4"/>
  <c r="R427" i="4"/>
  <c r="R435" i="4"/>
  <c r="R443" i="4"/>
  <c r="R418" i="4"/>
  <c r="R426" i="4"/>
  <c r="R434" i="4"/>
  <c r="R415" i="4"/>
  <c r="R431" i="4"/>
  <c r="R437" i="4"/>
  <c r="R362" i="4"/>
  <c r="R432" i="4"/>
  <c r="R440" i="4"/>
  <c r="R448" i="4"/>
  <c r="R441" i="4"/>
  <c r="R450" i="4"/>
  <c r="R423" i="4"/>
  <c r="R428" i="4"/>
  <c r="R436" i="4"/>
  <c r="R417" i="4"/>
  <c r="R463" i="4"/>
  <c r="R373" i="4"/>
  <c r="R444" i="4"/>
  <c r="R452" i="4"/>
  <c r="R453" i="4"/>
  <c r="R454" i="4"/>
  <c r="R460" i="4"/>
  <c r="R438" i="4"/>
  <c r="R471" i="4"/>
  <c r="R479" i="4"/>
  <c r="R424" i="4"/>
  <c r="R416" i="4"/>
  <c r="R465" i="4"/>
  <c r="R473" i="4"/>
  <c r="R481" i="4"/>
  <c r="R445" i="4"/>
  <c r="R462" i="4"/>
  <c r="R464" i="4"/>
  <c r="R466" i="4"/>
  <c r="R470" i="4"/>
  <c r="R478" i="4"/>
  <c r="R486" i="4"/>
  <c r="R487" i="4"/>
  <c r="R420" i="4"/>
  <c r="R433" i="4"/>
  <c r="R439" i="4"/>
  <c r="R442" i="4"/>
  <c r="R447" i="4"/>
  <c r="R449" i="4"/>
  <c r="R451" i="4"/>
  <c r="R369" i="4"/>
  <c r="R455" i="4"/>
  <c r="R474" i="4"/>
  <c r="R475" i="4"/>
  <c r="R477" i="4"/>
  <c r="R489" i="4"/>
  <c r="R493" i="4"/>
  <c r="R497" i="4"/>
  <c r="R501" i="4"/>
  <c r="R505" i="4"/>
  <c r="R514" i="4"/>
  <c r="R446" i="4"/>
  <c r="R472" i="4"/>
  <c r="R485" i="4"/>
  <c r="R511" i="4"/>
  <c r="R519" i="4"/>
  <c r="R469" i="4"/>
  <c r="R482" i="4"/>
  <c r="R490" i="4"/>
  <c r="R494" i="4"/>
  <c r="R498" i="4"/>
  <c r="R502" i="4"/>
  <c r="R506" i="4"/>
  <c r="R508" i="4"/>
  <c r="R516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476" i="4"/>
  <c r="R513" i="4"/>
  <c r="R521" i="4"/>
  <c r="R425" i="4"/>
  <c r="R468" i="4"/>
  <c r="R517" i="4"/>
  <c r="R457" i="4"/>
  <c r="R459" i="4"/>
  <c r="R461" i="4"/>
  <c r="R467" i="4"/>
  <c r="R495" i="4"/>
  <c r="R503" i="4"/>
  <c r="R518" i="4"/>
  <c r="R515" i="4"/>
  <c r="R488" i="4"/>
  <c r="R496" i="4"/>
  <c r="R504" i="4"/>
  <c r="R512" i="4"/>
  <c r="R456" i="4"/>
  <c r="R458" i="4"/>
  <c r="R507" i="4"/>
  <c r="J618" i="4"/>
  <c r="J610" i="4"/>
  <c r="H603" i="4"/>
  <c r="R599" i="4"/>
  <c r="P592" i="4"/>
  <c r="X589" i="4"/>
  <c r="J586" i="4"/>
  <c r="H579" i="4"/>
  <c r="R575" i="4"/>
  <c r="P568" i="4"/>
  <c r="X565" i="4"/>
  <c r="H563" i="4"/>
  <c r="H555" i="4"/>
  <c r="P552" i="4"/>
  <c r="B549" i="4"/>
  <c r="P544" i="4"/>
  <c r="J538" i="4"/>
  <c r="S342" i="4"/>
  <c r="S350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41" i="4"/>
  <c r="S349" i="4"/>
  <c r="S340" i="4"/>
  <c r="S348" i="4"/>
  <c r="S332" i="4"/>
  <c r="S339" i="4"/>
  <c r="S347" i="4"/>
  <c r="S355" i="4"/>
  <c r="S333" i="4"/>
  <c r="S338" i="4"/>
  <c r="S346" i="4"/>
  <c r="S354" i="4"/>
  <c r="S359" i="4"/>
  <c r="S353" i="4"/>
  <c r="S358" i="4"/>
  <c r="S352" i="4"/>
  <c r="S375" i="4"/>
  <c r="S376" i="4"/>
  <c r="S377" i="4"/>
  <c r="S378" i="4"/>
  <c r="S379" i="4"/>
  <c r="S380" i="4"/>
  <c r="S381" i="4"/>
  <c r="S382" i="4"/>
  <c r="S383" i="4"/>
  <c r="S384" i="4"/>
  <c r="S335" i="4"/>
  <c r="S337" i="4"/>
  <c r="S344" i="4"/>
  <c r="S351" i="4"/>
  <c r="S356" i="4"/>
  <c r="S386" i="4"/>
  <c r="S394" i="4"/>
  <c r="S402" i="4"/>
  <c r="S410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334" i="4"/>
  <c r="S393" i="4"/>
  <c r="S401" i="4"/>
  <c r="S409" i="4"/>
  <c r="S385" i="4"/>
  <c r="S391" i="4"/>
  <c r="S399" i="4"/>
  <c r="S407" i="4"/>
  <c r="S336" i="4"/>
  <c r="S390" i="4"/>
  <c r="S398" i="4"/>
  <c r="S406" i="4"/>
  <c r="S343" i="4"/>
  <c r="S392" i="4"/>
  <c r="S408" i="4"/>
  <c r="S389" i="4"/>
  <c r="S405" i="4"/>
  <c r="S345" i="4"/>
  <c r="S387" i="4"/>
  <c r="S403" i="4"/>
  <c r="S412" i="4"/>
  <c r="S444" i="4"/>
  <c r="S445" i="4"/>
  <c r="S446" i="4"/>
  <c r="S400" i="4"/>
  <c r="S413" i="4"/>
  <c r="S451" i="4"/>
  <c r="S396" i="4"/>
  <c r="S453" i="4"/>
  <c r="S404" i="4"/>
  <c r="S458" i="4"/>
  <c r="S466" i="4"/>
  <c r="S463" i="4"/>
  <c r="S357" i="4"/>
  <c r="S455" i="4"/>
  <c r="S474" i="4"/>
  <c r="S482" i="4"/>
  <c r="S397" i="4"/>
  <c r="S450" i="4"/>
  <c r="S452" i="4"/>
  <c r="S454" i="4"/>
  <c r="S468" i="4"/>
  <c r="S476" i="4"/>
  <c r="S484" i="4"/>
  <c r="S448" i="4"/>
  <c r="S465" i="4"/>
  <c r="S473" i="4"/>
  <c r="S481" i="4"/>
  <c r="S388" i="4"/>
  <c r="S395" i="4"/>
  <c r="S447" i="4"/>
  <c r="S449" i="4"/>
  <c r="S469" i="4"/>
  <c r="S480" i="4"/>
  <c r="S509" i="4"/>
  <c r="S517" i="4"/>
  <c r="S475" i="4"/>
  <c r="S477" i="4"/>
  <c r="S489" i="4"/>
  <c r="S493" i="4"/>
  <c r="S497" i="4"/>
  <c r="S501" i="4"/>
  <c r="S505" i="4"/>
  <c r="S514" i="4"/>
  <c r="S472" i="4"/>
  <c r="S485" i="4"/>
  <c r="S511" i="4"/>
  <c r="S519" i="4"/>
  <c r="S479" i="4"/>
  <c r="S490" i="4"/>
  <c r="S494" i="4"/>
  <c r="S498" i="4"/>
  <c r="S502" i="4"/>
  <c r="S506" i="4"/>
  <c r="S508" i="4"/>
  <c r="S516" i="4"/>
  <c r="S522" i="4"/>
  <c r="S523" i="4"/>
  <c r="S524" i="4"/>
  <c r="S525" i="4"/>
  <c r="S526" i="4"/>
  <c r="S527" i="4"/>
  <c r="S528" i="4"/>
  <c r="S529" i="4"/>
  <c r="S530" i="4"/>
  <c r="S531" i="4"/>
  <c r="S532" i="4"/>
  <c r="S471" i="4"/>
  <c r="S483" i="4"/>
  <c r="S492" i="4"/>
  <c r="S500" i="4"/>
  <c r="S520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470" i="4"/>
  <c r="S521" i="4"/>
  <c r="S457" i="4"/>
  <c r="S459" i="4"/>
  <c r="S461" i="4"/>
  <c r="S467" i="4"/>
  <c r="S487" i="4"/>
  <c r="S495" i="4"/>
  <c r="S503" i="4"/>
  <c r="S518" i="4"/>
  <c r="S533" i="4"/>
  <c r="S486" i="4"/>
  <c r="S515" i="4"/>
  <c r="S478" i="4"/>
  <c r="S491" i="4"/>
  <c r="S499" i="4"/>
  <c r="S510" i="4"/>
  <c r="X635" i="4"/>
  <c r="P634" i="4"/>
  <c r="X632" i="4"/>
  <c r="H631" i="4"/>
  <c r="X629" i="4"/>
  <c r="P628" i="4"/>
  <c r="P627" i="4"/>
  <c r="H626" i="4"/>
  <c r="X624" i="4"/>
  <c r="P623" i="4"/>
  <c r="H622" i="4"/>
  <c r="H620" i="4"/>
  <c r="B612" i="4"/>
  <c r="R606" i="4"/>
  <c r="H602" i="4"/>
  <c r="H594" i="4"/>
  <c r="J585" i="4"/>
  <c r="B572" i="4"/>
  <c r="R566" i="4"/>
  <c r="H562" i="4"/>
  <c r="B556" i="4"/>
  <c r="P543" i="4"/>
  <c r="R492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9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60" i="4"/>
  <c r="G358" i="4"/>
  <c r="G382" i="4"/>
  <c r="G386" i="4"/>
  <c r="G394" i="4"/>
  <c r="G402" i="4"/>
  <c r="G410" i="4"/>
  <c r="G375" i="4"/>
  <c r="G383" i="4"/>
  <c r="G393" i="4"/>
  <c r="G401" i="4"/>
  <c r="G409" i="4"/>
  <c r="G377" i="4"/>
  <c r="G391" i="4"/>
  <c r="G399" i="4"/>
  <c r="G407" i="4"/>
  <c r="G378" i="4"/>
  <c r="G385" i="4"/>
  <c r="G390" i="4"/>
  <c r="G398" i="4"/>
  <c r="G406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376" i="4"/>
  <c r="G400" i="4"/>
  <c r="G397" i="4"/>
  <c r="G414" i="4"/>
  <c r="G395" i="4"/>
  <c r="G384" i="4"/>
  <c r="G392" i="4"/>
  <c r="G408" i="4"/>
  <c r="G403" i="4"/>
  <c r="G413" i="4"/>
  <c r="G448" i="4"/>
  <c r="G449" i="4"/>
  <c r="G450" i="4"/>
  <c r="G451" i="4"/>
  <c r="G452" i="4"/>
  <c r="G453" i="4"/>
  <c r="G454" i="4"/>
  <c r="G379" i="4"/>
  <c r="G389" i="4"/>
  <c r="G396" i="4"/>
  <c r="G446" i="4"/>
  <c r="G380" i="4"/>
  <c r="G404" i="4"/>
  <c r="G411" i="4"/>
  <c r="G447" i="4"/>
  <c r="G388" i="4"/>
  <c r="G443" i="4"/>
  <c r="G457" i="4"/>
  <c r="G465" i="4"/>
  <c r="G412" i="4"/>
  <c r="G445" i="4"/>
  <c r="G462" i="4"/>
  <c r="G455" i="4"/>
  <c r="G473" i="4"/>
  <c r="G481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444" i="4"/>
  <c r="G475" i="4"/>
  <c r="G483" i="4"/>
  <c r="G387" i="4"/>
  <c r="G405" i="4"/>
  <c r="G464" i="4"/>
  <c r="G466" i="4"/>
  <c r="G467" i="4"/>
  <c r="G472" i="4"/>
  <c r="G480" i="4"/>
  <c r="G381" i="4"/>
  <c r="G468" i="4"/>
  <c r="G476" i="4"/>
  <c r="G459" i="4"/>
  <c r="G461" i="4"/>
  <c r="G463" i="4"/>
  <c r="G486" i="4"/>
  <c r="G511" i="4"/>
  <c r="G519" i="4"/>
  <c r="G458" i="4"/>
  <c r="G460" i="4"/>
  <c r="G474" i="4"/>
  <c r="G477" i="4"/>
  <c r="G508" i="4"/>
  <c r="G516" i="4"/>
  <c r="G456" i="4"/>
  <c r="G471" i="4"/>
  <c r="G485" i="4"/>
  <c r="G513" i="4"/>
  <c r="G521" i="4"/>
  <c r="G482" i="4"/>
  <c r="G510" i="4"/>
  <c r="G518" i="4"/>
  <c r="G470" i="4"/>
  <c r="G522" i="4"/>
  <c r="G524" i="4"/>
  <c r="G526" i="4"/>
  <c r="G528" i="4"/>
  <c r="G530" i="4"/>
  <c r="G532" i="4"/>
  <c r="G469" i="4"/>
  <c r="G479" i="4"/>
  <c r="G520" i="4"/>
  <c r="G484" i="4"/>
  <c r="G517" i="4"/>
  <c r="G512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59" i="4"/>
  <c r="O379" i="4"/>
  <c r="O385" i="4"/>
  <c r="O391" i="4"/>
  <c r="O399" i="4"/>
  <c r="O407" i="4"/>
  <c r="O380" i="4"/>
  <c r="O390" i="4"/>
  <c r="O398" i="4"/>
  <c r="O406" i="4"/>
  <c r="O382" i="4"/>
  <c r="O388" i="4"/>
  <c r="O396" i="4"/>
  <c r="O404" i="4"/>
  <c r="O412" i="4"/>
  <c r="O375" i="4"/>
  <c r="O383" i="4"/>
  <c r="O387" i="4"/>
  <c r="O395" i="4"/>
  <c r="O403" i="4"/>
  <c r="O411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381" i="4"/>
  <c r="O389" i="4"/>
  <c r="O405" i="4"/>
  <c r="O376" i="4"/>
  <c r="O386" i="4"/>
  <c r="O402" i="4"/>
  <c r="O378" i="4"/>
  <c r="O400" i="4"/>
  <c r="O413" i="4"/>
  <c r="O358" i="4"/>
  <c r="O397" i="4"/>
  <c r="O392" i="4"/>
  <c r="O447" i="4"/>
  <c r="O448" i="4"/>
  <c r="O449" i="4"/>
  <c r="O450" i="4"/>
  <c r="O451" i="4"/>
  <c r="O452" i="4"/>
  <c r="O453" i="4"/>
  <c r="O454" i="4"/>
  <c r="O384" i="4"/>
  <c r="O394" i="4"/>
  <c r="O443" i="4"/>
  <c r="O455" i="4"/>
  <c r="O462" i="4"/>
  <c r="O409" i="4"/>
  <c r="O459" i="4"/>
  <c r="O408" i="4"/>
  <c r="O464" i="4"/>
  <c r="O466" i="4"/>
  <c r="O470" i="4"/>
  <c r="O478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445" i="4"/>
  <c r="O456" i="4"/>
  <c r="O458" i="4"/>
  <c r="O460" i="4"/>
  <c r="O472" i="4"/>
  <c r="O480" i="4"/>
  <c r="O410" i="4"/>
  <c r="O446" i="4"/>
  <c r="O457" i="4"/>
  <c r="O469" i="4"/>
  <c r="O477" i="4"/>
  <c r="O485" i="4"/>
  <c r="O401" i="4"/>
  <c r="O444" i="4"/>
  <c r="O473" i="4"/>
  <c r="O479" i="4"/>
  <c r="O508" i="4"/>
  <c r="O516" i="4"/>
  <c r="O513" i="4"/>
  <c r="O521" i="4"/>
  <c r="O377" i="4"/>
  <c r="O476" i="4"/>
  <c r="O484" i="4"/>
  <c r="O510" i="4"/>
  <c r="O518" i="4"/>
  <c r="O461" i="4"/>
  <c r="O463" i="4"/>
  <c r="O465" i="4"/>
  <c r="O467" i="4"/>
  <c r="O481" i="4"/>
  <c r="O507" i="4"/>
  <c r="O515" i="4"/>
  <c r="O393" i="4"/>
  <c r="O482" i="4"/>
  <c r="O511" i="4"/>
  <c r="O523" i="4"/>
  <c r="O525" i="4"/>
  <c r="O527" i="4"/>
  <c r="O529" i="4"/>
  <c r="O531" i="4"/>
  <c r="O533" i="4"/>
  <c r="O512" i="4"/>
  <c r="O509" i="4"/>
  <c r="O471" i="4"/>
  <c r="O483" i="4"/>
  <c r="O517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58" i="4"/>
  <c r="W376" i="4"/>
  <c r="W384" i="4"/>
  <c r="W388" i="4"/>
  <c r="W396" i="4"/>
  <c r="W404" i="4"/>
  <c r="W412" i="4"/>
  <c r="W377" i="4"/>
  <c r="W387" i="4"/>
  <c r="W395" i="4"/>
  <c r="W403" i="4"/>
  <c r="W379" i="4"/>
  <c r="W393" i="4"/>
  <c r="W401" i="4"/>
  <c r="W409" i="4"/>
  <c r="W380" i="4"/>
  <c r="W385" i="4"/>
  <c r="W392" i="4"/>
  <c r="W400" i="4"/>
  <c r="W408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394" i="4"/>
  <c r="W381" i="4"/>
  <c r="W391" i="4"/>
  <c r="W407" i="4"/>
  <c r="W383" i="4"/>
  <c r="W389" i="4"/>
  <c r="W405" i="4"/>
  <c r="W411" i="4"/>
  <c r="W378" i="4"/>
  <c r="W386" i="4"/>
  <c r="W402" i="4"/>
  <c r="W359" i="4"/>
  <c r="W375" i="4"/>
  <c r="W444" i="4"/>
  <c r="W447" i="4"/>
  <c r="W448" i="4"/>
  <c r="W449" i="4"/>
  <c r="W450" i="4"/>
  <c r="W451" i="4"/>
  <c r="W452" i="4"/>
  <c r="W453" i="4"/>
  <c r="W374" i="4"/>
  <c r="W382" i="4"/>
  <c r="W445" i="4"/>
  <c r="W390" i="4"/>
  <c r="W397" i="4"/>
  <c r="W413" i="4"/>
  <c r="W459" i="4"/>
  <c r="W456" i="4"/>
  <c r="W464" i="4"/>
  <c r="W457" i="4"/>
  <c r="W467" i="4"/>
  <c r="W475" i="4"/>
  <c r="W483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442" i="4"/>
  <c r="W443" i="4"/>
  <c r="W398" i="4"/>
  <c r="W455" i="4"/>
  <c r="W469" i="4"/>
  <c r="W477" i="4"/>
  <c r="W485" i="4"/>
  <c r="W399" i="4"/>
  <c r="W474" i="4"/>
  <c r="W482" i="4"/>
  <c r="W446" i="4"/>
  <c r="W458" i="4"/>
  <c r="W460" i="4"/>
  <c r="W462" i="4"/>
  <c r="W470" i="4"/>
  <c r="W454" i="4"/>
  <c r="W471" i="4"/>
  <c r="W478" i="4"/>
  <c r="W513" i="4"/>
  <c r="W521" i="4"/>
  <c r="W468" i="4"/>
  <c r="W510" i="4"/>
  <c r="W518" i="4"/>
  <c r="W406" i="4"/>
  <c r="W480" i="4"/>
  <c r="W507" i="4"/>
  <c r="W515" i="4"/>
  <c r="W472" i="4"/>
  <c r="W512" i="4"/>
  <c r="W520" i="4"/>
  <c r="W516" i="4"/>
  <c r="W522" i="4"/>
  <c r="W524" i="4"/>
  <c r="W526" i="4"/>
  <c r="W528" i="4"/>
  <c r="W530" i="4"/>
  <c r="W532" i="4"/>
  <c r="W517" i="4"/>
  <c r="W476" i="4"/>
  <c r="W514" i="4"/>
  <c r="W410" i="4"/>
  <c r="W461" i="4"/>
  <c r="W463" i="4"/>
  <c r="W465" i="4"/>
  <c r="W473" i="4"/>
  <c r="W511" i="4"/>
  <c r="W466" i="4"/>
  <c r="W533" i="4"/>
  <c r="U331" i="4"/>
  <c r="M331" i="4"/>
  <c r="E331" i="4"/>
  <c r="T635" i="4"/>
  <c r="L635" i="4"/>
  <c r="D635" i="4"/>
  <c r="T634" i="4"/>
  <c r="L634" i="4"/>
  <c r="D634" i="4"/>
  <c r="T633" i="4"/>
  <c r="L633" i="4"/>
  <c r="D633" i="4"/>
  <c r="T632" i="4"/>
  <c r="L632" i="4"/>
  <c r="D632" i="4"/>
  <c r="T631" i="4"/>
  <c r="L631" i="4"/>
  <c r="D631" i="4"/>
  <c r="T630" i="4"/>
  <c r="L630" i="4"/>
  <c r="D630" i="4"/>
  <c r="T629" i="4"/>
  <c r="L629" i="4"/>
  <c r="D629" i="4"/>
  <c r="T628" i="4"/>
  <c r="L628" i="4"/>
  <c r="D628" i="4"/>
  <c r="T627" i="4"/>
  <c r="L627" i="4"/>
  <c r="D627" i="4"/>
  <c r="T626" i="4"/>
  <c r="L626" i="4"/>
  <c r="D626" i="4"/>
  <c r="T625" i="4"/>
  <c r="L625" i="4"/>
  <c r="D625" i="4"/>
  <c r="T624" i="4"/>
  <c r="L624" i="4"/>
  <c r="D624" i="4"/>
  <c r="T623" i="4"/>
  <c r="L623" i="4"/>
  <c r="D623" i="4"/>
  <c r="T622" i="4"/>
  <c r="L622" i="4"/>
  <c r="D622" i="4"/>
  <c r="T621" i="4"/>
  <c r="L621" i="4"/>
  <c r="D621" i="4"/>
  <c r="T620" i="4"/>
  <c r="L620" i="4"/>
  <c r="D620" i="4"/>
  <c r="T619" i="4"/>
  <c r="L619" i="4"/>
  <c r="R618" i="4"/>
  <c r="W617" i="4"/>
  <c r="X616" i="4"/>
  <c r="B616" i="4"/>
  <c r="G615" i="4"/>
  <c r="H614" i="4"/>
  <c r="J613" i="4"/>
  <c r="O612" i="4"/>
  <c r="P611" i="4"/>
  <c r="R610" i="4"/>
  <c r="W609" i="4"/>
  <c r="X608" i="4"/>
  <c r="B608" i="4"/>
  <c r="G607" i="4"/>
  <c r="H606" i="4"/>
  <c r="J605" i="4"/>
  <c r="O604" i="4"/>
  <c r="P603" i="4"/>
  <c r="R602" i="4"/>
  <c r="W601" i="4"/>
  <c r="X600" i="4"/>
  <c r="B600" i="4"/>
  <c r="G599" i="4"/>
  <c r="H598" i="4"/>
  <c r="J597" i="4"/>
  <c r="O596" i="4"/>
  <c r="P595" i="4"/>
  <c r="R594" i="4"/>
  <c r="W593" i="4"/>
  <c r="X592" i="4"/>
  <c r="B592" i="4"/>
  <c r="G591" i="4"/>
  <c r="H590" i="4"/>
  <c r="J589" i="4"/>
  <c r="O588" i="4"/>
  <c r="P587" i="4"/>
  <c r="R586" i="4"/>
  <c r="W585" i="4"/>
  <c r="X584" i="4"/>
  <c r="B584" i="4"/>
  <c r="G583" i="4"/>
  <c r="H582" i="4"/>
  <c r="J581" i="4"/>
  <c r="O580" i="4"/>
  <c r="P579" i="4"/>
  <c r="R578" i="4"/>
  <c r="W577" i="4"/>
  <c r="X576" i="4"/>
  <c r="B576" i="4"/>
  <c r="G575" i="4"/>
  <c r="H574" i="4"/>
  <c r="J573" i="4"/>
  <c r="O572" i="4"/>
  <c r="P571" i="4"/>
  <c r="R570" i="4"/>
  <c r="W569" i="4"/>
  <c r="X568" i="4"/>
  <c r="B568" i="4"/>
  <c r="G567" i="4"/>
  <c r="H566" i="4"/>
  <c r="J565" i="4"/>
  <c r="O564" i="4"/>
  <c r="P563" i="4"/>
  <c r="R562" i="4"/>
  <c r="W561" i="4"/>
  <c r="X560" i="4"/>
  <c r="B560" i="4"/>
  <c r="G559" i="4"/>
  <c r="H558" i="4"/>
  <c r="J557" i="4"/>
  <c r="O556" i="4"/>
  <c r="P555" i="4"/>
  <c r="R554" i="4"/>
  <c r="W553" i="4"/>
  <c r="X552" i="4"/>
  <c r="B552" i="4"/>
  <c r="G551" i="4"/>
  <c r="H550" i="4"/>
  <c r="J549" i="4"/>
  <c r="O548" i="4"/>
  <c r="P547" i="4"/>
  <c r="R546" i="4"/>
  <c r="W545" i="4"/>
  <c r="X544" i="4"/>
  <c r="B544" i="4"/>
  <c r="G543" i="4"/>
  <c r="H542" i="4"/>
  <c r="J541" i="4"/>
  <c r="O540" i="4"/>
  <c r="P539" i="4"/>
  <c r="R538" i="4"/>
  <c r="W537" i="4"/>
  <c r="X536" i="4"/>
  <c r="B536" i="4"/>
  <c r="G535" i="4"/>
  <c r="H534" i="4"/>
  <c r="V532" i="4"/>
  <c r="G531" i="4"/>
  <c r="L529" i="4"/>
  <c r="N527" i="4"/>
  <c r="W525" i="4"/>
  <c r="D524" i="4"/>
  <c r="F522" i="4"/>
  <c r="J520" i="4"/>
  <c r="H518" i="4"/>
  <c r="D516" i="4"/>
  <c r="G514" i="4"/>
  <c r="F512" i="4"/>
  <c r="B510" i="4"/>
  <c r="E508" i="4"/>
  <c r="V505" i="4"/>
  <c r="J503" i="4"/>
  <c r="E501" i="4"/>
  <c r="T498" i="4"/>
  <c r="F496" i="4"/>
  <c r="C494" i="4"/>
  <c r="R491" i="4"/>
  <c r="D489" i="4"/>
  <c r="T486" i="4"/>
  <c r="M483" i="4"/>
  <c r="Y479" i="4"/>
  <c r="Y476" i="4"/>
  <c r="B473" i="4"/>
  <c r="O468" i="4"/>
  <c r="B464" i="4"/>
  <c r="Q458" i="4"/>
  <c r="M451" i="4"/>
  <c r="S411" i="4"/>
</calcChain>
</file>

<file path=xl/sharedStrings.xml><?xml version="1.0" encoding="utf-8"?>
<sst xmlns="http://schemas.openxmlformats.org/spreadsheetml/2006/main" count="3121" uniqueCount="455">
  <si>
    <t>Name</t>
  </si>
  <si>
    <t>Bio Sample</t>
  </si>
  <si>
    <t>QC Average</t>
  </si>
  <si>
    <t>QC CV</t>
  </si>
  <si>
    <t>Group Area: pos-m1c1</t>
  </si>
  <si>
    <t>Group Area: pos-m1c2</t>
  </si>
  <si>
    <t>Group Area: pos-m1c3</t>
  </si>
  <si>
    <t>Group Area: pos-m1c4</t>
  </si>
  <si>
    <t>Group Area: pos-m1c5</t>
  </si>
  <si>
    <t>Group Area: pos-m1c6</t>
  </si>
  <si>
    <t>Group Area: pos-m1c7</t>
  </si>
  <si>
    <t>Group Area: pos-m1c8</t>
  </si>
  <si>
    <t>Group Area: pos-m2c1</t>
  </si>
  <si>
    <t>Group Area: pos-m2c2</t>
  </si>
  <si>
    <t>Group Area: pos-m2c3</t>
  </si>
  <si>
    <t>Group Area: pos-m2c4</t>
  </si>
  <si>
    <t>Group Area: pos-m2c5</t>
  </si>
  <si>
    <t>Group Area: pos-m2c6</t>
  </si>
  <si>
    <t>Group Area: pos-m2c7</t>
  </si>
  <si>
    <t>Group Area: pos-m2c8</t>
  </si>
  <si>
    <t>Group Area: pos-m3c1</t>
  </si>
  <si>
    <t>Group Area: pos-m3c2</t>
  </si>
  <si>
    <t>Group Area: pos-m3c3</t>
  </si>
  <si>
    <t>Group Area: pos-m3c4</t>
  </si>
  <si>
    <t>Group Area: pos-m3c5</t>
  </si>
  <si>
    <t>Group Area: pos-m3c6</t>
  </si>
  <si>
    <t>Group Area: pos-m3c7</t>
  </si>
  <si>
    <t>Group Area: pos-m3c8</t>
  </si>
  <si>
    <t>Group Area: pos-QC1</t>
  </si>
  <si>
    <t>Group Area: pos-QC2</t>
  </si>
  <si>
    <t>Group Area: pos-QC3</t>
  </si>
  <si>
    <t>Group Area: pos-QC4</t>
  </si>
  <si>
    <t>QC Stdev</t>
  </si>
  <si>
    <t>(-)-D-erythro-Sphingosine</t>
  </si>
  <si>
    <t>(-)-Riboflavin</t>
  </si>
  <si>
    <t>(+/-)-Camphor</t>
  </si>
  <si>
    <t>(1S)-6,7-Dihydroxy-1-methyl-1,2,3,4-tetrahydro-1-isoquinoliniumcarboxylate</t>
  </si>
  <si>
    <t>(2-Dodecen-1-yl)succinic anhydride</t>
  </si>
  <si>
    <t>(2R)-2-[(3Z,7E,11Z)-13-Hydroxy-4,8,12-trimethyl-3,7,11-tridecatrien-1-yl]-2,5,7,8-tetramethyl-6-chromanol</t>
  </si>
  <si>
    <t>(3R,5S)-1-Pyrroline-3-hydroxy-5-carboxylic acid</t>
  </si>
  <si>
    <t>(5E)-7-{3-[(1E)-3-Hydroxy-1-octen-1-yl]-2,6-dioxabicyclo[3.1.1]hept-4-yl}-5-heptenoic acid</t>
  </si>
  <si>
    <t>(5E,7E)-9,10-Secocholesta-5,7,10-triene-3,25-diol</t>
  </si>
  <si>
    <t>(5Z,8Z,11Z,14Z)-5,8,11,14-Icosatetraenoate</t>
  </si>
  <si>
    <t>(6R,10S)-13-[(2R)-6-Hydroxy-2,7,8-trimethyl-3,4-dihydro-2H-chromen-2-yl]-2,6,10-trimethyltridecanoic acid</t>
  </si>
  <si>
    <t>(6R,10S)-13-[(2S)-6-Hydroxy-2,5,7,8-tetramethyl-3,4-dihydro-2H-chromen-2-yl]-2,6,10-trimethyltridecanoic acid</t>
  </si>
  <si>
    <t>(7Z,10Z,13Z,16Z,19Z)-7,10,13,16,19-Docosapentaenoic acid</t>
  </si>
  <si>
    <t>(E)-2-methyl-2-Pentenedioic acid</t>
  </si>
  <si>
    <t>(E)-Ferulic acid</t>
  </si>
  <si>
    <t>(E)-p-Coumaric acid</t>
  </si>
  <si>
    <t>(S)-(-)-Limonene</t>
  </si>
  <si>
    <t>?-Aminobutyric acid</t>
  </si>
  <si>
    <t>1,5-Isoquinolinediol</t>
  </si>
  <si>
    <t>12-Hydroperoxy-5,8,10,14-eicosatetraenoic acid</t>
  </si>
  <si>
    <t>12-oxo Phytodienoic Acid</t>
  </si>
  <si>
    <t>12-S-Hydroxyeicosatetraenoic acid</t>
  </si>
  <si>
    <t>13(S)-HOTrE</t>
  </si>
  <si>
    <t>13-Hydroxy-alpha-tocopherol</t>
  </si>
  <si>
    <t>15-Hydroxy-5,8,11,13,17-icosapentaenoic acid</t>
  </si>
  <si>
    <t>15S-Hydroxyeicosatrienoic acid</t>
  </si>
  <si>
    <t>1-Methyladenine</t>
  </si>
  <si>
    <t>1-Methyladenosine</t>
  </si>
  <si>
    <t>2-(2-amino-3-methylbutanamido)-3-phenylpropanoic acid</t>
  </si>
  <si>
    <t>2-(4-hydroxy-3-methoxyphenyl) Ethanal</t>
  </si>
  <si>
    <t>2-(N(Omega)-L-arginine)succinic acid</t>
  </si>
  <si>
    <t>2,3,4,5-Tetrahydro-2-pyridinecarboxylate</t>
  </si>
  <si>
    <t>2,4-Bis(decyloxy)benzoic acid</t>
  </si>
  <si>
    <t>2,6-Diammonio-2,3,4,6-tetradeoxy-L-erythro-hexonate</t>
  </si>
  <si>
    <t>2-Acetamido-2-deoxy-6-O-phosphono-D-glucose</t>
  </si>
  <si>
    <t>2-Acetamido-5-oxopentanoate</t>
  </si>
  <si>
    <t>2-Aminomuconic acid</t>
  </si>
  <si>
    <t>2-Aminosuccinamate</t>
  </si>
  <si>
    <t>2'-Deoxyadenosine</t>
  </si>
  <si>
    <t>2-Ethyl-2-phenylmalonamide</t>
  </si>
  <si>
    <t>2-Hydroxyphenylalanine</t>
  </si>
  <si>
    <t>2-Methyl-1,2,3,4-tetrahydro-4,6,7-isoquinolinetriol</t>
  </si>
  <si>
    <t>2-methyl-3-hydroxy-4-carboxy-5-hydroxymethylpyridine</t>
  </si>
  <si>
    <t>2-Methylbutyrylglycine</t>
  </si>
  <si>
    <t>2-Methylnicotinamide</t>
  </si>
  <si>
    <t>3-(4-Oxo-4,5-dihydro-1H-imidazol-5-id-5-yl)propanoate</t>
  </si>
  <si>
    <t>3-Hydroxyanthranilate</t>
  </si>
  <si>
    <t>3-Methylcrotonyl Glycine</t>
  </si>
  <si>
    <t>4-[(3-Aminopropyl)amino]butanoic acid</t>
  </si>
  <si>
    <t>4-Aminobenzoic acid</t>
  </si>
  <si>
    <t>4-Chromanol</t>
  </si>
  <si>
    <t>4-Guanidinobutyric acid</t>
  </si>
  <si>
    <t>4-Hydroperoxy-2-nonenal</t>
  </si>
  <si>
    <t>4-Hydroxybenzaldehyde</t>
  </si>
  <si>
    <t>4-Methyl-5-thiazoleethanol</t>
  </si>
  <si>
    <t>4-Morpholinylacetic acid</t>
  </si>
  <si>
    <t>4-Nitrophenolate anion</t>
  </si>
  <si>
    <t>4-Phenylbutyric acid</t>
  </si>
  <si>
    <t>5,6-Indolinediol</t>
  </si>
  <si>
    <t>5-amino-Levulinate</t>
  </si>
  <si>
    <t>5-Aminovaleric acid</t>
  </si>
  <si>
    <t>5-Hydroxyindole-3-acetic acid</t>
  </si>
  <si>
    <t>5-Methoxy-3-indoleaceate</t>
  </si>
  <si>
    <t>5α-Dihydrotestosterone</t>
  </si>
  <si>
    <t>6,13-Bis(hydroxymethyl)-2,6-dimethyltetracyclo[10.3.1.0~1,10~.0~2,7~]hexadecane-5,13-diol</t>
  </si>
  <si>
    <t>6-O-Phosphono-alpha-D-glucopyranose</t>
  </si>
  <si>
    <t>7-Methylguanine</t>
  </si>
  <si>
    <t>8-Hydroxyquinoline</t>
  </si>
  <si>
    <t>Acetophenone</t>
  </si>
  <si>
    <t>Acetylcholine</t>
  </si>
  <si>
    <t>Acetyl-L-carnitine</t>
  </si>
  <si>
    <t>Acetyl-β-methylcholine</t>
  </si>
  <si>
    <t>Adenine</t>
  </si>
  <si>
    <t>Adenosine</t>
  </si>
  <si>
    <t>Adenylthiomethylpentose</t>
  </si>
  <si>
    <t>Adrenaline</t>
  </si>
  <si>
    <t>Aetoacetic acid</t>
  </si>
  <si>
    <t>a-Ketoisocaproate</t>
  </si>
  <si>
    <t>ALK</t>
  </si>
  <si>
    <t>Aminoadipate</t>
  </si>
  <si>
    <t>ANK</t>
  </si>
  <si>
    <t>Anthranilate</t>
  </si>
  <si>
    <t>Asparagine</t>
  </si>
  <si>
    <t>a-Tocospiro A</t>
  </si>
  <si>
    <t>Azelaic acid</t>
  </si>
  <si>
    <t>Benzenediol</t>
  </si>
  <si>
    <t>Benzoate ion</t>
  </si>
  <si>
    <t>Biopterin</t>
  </si>
  <si>
    <t>Biotin</t>
  </si>
  <si>
    <t>Cadaverine</t>
  </si>
  <si>
    <t>Caffeate</t>
  </si>
  <si>
    <t>Caprolactam</t>
  </si>
  <si>
    <t>Carnosine</t>
  </si>
  <si>
    <t>Choline</t>
  </si>
  <si>
    <t>Citraconic acid</t>
  </si>
  <si>
    <t>Coumarin</t>
  </si>
  <si>
    <t>Creatine</t>
  </si>
  <si>
    <t>Creatinine</t>
  </si>
  <si>
    <t>Cyclophosphamide</t>
  </si>
  <si>
    <t>Cytidine</t>
  </si>
  <si>
    <t>Cytosine</t>
  </si>
  <si>
    <t>D-(-)-Aspartic acid</t>
  </si>
  <si>
    <t>D-(-)-Leucic acid</t>
  </si>
  <si>
    <t>D-(+)-Maltose</t>
  </si>
  <si>
    <t>D-(+)-Pipecolinic acid</t>
  </si>
  <si>
    <t>D-(+)-Proline</t>
  </si>
  <si>
    <t>D-(+)-Pyroglutamic Acid</t>
  </si>
  <si>
    <t>Daidzein</t>
  </si>
  <si>
    <t>delta-1-Pyrroline-2-carboxylate</t>
  </si>
  <si>
    <t>Deoxycholic acid</t>
  </si>
  <si>
    <t>Deoxycorticosterone 21-glucoside</t>
  </si>
  <si>
    <t>Dihexyl phthalate</t>
  </si>
  <si>
    <t>Dihomo-gamma-linolenic acid</t>
  </si>
  <si>
    <t>Dihydroxyindole</t>
  </si>
  <si>
    <t>DL-Carnitine</t>
  </si>
  <si>
    <t>DL-Glutamine</t>
  </si>
  <si>
    <t>DL-Homoserine</t>
  </si>
  <si>
    <t>DL-Lysine</t>
  </si>
  <si>
    <t>DL-Serine</t>
  </si>
  <si>
    <t>DL-Stachydrine</t>
  </si>
  <si>
    <t>DL-Tryptophan</t>
  </si>
  <si>
    <t>DL-α-Aminocaprylic acid</t>
  </si>
  <si>
    <t>Dopamine</t>
  </si>
  <si>
    <t>D-Ornithine</t>
  </si>
  <si>
    <t>Ethyl 3-Indoleacetate</t>
  </si>
  <si>
    <t>FMH</t>
  </si>
  <si>
    <t>Fructoselysine</t>
  </si>
  <si>
    <t>Fructosylglycine</t>
  </si>
  <si>
    <t>gamma-Aminobutyric acid</t>
  </si>
  <si>
    <t>Genistein</t>
  </si>
  <si>
    <t>g-Guanidinobutyrate</t>
  </si>
  <si>
    <t>GLK</t>
  </si>
  <si>
    <t>Glycerophosphocholine</t>
  </si>
  <si>
    <t>Glycine</t>
  </si>
  <si>
    <t>Glycylproline</t>
  </si>
  <si>
    <t>Guanine</t>
  </si>
  <si>
    <t>Guanosine</t>
  </si>
  <si>
    <t>Guvacoline</t>
  </si>
  <si>
    <t>Hippuric acid</t>
  </si>
  <si>
    <t>Histamine</t>
  </si>
  <si>
    <t>Histidinol</t>
  </si>
  <si>
    <t>Hypoxanthine</t>
  </si>
  <si>
    <t>Kanosamine</t>
  </si>
  <si>
    <t>Keto-4-methylthiobutyrate</t>
  </si>
  <si>
    <t>Kynurenate</t>
  </si>
  <si>
    <t>Kynurenic acid</t>
  </si>
  <si>
    <t>L(-)-Carnitine</t>
  </si>
  <si>
    <t>L-(-)-Methionine</t>
  </si>
  <si>
    <t>L(-)-Pipecolinic acid</t>
  </si>
  <si>
    <t>L-(-)-Serine</t>
  </si>
  <si>
    <t>L-(-)-Threonine</t>
  </si>
  <si>
    <t>L-(+)-Alanine</t>
  </si>
  <si>
    <t>L-(+)-Citrulline</t>
  </si>
  <si>
    <t>L-(+)-Glutamic acid</t>
  </si>
  <si>
    <t>L-(+)-Leucine</t>
  </si>
  <si>
    <t>L-(+)-Lysine</t>
  </si>
  <si>
    <t>L-(+)-Mandelic Acid</t>
  </si>
  <si>
    <t>L-2-Aminoadipic acid</t>
  </si>
  <si>
    <t>L-Citrulline</t>
  </si>
  <si>
    <t>L-Dopa</t>
  </si>
  <si>
    <t>L-Dopaquinone</t>
  </si>
  <si>
    <t>L-Fucopyranose 1-phosphate</t>
  </si>
  <si>
    <t>L-Glutamic acid</t>
  </si>
  <si>
    <t>L-Histidine</t>
  </si>
  <si>
    <t>Linoleate</t>
  </si>
  <si>
    <t>Linoleoyl ethanolamide</t>
  </si>
  <si>
    <t>L-Isoleucine</t>
  </si>
  <si>
    <t>L-Methionine sulfoxide</t>
  </si>
  <si>
    <t>LNK</t>
  </si>
  <si>
    <t>L-Phenylalanine</t>
  </si>
  <si>
    <t>LPK</t>
  </si>
  <si>
    <t>L-Tyrosine</t>
  </si>
  <si>
    <t>L-Valine</t>
  </si>
  <si>
    <t>Methylhippuric acid</t>
  </si>
  <si>
    <t>Muramic acid</t>
  </si>
  <si>
    <t>N~2~-Acetyl-L-ornithine</t>
  </si>
  <si>
    <t>N3,N4-Dimethyl-L-arginine</t>
  </si>
  <si>
    <t>N6,N6,N6-Trimethyl-L-lysine</t>
  </si>
  <si>
    <t>N6-Acetyl-L-lysine</t>
  </si>
  <si>
    <t>N8-Acetylspermidine</t>
  </si>
  <si>
    <t>N-Acetyl-b-D-glucosamine</t>
  </si>
  <si>
    <t>N-Acetylhistamine</t>
  </si>
  <si>
    <t>N-Acetyl-L-asparagine</t>
  </si>
  <si>
    <t>N-Acetyl-L-glutamic acid</t>
  </si>
  <si>
    <t>N-Acetyl-L-leucine</t>
  </si>
  <si>
    <t>N-Acetylneuraminic acid</t>
  </si>
  <si>
    <t>N-Acetylornithine</t>
  </si>
  <si>
    <t>N-Acetylputrescine</t>
  </si>
  <si>
    <t>N-Benzylformamide</t>
  </si>
  <si>
    <t>n-Glycyl-DL-leucine</t>
  </si>
  <si>
    <t>Nicotinamide</t>
  </si>
  <si>
    <t>Nicotinic acid</t>
  </si>
  <si>
    <t>N-methylethanolamine phosphate</t>
  </si>
  <si>
    <t>N-Methylimidazoleacetic acid</t>
  </si>
  <si>
    <t>NNK</t>
  </si>
  <si>
    <t>Norepinephrine</t>
  </si>
  <si>
    <t>N-α-L-Acetyl-arginine</t>
  </si>
  <si>
    <t>Pantothenate</t>
  </si>
  <si>
    <t>Paracetamol</t>
  </si>
  <si>
    <t>Perillic acid</t>
  </si>
  <si>
    <t>Phenylacetate</t>
  </si>
  <si>
    <t>Phloroglucinol</t>
  </si>
  <si>
    <t>Pipecolic acid</t>
  </si>
  <si>
    <t>Pirbuterol</t>
  </si>
  <si>
    <t>Prolylleucine</t>
  </si>
  <si>
    <t>Pseudoecgonine</t>
  </si>
  <si>
    <t>Putrescine</t>
  </si>
  <si>
    <t>Pyridoxal</t>
  </si>
  <si>
    <t>Pyridoxine</t>
  </si>
  <si>
    <t>S-Adenosylmethionine</t>
  </si>
  <si>
    <t>Salsolinol</t>
  </si>
  <si>
    <t>Sedanolide</t>
  </si>
  <si>
    <t>SLK</t>
  </si>
  <si>
    <t>Sucrose</t>
  </si>
  <si>
    <t>Taurine</t>
  </si>
  <si>
    <t>Taurocholic acid</t>
  </si>
  <si>
    <t>Thymidine</t>
  </si>
  <si>
    <t>Thymine</t>
  </si>
  <si>
    <t>TLK</t>
  </si>
  <si>
    <t>trans,trans-2,4-Heptadienal</t>
  </si>
  <si>
    <t>trans-3-Indoleacrylic acid</t>
  </si>
  <si>
    <t>Trigonelline</t>
  </si>
  <si>
    <t>Trimethylamine N-oxide</t>
  </si>
  <si>
    <t>Tyramine</t>
  </si>
  <si>
    <t>Uracil</t>
  </si>
  <si>
    <t>Urea</t>
  </si>
  <si>
    <t>Valerophenone</t>
  </si>
  <si>
    <t>Valylproline</t>
  </si>
  <si>
    <t>VLK</t>
  </si>
  <si>
    <t>VNK</t>
  </si>
  <si>
    <t>Xanthine</t>
  </si>
  <si>
    <t>Xanthosine</t>
  </si>
  <si>
    <t>Xanthurenic acid</t>
  </si>
  <si>
    <t>Yakkasterone</t>
  </si>
  <si>
    <t>(±)9-HpODE</t>
  </si>
  <si>
    <t>(10E)-9-Hydroperoxy-11-(3-pentyl-2-oxiranyl)-10-undecenoic acid</t>
  </si>
  <si>
    <t>(5E)-7-{4-Hydroxy-2-[(1E)-3-hydroxy-1-octen-1-yl]-6-oxotetrahydro-2H-pyran-3-yl}-5-heptenoic acid</t>
  </si>
  <si>
    <t>1,5-Anhydro-D-glucitol</t>
  </si>
  <si>
    <t>11(Z),14(Z)-Eicosadienoic Acid</t>
  </si>
  <si>
    <t>11(Z)-Eicosenoic acid</t>
  </si>
  <si>
    <t>16-Hydroxyhexadecanoic acid</t>
  </si>
  <si>
    <t>2-Methylcitric acid</t>
  </si>
  <si>
    <t>2-Oxoadipic acid</t>
  </si>
  <si>
    <t>3,8,9-trihydroxy-10-propyl-3,4,5,8,9,10-hexahydro-2H-oxecin-2-one</t>
  </si>
  <si>
    <t>3-dehydro-L-Gulonic acid</t>
  </si>
  <si>
    <t>3-Deoxy-D-glycero-D-galacto-2-nonulosonic Acid</t>
  </si>
  <si>
    <t>3-Hydroxy-3-methylglutaric acid</t>
  </si>
  <si>
    <t>3-Isopropylmalic acid</t>
  </si>
  <si>
    <t>3-O-beta-D-Galactosyl-sn-glycerol</t>
  </si>
  <si>
    <t>4-Hydroxyphenylacetic acid</t>
  </si>
  <si>
    <t>4-Oxoproline</t>
  </si>
  <si>
    <t>4-Pyridoxic acid</t>
  </si>
  <si>
    <t>4-Toluic acid</t>
  </si>
  <si>
    <t>5,5-Dimethylhydantoin</t>
  </si>
  <si>
    <t>6-Hydroxycaproic acid</t>
  </si>
  <si>
    <t>alpha-D-Mannopyranose</t>
  </si>
  <si>
    <t>Arachidic Acid</t>
  </si>
  <si>
    <t>Cortisol</t>
  </si>
  <si>
    <t>D-(-)-Glutamine</t>
  </si>
  <si>
    <t>D-(-)-Quinic acid</t>
  </si>
  <si>
    <t>D-(+)-Arabitol</t>
  </si>
  <si>
    <t>D-(+)-Glucose</t>
  </si>
  <si>
    <t>Deoxyinosine</t>
  </si>
  <si>
    <t>D-Glucose 6-phosphate</t>
  </si>
  <si>
    <t>DL-Malic acid</t>
  </si>
  <si>
    <t>Docosahexaenoic Acid</t>
  </si>
  <si>
    <t>D-α-Hydroxyglutaric acid</t>
  </si>
  <si>
    <t>Equol</t>
  </si>
  <si>
    <t>Ethyl myristate</t>
  </si>
  <si>
    <t>Ferulic acid</t>
  </si>
  <si>
    <t>Gluconic acid</t>
  </si>
  <si>
    <t>Homovanillic acid</t>
  </si>
  <si>
    <t>Imidazolelactic acid</t>
  </si>
  <si>
    <t>Indole-2-carboxylic acid</t>
  </si>
  <si>
    <t>Isocitrate</t>
  </si>
  <si>
    <t>L-Aspartic acid</t>
  </si>
  <si>
    <t>L-Cysteinesulfinic acid</t>
  </si>
  <si>
    <t>Leucylproline</t>
  </si>
  <si>
    <t>Linoleic acid</t>
  </si>
  <si>
    <t>Lithocholic acid</t>
  </si>
  <si>
    <t>L-Threonic acid</t>
  </si>
  <si>
    <t>Margaric acid</t>
  </si>
  <si>
    <t>Methylmalonic acid</t>
  </si>
  <si>
    <t>Mevalonate</t>
  </si>
  <si>
    <t>Mevalonic acid</t>
  </si>
  <si>
    <t>Myristate</t>
  </si>
  <si>
    <t>N-Acetylalanine</t>
  </si>
  <si>
    <t>N-Acetyl-D-alloisoleucine</t>
  </si>
  <si>
    <t>N-Acetyl-D-galactosamine 4-sulfate</t>
  </si>
  <si>
    <t>N-Acetyl-DL-glutamic acid</t>
  </si>
  <si>
    <t>N-Acetyl-DL-norvaline</t>
  </si>
  <si>
    <t>N-Acetyl-DL-tryptophan</t>
  </si>
  <si>
    <t>N-Acetyl-L-aspartic acid</t>
  </si>
  <si>
    <t>N-Acetyl-L-seryl-L-aspartic acid</t>
  </si>
  <si>
    <t>N-Acetyl-α-D-glucosamine 1-phosphate</t>
  </si>
  <si>
    <t>Oleic acid</t>
  </si>
  <si>
    <t>Ornithine</t>
  </si>
  <si>
    <t>Pantothenic acid</t>
  </si>
  <si>
    <t>Pentadecanoic acid</t>
  </si>
  <si>
    <t>Pentonic acid</t>
  </si>
  <si>
    <t>Picolinic acid</t>
  </si>
  <si>
    <t>Pseudouridine</t>
  </si>
  <si>
    <t>Sebacic acid</t>
  </si>
  <si>
    <t>Stachyose</t>
  </si>
  <si>
    <t>Stearic acid</t>
  </si>
  <si>
    <t>Suberic acid</t>
  </si>
  <si>
    <t>Syringic acid</t>
  </si>
  <si>
    <t>Threonine</t>
  </si>
  <si>
    <t>Tyramine sulfate</t>
  </si>
  <si>
    <t>Tyrosol</t>
  </si>
  <si>
    <t>Uridine</t>
  </si>
  <si>
    <t>Vanillyl mandelic acid</t>
  </si>
  <si>
    <t>α,α-Trehalose</t>
  </si>
  <si>
    <t>β-D-Glucopyranuronic acid</t>
  </si>
  <si>
    <t>β-Muricholic acid</t>
  </si>
  <si>
    <t>δ-Gluconic acid δ-lactone</t>
  </si>
  <si>
    <t>Leucic acid</t>
  </si>
  <si>
    <t>Quinic acid</t>
  </si>
  <si>
    <t>Arabitol</t>
  </si>
  <si>
    <t>Glucose</t>
  </si>
  <si>
    <t>Maltose</t>
  </si>
  <si>
    <t>Pipecolinic acid</t>
  </si>
  <si>
    <t>Proline</t>
  </si>
  <si>
    <t>Pyroglutamic Acid</t>
  </si>
  <si>
    <t>Carnitine</t>
  </si>
  <si>
    <t>Glutamine</t>
  </si>
  <si>
    <t>Homoserine</t>
  </si>
  <si>
    <t>Lysine</t>
  </si>
  <si>
    <t>Malic acid</t>
  </si>
  <si>
    <t>Serine</t>
  </si>
  <si>
    <t>Stachydrine</t>
  </si>
  <si>
    <t>Tryptophan</t>
  </si>
  <si>
    <t>α-Aminocaprylic acid</t>
  </si>
  <si>
    <t>α-Hydroxyglutaric acid</t>
  </si>
  <si>
    <t>Methionine</t>
  </si>
  <si>
    <t>Alanine</t>
  </si>
  <si>
    <t>Citrulline</t>
  </si>
  <si>
    <t>Glutamic acid</t>
  </si>
  <si>
    <t>Leucine</t>
  </si>
  <si>
    <t>Mandelic Acid</t>
  </si>
  <si>
    <t>2-Aminoadipic acid</t>
  </si>
  <si>
    <t>Aspartic acid</t>
  </si>
  <si>
    <t>Cysteinesulfinic acid</t>
  </si>
  <si>
    <t>Isoleucine</t>
  </si>
  <si>
    <t>Methionine sulfoxide</t>
  </si>
  <si>
    <t>Phenylalanine</t>
  </si>
  <si>
    <t>Threonic acid</t>
  </si>
  <si>
    <t>Tyrosine</t>
  </si>
  <si>
    <t>Valine</t>
  </si>
  <si>
    <t>D-erythro-Sphingosine</t>
  </si>
  <si>
    <t>Riboflavin</t>
  </si>
  <si>
    <t>Group</t>
  </si>
  <si>
    <t>m1c1</t>
  </si>
  <si>
    <t>m1c2</t>
  </si>
  <si>
    <t>m1c3</t>
  </si>
  <si>
    <t>m1c4</t>
  </si>
  <si>
    <t>m1c5</t>
  </si>
  <si>
    <t>m1c6</t>
  </si>
  <si>
    <t>m1c7</t>
  </si>
  <si>
    <t>m1c8</t>
  </si>
  <si>
    <t>m2c1</t>
  </si>
  <si>
    <t>m2c2</t>
  </si>
  <si>
    <t>m2c3</t>
  </si>
  <si>
    <t>m2c4</t>
  </si>
  <si>
    <t>m2c5</t>
  </si>
  <si>
    <t>m2c6</t>
  </si>
  <si>
    <t>m2c7</t>
  </si>
  <si>
    <t>m2c8</t>
  </si>
  <si>
    <t>m3c1</t>
  </si>
  <si>
    <t>m3c2</t>
  </si>
  <si>
    <t>m3c3</t>
  </si>
  <si>
    <t>m3c4</t>
  </si>
  <si>
    <t>m3c5</t>
  </si>
  <si>
    <t>m3c6</t>
  </si>
  <si>
    <t>m3c7</t>
  </si>
  <si>
    <t>m3c8</t>
  </si>
  <si>
    <t>QC1</t>
  </si>
  <si>
    <t>QC2</t>
  </si>
  <si>
    <t>QC3</t>
  </si>
  <si>
    <t>QC4</t>
  </si>
  <si>
    <t>Quality Control</t>
  </si>
  <si>
    <t>stool pellet</t>
  </si>
  <si>
    <t>feces weight (mg)</t>
  </si>
  <si>
    <t>Normalization</t>
  </si>
  <si>
    <t>D-Alanyl-D-alanine</t>
  </si>
  <si>
    <t>Dehydroalanine</t>
  </si>
  <si>
    <t>DL-Arginine</t>
  </si>
  <si>
    <t>DLK</t>
  </si>
  <si>
    <t>Ethanolamine</t>
  </si>
  <si>
    <t>Glucosamine</t>
  </si>
  <si>
    <t>Glycyl-L-leucine</t>
  </si>
  <si>
    <t>Imidazole-4-acetaldehyde</t>
  </si>
  <si>
    <t>Inosine</t>
  </si>
  <si>
    <t>L-(-)-Phenylalanine</t>
  </si>
  <si>
    <t>L-(-)-Tyrosine</t>
  </si>
  <si>
    <t>L(+)-Ornithine</t>
  </si>
  <si>
    <t>Pipemidic acid</t>
  </si>
  <si>
    <t>Thiamine</t>
  </si>
  <si>
    <t>Tolycaine</t>
  </si>
  <si>
    <t>D-Sedoheptulose 7-phosphate</t>
  </si>
  <si>
    <t>Glucosamine 6-sulfate</t>
  </si>
  <si>
    <t>Camphor</t>
  </si>
  <si>
    <t>9-HpODE</t>
  </si>
  <si>
    <t>p-Coumaric acid</t>
  </si>
  <si>
    <t>Limonene</t>
  </si>
  <si>
    <t>Arginine</t>
  </si>
  <si>
    <t>Sedoheptulose 7-phosphate</t>
  </si>
  <si>
    <t>Blautia obeum</t>
  </si>
  <si>
    <t>Blautia massiliensis</t>
  </si>
  <si>
    <t>Agathobacter rectalis</t>
  </si>
  <si>
    <t>PBS</t>
  </si>
  <si>
    <t>t test</t>
  </si>
  <si>
    <t>Comparison</t>
  </si>
  <si>
    <t>Rank</t>
  </si>
  <si>
    <t>FDR-adjusted</t>
  </si>
  <si>
    <t>Fold Change</t>
  </si>
  <si>
    <t>raw p value</t>
  </si>
  <si>
    <t>Yes</t>
  </si>
  <si>
    <t>Metabolites</t>
  </si>
  <si>
    <t>Pearson r</t>
  </si>
  <si>
    <t>p value</t>
  </si>
  <si>
    <t>Significant?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</si>
</sst>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242424"/>
      <name val="Calibri"/>
      <family val="2"/>
      <charset val="1"/>
    </font>
    <font>
      <sz val="11"/>
      <color rgb="FFFF0000"/>
      <name val="Calibri"/>
      <family val="2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FFF00"/>
        <bgColor indexed="64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2" fontId="0" fillId="0" borderId="1" xfId="0" applyNumberFormat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1" fillId="0" borderId="0" xfId="0" applyFont="1"/>
    <xf numFmtId="0" fontId="0" fillId="4" borderId="0" xfId="0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4"/>
  <sheetViews>
    <sheetView topLeftCell="I31" workbookViewId="0">
      <selection activeCell="A52" sqref="A1:AI334"/>
    </sheetView>
  </sheetViews>
  <sheetFormatPr defaultRowHeight="14.25" x14ac:dyDescent="0.45"/>
  <cols>
    <col min="1" max="1" width="39.19921875" customWidth="1"/>
    <col min="2" max="3" width="13.265625" bestFit="1" customWidth="1"/>
  </cols>
  <sheetData>
    <row r="1" spans="1:35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2</v>
      </c>
      <c r="AH1" s="4" t="s">
        <v>32</v>
      </c>
      <c r="AI1" s="4" t="s">
        <v>3</v>
      </c>
    </row>
    <row r="2" spans="1:35" x14ac:dyDescent="0.45">
      <c r="A2" s="5" t="s">
        <v>33</v>
      </c>
      <c r="B2" s="2">
        <f t="shared" ref="B2:B65" si="0">AVERAGE(E2:AB2)</f>
        <v>17690810.733986225</v>
      </c>
      <c r="C2" s="2">
        <v>15494138.442699952</v>
      </c>
      <c r="D2" s="2">
        <v>0.19838131902543876</v>
      </c>
      <c r="E2" s="5">
        <v>21883718.341834299</v>
      </c>
      <c r="F2" s="5">
        <v>11912114.422312999</v>
      </c>
      <c r="G2" s="5">
        <v>23597354.971396901</v>
      </c>
      <c r="H2" s="5">
        <v>5613983.86495627</v>
      </c>
      <c r="I2" s="5">
        <v>6085419.0733747398</v>
      </c>
      <c r="J2" s="5">
        <v>7299218.0064872298</v>
      </c>
      <c r="K2" s="5">
        <v>22502399.321678899</v>
      </c>
      <c r="L2" s="5">
        <v>17511381.884822901</v>
      </c>
      <c r="M2" s="5">
        <v>10891662.392170001</v>
      </c>
      <c r="N2" s="5">
        <v>15006798.6110096</v>
      </c>
      <c r="O2" s="5">
        <v>73142400.489822298</v>
      </c>
      <c r="P2" s="5">
        <v>12516956.9218888</v>
      </c>
      <c r="Q2" s="5">
        <v>19639608.986221399</v>
      </c>
      <c r="R2" s="5">
        <v>9271692.3254160509</v>
      </c>
      <c r="S2" s="5">
        <v>48688040.623436697</v>
      </c>
      <c r="T2" s="5">
        <v>7501240.2665676698</v>
      </c>
      <c r="U2" s="5">
        <v>10376562.0606909</v>
      </c>
      <c r="V2" s="5">
        <v>9890704.6793970391</v>
      </c>
      <c r="W2" s="5">
        <v>24011709.756106898</v>
      </c>
      <c r="X2" s="5">
        <v>4991735.7418332603</v>
      </c>
      <c r="Y2" s="5">
        <v>21200686.058452699</v>
      </c>
      <c r="Z2" s="5">
        <v>8777733.1161430608</v>
      </c>
      <c r="AA2" s="5">
        <v>20522954.222675599</v>
      </c>
      <c r="AB2" s="5">
        <v>11743381.4769731</v>
      </c>
      <c r="AC2" s="5">
        <v>17221643.7710924</v>
      </c>
      <c r="AD2" s="5">
        <v>18907844.2703893</v>
      </c>
      <c r="AE2" s="5">
        <v>13418550.5953131</v>
      </c>
      <c r="AF2" s="5">
        <v>12428515.134005001</v>
      </c>
      <c r="AG2">
        <f t="shared" ref="AG2:AG65" si="1">AVERAGE(AC2:AF2)</f>
        <v>15494138.442699952</v>
      </c>
      <c r="AH2">
        <f t="shared" ref="AH2:AH65" si="2">STDEV(AC2:AF2)</f>
        <v>3073747.6214255742</v>
      </c>
      <c r="AI2">
        <f t="shared" ref="AI2:AI65" si="3">AH2/AG2</f>
        <v>0.19838131902543876</v>
      </c>
    </row>
    <row r="3" spans="1:35" x14ac:dyDescent="0.45">
      <c r="A3" s="5" t="s">
        <v>34</v>
      </c>
      <c r="B3" s="2">
        <f t="shared" si="0"/>
        <v>6438084.6889592409</v>
      </c>
      <c r="C3" s="2">
        <v>5007401.4369326979</v>
      </c>
      <c r="D3" s="2">
        <v>2.4009210133501928E-2</v>
      </c>
      <c r="E3" s="5">
        <v>3794748.4249442201</v>
      </c>
      <c r="F3" s="5">
        <v>4310999.7825389402</v>
      </c>
      <c r="G3" s="5">
        <v>4953911.8165616998</v>
      </c>
      <c r="H3" s="5">
        <v>1968475.37334268</v>
      </c>
      <c r="I3" s="5">
        <v>5946882.6653754497</v>
      </c>
      <c r="J3" s="5">
        <v>4571667.3840758102</v>
      </c>
      <c r="K3" s="5">
        <v>6248448.9527443899</v>
      </c>
      <c r="L3" s="5">
        <v>5664215.5182956196</v>
      </c>
      <c r="M3" s="5">
        <v>5306601.8405828504</v>
      </c>
      <c r="N3" s="5">
        <v>6281514.0462283697</v>
      </c>
      <c r="O3" s="5">
        <v>6331461.3385651</v>
      </c>
      <c r="P3" s="5">
        <v>3828957.83223157</v>
      </c>
      <c r="Q3" s="5">
        <v>10381632.5066528</v>
      </c>
      <c r="R3" s="5">
        <v>3901831.2636178201</v>
      </c>
      <c r="S3" s="5">
        <v>7937046.9154758202</v>
      </c>
      <c r="T3" s="5">
        <v>26085511.737129901</v>
      </c>
      <c r="U3" s="5">
        <v>4901268.4123248998</v>
      </c>
      <c r="V3" s="5">
        <v>4556939.6023547798</v>
      </c>
      <c r="W3" s="5">
        <v>6522663.4077686202</v>
      </c>
      <c r="X3" s="5">
        <v>3735681.1031531901</v>
      </c>
      <c r="Y3" s="5">
        <v>7883383.5615427401</v>
      </c>
      <c r="Z3" s="5">
        <v>5599153.4881790597</v>
      </c>
      <c r="AA3" s="5">
        <v>7516574.2496370897</v>
      </c>
      <c r="AB3" s="5">
        <v>6284461.3116983902</v>
      </c>
      <c r="AC3" s="5">
        <v>5021399.1562205199</v>
      </c>
      <c r="AD3" s="5">
        <v>4942788.2714294996</v>
      </c>
      <c r="AE3" s="5">
        <v>5170021.7479359899</v>
      </c>
      <c r="AF3" s="5">
        <v>4895396.5721447803</v>
      </c>
      <c r="AG3">
        <f t="shared" si="1"/>
        <v>5007401.4369326979</v>
      </c>
      <c r="AH3">
        <f t="shared" si="2"/>
        <v>120223.75332211665</v>
      </c>
      <c r="AI3">
        <f t="shared" si="3"/>
        <v>2.4009210133501928E-2</v>
      </c>
    </row>
    <row r="4" spans="1:35" x14ac:dyDescent="0.45">
      <c r="A4" s="5" t="s">
        <v>35</v>
      </c>
      <c r="B4" s="2">
        <f t="shared" si="0"/>
        <v>26804188.41557068</v>
      </c>
      <c r="C4" s="2">
        <v>30145094.784653723</v>
      </c>
      <c r="D4" s="2">
        <v>5.4555181698817179E-2</v>
      </c>
      <c r="E4" s="5">
        <v>11222771.6002813</v>
      </c>
      <c r="F4" s="5">
        <v>27373704.228146799</v>
      </c>
      <c r="G4" s="5">
        <v>10916183.345577501</v>
      </c>
      <c r="H4" s="5">
        <v>17970060.630536001</v>
      </c>
      <c r="I4" s="5">
        <v>33177384.232498199</v>
      </c>
      <c r="J4" s="5">
        <v>40846588.854305297</v>
      </c>
      <c r="K4" s="5">
        <v>40814598.02651</v>
      </c>
      <c r="L4" s="5">
        <v>25882730.457765501</v>
      </c>
      <c r="M4" s="5">
        <v>56000874.6184908</v>
      </c>
      <c r="N4" s="5">
        <v>18634952.320512801</v>
      </c>
      <c r="O4" s="5">
        <v>12181510.4835047</v>
      </c>
      <c r="P4" s="5">
        <v>20780139.346427102</v>
      </c>
      <c r="Q4" s="5">
        <v>29499545.2441696</v>
      </c>
      <c r="R4" s="5">
        <v>22529351.412358701</v>
      </c>
      <c r="S4" s="5">
        <v>23759063.193296898</v>
      </c>
      <c r="T4" s="5">
        <v>9193461.5920003597</v>
      </c>
      <c r="U4" s="5">
        <v>45045470.061291099</v>
      </c>
      <c r="V4" s="5">
        <v>27658867.272604499</v>
      </c>
      <c r="W4" s="5">
        <v>26384446.232909501</v>
      </c>
      <c r="X4" s="5">
        <v>37348960.3640389</v>
      </c>
      <c r="Y4" s="5">
        <v>20553128.8825415</v>
      </c>
      <c r="Z4" s="5">
        <v>19497259.831912301</v>
      </c>
      <c r="AA4" s="5">
        <v>35138172.896098197</v>
      </c>
      <c r="AB4" s="5">
        <v>30891296.845918801</v>
      </c>
      <c r="AC4" s="5">
        <v>27965055.8224026</v>
      </c>
      <c r="AD4" s="5">
        <v>29873568.674084</v>
      </c>
      <c r="AE4" s="5">
        <v>31746683.507836599</v>
      </c>
      <c r="AF4" s="5">
        <v>30995071.134291701</v>
      </c>
      <c r="AG4">
        <f t="shared" si="1"/>
        <v>30145094.784653723</v>
      </c>
      <c r="AH4">
        <f t="shared" si="2"/>
        <v>1644571.12330485</v>
      </c>
      <c r="AI4">
        <f t="shared" si="3"/>
        <v>5.4555181698817179E-2</v>
      </c>
    </row>
    <row r="5" spans="1:35" x14ac:dyDescent="0.45">
      <c r="A5" s="5" t="s">
        <v>267</v>
      </c>
      <c r="B5" s="2">
        <f t="shared" si="0"/>
        <v>117130766.46963085</v>
      </c>
      <c r="C5" s="2">
        <v>101582466.46948245</v>
      </c>
      <c r="D5" s="2">
        <v>1.9669146795877321E-2</v>
      </c>
      <c r="E5" s="5">
        <v>79107250.291050494</v>
      </c>
      <c r="F5" s="5">
        <v>95008427.584666595</v>
      </c>
      <c r="G5" s="5">
        <v>56506100.780163899</v>
      </c>
      <c r="H5" s="5">
        <v>246524726.32971501</v>
      </c>
      <c r="I5" s="5">
        <v>45647790.563068002</v>
      </c>
      <c r="J5" s="5">
        <v>39944089.523049504</v>
      </c>
      <c r="K5" s="5">
        <v>231343892.36664599</v>
      </c>
      <c r="L5" s="5">
        <v>68932562.989898905</v>
      </c>
      <c r="M5" s="5">
        <v>115347528.703601</v>
      </c>
      <c r="N5" s="5">
        <v>143954576.54498199</v>
      </c>
      <c r="O5" s="5">
        <v>88614997.701842204</v>
      </c>
      <c r="P5" s="5">
        <v>244104094.61377099</v>
      </c>
      <c r="Q5" s="5">
        <v>87022510.785054103</v>
      </c>
      <c r="R5" s="5">
        <v>42329519.698886603</v>
      </c>
      <c r="S5" s="5">
        <v>51922651.332871802</v>
      </c>
      <c r="T5" s="5">
        <v>485889742.57856399</v>
      </c>
      <c r="U5" s="5">
        <v>210448560.80559701</v>
      </c>
      <c r="V5" s="5">
        <v>92007670.640441701</v>
      </c>
      <c r="W5" s="5">
        <v>79868066.759954199</v>
      </c>
      <c r="X5" s="5">
        <v>116395021.87644</v>
      </c>
      <c r="Y5" s="5">
        <v>21003884.202804402</v>
      </c>
      <c r="Z5" s="5">
        <v>38733468.594340503</v>
      </c>
      <c r="AA5" s="5">
        <v>56282423.874110103</v>
      </c>
      <c r="AB5" s="5">
        <v>74198836.129620895</v>
      </c>
      <c r="AC5" s="5">
        <v>103442875.008993</v>
      </c>
      <c r="AD5" s="5">
        <v>98748314.300242797</v>
      </c>
      <c r="AE5" s="5">
        <v>102002742.19750001</v>
      </c>
      <c r="AF5" s="5">
        <v>102135934.37119401</v>
      </c>
      <c r="AG5">
        <f t="shared" si="1"/>
        <v>101582466.46948245</v>
      </c>
      <c r="AH5">
        <f t="shared" si="2"/>
        <v>1998040.444875536</v>
      </c>
      <c r="AI5">
        <f t="shared" si="3"/>
        <v>1.9669146795877321E-2</v>
      </c>
    </row>
    <row r="6" spans="1:35" x14ac:dyDescent="0.45">
      <c r="A6" s="5" t="s">
        <v>268</v>
      </c>
      <c r="B6" s="2">
        <f t="shared" si="0"/>
        <v>61801825.077701218</v>
      </c>
      <c r="C6" s="2">
        <v>55072972.064555228</v>
      </c>
      <c r="D6" s="2">
        <v>2.1283839376467842E-2</v>
      </c>
      <c r="E6" s="5">
        <v>75345850.730866</v>
      </c>
      <c r="F6" s="5">
        <v>61915617.043654598</v>
      </c>
      <c r="G6" s="5">
        <v>50029380.772060104</v>
      </c>
      <c r="H6" s="5">
        <v>40885692.749117702</v>
      </c>
      <c r="I6" s="5">
        <v>52849893.491137899</v>
      </c>
      <c r="J6" s="5">
        <v>53049330.852642797</v>
      </c>
      <c r="K6" s="5">
        <v>84116109.700296894</v>
      </c>
      <c r="L6" s="5">
        <v>52490045.022516102</v>
      </c>
      <c r="M6" s="5">
        <v>95965616.2612845</v>
      </c>
      <c r="N6" s="5">
        <v>43339211.627363399</v>
      </c>
      <c r="O6" s="5">
        <v>86457873.819209993</v>
      </c>
      <c r="P6" s="5">
        <v>30527231.223404799</v>
      </c>
      <c r="Q6" s="5">
        <v>48976534.200910002</v>
      </c>
      <c r="R6" s="5">
        <v>50486333.924070902</v>
      </c>
      <c r="S6" s="5">
        <v>50153267.510801703</v>
      </c>
      <c r="T6" s="5">
        <v>100171770.339747</v>
      </c>
      <c r="U6" s="5">
        <v>112605508.90070499</v>
      </c>
      <c r="V6" s="5">
        <v>51517847.953360602</v>
      </c>
      <c r="W6" s="5">
        <v>66599271.856720597</v>
      </c>
      <c r="X6" s="5">
        <v>77540533.349484906</v>
      </c>
      <c r="Y6" s="5">
        <v>33522336.5591597</v>
      </c>
      <c r="Z6" s="5">
        <v>56051817.513710603</v>
      </c>
      <c r="AA6" s="5">
        <v>59904168.711342096</v>
      </c>
      <c r="AB6" s="5">
        <v>48742557.751261503</v>
      </c>
      <c r="AC6" s="5">
        <v>56741820.294224396</v>
      </c>
      <c r="AD6" s="5">
        <v>54032787.406869002</v>
      </c>
      <c r="AE6" s="5">
        <v>54589436.408894703</v>
      </c>
      <c r="AF6" s="5">
        <v>54927844.148232803</v>
      </c>
      <c r="AG6">
        <f t="shared" si="1"/>
        <v>55072972.064555228</v>
      </c>
      <c r="AH6">
        <f t="shared" si="2"/>
        <v>1172164.2914066941</v>
      </c>
      <c r="AI6">
        <f t="shared" si="3"/>
        <v>2.1283839376467842E-2</v>
      </c>
    </row>
    <row r="7" spans="1:35" x14ac:dyDescent="0.45">
      <c r="A7" s="5" t="s">
        <v>36</v>
      </c>
      <c r="B7" s="2">
        <f t="shared" si="0"/>
        <v>17067279.368629184</v>
      </c>
      <c r="C7" s="2">
        <v>12316862.722100126</v>
      </c>
      <c r="D7" s="2">
        <v>0.11357139189313661</v>
      </c>
      <c r="E7" s="5">
        <v>8383763.3458479298</v>
      </c>
      <c r="F7" s="5">
        <v>6983852.7725216402</v>
      </c>
      <c r="G7" s="5">
        <v>19883181.175872002</v>
      </c>
      <c r="H7" s="5">
        <v>25849052.737084299</v>
      </c>
      <c r="I7" s="5">
        <v>8541618.6611038707</v>
      </c>
      <c r="J7" s="5">
        <v>9016184.4443127494</v>
      </c>
      <c r="K7" s="5">
        <v>26830433.3579599</v>
      </c>
      <c r="L7" s="5">
        <v>20920075.442821398</v>
      </c>
      <c r="M7" s="5">
        <v>5724707.9623893304</v>
      </c>
      <c r="N7" s="5">
        <v>12115428.8973675</v>
      </c>
      <c r="O7" s="5">
        <v>25374100.947886299</v>
      </c>
      <c r="P7" s="5">
        <v>28577960.191169702</v>
      </c>
      <c r="Q7" s="5">
        <v>3341474.6931849499</v>
      </c>
      <c r="R7" s="5">
        <v>34161793.124871597</v>
      </c>
      <c r="S7" s="5">
        <v>29445928.280573498</v>
      </c>
      <c r="T7" s="5">
        <v>28596401.542687099</v>
      </c>
      <c r="U7" s="5">
        <v>3695059.79196632</v>
      </c>
      <c r="V7" s="5">
        <v>12659113.7665687</v>
      </c>
      <c r="W7" s="5">
        <v>14308708.9072599</v>
      </c>
      <c r="X7" s="5">
        <v>25635564.487869199</v>
      </c>
      <c r="Y7" s="5">
        <v>2708660.5524059799</v>
      </c>
      <c r="Z7" s="5">
        <v>9609234.0868422296</v>
      </c>
      <c r="AA7" s="5">
        <v>43200434.801208802</v>
      </c>
      <c r="AB7" s="5">
        <v>4051970.8753255201</v>
      </c>
      <c r="AC7" s="5">
        <v>12368266.6168688</v>
      </c>
      <c r="AD7" s="5">
        <v>12775342.5369936</v>
      </c>
      <c r="AE7" s="5">
        <v>10399475.3107778</v>
      </c>
      <c r="AF7" s="5">
        <v>13724366.423760301</v>
      </c>
      <c r="AG7">
        <f t="shared" si="1"/>
        <v>12316862.722100126</v>
      </c>
      <c r="AH7">
        <f t="shared" si="2"/>
        <v>1398843.2431055987</v>
      </c>
      <c r="AI7">
        <f t="shared" si="3"/>
        <v>0.11357139189313661</v>
      </c>
    </row>
    <row r="8" spans="1:35" x14ac:dyDescent="0.45">
      <c r="A8" s="5" t="s">
        <v>37</v>
      </c>
      <c r="B8" s="2">
        <f t="shared" si="0"/>
        <v>25064857.102938533</v>
      </c>
      <c r="C8" s="2">
        <v>25789459.308086425</v>
      </c>
      <c r="D8" s="2">
        <v>2.0404041960615009E-2</v>
      </c>
      <c r="E8" s="5">
        <v>35334575.493547499</v>
      </c>
      <c r="F8" s="5">
        <v>28297413.538245901</v>
      </c>
      <c r="G8" s="5">
        <v>20617511.0105533</v>
      </c>
      <c r="H8" s="5">
        <v>20674098.1003328</v>
      </c>
      <c r="I8" s="5">
        <v>27373147.863927901</v>
      </c>
      <c r="J8" s="5">
        <v>29911349.939321902</v>
      </c>
      <c r="K8" s="5">
        <v>31506908.477357</v>
      </c>
      <c r="L8" s="5">
        <v>23968559.887555901</v>
      </c>
      <c r="M8" s="5">
        <v>36321582.469314203</v>
      </c>
      <c r="N8" s="5">
        <v>18973697.654916301</v>
      </c>
      <c r="O8" s="5">
        <v>30364070.681552801</v>
      </c>
      <c r="P8" s="5">
        <v>16762962.286130499</v>
      </c>
      <c r="Q8" s="5">
        <v>20179779.482656799</v>
      </c>
      <c r="R8" s="5">
        <v>11868127.985095499</v>
      </c>
      <c r="S8" s="5">
        <v>20748441.994557202</v>
      </c>
      <c r="T8" s="5">
        <v>27120257.404696502</v>
      </c>
      <c r="U8" s="5">
        <v>36344844.968899898</v>
      </c>
      <c r="V8" s="5">
        <v>17880428.4690497</v>
      </c>
      <c r="W8" s="5">
        <v>23598030.9191138</v>
      </c>
      <c r="X8" s="5">
        <v>31361325.971753601</v>
      </c>
      <c r="Y8" s="5">
        <v>19346842.591584601</v>
      </c>
      <c r="Z8" s="5">
        <v>22052744.059505999</v>
      </c>
      <c r="AA8" s="5">
        <v>24132656.349437799</v>
      </c>
      <c r="AB8" s="5">
        <v>26817212.871417399</v>
      </c>
      <c r="AC8" s="5">
        <v>25600748.231525201</v>
      </c>
      <c r="AD8" s="5">
        <v>26297189.466731202</v>
      </c>
      <c r="AE8" s="5">
        <v>26123102.900389299</v>
      </c>
      <c r="AF8" s="5">
        <v>25136796.633699998</v>
      </c>
      <c r="AG8">
        <f t="shared" si="1"/>
        <v>25789459.308086425</v>
      </c>
      <c r="AH8">
        <f t="shared" si="2"/>
        <v>526209.20986376877</v>
      </c>
      <c r="AI8">
        <f t="shared" si="3"/>
        <v>2.0404041960615009E-2</v>
      </c>
    </row>
    <row r="9" spans="1:35" x14ac:dyDescent="0.45">
      <c r="A9" s="5" t="s">
        <v>38</v>
      </c>
      <c r="B9" s="2">
        <f t="shared" si="0"/>
        <v>16057395.103481986</v>
      </c>
      <c r="C9" s="2">
        <v>15931791.186801825</v>
      </c>
      <c r="D9" s="2">
        <v>0.16960828316781856</v>
      </c>
      <c r="E9" s="5">
        <v>22240103.3582213</v>
      </c>
      <c r="F9" s="5">
        <v>20320043.1403604</v>
      </c>
      <c r="G9" s="5">
        <v>7758337.3365562102</v>
      </c>
      <c r="H9" s="5">
        <v>27183715.230270799</v>
      </c>
      <c r="I9" s="5">
        <v>14363561.674943101</v>
      </c>
      <c r="J9" s="5">
        <v>16636573.6355871</v>
      </c>
      <c r="K9" s="5">
        <v>14941099.2565645</v>
      </c>
      <c r="L9" s="5">
        <v>9243198.6792709902</v>
      </c>
      <c r="M9" s="5">
        <v>14371637.394386901</v>
      </c>
      <c r="N9" s="5">
        <v>24199735.698990598</v>
      </c>
      <c r="O9" s="5">
        <v>31392575.399015199</v>
      </c>
      <c r="P9" s="5">
        <v>13631147.0040549</v>
      </c>
      <c r="Q9" s="5">
        <v>11536349.164746599</v>
      </c>
      <c r="R9" s="5">
        <v>23166416.302883901</v>
      </c>
      <c r="S9" s="5">
        <v>16941023.316720501</v>
      </c>
      <c r="T9" s="5">
        <v>13830371.123634599</v>
      </c>
      <c r="U9" s="5">
        <v>15953473.1058685</v>
      </c>
      <c r="V9" s="5">
        <v>11321001.406595999</v>
      </c>
      <c r="W9" s="5">
        <v>9653852.4871366192</v>
      </c>
      <c r="X9" s="5">
        <v>12604638.360569101</v>
      </c>
      <c r="Y9" s="5">
        <v>6079821.7003457202</v>
      </c>
      <c r="Z9" s="5">
        <v>20447297.479107</v>
      </c>
      <c r="AA9" s="5">
        <v>13002592.174551001</v>
      </c>
      <c r="AB9" s="5">
        <v>14558918.0531861</v>
      </c>
      <c r="AC9" s="5">
        <v>19087245.9900042</v>
      </c>
      <c r="AD9" s="5">
        <v>13671954.7468831</v>
      </c>
      <c r="AE9" s="5">
        <v>13689512.036785699</v>
      </c>
      <c r="AF9" s="5">
        <v>17278451.973534301</v>
      </c>
      <c r="AG9">
        <f t="shared" si="1"/>
        <v>15931791.186801825</v>
      </c>
      <c r="AH9">
        <f t="shared" si="2"/>
        <v>2702163.7509816401</v>
      </c>
      <c r="AI9">
        <f t="shared" si="3"/>
        <v>0.16960828316781856</v>
      </c>
    </row>
    <row r="10" spans="1:35" x14ac:dyDescent="0.45">
      <c r="A10" s="5" t="s">
        <v>39</v>
      </c>
      <c r="B10" s="2">
        <f t="shared" si="0"/>
        <v>65146756.546994664</v>
      </c>
      <c r="C10" s="2">
        <v>49147607.636503153</v>
      </c>
      <c r="D10" s="2">
        <v>5.5263385561683941E-2</v>
      </c>
      <c r="E10" s="5">
        <v>28752544.6167849</v>
      </c>
      <c r="F10" s="5">
        <v>54879684.399627797</v>
      </c>
      <c r="G10" s="5">
        <v>36889659.825171597</v>
      </c>
      <c r="H10" s="5">
        <v>87452911.7591483</v>
      </c>
      <c r="I10" s="5">
        <v>124871812.638586</v>
      </c>
      <c r="J10" s="5">
        <v>93541205.359110296</v>
      </c>
      <c r="K10" s="5">
        <v>31438254.070438001</v>
      </c>
      <c r="L10" s="5">
        <v>44999960.211597003</v>
      </c>
      <c r="M10" s="5">
        <v>42668850.7057252</v>
      </c>
      <c r="N10" s="5">
        <v>43662951.771904103</v>
      </c>
      <c r="O10" s="5">
        <v>177430878.02428901</v>
      </c>
      <c r="P10" s="5">
        <v>59262588.216159701</v>
      </c>
      <c r="Q10" s="5">
        <v>61389700.171481699</v>
      </c>
      <c r="R10" s="5">
        <v>46924881.966085799</v>
      </c>
      <c r="S10" s="5">
        <v>36345247.579809599</v>
      </c>
      <c r="T10" s="5">
        <v>232894167.769925</v>
      </c>
      <c r="U10" s="5">
        <v>30327462.762488201</v>
      </c>
      <c r="V10" s="5">
        <v>48626837.464085802</v>
      </c>
      <c r="W10" s="5">
        <v>35360216.425193101</v>
      </c>
      <c r="X10" s="5">
        <v>90477759.207083493</v>
      </c>
      <c r="Y10" s="5">
        <v>28812024.170425601</v>
      </c>
      <c r="Z10" s="5">
        <v>38538002.084274001</v>
      </c>
      <c r="AA10" s="5">
        <v>54345938.591724202</v>
      </c>
      <c r="AB10" s="5">
        <v>33628617.336753502</v>
      </c>
      <c r="AC10" s="5">
        <v>46060697.301805802</v>
      </c>
      <c r="AD10" s="5">
        <v>50905190.199217603</v>
      </c>
      <c r="AE10" s="5">
        <v>47735094.385320403</v>
      </c>
      <c r="AF10" s="5">
        <v>51889448.659668803</v>
      </c>
      <c r="AG10">
        <f t="shared" si="1"/>
        <v>49147607.636503153</v>
      </c>
      <c r="AH10">
        <f t="shared" si="2"/>
        <v>2716063.1902504358</v>
      </c>
      <c r="AI10">
        <f t="shared" si="3"/>
        <v>5.5263385561683941E-2</v>
      </c>
    </row>
    <row r="11" spans="1:35" x14ac:dyDescent="0.45">
      <c r="A11" s="5" t="s">
        <v>40</v>
      </c>
      <c r="B11" s="2">
        <f t="shared" si="0"/>
        <v>19519230.42585944</v>
      </c>
      <c r="C11" s="2">
        <v>19001979.339989975</v>
      </c>
      <c r="D11" s="2">
        <v>3.4517718090643891E-2</v>
      </c>
      <c r="E11" s="5">
        <v>25500472.8560348</v>
      </c>
      <c r="F11" s="5">
        <v>22601546.379236002</v>
      </c>
      <c r="G11" s="5">
        <v>18290221.696195301</v>
      </c>
      <c r="H11" s="5">
        <v>15427200.0785638</v>
      </c>
      <c r="I11" s="5">
        <v>18692012.656461202</v>
      </c>
      <c r="J11" s="5">
        <v>22815099.301512498</v>
      </c>
      <c r="K11" s="5">
        <v>23956026.996922199</v>
      </c>
      <c r="L11" s="5">
        <v>17638197.737114001</v>
      </c>
      <c r="M11" s="5">
        <v>23377058.420962099</v>
      </c>
      <c r="N11" s="5">
        <v>20896065.705451101</v>
      </c>
      <c r="O11" s="5">
        <v>17163281.170955699</v>
      </c>
      <c r="P11" s="5">
        <v>18301908.3794576</v>
      </c>
      <c r="Q11" s="5">
        <v>18462928.632025</v>
      </c>
      <c r="R11" s="5">
        <v>16517832.1777425</v>
      </c>
      <c r="S11" s="5">
        <v>20758501.816831399</v>
      </c>
      <c r="T11" s="5">
        <v>4643799.0659681195</v>
      </c>
      <c r="U11" s="5">
        <v>20489042.212133799</v>
      </c>
      <c r="V11" s="5">
        <v>19824278.305764101</v>
      </c>
      <c r="W11" s="5">
        <v>17077734.1873773</v>
      </c>
      <c r="X11" s="5">
        <v>20798629.6051041</v>
      </c>
      <c r="Y11" s="5">
        <v>18519332.0938094</v>
      </c>
      <c r="Z11" s="5">
        <v>22606117.219689701</v>
      </c>
      <c r="AA11" s="5">
        <v>22527398.253299799</v>
      </c>
      <c r="AB11" s="5">
        <v>21576845.272015098</v>
      </c>
      <c r="AC11" s="5">
        <v>19717395.901257399</v>
      </c>
      <c r="AD11" s="5">
        <v>18831267.5201496</v>
      </c>
      <c r="AE11" s="5">
        <v>19277951.218294099</v>
      </c>
      <c r="AF11" s="5">
        <v>18181302.720258798</v>
      </c>
      <c r="AG11">
        <f t="shared" si="1"/>
        <v>19001979.339989975</v>
      </c>
      <c r="AH11">
        <f t="shared" si="2"/>
        <v>655904.96602201345</v>
      </c>
      <c r="AI11">
        <f t="shared" si="3"/>
        <v>3.4517718090643891E-2</v>
      </c>
    </row>
    <row r="12" spans="1:35" x14ac:dyDescent="0.45">
      <c r="A12" s="5" t="s">
        <v>269</v>
      </c>
      <c r="B12" s="2">
        <f t="shared" si="0"/>
        <v>6122366.9173922548</v>
      </c>
      <c r="C12" s="2">
        <v>5486413.9350690544</v>
      </c>
      <c r="D12" s="2">
        <v>7.1588812488975612E-2</v>
      </c>
      <c r="E12" s="5">
        <v>7534566.20852248</v>
      </c>
      <c r="F12" s="5">
        <v>6431007.7443915997</v>
      </c>
      <c r="G12" s="5">
        <v>7085808.3501704698</v>
      </c>
      <c r="H12" s="5">
        <v>6323254.1780016897</v>
      </c>
      <c r="I12" s="5">
        <v>4864010.7113510296</v>
      </c>
      <c r="J12" s="5">
        <v>5387679.2672331799</v>
      </c>
      <c r="K12" s="5">
        <v>5997925.9755105497</v>
      </c>
      <c r="L12" s="5">
        <v>7373183.7989508603</v>
      </c>
      <c r="M12" s="5">
        <v>5552564.0728104301</v>
      </c>
      <c r="N12" s="5">
        <v>7243411.4540186003</v>
      </c>
      <c r="O12" s="5">
        <v>2700533.3758851602</v>
      </c>
      <c r="P12" s="5">
        <v>6380026.2575646397</v>
      </c>
      <c r="Q12" s="5">
        <v>5106671.1226845598</v>
      </c>
      <c r="R12" s="5">
        <v>8006608.3860511901</v>
      </c>
      <c r="S12" s="5">
        <v>8352704.6687939903</v>
      </c>
      <c r="T12" s="5">
        <v>4309480.10757853</v>
      </c>
      <c r="U12" s="5">
        <v>5566158.6577258697</v>
      </c>
      <c r="V12" s="5">
        <v>4570961.6792879198</v>
      </c>
      <c r="W12" s="5">
        <v>5618225.1194996098</v>
      </c>
      <c r="X12" s="5">
        <v>5336871.39109274</v>
      </c>
      <c r="Y12" s="5">
        <v>7035133.3707763497</v>
      </c>
      <c r="Z12" s="5">
        <v>7174613.2887183698</v>
      </c>
      <c r="AA12" s="5">
        <v>6504012.0208540903</v>
      </c>
      <c r="AB12" s="5">
        <v>6481394.8099402301</v>
      </c>
      <c r="AC12" s="5">
        <v>5192040.7460679403</v>
      </c>
      <c r="AD12" s="5">
        <v>5982902.2222134601</v>
      </c>
      <c r="AE12" s="5">
        <v>5619037.3742404701</v>
      </c>
      <c r="AF12" s="5">
        <v>5151675.3977543497</v>
      </c>
      <c r="AG12">
        <f t="shared" si="1"/>
        <v>5486413.9350690544</v>
      </c>
      <c r="AH12">
        <f t="shared" si="2"/>
        <v>392765.85843456135</v>
      </c>
      <c r="AI12">
        <f t="shared" si="3"/>
        <v>7.1588812488975612E-2</v>
      </c>
    </row>
    <row r="13" spans="1:35" x14ac:dyDescent="0.45">
      <c r="A13" s="5" t="s">
        <v>41</v>
      </c>
      <c r="B13" s="2">
        <f t="shared" si="0"/>
        <v>3490647.576576367</v>
      </c>
      <c r="C13" s="2">
        <v>1880927.7032792</v>
      </c>
      <c r="D13" s="2">
        <v>6.7063860301250347E-2</v>
      </c>
      <c r="E13" s="5">
        <v>5839094.39439933</v>
      </c>
      <c r="F13" s="5">
        <v>2571610.0179839199</v>
      </c>
      <c r="G13" s="5">
        <v>1861525.9818441099</v>
      </c>
      <c r="H13" s="5">
        <v>3082989.7501709</v>
      </c>
      <c r="I13" s="5">
        <v>1342514.8640044699</v>
      </c>
      <c r="J13" s="5">
        <v>1803399.8955306001</v>
      </c>
      <c r="K13" s="5">
        <v>6997101.4288566597</v>
      </c>
      <c r="L13" s="5">
        <v>1878283.4997351901</v>
      </c>
      <c r="M13" s="5">
        <v>3782274.85378952</v>
      </c>
      <c r="N13" s="5">
        <v>2702544.5408725501</v>
      </c>
      <c r="O13" s="5">
        <v>14056987.1156084</v>
      </c>
      <c r="P13" s="5">
        <v>2427314.6307226401</v>
      </c>
      <c r="Q13" s="5">
        <v>3530414.21224254</v>
      </c>
      <c r="R13" s="5">
        <v>2173467.7739559398</v>
      </c>
      <c r="S13" s="5">
        <v>2348649.2020351598</v>
      </c>
      <c r="T13" s="5">
        <v>4792460.1575963097</v>
      </c>
      <c r="U13" s="5">
        <v>5654474.4725239296</v>
      </c>
      <c r="V13" s="5">
        <v>2144296.9046577401</v>
      </c>
      <c r="W13" s="5">
        <v>3509217.5057687899</v>
      </c>
      <c r="X13" s="5">
        <v>2808592.2159218001</v>
      </c>
      <c r="Y13" s="5">
        <v>1127669.5670882899</v>
      </c>
      <c r="Z13" s="5">
        <v>3721675.5570795098</v>
      </c>
      <c r="AA13" s="5">
        <v>1783205.82598476</v>
      </c>
      <c r="AB13" s="5">
        <v>1835777.46945972</v>
      </c>
      <c r="AC13" s="5">
        <v>2066385.73716121</v>
      </c>
      <c r="AD13" s="5">
        <v>1784097.1671895699</v>
      </c>
      <c r="AE13" s="5">
        <v>1840936.4059334199</v>
      </c>
      <c r="AF13" s="5">
        <v>1832291.5028325999</v>
      </c>
      <c r="AG13">
        <f t="shared" si="1"/>
        <v>1880927.7032792</v>
      </c>
      <c r="AH13">
        <f t="shared" si="2"/>
        <v>126142.27272946794</v>
      </c>
      <c r="AI13">
        <f t="shared" si="3"/>
        <v>6.7063860301250347E-2</v>
      </c>
    </row>
    <row r="14" spans="1:35" x14ac:dyDescent="0.45">
      <c r="A14" s="5" t="s">
        <v>42</v>
      </c>
      <c r="B14" s="2">
        <f t="shared" si="0"/>
        <v>25847420.543941189</v>
      </c>
      <c r="C14" s="2">
        <v>24730360.438270174</v>
      </c>
      <c r="D14" s="2">
        <v>3.1021299994164881E-2</v>
      </c>
      <c r="E14" s="5">
        <v>18561002.464969002</v>
      </c>
      <c r="F14" s="5">
        <v>27818141.114626899</v>
      </c>
      <c r="G14" s="5">
        <v>28194519.2044704</v>
      </c>
      <c r="H14" s="5">
        <v>24094139.722488899</v>
      </c>
      <c r="I14" s="5">
        <v>27922303.627216499</v>
      </c>
      <c r="J14" s="5">
        <v>34011462.100426503</v>
      </c>
      <c r="K14" s="5">
        <v>30025160.3845031</v>
      </c>
      <c r="L14" s="5">
        <v>33259213.689081099</v>
      </c>
      <c r="M14" s="5">
        <v>22425457.8615386</v>
      </c>
      <c r="N14" s="5">
        <v>24629051.629060701</v>
      </c>
      <c r="O14" s="5">
        <v>32836507.673675202</v>
      </c>
      <c r="P14" s="5">
        <v>25048224.6131626</v>
      </c>
      <c r="Q14" s="5">
        <v>22016114.2959482</v>
      </c>
      <c r="R14" s="5">
        <v>28245761.4887143</v>
      </c>
      <c r="S14" s="5">
        <v>29617138.310609799</v>
      </c>
      <c r="T14" s="5">
        <v>34494254.410614997</v>
      </c>
      <c r="U14" s="5">
        <v>28332985.019832201</v>
      </c>
      <c r="V14" s="5">
        <v>23665822.028781701</v>
      </c>
      <c r="W14" s="5">
        <v>27269596.733964801</v>
      </c>
      <c r="X14" s="5">
        <v>25045184.622878999</v>
      </c>
      <c r="Y14" s="5">
        <v>22005057.564440001</v>
      </c>
      <c r="Z14" s="5">
        <v>18327127.972439799</v>
      </c>
      <c r="AA14" s="5">
        <v>23622345.628669798</v>
      </c>
      <c r="AB14" s="5">
        <v>8871520.8924744502</v>
      </c>
      <c r="AC14" s="5">
        <v>24264960.3988363</v>
      </c>
      <c r="AD14" s="5">
        <v>25344482.165024702</v>
      </c>
      <c r="AE14" s="5">
        <v>25417851.9874309</v>
      </c>
      <c r="AF14" s="5">
        <v>23894147.201788802</v>
      </c>
      <c r="AG14">
        <f t="shared" si="1"/>
        <v>24730360.438270174</v>
      </c>
      <c r="AH14">
        <f t="shared" si="2"/>
        <v>767167.93011940597</v>
      </c>
      <c r="AI14">
        <f t="shared" si="3"/>
        <v>3.1021299994164881E-2</v>
      </c>
    </row>
    <row r="15" spans="1:35" x14ac:dyDescent="0.45">
      <c r="A15" s="5" t="s">
        <v>43</v>
      </c>
      <c r="B15" s="2">
        <f t="shared" si="0"/>
        <v>4633091.7331229011</v>
      </c>
      <c r="C15" s="2">
        <v>4427507.7586732972</v>
      </c>
      <c r="D15" s="2">
        <v>0.12060195295720449</v>
      </c>
      <c r="E15" s="5">
        <v>6910915.3755718097</v>
      </c>
      <c r="F15" s="5">
        <v>3028943.0990335401</v>
      </c>
      <c r="G15" s="5">
        <v>2277714.1348850601</v>
      </c>
      <c r="H15" s="5">
        <v>4617909.0138325104</v>
      </c>
      <c r="I15" s="5">
        <v>3581920.6077038902</v>
      </c>
      <c r="J15" s="5">
        <v>3328851.22852366</v>
      </c>
      <c r="K15" s="5">
        <v>8579426.7455923092</v>
      </c>
      <c r="L15" s="5">
        <v>4320559.3188170101</v>
      </c>
      <c r="M15" s="5">
        <v>5555549.8383753197</v>
      </c>
      <c r="N15" s="5">
        <v>7179273.1244138302</v>
      </c>
      <c r="O15" s="5">
        <v>3643692.24311904</v>
      </c>
      <c r="P15" s="5">
        <v>4824092.8292988399</v>
      </c>
      <c r="Q15" s="5">
        <v>3556262.7661210201</v>
      </c>
      <c r="R15" s="5">
        <v>4847758.4885832304</v>
      </c>
      <c r="S15" s="5">
        <v>6037325.4583235504</v>
      </c>
      <c r="T15" s="5">
        <v>3606678.9424799299</v>
      </c>
      <c r="U15" s="5">
        <v>1540219.3968767701</v>
      </c>
      <c r="V15" s="5">
        <v>4638511.3562983498</v>
      </c>
      <c r="W15" s="5">
        <v>8576256.1096518803</v>
      </c>
      <c r="X15" s="5">
        <v>3860440.2776873498</v>
      </c>
      <c r="Y15" s="5">
        <v>3484130.5257746698</v>
      </c>
      <c r="Z15" s="5">
        <v>4284787.1514746398</v>
      </c>
      <c r="AA15" s="5">
        <v>4922948.8225779096</v>
      </c>
      <c r="AB15" s="5">
        <v>3990034.7399334898</v>
      </c>
      <c r="AC15" s="5">
        <v>4474907.8111750502</v>
      </c>
      <c r="AD15" s="5">
        <v>3877091.5441339002</v>
      </c>
      <c r="AE15" s="5">
        <v>4218775.7242558002</v>
      </c>
      <c r="AF15" s="5">
        <v>5139255.9551284397</v>
      </c>
      <c r="AG15">
        <f t="shared" si="1"/>
        <v>4427507.7586732972</v>
      </c>
      <c r="AH15">
        <f t="shared" si="2"/>
        <v>533966.08242917492</v>
      </c>
      <c r="AI15">
        <f t="shared" si="3"/>
        <v>0.12060195295720449</v>
      </c>
    </row>
    <row r="16" spans="1:35" x14ac:dyDescent="0.45">
      <c r="A16" s="5" t="s">
        <v>44</v>
      </c>
      <c r="B16" s="2">
        <f t="shared" si="0"/>
        <v>4674047.4966314128</v>
      </c>
      <c r="C16" s="2">
        <v>4127711.6614748077</v>
      </c>
      <c r="D16" s="2">
        <v>0.1228930181373942</v>
      </c>
      <c r="E16" s="5">
        <v>3018659.9679766502</v>
      </c>
      <c r="F16" s="5">
        <v>5689407.3866782598</v>
      </c>
      <c r="G16" s="5">
        <v>4971740.9527367996</v>
      </c>
      <c r="H16" s="5">
        <v>8192686.4418742498</v>
      </c>
      <c r="I16" s="5">
        <v>3562569.4951142902</v>
      </c>
      <c r="J16" s="5">
        <v>3280125.0057653799</v>
      </c>
      <c r="K16" s="5">
        <v>4311299.4538042899</v>
      </c>
      <c r="L16" s="5">
        <v>4827803.7626759401</v>
      </c>
      <c r="M16" s="5">
        <v>3222363.6773597202</v>
      </c>
      <c r="N16" s="5">
        <v>5055115.2561785802</v>
      </c>
      <c r="O16" s="5">
        <v>9198024.0414210204</v>
      </c>
      <c r="P16" s="5">
        <v>3940303.0171775599</v>
      </c>
      <c r="Q16" s="5">
        <v>2161132.5012641102</v>
      </c>
      <c r="R16" s="5">
        <v>8408455.3183139395</v>
      </c>
      <c r="S16" s="5">
        <v>4963088.6814942099</v>
      </c>
      <c r="T16" s="5">
        <v>5731471.99580542</v>
      </c>
      <c r="U16" s="5">
        <v>4031156.2393889199</v>
      </c>
      <c r="V16" s="5">
        <v>3831179.2250718698</v>
      </c>
      <c r="W16" s="5">
        <v>6407620.9186429102</v>
      </c>
      <c r="X16" s="5">
        <v>3998719.8348298701</v>
      </c>
      <c r="Y16" s="5">
        <v>2736725.7400736301</v>
      </c>
      <c r="Z16" s="5">
        <v>3674626.4055164298</v>
      </c>
      <c r="AA16" s="5">
        <v>3468416.10096741</v>
      </c>
      <c r="AB16" s="5">
        <v>3494448.4990224601</v>
      </c>
      <c r="AC16" s="5">
        <v>4487790.1661691396</v>
      </c>
      <c r="AD16" s="5">
        <v>3382555.04615037</v>
      </c>
      <c r="AE16" s="5">
        <v>4400568.1218759902</v>
      </c>
      <c r="AF16" s="5">
        <v>4239933.3117037304</v>
      </c>
      <c r="AG16">
        <f t="shared" si="1"/>
        <v>4127711.6614748077</v>
      </c>
      <c r="AH16">
        <f t="shared" si="2"/>
        <v>507266.94407955708</v>
      </c>
      <c r="AI16">
        <f t="shared" si="3"/>
        <v>0.1228930181373942</v>
      </c>
    </row>
    <row r="17" spans="1:35" x14ac:dyDescent="0.45">
      <c r="A17" s="5" t="s">
        <v>45</v>
      </c>
      <c r="B17" s="2">
        <f t="shared" si="0"/>
        <v>31215384.295039583</v>
      </c>
      <c r="C17" s="2">
        <v>23818096.060239051</v>
      </c>
      <c r="D17" s="2">
        <v>0.22232453943247521</v>
      </c>
      <c r="E17" s="5">
        <v>54077205.129528798</v>
      </c>
      <c r="F17" s="5">
        <v>19749369.8379732</v>
      </c>
      <c r="G17" s="5">
        <v>37876886.773075901</v>
      </c>
      <c r="H17" s="5">
        <v>23419936.572315499</v>
      </c>
      <c r="I17" s="5">
        <v>26835430.745629601</v>
      </c>
      <c r="J17" s="5">
        <v>19835556.474820599</v>
      </c>
      <c r="K17" s="5">
        <v>12926526.7671398</v>
      </c>
      <c r="L17" s="5">
        <v>35799957.102978602</v>
      </c>
      <c r="M17" s="5">
        <v>16304830.5921707</v>
      </c>
      <c r="N17" s="5">
        <v>41538060.579282999</v>
      </c>
      <c r="O17" s="5">
        <v>87824754.337101296</v>
      </c>
      <c r="P17" s="5">
        <v>16084090.281747499</v>
      </c>
      <c r="Q17" s="5">
        <v>33187754.697344702</v>
      </c>
      <c r="R17" s="5">
        <v>31654623.007564999</v>
      </c>
      <c r="S17" s="5">
        <v>53646937.273337796</v>
      </c>
      <c r="T17" s="5">
        <v>24654578.613026299</v>
      </c>
      <c r="U17" s="5">
        <v>18611756.1093878</v>
      </c>
      <c r="V17" s="5">
        <v>15497995.1403536</v>
      </c>
      <c r="W17" s="5">
        <v>49870439.2120151</v>
      </c>
      <c r="X17" s="5">
        <v>32387592.218570799</v>
      </c>
      <c r="Y17" s="5">
        <v>33172576.155074801</v>
      </c>
      <c r="Z17" s="5">
        <v>26182585.4106596</v>
      </c>
      <c r="AA17" s="5">
        <v>19130175.473348901</v>
      </c>
      <c r="AB17" s="5">
        <v>18899604.576501101</v>
      </c>
      <c r="AC17" s="5">
        <v>21136167.4851669</v>
      </c>
      <c r="AD17" s="5">
        <v>20248242.4882266</v>
      </c>
      <c r="AE17" s="5">
        <v>31668557.043233499</v>
      </c>
      <c r="AF17" s="5">
        <v>22219417.2243292</v>
      </c>
      <c r="AG17">
        <f t="shared" si="1"/>
        <v>23818096.060239051</v>
      </c>
      <c r="AH17">
        <f t="shared" si="2"/>
        <v>5295347.2367510991</v>
      </c>
      <c r="AI17">
        <f t="shared" si="3"/>
        <v>0.22232453943247521</v>
      </c>
    </row>
    <row r="18" spans="1:35" x14ac:dyDescent="0.45">
      <c r="A18" s="5" t="s">
        <v>46</v>
      </c>
      <c r="B18" s="2">
        <f t="shared" si="0"/>
        <v>7927030.793715396</v>
      </c>
      <c r="C18" s="2">
        <v>5993482.2800204298</v>
      </c>
      <c r="D18" s="2">
        <v>8.6233378332698618E-2</v>
      </c>
      <c r="E18" s="5">
        <v>7638087.3089077203</v>
      </c>
      <c r="F18" s="5">
        <v>6374026.2113955198</v>
      </c>
      <c r="G18" s="5">
        <v>6446165.7066342803</v>
      </c>
      <c r="H18" s="5">
        <v>14282167.236741699</v>
      </c>
      <c r="I18" s="5">
        <v>15332969.728388799</v>
      </c>
      <c r="J18" s="5">
        <v>6240546.0065518199</v>
      </c>
      <c r="K18" s="5">
        <v>3817811.3057257398</v>
      </c>
      <c r="L18" s="5">
        <v>10457243.9329716</v>
      </c>
      <c r="M18" s="5">
        <v>6748794.1544965403</v>
      </c>
      <c r="N18" s="5">
        <v>7550248.2597098704</v>
      </c>
      <c r="O18" s="5">
        <v>9313653.0918124709</v>
      </c>
      <c r="P18" s="5">
        <v>8301549.1087209499</v>
      </c>
      <c r="Q18" s="5">
        <v>6480938.0214740196</v>
      </c>
      <c r="R18" s="5">
        <v>10406571.5748342</v>
      </c>
      <c r="S18" s="5">
        <v>6895629.0134268804</v>
      </c>
      <c r="T18" s="5">
        <v>8030607.7262609098</v>
      </c>
      <c r="U18" s="5">
        <v>6888520.9803954205</v>
      </c>
      <c r="V18" s="5">
        <v>7680231.7777560102</v>
      </c>
      <c r="W18" s="5">
        <v>6434209.4795861803</v>
      </c>
      <c r="X18" s="5">
        <v>7053646.8817431498</v>
      </c>
      <c r="Y18" s="5">
        <v>9125550.4042146392</v>
      </c>
      <c r="Z18" s="5">
        <v>6486780.2007939396</v>
      </c>
      <c r="AA18" s="5">
        <v>5161749.85793682</v>
      </c>
      <c r="AB18" s="5">
        <v>7101041.07869031</v>
      </c>
      <c r="AC18" s="5">
        <v>5360282.7640653597</v>
      </c>
      <c r="AD18" s="5">
        <v>6088869.0365898097</v>
      </c>
      <c r="AE18" s="5">
        <v>5911173.8322941</v>
      </c>
      <c r="AF18" s="5">
        <v>6613603.4871324496</v>
      </c>
      <c r="AG18">
        <f t="shared" si="1"/>
        <v>5993482.2800204298</v>
      </c>
      <c r="AH18">
        <f t="shared" si="2"/>
        <v>516838.2249833268</v>
      </c>
      <c r="AI18">
        <f t="shared" si="3"/>
        <v>8.6233378332698618E-2</v>
      </c>
    </row>
    <row r="19" spans="1:35" x14ac:dyDescent="0.45">
      <c r="A19" s="5" t="s">
        <v>47</v>
      </c>
      <c r="B19" s="2">
        <f t="shared" si="0"/>
        <v>503568.38773824245</v>
      </c>
      <c r="C19" s="2">
        <v>246976.10906016899</v>
      </c>
      <c r="D19" s="2">
        <v>0.206892522623352</v>
      </c>
      <c r="E19" s="5">
        <v>402314.28820246097</v>
      </c>
      <c r="F19" s="5">
        <v>371770.65327411902</v>
      </c>
      <c r="G19" s="5">
        <v>450513.558619246</v>
      </c>
      <c r="H19" s="5">
        <v>166255.353404908</v>
      </c>
      <c r="I19" s="5">
        <v>110599.81051019501</v>
      </c>
      <c r="J19" s="5">
        <v>180622.333431812</v>
      </c>
      <c r="K19" s="5">
        <v>951467.09073219495</v>
      </c>
      <c r="L19" s="5">
        <v>694756.13653040398</v>
      </c>
      <c r="M19" s="5">
        <v>240142.37939867799</v>
      </c>
      <c r="N19" s="5">
        <v>949327.22564078204</v>
      </c>
      <c r="O19" s="5">
        <v>641453.82830743201</v>
      </c>
      <c r="P19" s="5">
        <v>1080741.0757853901</v>
      </c>
      <c r="Q19" s="5">
        <v>278039.54188771098</v>
      </c>
      <c r="R19" s="5">
        <v>796185.67110468796</v>
      </c>
      <c r="S19" s="5">
        <v>643566.93139076198</v>
      </c>
      <c r="T19" s="5">
        <v>586327.87509711599</v>
      </c>
      <c r="U19" s="5">
        <v>296568.40296176798</v>
      </c>
      <c r="V19" s="5">
        <v>247822.89645635901</v>
      </c>
      <c r="W19" s="5">
        <v>574588.13445470599</v>
      </c>
      <c r="X19" s="5">
        <v>495032.29983225698</v>
      </c>
      <c r="Y19" s="5">
        <v>642401.97667148302</v>
      </c>
      <c r="Z19" s="5">
        <v>140592.88040108801</v>
      </c>
      <c r="AA19" s="5">
        <v>435999.90398387401</v>
      </c>
      <c r="AB19" s="5">
        <v>708551.05763838196</v>
      </c>
      <c r="AC19" s="5">
        <v>207725.760445783</v>
      </c>
      <c r="AD19" s="5">
        <v>321808.34397096699</v>
      </c>
      <c r="AE19" s="5">
        <v>234633.93142210101</v>
      </c>
      <c r="AF19" s="5">
        <v>223736.400401825</v>
      </c>
      <c r="AG19">
        <f t="shared" si="1"/>
        <v>246976.10906016899</v>
      </c>
      <c r="AH19">
        <f t="shared" si="2"/>
        <v>51097.510231158463</v>
      </c>
      <c r="AI19">
        <f t="shared" si="3"/>
        <v>0.206892522623352</v>
      </c>
    </row>
    <row r="20" spans="1:35" x14ac:dyDescent="0.45">
      <c r="A20" s="5" t="s">
        <v>48</v>
      </c>
      <c r="B20" s="2">
        <f t="shared" si="0"/>
        <v>11824125.253453756</v>
      </c>
      <c r="C20" s="2">
        <v>12073225.741950801</v>
      </c>
      <c r="D20" s="2">
        <v>0.13677901232632703</v>
      </c>
      <c r="E20" s="5">
        <v>14210043.7374568</v>
      </c>
      <c r="F20" s="5">
        <v>18998305.994408701</v>
      </c>
      <c r="G20" s="5">
        <v>15000623.418429799</v>
      </c>
      <c r="H20" s="5">
        <v>12189279.496474801</v>
      </c>
      <c r="I20" s="5">
        <v>12174294.5303702</v>
      </c>
      <c r="J20" s="5">
        <v>16752985.1303964</v>
      </c>
      <c r="K20" s="5">
        <v>6595044.1795369396</v>
      </c>
      <c r="L20" s="5">
        <v>7332950.1578330602</v>
      </c>
      <c r="M20" s="5">
        <v>10559072.9274453</v>
      </c>
      <c r="N20" s="5">
        <v>12304060.6608411</v>
      </c>
      <c r="O20" s="5">
        <v>4164944.6380196498</v>
      </c>
      <c r="P20" s="5">
        <v>14720895.859191</v>
      </c>
      <c r="Q20" s="5">
        <v>8159336.5865465701</v>
      </c>
      <c r="R20" s="5">
        <v>7383758.23919346</v>
      </c>
      <c r="S20" s="5">
        <v>10988373.599764699</v>
      </c>
      <c r="T20" s="5">
        <v>18872340.1352196</v>
      </c>
      <c r="U20" s="5">
        <v>12900221.939237</v>
      </c>
      <c r="V20" s="5">
        <v>13545841.1206668</v>
      </c>
      <c r="W20" s="5">
        <v>11399273.367214199</v>
      </c>
      <c r="X20" s="5">
        <v>13403103.843460299</v>
      </c>
      <c r="Y20" s="5">
        <v>10151337.9005736</v>
      </c>
      <c r="Z20" s="5">
        <v>10236413.3977558</v>
      </c>
      <c r="AA20" s="5">
        <v>14902233.837856101</v>
      </c>
      <c r="AB20" s="5">
        <v>6834271.3849982703</v>
      </c>
      <c r="AC20" s="5">
        <v>11942241.266654599</v>
      </c>
      <c r="AD20" s="5">
        <v>14448551.399573</v>
      </c>
      <c r="AE20" s="5">
        <v>10911397.0289819</v>
      </c>
      <c r="AF20" s="5">
        <v>10990713.272593699</v>
      </c>
      <c r="AG20">
        <f t="shared" si="1"/>
        <v>12073225.741950801</v>
      </c>
      <c r="AH20">
        <f t="shared" si="2"/>
        <v>1651363.8925768174</v>
      </c>
      <c r="AI20">
        <f t="shared" si="3"/>
        <v>0.13677901232632703</v>
      </c>
    </row>
    <row r="21" spans="1:35" x14ac:dyDescent="0.45">
      <c r="A21" s="5" t="s">
        <v>49</v>
      </c>
      <c r="B21" s="2">
        <f t="shared" si="0"/>
        <v>19673212.06060851</v>
      </c>
      <c r="C21" s="2">
        <v>21322292.198171549</v>
      </c>
      <c r="D21" s="2">
        <v>0.17680330097557254</v>
      </c>
      <c r="E21" s="5">
        <v>8145468.4462890299</v>
      </c>
      <c r="F21" s="5">
        <v>8580714.6372225694</v>
      </c>
      <c r="G21" s="5">
        <v>26366268.2160285</v>
      </c>
      <c r="H21" s="5">
        <v>8689063.2510209996</v>
      </c>
      <c r="I21" s="5">
        <v>6160058.4742031796</v>
      </c>
      <c r="J21" s="5">
        <v>21019174.740026601</v>
      </c>
      <c r="K21" s="5">
        <v>13993201.3992987</v>
      </c>
      <c r="L21" s="5">
        <v>27390826.2153273</v>
      </c>
      <c r="M21" s="5">
        <v>25804273.4985887</v>
      </c>
      <c r="N21" s="5">
        <v>14581771.9066831</v>
      </c>
      <c r="O21" s="5">
        <v>27849748.757758301</v>
      </c>
      <c r="P21" s="5">
        <v>26667254.3914035</v>
      </c>
      <c r="Q21" s="5">
        <v>20786888.946605299</v>
      </c>
      <c r="R21" s="5">
        <v>24751912.9124429</v>
      </c>
      <c r="S21" s="5">
        <v>30045551.562434401</v>
      </c>
      <c r="T21" s="5">
        <v>39003575.802623697</v>
      </c>
      <c r="U21" s="5">
        <v>25951387.565994799</v>
      </c>
      <c r="V21" s="5">
        <v>7617214.5085301101</v>
      </c>
      <c r="W21" s="5">
        <v>9519300.0383779798</v>
      </c>
      <c r="X21" s="5">
        <v>16793664.652787302</v>
      </c>
      <c r="Y21" s="5">
        <v>20485543.400637299</v>
      </c>
      <c r="Z21" s="5">
        <v>28310414.258478999</v>
      </c>
      <c r="AA21" s="5">
        <v>26201001.848615699</v>
      </c>
      <c r="AB21" s="5">
        <v>7442810.0232253503</v>
      </c>
      <c r="AC21" s="5">
        <v>21694443.017327901</v>
      </c>
      <c r="AD21" s="5">
        <v>15879988.387305399</v>
      </c>
      <c r="AE21" s="5">
        <v>23745673.585934199</v>
      </c>
      <c r="AF21" s="5">
        <v>23969063.8021187</v>
      </c>
      <c r="AG21">
        <f t="shared" si="1"/>
        <v>21322292.198171549</v>
      </c>
      <c r="AH21">
        <f t="shared" si="2"/>
        <v>3769851.6450024266</v>
      </c>
      <c r="AI21">
        <f t="shared" si="3"/>
        <v>0.17680330097557254</v>
      </c>
    </row>
    <row r="22" spans="1:35" x14ac:dyDescent="0.45">
      <c r="A22" s="5" t="s">
        <v>50</v>
      </c>
      <c r="B22" s="2">
        <f t="shared" si="0"/>
        <v>32510459.17490074</v>
      </c>
      <c r="C22" s="2">
        <v>24558362.494940601</v>
      </c>
      <c r="D22" s="2">
        <v>2.8974217493651814E-2</v>
      </c>
      <c r="E22" s="5">
        <v>23791579.168723401</v>
      </c>
      <c r="F22" s="5">
        <v>11280272.1119073</v>
      </c>
      <c r="G22" s="5">
        <v>24045092.518744498</v>
      </c>
      <c r="H22" s="5">
        <v>29550555.366621699</v>
      </c>
      <c r="I22" s="5">
        <v>24140188.722697102</v>
      </c>
      <c r="J22" s="5">
        <v>29125458.798840001</v>
      </c>
      <c r="K22" s="5">
        <v>21959032.750698</v>
      </c>
      <c r="L22" s="5">
        <v>50315497.083458297</v>
      </c>
      <c r="M22" s="5">
        <v>21709413.0859752</v>
      </c>
      <c r="N22" s="5">
        <v>15017185.831617501</v>
      </c>
      <c r="O22" s="5">
        <v>55201336.152349301</v>
      </c>
      <c r="P22" s="5">
        <v>20282083.294110499</v>
      </c>
      <c r="Q22" s="5">
        <v>18893903.982939601</v>
      </c>
      <c r="R22" s="5">
        <v>36819446.930212699</v>
      </c>
      <c r="S22" s="5">
        <v>47130733.256821901</v>
      </c>
      <c r="T22" s="5">
        <v>126186399.138854</v>
      </c>
      <c r="U22" s="5">
        <v>22124575.0001048</v>
      </c>
      <c r="V22" s="5">
        <v>16467892.2965264</v>
      </c>
      <c r="W22" s="5">
        <v>18556175.3404391</v>
      </c>
      <c r="X22" s="5">
        <v>33787917.317005999</v>
      </c>
      <c r="Y22" s="5">
        <v>18455001.9958192</v>
      </c>
      <c r="Z22" s="5">
        <v>28628023.605455801</v>
      </c>
      <c r="AA22" s="5">
        <v>41910756.720942602</v>
      </c>
      <c r="AB22" s="5">
        <v>44872499.7267529</v>
      </c>
      <c r="AC22" s="5">
        <v>24511505.611000001</v>
      </c>
      <c r="AD22" s="5">
        <v>25571029.0050538</v>
      </c>
      <c r="AE22" s="5">
        <v>24186963.1112931</v>
      </c>
      <c r="AF22" s="5">
        <v>23963952.252415501</v>
      </c>
      <c r="AG22">
        <f t="shared" si="1"/>
        <v>24558362.494940601</v>
      </c>
      <c r="AH22">
        <f t="shared" si="2"/>
        <v>711559.33621635055</v>
      </c>
      <c r="AI22">
        <f t="shared" si="3"/>
        <v>2.8974217493651814E-2</v>
      </c>
    </row>
    <row r="23" spans="1:35" x14ac:dyDescent="0.45">
      <c r="A23" s="5" t="s">
        <v>270</v>
      </c>
      <c r="B23" s="2">
        <f t="shared" si="0"/>
        <v>1684211445.2549067</v>
      </c>
      <c r="C23" s="2">
        <v>1563412038.562115</v>
      </c>
      <c r="D23" s="2">
        <v>3.0288757796153021E-2</v>
      </c>
      <c r="E23" s="5">
        <v>1753835248.2804899</v>
      </c>
      <c r="F23" s="5">
        <v>2061248801.68483</v>
      </c>
      <c r="G23" s="5">
        <v>434656313.61014903</v>
      </c>
      <c r="H23" s="5">
        <v>1108247701.5337</v>
      </c>
      <c r="I23" s="5">
        <v>1880396598.71457</v>
      </c>
      <c r="J23" s="5">
        <v>1954442279.6248901</v>
      </c>
      <c r="K23" s="5">
        <v>2058344858.9892001</v>
      </c>
      <c r="L23" s="5">
        <v>1745362013.9869399</v>
      </c>
      <c r="M23" s="5">
        <v>1722592847.5970099</v>
      </c>
      <c r="N23" s="5">
        <v>2253146475.0961399</v>
      </c>
      <c r="O23" s="5">
        <v>749281547.668244</v>
      </c>
      <c r="P23" s="5">
        <v>1839710459.53332</v>
      </c>
      <c r="Q23" s="5">
        <v>1757436473.3833499</v>
      </c>
      <c r="R23" s="5">
        <v>2127243047.49277</v>
      </c>
      <c r="S23" s="5">
        <v>1920551246.8550501</v>
      </c>
      <c r="T23" s="5">
        <v>1573029899.8383801</v>
      </c>
      <c r="U23" s="5">
        <v>2032495852.67804</v>
      </c>
      <c r="V23" s="5">
        <v>2093708256.2877901</v>
      </c>
      <c r="W23" s="5">
        <v>678549232.40262198</v>
      </c>
      <c r="X23" s="5">
        <v>1464153711.5551701</v>
      </c>
      <c r="Y23" s="5">
        <v>1460769503.4540401</v>
      </c>
      <c r="Z23" s="5">
        <v>2133892077.47278</v>
      </c>
      <c r="AA23" s="5">
        <v>1768150939.19925</v>
      </c>
      <c r="AB23" s="5">
        <v>1849829299.17904</v>
      </c>
      <c r="AC23" s="5">
        <v>1515648396.2661099</v>
      </c>
      <c r="AD23" s="5">
        <v>1529767887.3823299</v>
      </c>
      <c r="AE23" s="5">
        <v>1604462854.1804299</v>
      </c>
      <c r="AF23" s="5">
        <v>1603769016.41959</v>
      </c>
      <c r="AG23">
        <f t="shared" si="1"/>
        <v>1563412038.562115</v>
      </c>
      <c r="AH23">
        <f t="shared" si="2"/>
        <v>47353808.571597748</v>
      </c>
      <c r="AI23">
        <f t="shared" si="3"/>
        <v>3.0288757796153021E-2</v>
      </c>
    </row>
    <row r="24" spans="1:35" x14ac:dyDescent="0.45">
      <c r="A24" s="5" t="s">
        <v>51</v>
      </c>
      <c r="B24" s="2">
        <f t="shared" si="0"/>
        <v>454962541.63466567</v>
      </c>
      <c r="C24" s="2">
        <v>437992650.54271847</v>
      </c>
      <c r="D24" s="2">
        <v>0.16949011434904518</v>
      </c>
      <c r="E24" s="5">
        <v>497232822.60781902</v>
      </c>
      <c r="F24" s="5">
        <v>484118726.18784201</v>
      </c>
      <c r="G24" s="5">
        <v>460900684.23060101</v>
      </c>
      <c r="H24" s="5">
        <v>601015718.59507203</v>
      </c>
      <c r="I24" s="5">
        <v>543824731.83668303</v>
      </c>
      <c r="J24" s="5">
        <v>411671360.58025199</v>
      </c>
      <c r="K24" s="5">
        <v>506089309.59480602</v>
      </c>
      <c r="L24" s="5">
        <v>549409384.68359804</v>
      </c>
      <c r="M24" s="5">
        <v>383263896.866211</v>
      </c>
      <c r="N24" s="5">
        <v>438994223.84005398</v>
      </c>
      <c r="O24" s="5">
        <v>248045203.54047701</v>
      </c>
      <c r="P24" s="5">
        <v>478064133.92284697</v>
      </c>
      <c r="Q24" s="5">
        <v>402923152.70511901</v>
      </c>
      <c r="R24" s="5">
        <v>526605824.69692802</v>
      </c>
      <c r="S24" s="5">
        <v>525318796.29129899</v>
      </c>
      <c r="T24" s="5">
        <v>272006541.92773497</v>
      </c>
      <c r="U24" s="5">
        <v>444324389.092273</v>
      </c>
      <c r="V24" s="5">
        <v>460194761.29399401</v>
      </c>
      <c r="W24" s="5">
        <v>385971793.53836399</v>
      </c>
      <c r="X24" s="5">
        <v>414020781.030738</v>
      </c>
      <c r="Y24" s="5">
        <v>410510567.97929698</v>
      </c>
      <c r="Z24" s="5">
        <v>448033442.87182599</v>
      </c>
      <c r="AA24" s="5">
        <v>547319320.12648201</v>
      </c>
      <c r="AB24" s="5">
        <v>479241431.19165599</v>
      </c>
      <c r="AC24" s="5">
        <v>359468672.21380103</v>
      </c>
      <c r="AD24" s="5">
        <v>504110033.211559</v>
      </c>
      <c r="AE24" s="5">
        <v>389798294.71492797</v>
      </c>
      <c r="AF24" s="5">
        <v>498593602.030586</v>
      </c>
      <c r="AG24">
        <f t="shared" si="1"/>
        <v>437992650.54271847</v>
      </c>
      <c r="AH24">
        <f t="shared" si="2"/>
        <v>74235424.424526736</v>
      </c>
      <c r="AI24">
        <f t="shared" si="3"/>
        <v>0.16949011434904518</v>
      </c>
    </row>
    <row r="25" spans="1:35" x14ac:dyDescent="0.45">
      <c r="A25" s="5" t="s">
        <v>271</v>
      </c>
      <c r="B25" s="2">
        <f t="shared" si="0"/>
        <v>118885756.65926407</v>
      </c>
      <c r="C25" s="2">
        <v>74507861.969016925</v>
      </c>
      <c r="D25" s="2">
        <v>0.17932072177828437</v>
      </c>
      <c r="E25" s="5">
        <v>118813784.256881</v>
      </c>
      <c r="F25" s="5">
        <v>76477052.082824796</v>
      </c>
      <c r="G25" s="5">
        <v>102551324.325866</v>
      </c>
      <c r="H25" s="5">
        <v>79613199.181408897</v>
      </c>
      <c r="I25" s="5">
        <v>29497844.368012901</v>
      </c>
      <c r="J25" s="5">
        <v>35237490.098310597</v>
      </c>
      <c r="K25" s="5">
        <v>91953739.720066398</v>
      </c>
      <c r="L25" s="5">
        <v>126820179.981484</v>
      </c>
      <c r="M25" s="5">
        <v>77267063.830506399</v>
      </c>
      <c r="N25" s="5">
        <v>105360012.222873</v>
      </c>
      <c r="O25" s="5">
        <v>453888863.05071801</v>
      </c>
      <c r="P25" s="5">
        <v>120119849.57600699</v>
      </c>
      <c r="Q25" s="5">
        <v>98321456.578861102</v>
      </c>
      <c r="R25" s="5">
        <v>49192049.685323998</v>
      </c>
      <c r="S25" s="5">
        <v>173211350.16466299</v>
      </c>
      <c r="T25" s="5">
        <v>154923691.372448</v>
      </c>
      <c r="U25" s="5">
        <v>71369730.641427293</v>
      </c>
      <c r="V25" s="5">
        <v>78239290.938123897</v>
      </c>
      <c r="W25" s="5">
        <v>181719527.42540899</v>
      </c>
      <c r="X25" s="5">
        <v>107962167.78804</v>
      </c>
      <c r="Y25" s="5">
        <v>67130557.704639003</v>
      </c>
      <c r="Z25" s="5">
        <v>65545185.495175697</v>
      </c>
      <c r="AA25" s="5">
        <v>277543015.68375599</v>
      </c>
      <c r="AB25" s="5">
        <v>110499733.64951199</v>
      </c>
      <c r="AC25" s="5">
        <v>82199868.689757794</v>
      </c>
      <c r="AD25" s="5">
        <v>80400147.656861097</v>
      </c>
      <c r="AE25" s="5">
        <v>54498667.696295999</v>
      </c>
      <c r="AF25" s="5">
        <v>80932763.833152801</v>
      </c>
      <c r="AG25">
        <f t="shared" si="1"/>
        <v>74507861.969016925</v>
      </c>
      <c r="AH25">
        <f t="shared" si="2"/>
        <v>13360803.586440898</v>
      </c>
      <c r="AI25">
        <f t="shared" si="3"/>
        <v>0.17932072177828437</v>
      </c>
    </row>
    <row r="26" spans="1:35" x14ac:dyDescent="0.45">
      <c r="A26" s="5" t="s">
        <v>272</v>
      </c>
      <c r="B26" s="2">
        <f t="shared" si="0"/>
        <v>107191369.58614749</v>
      </c>
      <c r="C26" s="2">
        <v>74507861.969016925</v>
      </c>
      <c r="D26" s="2">
        <v>0.17932072177828437</v>
      </c>
      <c r="E26" s="5">
        <v>118756787.970072</v>
      </c>
      <c r="F26" s="5">
        <v>76477052.082824796</v>
      </c>
      <c r="G26" s="5">
        <v>103184851.881798</v>
      </c>
      <c r="H26" s="5">
        <v>79660854.310309395</v>
      </c>
      <c r="I26" s="5">
        <v>29497844.368012901</v>
      </c>
      <c r="J26" s="5">
        <v>34398272.697971798</v>
      </c>
      <c r="K26" s="5">
        <v>91923276.239266306</v>
      </c>
      <c r="L26" s="5">
        <v>126438648.291052</v>
      </c>
      <c r="M26" s="5">
        <v>77267063.830506399</v>
      </c>
      <c r="N26" s="5">
        <v>105360012.222873</v>
      </c>
      <c r="O26" s="5">
        <v>453888863.05071801</v>
      </c>
      <c r="P26" s="5">
        <v>120119849.57600699</v>
      </c>
      <c r="Q26" s="5">
        <v>98321456.578861102</v>
      </c>
      <c r="R26" s="5">
        <v>53501221.922472201</v>
      </c>
      <c r="S26" s="5">
        <v>173211350.16466299</v>
      </c>
      <c r="T26" s="5">
        <v>58160265.583743103</v>
      </c>
      <c r="U26" s="5">
        <v>71369730.641427293</v>
      </c>
      <c r="V26" s="5">
        <v>78239290.938123897</v>
      </c>
      <c r="W26" s="5">
        <v>178945283.83639601</v>
      </c>
      <c r="X26" s="5">
        <v>107962167.78804</v>
      </c>
      <c r="Y26" s="5">
        <v>68922102.521097004</v>
      </c>
      <c r="Z26" s="5">
        <v>65545185.495175697</v>
      </c>
      <c r="AA26" s="5">
        <v>90476576.601411298</v>
      </c>
      <c r="AB26" s="5">
        <v>110964861.47471701</v>
      </c>
      <c r="AC26" s="5">
        <v>82199868.689757794</v>
      </c>
      <c r="AD26" s="5">
        <v>80400147.656861097</v>
      </c>
      <c r="AE26" s="5">
        <v>54498667.696295999</v>
      </c>
      <c r="AF26" s="5">
        <v>80932763.833152801</v>
      </c>
      <c r="AG26">
        <f t="shared" si="1"/>
        <v>74507861.969016925</v>
      </c>
      <c r="AH26">
        <f t="shared" si="2"/>
        <v>13360803.586440898</v>
      </c>
      <c r="AI26">
        <f t="shared" si="3"/>
        <v>0.17932072177828437</v>
      </c>
    </row>
    <row r="27" spans="1:35" x14ac:dyDescent="0.45">
      <c r="A27" s="5" t="s">
        <v>52</v>
      </c>
      <c r="B27" s="2">
        <f t="shared" si="0"/>
        <v>31836113.781134531</v>
      </c>
      <c r="C27" s="2">
        <v>29913240.741191801</v>
      </c>
      <c r="D27" s="2">
        <v>3.5931272594650891E-2</v>
      </c>
      <c r="E27" s="5">
        <v>29291549.633044802</v>
      </c>
      <c r="F27" s="5">
        <v>34284550.869236998</v>
      </c>
      <c r="G27" s="5">
        <v>30798672.675822999</v>
      </c>
      <c r="H27" s="5">
        <v>26251134.0413507</v>
      </c>
      <c r="I27" s="5">
        <v>32410397.727083798</v>
      </c>
      <c r="J27" s="5">
        <v>34845791.549758904</v>
      </c>
      <c r="K27" s="5">
        <v>35391731.585553199</v>
      </c>
      <c r="L27" s="5">
        <v>31659852.3064963</v>
      </c>
      <c r="M27" s="5">
        <v>34392960.430629</v>
      </c>
      <c r="N27" s="5">
        <v>29969576.843715198</v>
      </c>
      <c r="O27" s="5">
        <v>30280779.8291145</v>
      </c>
      <c r="P27" s="5">
        <v>27773255.0739391</v>
      </c>
      <c r="Q27" s="5">
        <v>29042474.099635102</v>
      </c>
      <c r="R27" s="5">
        <v>33651206.9959016</v>
      </c>
      <c r="S27" s="5">
        <v>34905205.986654997</v>
      </c>
      <c r="T27" s="5">
        <v>28537676.664080199</v>
      </c>
      <c r="U27" s="5">
        <v>35395386.541677304</v>
      </c>
      <c r="V27" s="5">
        <v>30269119.428496499</v>
      </c>
      <c r="W27" s="5">
        <v>29705917.9240545</v>
      </c>
      <c r="X27" s="5">
        <v>31114656.538210701</v>
      </c>
      <c r="Y27" s="5">
        <v>29380770.881221201</v>
      </c>
      <c r="Z27" s="5">
        <v>36287150.901217699</v>
      </c>
      <c r="AA27" s="5">
        <v>34540999.847527802</v>
      </c>
      <c r="AB27" s="5">
        <v>33885912.3728057</v>
      </c>
      <c r="AC27" s="5">
        <v>31141032.5482888</v>
      </c>
      <c r="AD27" s="5">
        <v>29189201.775635902</v>
      </c>
      <c r="AE27" s="5">
        <v>30469798.206174001</v>
      </c>
      <c r="AF27" s="5">
        <v>28852930.4346685</v>
      </c>
      <c r="AG27">
        <f t="shared" si="1"/>
        <v>29913240.741191801</v>
      </c>
      <c r="AH27">
        <f t="shared" si="2"/>
        <v>1074820.8072611794</v>
      </c>
      <c r="AI27">
        <f t="shared" si="3"/>
        <v>3.5931272594650891E-2</v>
      </c>
    </row>
    <row r="28" spans="1:35" x14ac:dyDescent="0.45">
      <c r="A28" s="5" t="s">
        <v>53</v>
      </c>
      <c r="B28" s="2">
        <f t="shared" si="0"/>
        <v>313709354.83126843</v>
      </c>
      <c r="C28" s="2">
        <v>317257374.40911651</v>
      </c>
      <c r="D28" s="2">
        <v>0.1849041922606538</v>
      </c>
      <c r="E28" s="5">
        <v>208971850.55688399</v>
      </c>
      <c r="F28" s="5">
        <v>339207265.78545803</v>
      </c>
      <c r="G28" s="5">
        <v>96431852.425490007</v>
      </c>
      <c r="H28" s="5">
        <v>178016676.11508599</v>
      </c>
      <c r="I28" s="5">
        <v>317970296.43999702</v>
      </c>
      <c r="J28" s="5">
        <v>365815534.831173</v>
      </c>
      <c r="K28" s="5">
        <v>414167091.36173201</v>
      </c>
      <c r="L28" s="5">
        <v>265266619.26144299</v>
      </c>
      <c r="M28" s="5">
        <v>573305798.71502304</v>
      </c>
      <c r="N28" s="5">
        <v>289822729.068771</v>
      </c>
      <c r="O28" s="5">
        <v>273275718.19775403</v>
      </c>
      <c r="P28" s="5">
        <v>542532655.47147906</v>
      </c>
      <c r="Q28" s="5">
        <v>322766971.56266803</v>
      </c>
      <c r="R28" s="5">
        <v>217338641.84302899</v>
      </c>
      <c r="S28" s="5">
        <v>229506309.08291599</v>
      </c>
      <c r="T28" s="5">
        <v>212092801.635187</v>
      </c>
      <c r="U28" s="5">
        <v>610103817.07426298</v>
      </c>
      <c r="V28" s="5">
        <v>217285338.67532799</v>
      </c>
      <c r="W28" s="5">
        <v>313779705.30437499</v>
      </c>
      <c r="X28" s="5">
        <v>475938905.42061502</v>
      </c>
      <c r="Y28" s="5">
        <v>196918959.79522899</v>
      </c>
      <c r="Z28" s="5">
        <v>316863314.213377</v>
      </c>
      <c r="AA28" s="5">
        <v>349120457.64239299</v>
      </c>
      <c r="AB28" s="5">
        <v>202525205.47077301</v>
      </c>
      <c r="AC28" s="5">
        <v>344547106.74338102</v>
      </c>
      <c r="AD28" s="5">
        <v>229405900.22982201</v>
      </c>
      <c r="AE28" s="5">
        <v>351232454.51474398</v>
      </c>
      <c r="AF28" s="5">
        <v>343844036.14851898</v>
      </c>
      <c r="AG28">
        <f t="shared" si="1"/>
        <v>317257374.40911651</v>
      </c>
      <c r="AH28">
        <f t="shared" si="2"/>
        <v>58662218.553853504</v>
      </c>
      <c r="AI28">
        <f t="shared" si="3"/>
        <v>0.1849041922606538</v>
      </c>
    </row>
    <row r="29" spans="1:35" x14ac:dyDescent="0.45">
      <c r="A29" s="5" t="s">
        <v>54</v>
      </c>
      <c r="B29" s="2">
        <f t="shared" si="0"/>
        <v>34238270.257775381</v>
      </c>
      <c r="C29" s="2">
        <v>33617599.080224127</v>
      </c>
      <c r="D29" s="2">
        <v>0.11601578075959493</v>
      </c>
      <c r="E29" s="5">
        <v>12812469.9537708</v>
      </c>
      <c r="F29" s="5">
        <v>40074931.815759897</v>
      </c>
      <c r="G29" s="5">
        <v>21078232.0804324</v>
      </c>
      <c r="H29" s="5">
        <v>33243138.6059204</v>
      </c>
      <c r="I29" s="5">
        <v>38067027.213145003</v>
      </c>
      <c r="J29" s="5">
        <v>40231537.304709204</v>
      </c>
      <c r="K29" s="5">
        <v>42388650.879502401</v>
      </c>
      <c r="L29" s="5">
        <v>40587613.216056399</v>
      </c>
      <c r="M29" s="5">
        <v>34479328.647046797</v>
      </c>
      <c r="N29" s="5">
        <v>36337837.659179203</v>
      </c>
      <c r="O29" s="5">
        <v>23086606.199097399</v>
      </c>
      <c r="P29" s="5">
        <v>33885790.508761302</v>
      </c>
      <c r="Q29" s="5">
        <v>31739051.281439401</v>
      </c>
      <c r="R29" s="5">
        <v>28362757.464696299</v>
      </c>
      <c r="S29" s="5">
        <v>34047857.701719001</v>
      </c>
      <c r="T29" s="5">
        <v>34981636.262085102</v>
      </c>
      <c r="U29" s="5">
        <v>41380934.050835997</v>
      </c>
      <c r="V29" s="5">
        <v>34398254.305095904</v>
      </c>
      <c r="W29" s="5">
        <v>37229221.309582897</v>
      </c>
      <c r="X29" s="5">
        <v>35077433.565844603</v>
      </c>
      <c r="Y29" s="5">
        <v>32686226.855557598</v>
      </c>
      <c r="Z29" s="5">
        <v>35924038.992638998</v>
      </c>
      <c r="AA29" s="5">
        <v>37377730.546470597</v>
      </c>
      <c r="AB29" s="5">
        <v>42240179.767261498</v>
      </c>
      <c r="AC29" s="5">
        <v>35201137.5020824</v>
      </c>
      <c r="AD29" s="5">
        <v>35485673.623926103</v>
      </c>
      <c r="AE29" s="5">
        <v>35995444.174333103</v>
      </c>
      <c r="AF29" s="5">
        <v>27788141.0205549</v>
      </c>
      <c r="AG29">
        <f t="shared" si="1"/>
        <v>33617599.080224127</v>
      </c>
      <c r="AH29">
        <f t="shared" si="2"/>
        <v>3900172.0045552421</v>
      </c>
      <c r="AI29">
        <f t="shared" si="3"/>
        <v>0.11601578075959493</v>
      </c>
    </row>
    <row r="30" spans="1:35" x14ac:dyDescent="0.45">
      <c r="A30" s="5" t="s">
        <v>55</v>
      </c>
      <c r="B30" s="2">
        <f t="shared" si="0"/>
        <v>264005358.34014058</v>
      </c>
      <c r="C30" s="2">
        <v>247437647.76646698</v>
      </c>
      <c r="D30" s="2">
        <v>2.0507031456172036E-2</v>
      </c>
      <c r="E30" s="5">
        <v>268278793.735048</v>
      </c>
      <c r="F30" s="5">
        <v>263048028.257368</v>
      </c>
      <c r="G30" s="5">
        <v>157578077.93091401</v>
      </c>
      <c r="H30" s="5">
        <v>302743584.01353103</v>
      </c>
      <c r="I30" s="5">
        <v>174500223.37841299</v>
      </c>
      <c r="J30" s="5">
        <v>210130771.68900201</v>
      </c>
      <c r="K30" s="5">
        <v>490329198.87700498</v>
      </c>
      <c r="L30" s="5">
        <v>196011083.22728801</v>
      </c>
      <c r="M30" s="5">
        <v>403259656.77763402</v>
      </c>
      <c r="N30" s="5">
        <v>232375197.64079201</v>
      </c>
      <c r="O30" s="5">
        <v>265748279.73157001</v>
      </c>
      <c r="P30" s="5">
        <v>499673723.74562401</v>
      </c>
      <c r="Q30" s="5">
        <v>205079381.88245699</v>
      </c>
      <c r="R30" s="5">
        <v>94346503.361306801</v>
      </c>
      <c r="S30" s="5">
        <v>187737431.669218</v>
      </c>
      <c r="T30" s="5">
        <v>536603168.85842502</v>
      </c>
      <c r="U30" s="5">
        <v>467698229.73109698</v>
      </c>
      <c r="V30" s="5">
        <v>224622806.79288599</v>
      </c>
      <c r="W30" s="5">
        <v>240709591.39519799</v>
      </c>
      <c r="X30" s="5">
        <v>331695447.309672</v>
      </c>
      <c r="Y30" s="5">
        <v>112401016.837209</v>
      </c>
      <c r="Z30" s="5">
        <v>179971718.876708</v>
      </c>
      <c r="AA30" s="5">
        <v>91502146.731268793</v>
      </c>
      <c r="AB30" s="5">
        <v>200084537.71373901</v>
      </c>
      <c r="AC30" s="5">
        <v>250474940.61670399</v>
      </c>
      <c r="AD30" s="5">
        <v>239976783.13765299</v>
      </c>
      <c r="AE30" s="5">
        <v>250782841.87310901</v>
      </c>
      <c r="AF30" s="5">
        <v>248516025.438402</v>
      </c>
      <c r="AG30">
        <f t="shared" si="1"/>
        <v>247437647.76646698</v>
      </c>
      <c r="AH30">
        <f t="shared" si="2"/>
        <v>5074211.6261881543</v>
      </c>
      <c r="AI30">
        <f t="shared" si="3"/>
        <v>2.0507031456172036E-2</v>
      </c>
    </row>
    <row r="31" spans="1:35" x14ac:dyDescent="0.45">
      <c r="A31" s="5" t="s">
        <v>56</v>
      </c>
      <c r="B31" s="2">
        <f t="shared" si="0"/>
        <v>1849038.0879258653</v>
      </c>
      <c r="C31" s="2">
        <v>1440714.4166478023</v>
      </c>
      <c r="D31" s="2">
        <v>0.13210795846201262</v>
      </c>
      <c r="E31" s="5">
        <v>1766169.52528022</v>
      </c>
      <c r="F31" s="5">
        <v>1748898.86823509</v>
      </c>
      <c r="G31" s="5">
        <v>3652867.9105481501</v>
      </c>
      <c r="H31" s="5">
        <v>869942.21916558396</v>
      </c>
      <c r="I31" s="5">
        <v>1161738.5218515799</v>
      </c>
      <c r="J31" s="5">
        <v>900443.33417343302</v>
      </c>
      <c r="K31" s="5">
        <v>3401834.83989977</v>
      </c>
      <c r="L31" s="5">
        <v>1197187.18663569</v>
      </c>
      <c r="M31" s="5">
        <v>970760.03673426202</v>
      </c>
      <c r="N31" s="5">
        <v>1213953.6704540499</v>
      </c>
      <c r="O31" s="5">
        <v>2143536.61406133</v>
      </c>
      <c r="P31" s="5">
        <v>925489.67449375603</v>
      </c>
      <c r="Q31" s="5">
        <v>1553533.64851517</v>
      </c>
      <c r="R31" s="5">
        <v>2629255.9311618502</v>
      </c>
      <c r="S31" s="5">
        <v>3258142.0862015099</v>
      </c>
      <c r="T31" s="5">
        <v>1889925.8818764701</v>
      </c>
      <c r="U31" s="5">
        <v>1133111.76527965</v>
      </c>
      <c r="V31" s="5">
        <v>1351879.9368112199</v>
      </c>
      <c r="W31" s="5">
        <v>2226227.0817447798</v>
      </c>
      <c r="X31" s="5">
        <v>1495365.41757713</v>
      </c>
      <c r="Y31" s="5">
        <v>2426943.0583382999</v>
      </c>
      <c r="Z31" s="5">
        <v>3239850.12663987</v>
      </c>
      <c r="AA31" s="5">
        <v>2270873.6525688199</v>
      </c>
      <c r="AB31" s="5">
        <v>948983.12197307602</v>
      </c>
      <c r="AC31" s="5">
        <v>1517191.8543058699</v>
      </c>
      <c r="AD31" s="5">
        <v>1391089.1336636499</v>
      </c>
      <c r="AE31" s="5">
        <v>1650900.0094558999</v>
      </c>
      <c r="AF31" s="5">
        <v>1203676.6691657901</v>
      </c>
      <c r="AG31">
        <f t="shared" si="1"/>
        <v>1440714.4166478023</v>
      </c>
      <c r="AH31">
        <f t="shared" si="2"/>
        <v>190329.84031013062</v>
      </c>
      <c r="AI31">
        <f t="shared" si="3"/>
        <v>0.13210795846201262</v>
      </c>
    </row>
    <row r="32" spans="1:35" x14ac:dyDescent="0.45">
      <c r="A32" s="5" t="s">
        <v>57</v>
      </c>
      <c r="B32" s="2">
        <f t="shared" si="0"/>
        <v>30556980.685509071</v>
      </c>
      <c r="C32" s="2">
        <v>35175166.482591428</v>
      </c>
      <c r="D32" s="2">
        <v>2.5667197345406813E-2</v>
      </c>
      <c r="E32" s="5">
        <v>21415066.1165612</v>
      </c>
      <c r="F32" s="5">
        <v>28449974.6682254</v>
      </c>
      <c r="G32" s="5">
        <v>12009511.105141001</v>
      </c>
      <c r="H32" s="5">
        <v>33243138.6059204</v>
      </c>
      <c r="I32" s="5">
        <v>27131311.560159899</v>
      </c>
      <c r="J32" s="5">
        <v>40209400.642902099</v>
      </c>
      <c r="K32" s="5">
        <v>42352498.704265699</v>
      </c>
      <c r="L32" s="5">
        <v>40560221.217548303</v>
      </c>
      <c r="M32" s="5">
        <v>25422037.439426798</v>
      </c>
      <c r="N32" s="5">
        <v>36309813.4994203</v>
      </c>
      <c r="O32" s="5">
        <v>31814365.672103502</v>
      </c>
      <c r="P32" s="5">
        <v>33855236.781245403</v>
      </c>
      <c r="Q32" s="5">
        <v>31731957.242646299</v>
      </c>
      <c r="R32" s="5">
        <v>9552620.5291379597</v>
      </c>
      <c r="S32" s="5">
        <v>23778346.782086801</v>
      </c>
      <c r="T32" s="5">
        <v>39528578.212188803</v>
      </c>
      <c r="U32" s="5">
        <v>41397413.042630203</v>
      </c>
      <c r="V32" s="5">
        <v>24599422.166453999</v>
      </c>
      <c r="W32" s="5">
        <v>25904609.718773998</v>
      </c>
      <c r="X32" s="5">
        <v>35069406.208141498</v>
      </c>
      <c r="Y32" s="5">
        <v>32708418.306858301</v>
      </c>
      <c r="Z32" s="5">
        <v>41126514.038419597</v>
      </c>
      <c r="AA32" s="5">
        <v>31360327.8865715</v>
      </c>
      <c r="AB32" s="5">
        <v>23837346.305388801</v>
      </c>
      <c r="AC32" s="5">
        <v>35260270.650512099</v>
      </c>
      <c r="AD32" s="5">
        <v>35495388.644534901</v>
      </c>
      <c r="AE32" s="5">
        <v>36033981.894405603</v>
      </c>
      <c r="AF32" s="5">
        <v>33911024.740913101</v>
      </c>
      <c r="AG32">
        <f t="shared" si="1"/>
        <v>35175166.482591428</v>
      </c>
      <c r="AH32">
        <f t="shared" si="2"/>
        <v>902847.93976621341</v>
      </c>
      <c r="AI32">
        <f t="shared" si="3"/>
        <v>2.5667197345406813E-2</v>
      </c>
    </row>
    <row r="33" spans="1:35" x14ac:dyDescent="0.45">
      <c r="A33" s="5" t="s">
        <v>58</v>
      </c>
      <c r="B33" s="2">
        <f t="shared" si="0"/>
        <v>23119769.094329361</v>
      </c>
      <c r="C33" s="2">
        <v>23563818.55048655</v>
      </c>
      <c r="D33" s="2">
        <v>2.8948018272314427E-2</v>
      </c>
      <c r="E33" s="5">
        <v>19665050.2434453</v>
      </c>
      <c r="F33" s="5">
        <v>25763465.5125755</v>
      </c>
      <c r="G33" s="5">
        <v>13225195.5703308</v>
      </c>
      <c r="H33" s="5">
        <v>19131981.0589616</v>
      </c>
      <c r="I33" s="5">
        <v>27322142.980057999</v>
      </c>
      <c r="J33" s="5">
        <v>28931843.520084701</v>
      </c>
      <c r="K33" s="5">
        <v>27618806.1449879</v>
      </c>
      <c r="L33" s="5">
        <v>28736797.577801101</v>
      </c>
      <c r="M33" s="5">
        <v>24079433.370450001</v>
      </c>
      <c r="N33" s="5">
        <v>18259543.788780801</v>
      </c>
      <c r="O33" s="5">
        <v>31105602.158422999</v>
      </c>
      <c r="P33" s="5">
        <v>22259267.5391526</v>
      </c>
      <c r="Q33" s="5">
        <v>21789878.1427604</v>
      </c>
      <c r="R33" s="5">
        <v>25933622.2051115</v>
      </c>
      <c r="S33" s="5">
        <v>24536501.435433399</v>
      </c>
      <c r="T33" s="5">
        <v>26691780.924102999</v>
      </c>
      <c r="U33" s="5">
        <v>28417066.1508081</v>
      </c>
      <c r="V33" s="5">
        <v>22073996.025225699</v>
      </c>
      <c r="W33" s="5">
        <v>24469965.479049001</v>
      </c>
      <c r="X33" s="5">
        <v>23802064.3339753</v>
      </c>
      <c r="Y33" s="5">
        <v>9900973.7710953001</v>
      </c>
      <c r="Z33" s="5">
        <v>29294689.412613399</v>
      </c>
      <c r="AA33" s="5">
        <v>25321921.403693002</v>
      </c>
      <c r="AB33" s="5">
        <v>6542869.5149851702</v>
      </c>
      <c r="AC33" s="5">
        <v>24498371.844006199</v>
      </c>
      <c r="AD33" s="5">
        <v>23179083.6068803</v>
      </c>
      <c r="AE33" s="5">
        <v>23623069.5776489</v>
      </c>
      <c r="AF33" s="5">
        <v>22954749.173410799</v>
      </c>
      <c r="AG33">
        <f t="shared" si="1"/>
        <v>23563818.55048655</v>
      </c>
      <c r="AH33">
        <f t="shared" si="2"/>
        <v>682125.84996498632</v>
      </c>
      <c r="AI33">
        <f t="shared" si="3"/>
        <v>2.8948018272314427E-2</v>
      </c>
    </row>
    <row r="34" spans="1:35" x14ac:dyDescent="0.45">
      <c r="A34" s="5" t="s">
        <v>273</v>
      </c>
      <c r="B34" s="2">
        <f t="shared" si="0"/>
        <v>46751688.800066322</v>
      </c>
      <c r="C34" s="2">
        <v>45442217.651247419</v>
      </c>
      <c r="D34" s="2">
        <v>2.6644123554752912E-2</v>
      </c>
      <c r="E34" s="5">
        <v>30981514.856093701</v>
      </c>
      <c r="F34" s="5">
        <v>23833682.977819201</v>
      </c>
      <c r="G34" s="5">
        <v>41941463.156524703</v>
      </c>
      <c r="H34" s="5">
        <v>14707666.6635995</v>
      </c>
      <c r="I34" s="5">
        <v>29761579.2042045</v>
      </c>
      <c r="J34" s="5">
        <v>79162278.484623298</v>
      </c>
      <c r="K34" s="5">
        <v>53130843.561926603</v>
      </c>
      <c r="L34" s="5">
        <v>28751782.184014101</v>
      </c>
      <c r="M34" s="5">
        <v>31232049.601390701</v>
      </c>
      <c r="N34" s="5">
        <v>42822069.492822297</v>
      </c>
      <c r="O34" s="5">
        <v>74820632.662764296</v>
      </c>
      <c r="P34" s="5">
        <v>44153935.2752003</v>
      </c>
      <c r="Q34" s="5">
        <v>63376278.017904997</v>
      </c>
      <c r="R34" s="5">
        <v>54037382.698878199</v>
      </c>
      <c r="S34" s="5">
        <v>92102902.653521493</v>
      </c>
      <c r="T34" s="5">
        <v>63604358.091474801</v>
      </c>
      <c r="U34" s="5">
        <v>36693758.456748098</v>
      </c>
      <c r="V34" s="5">
        <v>40785224.0102413</v>
      </c>
      <c r="W34" s="5">
        <v>42964443.8482062</v>
      </c>
      <c r="X34" s="5">
        <v>24802550.7040364</v>
      </c>
      <c r="Y34" s="5">
        <v>61718929.755139798</v>
      </c>
      <c r="Z34" s="5">
        <v>54626131.9286955</v>
      </c>
      <c r="AA34" s="5">
        <v>43132278.808856301</v>
      </c>
      <c r="AB34" s="5">
        <v>48896794.106905498</v>
      </c>
      <c r="AC34" s="5">
        <v>45234091.716246203</v>
      </c>
      <c r="AD34" s="5">
        <v>43932657.097075902</v>
      </c>
      <c r="AE34" s="5">
        <v>46849041.273510501</v>
      </c>
      <c r="AF34" s="5">
        <v>45753080.518157102</v>
      </c>
      <c r="AG34">
        <f t="shared" si="1"/>
        <v>45442217.651247419</v>
      </c>
      <c r="AH34">
        <f t="shared" si="2"/>
        <v>1210768.06170181</v>
      </c>
      <c r="AI34">
        <f t="shared" si="3"/>
        <v>2.6644123554752912E-2</v>
      </c>
    </row>
    <row r="35" spans="1:35" x14ac:dyDescent="0.45">
      <c r="A35" s="5" t="s">
        <v>59</v>
      </c>
      <c r="B35" s="2">
        <f t="shared" si="0"/>
        <v>23028322.141100969</v>
      </c>
      <c r="C35" s="2">
        <v>17469298.019244701</v>
      </c>
      <c r="D35" s="2">
        <v>4.3988054623874229E-2</v>
      </c>
      <c r="E35" s="5">
        <v>334878.47257704701</v>
      </c>
      <c r="F35" s="5">
        <v>567022.816825188</v>
      </c>
      <c r="G35" s="5">
        <v>208909838.12117299</v>
      </c>
      <c r="H35" s="5">
        <v>2771080.7467269199</v>
      </c>
      <c r="I35" s="5">
        <v>74106173.388376802</v>
      </c>
      <c r="J35" s="5">
        <v>269243.07561052102</v>
      </c>
      <c r="K35" s="5">
        <v>1459462.4031452299</v>
      </c>
      <c r="L35" s="5">
        <v>1256562.9546932301</v>
      </c>
      <c r="M35" s="5">
        <v>226173.09412937699</v>
      </c>
      <c r="N35" s="5">
        <v>309187.89636074699</v>
      </c>
      <c r="O35" s="5">
        <v>7896964.59748937</v>
      </c>
      <c r="P35" s="5">
        <v>2403425.41652598</v>
      </c>
      <c r="Q35" s="5">
        <v>72451793.197723404</v>
      </c>
      <c r="R35" s="5">
        <v>2200293.6390099898</v>
      </c>
      <c r="S35" s="5">
        <v>1682017.32764351</v>
      </c>
      <c r="T35" s="5">
        <v>68767011.225811899</v>
      </c>
      <c r="U35" s="5">
        <v>1347779.66622595</v>
      </c>
      <c r="V35" s="5">
        <v>538821.53163847001</v>
      </c>
      <c r="W35" s="5">
        <v>3983956.0057601202</v>
      </c>
      <c r="X35" s="5">
        <v>475945.27180941601</v>
      </c>
      <c r="Y35" s="5">
        <v>97626358.260069802</v>
      </c>
      <c r="Z35" s="5">
        <v>618652.991820405</v>
      </c>
      <c r="AA35" s="5">
        <v>1573129.92527043</v>
      </c>
      <c r="AB35" s="5">
        <v>903959.36000628804</v>
      </c>
      <c r="AC35" s="5">
        <v>16672588.0398934</v>
      </c>
      <c r="AD35" s="5">
        <v>18444134.1987295</v>
      </c>
      <c r="AE35" s="5">
        <v>17672283.946884599</v>
      </c>
      <c r="AF35" s="5">
        <v>17088185.8914713</v>
      </c>
      <c r="AG35">
        <f t="shared" si="1"/>
        <v>17469298.019244701</v>
      </c>
      <c r="AH35">
        <f t="shared" si="2"/>
        <v>768440.4355112738</v>
      </c>
      <c r="AI35">
        <f t="shared" si="3"/>
        <v>4.3988054623874229E-2</v>
      </c>
    </row>
    <row r="36" spans="1:35" x14ac:dyDescent="0.45">
      <c r="A36" s="5" t="s">
        <v>60</v>
      </c>
      <c r="B36" s="2">
        <f t="shared" si="0"/>
        <v>11046209.787341312</v>
      </c>
      <c r="C36" s="2">
        <v>9389879.0439443886</v>
      </c>
      <c r="D36" s="2">
        <v>2.5100980698366138E-2</v>
      </c>
      <c r="E36" s="5">
        <v>689409.41011527996</v>
      </c>
      <c r="F36" s="5">
        <v>813819.32566794194</v>
      </c>
      <c r="G36" s="5">
        <v>24239625.0118002</v>
      </c>
      <c r="H36" s="5">
        <v>10809476.1782782</v>
      </c>
      <c r="I36" s="5">
        <v>23565428.0390638</v>
      </c>
      <c r="J36" s="5">
        <v>731265.94616216305</v>
      </c>
      <c r="K36" s="5">
        <v>2319191.8227540902</v>
      </c>
      <c r="L36" s="5">
        <v>1306583.4618844299</v>
      </c>
      <c r="M36" s="5">
        <v>1507565.2278425901</v>
      </c>
      <c r="N36" s="5">
        <v>1704033.8596365501</v>
      </c>
      <c r="O36" s="5">
        <v>74042146.701349303</v>
      </c>
      <c r="P36" s="5">
        <v>1906464.78830366</v>
      </c>
      <c r="Q36" s="5">
        <v>34432547.926903598</v>
      </c>
      <c r="R36" s="5">
        <v>1868805.71612163</v>
      </c>
      <c r="S36" s="5">
        <v>4091003.3298075302</v>
      </c>
      <c r="T36" s="5">
        <v>60786966.549309798</v>
      </c>
      <c r="U36" s="5">
        <v>1814555.5671105599</v>
      </c>
      <c r="V36" s="5">
        <v>1687757.20375685</v>
      </c>
      <c r="W36" s="5">
        <v>4184036.4039336098</v>
      </c>
      <c r="X36" s="5">
        <v>1544336.7111526299</v>
      </c>
      <c r="Y36" s="5">
        <v>2799225.8250794401</v>
      </c>
      <c r="Z36" s="5">
        <v>1443591.66227721</v>
      </c>
      <c r="AA36" s="5">
        <v>4406167.3263503797</v>
      </c>
      <c r="AB36" s="5">
        <v>2415030.9015299701</v>
      </c>
      <c r="AC36" s="5">
        <v>9365098.75781269</v>
      </c>
      <c r="AD36" s="5">
        <v>9241816.0077896807</v>
      </c>
      <c r="AE36" s="5">
        <v>9222152.6075788103</v>
      </c>
      <c r="AF36" s="5">
        <v>9730448.8025963698</v>
      </c>
      <c r="AG36">
        <f t="shared" si="1"/>
        <v>9389879.0439443886</v>
      </c>
      <c r="AH36">
        <f t="shared" si="2"/>
        <v>235695.17264204079</v>
      </c>
      <c r="AI36">
        <f t="shared" si="3"/>
        <v>2.5100980698366138E-2</v>
      </c>
    </row>
    <row r="37" spans="1:35" x14ac:dyDescent="0.45">
      <c r="A37" s="5" t="s">
        <v>61</v>
      </c>
      <c r="B37" s="2">
        <f t="shared" si="0"/>
        <v>58308315.300414324</v>
      </c>
      <c r="C37" s="2">
        <v>50414780.850108176</v>
      </c>
      <c r="D37" s="2">
        <v>7.010683619544153E-2</v>
      </c>
      <c r="E37" s="5">
        <v>66097329.361507997</v>
      </c>
      <c r="F37" s="5">
        <v>53856188.441284902</v>
      </c>
      <c r="G37" s="5">
        <v>40361496.609134398</v>
      </c>
      <c r="H37" s="5">
        <v>40636131.413272299</v>
      </c>
      <c r="I37" s="5">
        <v>61526115.4831236</v>
      </c>
      <c r="J37" s="5">
        <v>62314574.556265399</v>
      </c>
      <c r="K37" s="5">
        <v>85410759.748505399</v>
      </c>
      <c r="L37" s="5">
        <v>64045883.377205603</v>
      </c>
      <c r="M37" s="5">
        <v>53239016.608230598</v>
      </c>
      <c r="N37" s="5">
        <v>53926463.208229601</v>
      </c>
      <c r="O37" s="5">
        <v>8966023.4058541991</v>
      </c>
      <c r="P37" s="5">
        <v>47317961.3814115</v>
      </c>
      <c r="Q37" s="5">
        <v>108695389.851382</v>
      </c>
      <c r="R37" s="5">
        <v>63880484.842022203</v>
      </c>
      <c r="S37" s="5">
        <v>70510520.085617006</v>
      </c>
      <c r="T37" s="5">
        <v>43477958.038361497</v>
      </c>
      <c r="U37" s="5">
        <v>59869365.557039298</v>
      </c>
      <c r="V37" s="5">
        <v>42016716.377906501</v>
      </c>
      <c r="W37" s="5">
        <v>61780028.323651798</v>
      </c>
      <c r="X37" s="5">
        <v>49880393.172455996</v>
      </c>
      <c r="Y37" s="5">
        <v>82559285.719410405</v>
      </c>
      <c r="Z37" s="5">
        <v>57409851.833157197</v>
      </c>
      <c r="AA37" s="5">
        <v>68014405.901957393</v>
      </c>
      <c r="AB37" s="5">
        <v>53607223.912956797</v>
      </c>
      <c r="AC37" s="5">
        <v>47993431.7415023</v>
      </c>
      <c r="AD37" s="5">
        <v>54713555.977045402</v>
      </c>
      <c r="AE37" s="5">
        <v>47091573.399069197</v>
      </c>
      <c r="AF37" s="5">
        <v>51860562.282815799</v>
      </c>
      <c r="AG37">
        <f t="shared" si="1"/>
        <v>50414780.850108176</v>
      </c>
      <c r="AH37">
        <f t="shared" si="2"/>
        <v>3534420.7828876167</v>
      </c>
      <c r="AI37">
        <f t="shared" si="3"/>
        <v>7.010683619544153E-2</v>
      </c>
    </row>
    <row r="38" spans="1:35" x14ac:dyDescent="0.45">
      <c r="A38" s="5" t="s">
        <v>62</v>
      </c>
      <c r="B38" s="2">
        <f t="shared" si="0"/>
        <v>33624672.412736841</v>
      </c>
      <c r="C38" s="2">
        <v>34136213.339799173</v>
      </c>
      <c r="D38" s="2">
        <v>6.5150273229740943E-2</v>
      </c>
      <c r="E38" s="5">
        <v>32158106.0119</v>
      </c>
      <c r="F38" s="5">
        <v>30135318.720586602</v>
      </c>
      <c r="G38" s="5">
        <v>39162808.974857301</v>
      </c>
      <c r="H38" s="5">
        <v>58424585.520713203</v>
      </c>
      <c r="I38" s="5">
        <v>42837377.448803701</v>
      </c>
      <c r="J38" s="5">
        <v>51681696.589272797</v>
      </c>
      <c r="K38" s="5">
        <v>35391214.616841897</v>
      </c>
      <c r="L38" s="5">
        <v>44406994.298580401</v>
      </c>
      <c r="M38" s="5">
        <v>30360194.671729598</v>
      </c>
      <c r="N38" s="5">
        <v>28735880.469726998</v>
      </c>
      <c r="O38" s="5">
        <v>14099050.311925899</v>
      </c>
      <c r="P38" s="5">
        <v>41556512.864925303</v>
      </c>
      <c r="Q38" s="5">
        <v>37151897.975127898</v>
      </c>
      <c r="R38" s="5">
        <v>8841858.44573416</v>
      </c>
      <c r="S38" s="5">
        <v>21960743.696057301</v>
      </c>
      <c r="T38" s="5">
        <v>54899617.049534701</v>
      </c>
      <c r="U38" s="5">
        <v>30244019.076182</v>
      </c>
      <c r="V38" s="5">
        <v>8340109.4586584298</v>
      </c>
      <c r="W38" s="5">
        <v>37257007.759213701</v>
      </c>
      <c r="X38" s="5">
        <v>41793147.3670936</v>
      </c>
      <c r="Y38" s="5">
        <v>40421329.153887503</v>
      </c>
      <c r="Z38" s="5">
        <v>32307689.243952699</v>
      </c>
      <c r="AA38" s="5">
        <v>30639968.674877301</v>
      </c>
      <c r="AB38" s="5">
        <v>14185009.505501</v>
      </c>
      <c r="AC38" s="5">
        <v>31071584.007472999</v>
      </c>
      <c r="AD38" s="5">
        <v>34162226.667367399</v>
      </c>
      <c r="AE38" s="5">
        <v>36299371.580103897</v>
      </c>
      <c r="AF38" s="5">
        <v>35011671.104252398</v>
      </c>
      <c r="AG38">
        <f t="shared" si="1"/>
        <v>34136213.339799173</v>
      </c>
      <c r="AH38">
        <f t="shared" si="2"/>
        <v>2223983.6261166437</v>
      </c>
      <c r="AI38">
        <f t="shared" si="3"/>
        <v>6.5150273229740943E-2</v>
      </c>
    </row>
    <row r="39" spans="1:35" x14ac:dyDescent="0.45">
      <c r="A39" s="5" t="s">
        <v>63</v>
      </c>
      <c r="B39" s="2">
        <f t="shared" si="0"/>
        <v>4693086.8824318005</v>
      </c>
      <c r="C39" s="2">
        <v>2577841.9512629379</v>
      </c>
      <c r="D39" s="2">
        <v>2.6418633736127791E-2</v>
      </c>
      <c r="E39" s="5">
        <v>1910170.7316417501</v>
      </c>
      <c r="F39" s="5">
        <v>2877579.2338429298</v>
      </c>
      <c r="G39" s="5">
        <v>3524902.1911648</v>
      </c>
      <c r="H39" s="5">
        <v>18454155.248176198</v>
      </c>
      <c r="I39" s="5">
        <v>4131161.9829215999</v>
      </c>
      <c r="J39" s="5">
        <v>7427539.2856813604</v>
      </c>
      <c r="K39" s="5">
        <v>195426.331005121</v>
      </c>
      <c r="L39" s="5">
        <v>3894399.93382979</v>
      </c>
      <c r="M39" s="5">
        <v>5248177.8975829296</v>
      </c>
      <c r="N39" s="5">
        <v>1679099.88655662</v>
      </c>
      <c r="O39" s="5">
        <v>5710127.5948092099</v>
      </c>
      <c r="P39" s="5">
        <v>4512859.3629049901</v>
      </c>
      <c r="Q39" s="5">
        <v>4649112.8143656198</v>
      </c>
      <c r="R39" s="5">
        <v>182771.83535859</v>
      </c>
      <c r="S39" s="5">
        <v>300265.10231894098</v>
      </c>
      <c r="T39" s="5">
        <v>8795489.4618717507</v>
      </c>
      <c r="U39" s="5">
        <v>4910379.5896121096</v>
      </c>
      <c r="V39" s="5">
        <v>3092417.99222962</v>
      </c>
      <c r="W39" s="5">
        <v>2402813.5317178802</v>
      </c>
      <c r="X39" s="5">
        <v>11172027.580097901</v>
      </c>
      <c r="Y39" s="5">
        <v>4052766.9117804202</v>
      </c>
      <c r="Z39" s="5">
        <v>8528455.7861970495</v>
      </c>
      <c r="AA39" s="5">
        <v>291316.42565882002</v>
      </c>
      <c r="AB39" s="5">
        <v>4690668.4670371898</v>
      </c>
      <c r="AC39" s="5">
        <v>2589966.963221</v>
      </c>
      <c r="AD39" s="5">
        <v>2595652.2677066401</v>
      </c>
      <c r="AE39" s="5">
        <v>2482246.14039414</v>
      </c>
      <c r="AF39" s="5">
        <v>2643502.4337299699</v>
      </c>
      <c r="AG39">
        <f t="shared" si="1"/>
        <v>2577841.9512629379</v>
      </c>
      <c r="AH39">
        <f t="shared" si="2"/>
        <v>68103.062340040546</v>
      </c>
      <c r="AI39">
        <f t="shared" si="3"/>
        <v>2.6418633736127791E-2</v>
      </c>
    </row>
    <row r="40" spans="1:35" x14ac:dyDescent="0.45">
      <c r="A40" s="5" t="s">
        <v>64</v>
      </c>
      <c r="B40" s="2">
        <f t="shared" si="0"/>
        <v>50826075.721418113</v>
      </c>
      <c r="C40" s="2">
        <v>44485137.933686696</v>
      </c>
      <c r="D40" s="2">
        <v>5.5966244123703948E-2</v>
      </c>
      <c r="E40" s="5">
        <v>57520713.596543603</v>
      </c>
      <c r="F40" s="5">
        <v>63321346.502553999</v>
      </c>
      <c r="G40" s="5">
        <v>56546541.451531298</v>
      </c>
      <c r="H40" s="5">
        <v>71781185.408150703</v>
      </c>
      <c r="I40" s="5">
        <v>9222177.3827876095</v>
      </c>
      <c r="J40" s="5">
        <v>24667526.268322598</v>
      </c>
      <c r="K40" s="5">
        <v>68337485.552708</v>
      </c>
      <c r="L40" s="5">
        <v>21775476.4817346</v>
      </c>
      <c r="M40" s="5">
        <v>53215172.729506902</v>
      </c>
      <c r="N40" s="5">
        <v>63410014.461920001</v>
      </c>
      <c r="O40" s="5">
        <v>45089550.284998402</v>
      </c>
      <c r="P40" s="5">
        <v>72473960.766930804</v>
      </c>
      <c r="Q40" s="5">
        <v>43197615.085890099</v>
      </c>
      <c r="R40" s="5">
        <v>75204270.861449093</v>
      </c>
      <c r="S40" s="5">
        <v>66910056.730746798</v>
      </c>
      <c r="T40" s="5">
        <v>29439039.2393439</v>
      </c>
      <c r="U40" s="5">
        <v>61428051.8783793</v>
      </c>
      <c r="V40" s="5">
        <v>61487808.210845299</v>
      </c>
      <c r="W40" s="5">
        <v>46794136.406222597</v>
      </c>
      <c r="X40" s="5">
        <v>73346005.431113198</v>
      </c>
      <c r="Y40" s="5">
        <v>10217101.738086101</v>
      </c>
      <c r="Z40" s="5">
        <v>71263743.200120196</v>
      </c>
      <c r="AA40" s="5">
        <v>61568256.327256501</v>
      </c>
      <c r="AB40" s="5">
        <v>11608581.316893</v>
      </c>
      <c r="AC40" s="5">
        <v>41106178.665393099</v>
      </c>
      <c r="AD40" s="5">
        <v>44113342.470941797</v>
      </c>
      <c r="AE40" s="5">
        <v>46413588.748838797</v>
      </c>
      <c r="AF40" s="5">
        <v>46307441.849573098</v>
      </c>
      <c r="AG40">
        <f t="shared" si="1"/>
        <v>44485137.933686696</v>
      </c>
      <c r="AH40">
        <f t="shared" si="2"/>
        <v>2489666.0894733528</v>
      </c>
      <c r="AI40">
        <f t="shared" si="3"/>
        <v>5.5966244123703948E-2</v>
      </c>
    </row>
    <row r="41" spans="1:35" x14ac:dyDescent="0.45">
      <c r="A41" s="5" t="s">
        <v>65</v>
      </c>
      <c r="B41" s="2">
        <f t="shared" si="0"/>
        <v>3047236.8166704695</v>
      </c>
      <c r="C41" s="2">
        <v>3035918.4907085574</v>
      </c>
      <c r="D41" s="2">
        <v>9.9164892913319244E-2</v>
      </c>
      <c r="E41" s="5">
        <v>2901210.5989479101</v>
      </c>
      <c r="F41" s="5">
        <v>2194115.2381321099</v>
      </c>
      <c r="G41" s="5">
        <v>2144155.82827221</v>
      </c>
      <c r="H41" s="5">
        <v>3647409.0285400301</v>
      </c>
      <c r="I41" s="5">
        <v>2149966.1900720699</v>
      </c>
      <c r="J41" s="5">
        <v>1982805.2083959901</v>
      </c>
      <c r="K41" s="5">
        <v>4228721.3549883496</v>
      </c>
      <c r="L41" s="5">
        <v>2156425.5994571</v>
      </c>
      <c r="M41" s="5">
        <v>5736012.8676709402</v>
      </c>
      <c r="N41" s="5">
        <v>2841938.7601834801</v>
      </c>
      <c r="O41" s="5">
        <v>3118711.6401550602</v>
      </c>
      <c r="P41" s="5">
        <v>2779919.9095352502</v>
      </c>
      <c r="Q41" s="5">
        <v>2649990.42345428</v>
      </c>
      <c r="R41" s="5">
        <v>4969984.8895294098</v>
      </c>
      <c r="S41" s="5">
        <v>3176788.00651561</v>
      </c>
      <c r="T41" s="5">
        <v>4453166.7427845905</v>
      </c>
      <c r="U41" s="5">
        <v>3755526.64250017</v>
      </c>
      <c r="V41" s="5">
        <v>2107028.6408426198</v>
      </c>
      <c r="W41" s="5">
        <v>3852462.3814876499</v>
      </c>
      <c r="X41" s="5">
        <v>3265788.3643378098</v>
      </c>
      <c r="Y41" s="5">
        <v>1895722.92696591</v>
      </c>
      <c r="Z41" s="5">
        <v>2799240.2689378201</v>
      </c>
      <c r="AA41" s="5">
        <v>1996913.1621504501</v>
      </c>
      <c r="AB41" s="5">
        <v>2329678.9262344702</v>
      </c>
      <c r="AC41" s="5">
        <v>2725888.3192444998</v>
      </c>
      <c r="AD41" s="5">
        <v>3442881.7714888002</v>
      </c>
      <c r="AE41" s="5">
        <v>3039745.6902754102</v>
      </c>
      <c r="AF41" s="5">
        <v>2935158.18182552</v>
      </c>
      <c r="AG41">
        <f t="shared" si="1"/>
        <v>3035918.4907085574</v>
      </c>
      <c r="AH41">
        <f t="shared" si="2"/>
        <v>301056.53202467988</v>
      </c>
      <c r="AI41">
        <f t="shared" si="3"/>
        <v>9.9164892913319244E-2</v>
      </c>
    </row>
    <row r="42" spans="1:35" x14ac:dyDescent="0.45">
      <c r="A42" s="5" t="s">
        <v>66</v>
      </c>
      <c r="B42" s="2">
        <f t="shared" si="0"/>
        <v>1291224.2164073826</v>
      </c>
      <c r="C42" s="2">
        <v>1256737.0955542475</v>
      </c>
      <c r="D42" s="2">
        <v>3.9832422731050005E-2</v>
      </c>
      <c r="E42" s="5">
        <v>725379.04688313405</v>
      </c>
      <c r="F42" s="5">
        <v>617103.49249810795</v>
      </c>
      <c r="G42" s="5">
        <v>876503.50167029095</v>
      </c>
      <c r="H42" s="5">
        <v>822901.95751353295</v>
      </c>
      <c r="I42" s="5">
        <v>3175348.2257622899</v>
      </c>
      <c r="J42" s="5">
        <v>1140061.9695059699</v>
      </c>
      <c r="K42" s="5">
        <v>1102478.3332169801</v>
      </c>
      <c r="L42" s="5">
        <v>915393.17791260697</v>
      </c>
      <c r="M42" s="5">
        <v>1704804.04325962</v>
      </c>
      <c r="N42" s="5">
        <v>721664.31554219103</v>
      </c>
      <c r="O42" s="5">
        <v>1626778.6837286099</v>
      </c>
      <c r="P42" s="5">
        <v>1008453.39411251</v>
      </c>
      <c r="Q42" s="5">
        <v>2172865.6658713799</v>
      </c>
      <c r="R42" s="5">
        <v>814481.57092386601</v>
      </c>
      <c r="S42" s="5">
        <v>699516.20589439198</v>
      </c>
      <c r="T42" s="5">
        <v>2376005.5817413302</v>
      </c>
      <c r="U42" s="5">
        <v>1012549.92416747</v>
      </c>
      <c r="V42" s="5">
        <v>1691696.0272520899</v>
      </c>
      <c r="W42" s="5">
        <v>447624.26424804103</v>
      </c>
      <c r="X42" s="5">
        <v>924890.91289710498</v>
      </c>
      <c r="Y42" s="5">
        <v>2724181.0767511199</v>
      </c>
      <c r="Z42" s="5">
        <v>1230691.1400055699</v>
      </c>
      <c r="AA42" s="5">
        <v>1063688.28020242</v>
      </c>
      <c r="AB42" s="5">
        <v>1394320.40221656</v>
      </c>
      <c r="AC42" s="5">
        <v>1326323.6403159001</v>
      </c>
      <c r="AD42" s="5">
        <v>1232093.69411235</v>
      </c>
      <c r="AE42" s="5">
        <v>1211263.9167215801</v>
      </c>
      <c r="AF42" s="5">
        <v>1257267.1310671601</v>
      </c>
      <c r="AG42">
        <f t="shared" si="1"/>
        <v>1256737.0955542475</v>
      </c>
      <c r="AH42">
        <f t="shared" si="2"/>
        <v>50058.883251908766</v>
      </c>
      <c r="AI42">
        <f t="shared" si="3"/>
        <v>3.9832422731050005E-2</v>
      </c>
    </row>
    <row r="43" spans="1:35" x14ac:dyDescent="0.45">
      <c r="A43" s="5" t="s">
        <v>67</v>
      </c>
      <c r="B43" s="2">
        <f t="shared" si="0"/>
        <v>1075003.0105457727</v>
      </c>
      <c r="C43" s="2">
        <v>538267.40341338399</v>
      </c>
      <c r="D43" s="2">
        <v>9.153067902057091E-2</v>
      </c>
      <c r="E43" s="5">
        <v>2041529.0574394499</v>
      </c>
      <c r="F43" s="5">
        <v>1232877.0972112601</v>
      </c>
      <c r="G43" s="5">
        <v>680830.56238192902</v>
      </c>
      <c r="H43" s="5">
        <v>1816749.18935725</v>
      </c>
      <c r="I43" s="5">
        <v>97558.0388298053</v>
      </c>
      <c r="J43" s="5">
        <v>372346.52396163798</v>
      </c>
      <c r="K43" s="5">
        <v>1216741.90630285</v>
      </c>
      <c r="L43" s="5">
        <v>483061.23132964497</v>
      </c>
      <c r="M43" s="5">
        <v>327943.28555814398</v>
      </c>
      <c r="N43" s="5">
        <v>1677533.3073841501</v>
      </c>
      <c r="O43" s="5">
        <v>1118663.11345728</v>
      </c>
      <c r="P43" s="5">
        <v>1533627.4253294801</v>
      </c>
      <c r="Q43" s="5">
        <v>76383.321535168405</v>
      </c>
      <c r="R43" s="5">
        <v>1054602.9319094301</v>
      </c>
      <c r="S43" s="5">
        <v>487337.52681598498</v>
      </c>
      <c r="T43" s="5">
        <v>401101.43550133199</v>
      </c>
      <c r="U43" s="5">
        <v>2888119.0624818201</v>
      </c>
      <c r="V43" s="5">
        <v>733724.84643157397</v>
      </c>
      <c r="W43" s="5">
        <v>4598518.4326520804</v>
      </c>
      <c r="X43" s="5">
        <v>715897.83571103995</v>
      </c>
      <c r="Y43" s="5">
        <v>162001.73638864199</v>
      </c>
      <c r="Z43" s="5">
        <v>1337468.94851713</v>
      </c>
      <c r="AA43" s="5">
        <v>255558.29915581399</v>
      </c>
      <c r="AB43" s="5">
        <v>489897.13745565002</v>
      </c>
      <c r="AC43" s="5">
        <v>519137.14554547699</v>
      </c>
      <c r="AD43" s="5">
        <v>516957.46178307798</v>
      </c>
      <c r="AE43" s="5">
        <v>505363.98394372402</v>
      </c>
      <c r="AF43" s="5">
        <v>611611.02238125703</v>
      </c>
      <c r="AG43">
        <f t="shared" si="1"/>
        <v>538267.40341338399</v>
      </c>
      <c r="AH43">
        <f t="shared" si="2"/>
        <v>49267.980929066602</v>
      </c>
      <c r="AI43">
        <f t="shared" si="3"/>
        <v>9.153067902057091E-2</v>
      </c>
    </row>
    <row r="44" spans="1:35" x14ac:dyDescent="0.45">
      <c r="A44" s="5" t="s">
        <v>68</v>
      </c>
      <c r="B44" s="2">
        <f t="shared" si="0"/>
        <v>230982889.37451112</v>
      </c>
      <c r="C44" s="2">
        <v>203924438.66876125</v>
      </c>
      <c r="D44" s="2">
        <v>6.6282434023106854E-3</v>
      </c>
      <c r="E44" s="5">
        <v>293342375.71030402</v>
      </c>
      <c r="F44" s="5">
        <v>313813937.24974602</v>
      </c>
      <c r="G44" s="5">
        <v>278441210.45422602</v>
      </c>
      <c r="H44" s="5">
        <v>337858309.62412</v>
      </c>
      <c r="I44" s="5">
        <v>21419356.7782926</v>
      </c>
      <c r="J44" s="5">
        <v>106386473.936499</v>
      </c>
      <c r="K44" s="5">
        <v>314953064.35792297</v>
      </c>
      <c r="L44" s="5">
        <v>32943980.668257002</v>
      </c>
      <c r="M44" s="5">
        <v>265061045.101208</v>
      </c>
      <c r="N44" s="5">
        <v>308204072.12074202</v>
      </c>
      <c r="O44" s="5">
        <v>161013864.930305</v>
      </c>
      <c r="P44" s="5">
        <v>341834916.12341398</v>
      </c>
      <c r="Q44" s="5">
        <v>196951320.52863199</v>
      </c>
      <c r="R44" s="5">
        <v>328159082.59645802</v>
      </c>
      <c r="S44" s="5">
        <v>305429155.90333998</v>
      </c>
      <c r="T44" s="5">
        <v>86134410.529138893</v>
      </c>
      <c r="U44" s="5">
        <v>312130416.01379502</v>
      </c>
      <c r="V44" s="5">
        <v>306887497.10029399</v>
      </c>
      <c r="W44" s="5">
        <v>216367505.61405799</v>
      </c>
      <c r="X44" s="5">
        <v>352897107.71500599</v>
      </c>
      <c r="Y44" s="5">
        <v>15670901.954882201</v>
      </c>
      <c r="Z44" s="5">
        <v>330018635.18402803</v>
      </c>
      <c r="AA44" s="5">
        <v>283328330.09967101</v>
      </c>
      <c r="AB44" s="5">
        <v>34342374.693928003</v>
      </c>
      <c r="AC44" s="5">
        <v>203222331.59764099</v>
      </c>
      <c r="AD44" s="5">
        <v>202734388.62622401</v>
      </c>
      <c r="AE44" s="5">
        <v>205814354.64893299</v>
      </c>
      <c r="AF44" s="5">
        <v>203926679.80224699</v>
      </c>
      <c r="AG44">
        <f t="shared" si="1"/>
        <v>203924438.66876125</v>
      </c>
      <c r="AH44">
        <f t="shared" si="2"/>
        <v>1351660.8151761268</v>
      </c>
      <c r="AI44">
        <f t="shared" si="3"/>
        <v>6.6282434023106854E-3</v>
      </c>
    </row>
    <row r="45" spans="1:35" x14ac:dyDescent="0.45">
      <c r="A45" s="5" t="s">
        <v>69</v>
      </c>
      <c r="B45" s="2">
        <f t="shared" si="0"/>
        <v>18100461.836907979</v>
      </c>
      <c r="C45" s="2">
        <v>17486234.542107999</v>
      </c>
      <c r="D45" s="2">
        <v>2.6824907320655244E-2</v>
      </c>
      <c r="E45" s="5">
        <v>15281308.3393276</v>
      </c>
      <c r="F45" s="5">
        <v>19907251.062805101</v>
      </c>
      <c r="G45" s="5">
        <v>18018563.335620899</v>
      </c>
      <c r="H45" s="5">
        <v>26202247.505629301</v>
      </c>
      <c r="I45" s="5">
        <v>20030601.2878103</v>
      </c>
      <c r="J45" s="5">
        <v>22862402.4187015</v>
      </c>
      <c r="K45" s="5">
        <v>24906790.639212899</v>
      </c>
      <c r="L45" s="5">
        <v>18511712.9532535</v>
      </c>
      <c r="M45" s="5">
        <v>16924315.053881198</v>
      </c>
      <c r="N45" s="5">
        <v>16942508.5851858</v>
      </c>
      <c r="O45" s="5">
        <v>8848538.9153389707</v>
      </c>
      <c r="P45" s="5">
        <v>22831312.0741923</v>
      </c>
      <c r="Q45" s="5">
        <v>12531274.4654484</v>
      </c>
      <c r="R45" s="5">
        <v>22671726.2669308</v>
      </c>
      <c r="S45" s="5">
        <v>20535482.644607201</v>
      </c>
      <c r="T45" s="5">
        <v>1587028.3730822799</v>
      </c>
      <c r="U45" s="5">
        <v>19666667.147004999</v>
      </c>
      <c r="V45" s="5">
        <v>23191562.540008299</v>
      </c>
      <c r="W45" s="5">
        <v>14174014.806121901</v>
      </c>
      <c r="X45" s="5">
        <v>26086275.372845698</v>
      </c>
      <c r="Y45" s="5">
        <v>20292931.631621599</v>
      </c>
      <c r="Z45" s="5">
        <v>22172908.603843201</v>
      </c>
      <c r="AA45" s="5">
        <v>20064071.5656537</v>
      </c>
      <c r="AB45" s="5">
        <v>169588.49766409601</v>
      </c>
      <c r="AC45" s="5">
        <v>18139269.584239502</v>
      </c>
      <c r="AD45" s="5">
        <v>17375482.179186001</v>
      </c>
      <c r="AE45" s="5">
        <v>17022331.198310301</v>
      </c>
      <c r="AF45" s="5">
        <v>17407855.206696201</v>
      </c>
      <c r="AG45">
        <f t="shared" si="1"/>
        <v>17486234.542107999</v>
      </c>
      <c r="AH45">
        <f t="shared" si="2"/>
        <v>469066.62097928749</v>
      </c>
      <c r="AI45">
        <f t="shared" si="3"/>
        <v>2.6824907320655244E-2</v>
      </c>
    </row>
    <row r="46" spans="1:35" x14ac:dyDescent="0.45">
      <c r="A46" s="5" t="s">
        <v>70</v>
      </c>
      <c r="B46" s="2">
        <f t="shared" si="0"/>
        <v>3148504.0144071602</v>
      </c>
      <c r="C46" s="2">
        <v>2163891.4095185623</v>
      </c>
      <c r="D46" s="2">
        <v>0.12534026785648142</v>
      </c>
      <c r="E46" s="5">
        <v>1356404.37772779</v>
      </c>
      <c r="F46" s="5">
        <v>1529652.6116413199</v>
      </c>
      <c r="G46" s="5">
        <v>1539584.37198927</v>
      </c>
      <c r="H46" s="5">
        <v>3608152.7933052401</v>
      </c>
      <c r="I46" s="5">
        <v>1543575.1146957199</v>
      </c>
      <c r="J46" s="5">
        <v>1971895.9800917001</v>
      </c>
      <c r="K46" s="5">
        <v>2218522.5804885002</v>
      </c>
      <c r="L46" s="5">
        <v>1615368.79608278</v>
      </c>
      <c r="M46" s="5">
        <v>2266804.8125481298</v>
      </c>
      <c r="N46" s="5">
        <v>1616183.7180224201</v>
      </c>
      <c r="O46" s="5">
        <v>22247470.644761201</v>
      </c>
      <c r="P46" s="5">
        <v>1577433.6239916401</v>
      </c>
      <c r="Q46" s="5">
        <v>4551947.3858771203</v>
      </c>
      <c r="R46" s="5">
        <v>2259858.1318224301</v>
      </c>
      <c r="S46" s="5">
        <v>5026329.5172667103</v>
      </c>
      <c r="T46" s="5">
        <v>4004903.4877889198</v>
      </c>
      <c r="U46" s="5">
        <v>2043838.43578721</v>
      </c>
      <c r="V46" s="5">
        <v>1883282.64431883</v>
      </c>
      <c r="W46" s="5">
        <v>1819406.49314765</v>
      </c>
      <c r="X46" s="5">
        <v>2919527.2910953802</v>
      </c>
      <c r="Y46" s="5">
        <v>1054204.4661111301</v>
      </c>
      <c r="Z46" s="5">
        <v>1094278.4615233899</v>
      </c>
      <c r="AA46" s="5">
        <v>3540815.74648403</v>
      </c>
      <c r="AB46" s="5">
        <v>2274654.8592033498</v>
      </c>
      <c r="AC46" s="5">
        <v>1811301.52296142</v>
      </c>
      <c r="AD46" s="5">
        <v>2126120.2297877399</v>
      </c>
      <c r="AE46" s="5">
        <v>2262252.1749799098</v>
      </c>
      <c r="AF46" s="5">
        <v>2455891.7103451798</v>
      </c>
      <c r="AG46">
        <f t="shared" si="1"/>
        <v>2163891.4095185623</v>
      </c>
      <c r="AH46">
        <f t="shared" si="2"/>
        <v>271222.72888139571</v>
      </c>
      <c r="AI46">
        <f t="shared" si="3"/>
        <v>0.12534026785648142</v>
      </c>
    </row>
    <row r="47" spans="1:35" x14ac:dyDescent="0.45">
      <c r="A47" s="5" t="s">
        <v>71</v>
      </c>
      <c r="B47" s="2">
        <f t="shared" si="0"/>
        <v>1873361.1165913043</v>
      </c>
      <c r="C47" s="2">
        <v>1639766.7692243776</v>
      </c>
      <c r="D47" s="2">
        <v>3.0559419559619175E-2</v>
      </c>
      <c r="E47" s="5">
        <v>2337385.0187862101</v>
      </c>
      <c r="F47" s="5">
        <v>1612556.0855443</v>
      </c>
      <c r="G47" s="5">
        <v>1457967.61089309</v>
      </c>
      <c r="H47" s="5">
        <v>2281494.9812197299</v>
      </c>
      <c r="I47" s="5">
        <v>1920093.5250395201</v>
      </c>
      <c r="J47" s="5">
        <v>1569995.50768412</v>
      </c>
      <c r="K47" s="5">
        <v>2078676.1006444599</v>
      </c>
      <c r="L47" s="5">
        <v>1545897.20288316</v>
      </c>
      <c r="M47" s="5">
        <v>1250970.3931060501</v>
      </c>
      <c r="N47" s="5">
        <v>1359856.95482448</v>
      </c>
      <c r="O47" s="5">
        <v>1909028.52991318</v>
      </c>
      <c r="P47" s="5">
        <v>1696183.30192024</v>
      </c>
      <c r="Q47" s="5">
        <v>1027939.2833348199</v>
      </c>
      <c r="R47" s="5">
        <v>2309247.2556981202</v>
      </c>
      <c r="S47" s="5">
        <v>2256867.0553506701</v>
      </c>
      <c r="T47" s="5">
        <v>4108467.6433508201</v>
      </c>
      <c r="U47" s="5">
        <v>3253891.5910352101</v>
      </c>
      <c r="V47" s="5">
        <v>1195174.6946083501</v>
      </c>
      <c r="W47" s="5">
        <v>1493960.5602603101</v>
      </c>
      <c r="X47" s="5">
        <v>1218503.0748739101</v>
      </c>
      <c r="Y47" s="5">
        <v>1676705.0888938</v>
      </c>
      <c r="Z47" s="5">
        <v>2023721.8120285701</v>
      </c>
      <c r="AA47" s="5">
        <v>1586857.8824396399</v>
      </c>
      <c r="AB47" s="5">
        <v>1789225.6438585301</v>
      </c>
      <c r="AC47" s="5">
        <v>1638316.9044977201</v>
      </c>
      <c r="AD47" s="5">
        <v>1647009.3716390899</v>
      </c>
      <c r="AE47" s="5">
        <v>1697951.4834328301</v>
      </c>
      <c r="AF47" s="5">
        <v>1575789.3173278701</v>
      </c>
      <c r="AG47">
        <f t="shared" si="1"/>
        <v>1639766.7692243776</v>
      </c>
      <c r="AH47">
        <f t="shared" si="2"/>
        <v>50110.320680648983</v>
      </c>
      <c r="AI47">
        <f t="shared" si="3"/>
        <v>3.0559419559619175E-2</v>
      </c>
    </row>
    <row r="48" spans="1:35" x14ac:dyDescent="0.45">
      <c r="A48" s="5" t="s">
        <v>72</v>
      </c>
      <c r="B48" s="2">
        <f t="shared" si="0"/>
        <v>14035426.110328292</v>
      </c>
      <c r="C48" s="2">
        <v>12320515.446591049</v>
      </c>
      <c r="D48" s="2">
        <v>5.1188357374120835E-2</v>
      </c>
      <c r="E48" s="5">
        <v>19881998.728196099</v>
      </c>
      <c r="F48" s="5">
        <v>8464040.2185145691</v>
      </c>
      <c r="G48" s="5">
        <v>10568163.872708401</v>
      </c>
      <c r="H48" s="5">
        <v>18808777.117219001</v>
      </c>
      <c r="I48" s="5">
        <v>12944465.7317314</v>
      </c>
      <c r="J48" s="5">
        <v>11737076.477007199</v>
      </c>
      <c r="K48" s="5">
        <v>13669630.5456216</v>
      </c>
      <c r="L48" s="5">
        <v>18762576.8060981</v>
      </c>
      <c r="M48" s="5">
        <v>12930745.1288293</v>
      </c>
      <c r="N48" s="5">
        <v>17874205.508593202</v>
      </c>
      <c r="O48" s="5">
        <v>4675758.9093551598</v>
      </c>
      <c r="P48" s="5">
        <v>7471159.5939943204</v>
      </c>
      <c r="Q48" s="5">
        <v>16400225.0814874</v>
      </c>
      <c r="R48" s="5">
        <v>22746005.098394498</v>
      </c>
      <c r="S48" s="5">
        <v>18731221.850310899</v>
      </c>
      <c r="T48" s="5">
        <v>7585306.2162661999</v>
      </c>
      <c r="U48" s="5">
        <v>14523714.3629911</v>
      </c>
      <c r="V48" s="5">
        <v>4916629.8244288703</v>
      </c>
      <c r="W48" s="5">
        <v>7454357.7627105303</v>
      </c>
      <c r="X48" s="5">
        <v>9746815.3156618606</v>
      </c>
      <c r="Y48" s="5">
        <v>20587219.424329199</v>
      </c>
      <c r="Z48" s="5">
        <v>13032083.8661115</v>
      </c>
      <c r="AA48" s="5">
        <v>20581647.713912498</v>
      </c>
      <c r="AB48" s="5">
        <v>22756401.493406199</v>
      </c>
      <c r="AC48" s="5">
        <v>12010287.6280664</v>
      </c>
      <c r="AD48" s="5">
        <v>12786317.0908489</v>
      </c>
      <c r="AE48" s="5">
        <v>11583976.562946299</v>
      </c>
      <c r="AF48" s="5">
        <v>12901480.5045026</v>
      </c>
      <c r="AG48">
        <f t="shared" si="1"/>
        <v>12320515.446591049</v>
      </c>
      <c r="AH48">
        <f t="shared" si="2"/>
        <v>630666.94771347858</v>
      </c>
      <c r="AI48">
        <f t="shared" si="3"/>
        <v>5.1188357374120835E-2</v>
      </c>
    </row>
    <row r="49" spans="1:35" x14ac:dyDescent="0.45">
      <c r="A49" s="5" t="s">
        <v>73</v>
      </c>
      <c r="B49" s="2">
        <f t="shared" si="0"/>
        <v>37806288.086714171</v>
      </c>
      <c r="C49" s="2">
        <v>40674952.563397676</v>
      </c>
      <c r="D49" s="2">
        <v>0.16314144830103686</v>
      </c>
      <c r="E49" s="5">
        <v>30818376.528545901</v>
      </c>
      <c r="F49" s="5">
        <v>31257297.044675998</v>
      </c>
      <c r="G49" s="5">
        <v>33932168.756655999</v>
      </c>
      <c r="H49" s="5">
        <v>19948103.917080902</v>
      </c>
      <c r="I49" s="5">
        <v>44346561.707377501</v>
      </c>
      <c r="J49" s="5">
        <v>41193410.897446699</v>
      </c>
      <c r="K49" s="5">
        <v>18386938.4399997</v>
      </c>
      <c r="L49" s="5">
        <v>50862112.394019999</v>
      </c>
      <c r="M49" s="5">
        <v>36287961.443423197</v>
      </c>
      <c r="N49" s="5">
        <v>44213235.741444901</v>
      </c>
      <c r="O49" s="5">
        <v>27903435.509780701</v>
      </c>
      <c r="P49" s="5">
        <v>49295624.817414902</v>
      </c>
      <c r="Q49" s="5">
        <v>39514943.179635197</v>
      </c>
      <c r="R49" s="5">
        <v>88420977.005252302</v>
      </c>
      <c r="S49" s="5">
        <v>33634863.613054901</v>
      </c>
      <c r="T49" s="5">
        <v>41711505.347778901</v>
      </c>
      <c r="U49" s="5">
        <v>33233989.622960899</v>
      </c>
      <c r="V49" s="5">
        <v>38466671.892183103</v>
      </c>
      <c r="W49" s="5">
        <v>32786805.2547401</v>
      </c>
      <c r="X49" s="5">
        <v>25951292.100239702</v>
      </c>
      <c r="Y49" s="5">
        <v>63126165.660594702</v>
      </c>
      <c r="Z49" s="5">
        <v>28799348.443840198</v>
      </c>
      <c r="AA49" s="5">
        <v>34828661.184224702</v>
      </c>
      <c r="AB49" s="5">
        <v>18430463.578768998</v>
      </c>
      <c r="AC49" s="5">
        <v>31568245.247903701</v>
      </c>
      <c r="AD49" s="5">
        <v>45643217.366055399</v>
      </c>
      <c r="AE49" s="5">
        <v>45565630.065239199</v>
      </c>
      <c r="AF49" s="5">
        <v>39922717.574392401</v>
      </c>
      <c r="AG49">
        <f t="shared" si="1"/>
        <v>40674952.563397676</v>
      </c>
      <c r="AH49">
        <f t="shared" si="2"/>
        <v>6635770.6707686689</v>
      </c>
      <c r="AI49">
        <f t="shared" si="3"/>
        <v>0.16314144830103686</v>
      </c>
    </row>
    <row r="50" spans="1:35" x14ac:dyDescent="0.45">
      <c r="A50" s="5" t="s">
        <v>74</v>
      </c>
      <c r="B50" s="2">
        <f t="shared" si="0"/>
        <v>28578332.253622849</v>
      </c>
      <c r="C50" s="2">
        <v>23787982.568871122</v>
      </c>
      <c r="D50" s="2">
        <v>7.2359155193407007E-2</v>
      </c>
      <c r="E50" s="5">
        <v>30684261.3614951</v>
      </c>
      <c r="F50" s="5">
        <v>35775752.972667597</v>
      </c>
      <c r="G50" s="5">
        <v>34407513.482558802</v>
      </c>
      <c r="H50" s="5">
        <v>11219833.592421699</v>
      </c>
      <c r="I50" s="5">
        <v>31450085.230580799</v>
      </c>
      <c r="J50" s="5">
        <v>18218010.986081298</v>
      </c>
      <c r="K50" s="5">
        <v>29016812.935424399</v>
      </c>
      <c r="L50" s="5">
        <v>35360790.331442803</v>
      </c>
      <c r="M50" s="5">
        <v>20103844.375891499</v>
      </c>
      <c r="N50" s="5">
        <v>37018824.017147698</v>
      </c>
      <c r="O50" s="5">
        <v>7046304.8584941896</v>
      </c>
      <c r="P50" s="5">
        <v>28587754.045955501</v>
      </c>
      <c r="Q50" s="5">
        <v>22237063.895219401</v>
      </c>
      <c r="R50" s="5">
        <v>36210385.731927499</v>
      </c>
      <c r="S50" s="5">
        <v>30981808.579825599</v>
      </c>
      <c r="T50" s="5">
        <v>66474078.337384298</v>
      </c>
      <c r="U50" s="5">
        <v>26202994.1732472</v>
      </c>
      <c r="V50" s="5">
        <v>29989138.3759683</v>
      </c>
      <c r="W50" s="5">
        <v>33095169.8058482</v>
      </c>
      <c r="X50" s="5">
        <v>24487137.356878899</v>
      </c>
      <c r="Y50" s="5">
        <v>28519034.697003901</v>
      </c>
      <c r="Z50" s="5">
        <v>22971790.400420599</v>
      </c>
      <c r="AA50" s="5">
        <v>9392921.8577158991</v>
      </c>
      <c r="AB50" s="5">
        <v>36428662.685347401</v>
      </c>
      <c r="AC50" s="5">
        <v>22477848.9415153</v>
      </c>
      <c r="AD50" s="5">
        <v>25219249.387696799</v>
      </c>
      <c r="AE50" s="5">
        <v>22128027.6937216</v>
      </c>
      <c r="AF50" s="5">
        <v>25326804.252550799</v>
      </c>
      <c r="AG50">
        <f t="shared" si="1"/>
        <v>23787982.568871122</v>
      </c>
      <c r="AH50">
        <f t="shared" si="2"/>
        <v>1721278.3224390063</v>
      </c>
      <c r="AI50">
        <f t="shared" si="3"/>
        <v>7.2359155193407007E-2</v>
      </c>
    </row>
    <row r="51" spans="1:35" x14ac:dyDescent="0.45">
      <c r="A51" s="5" t="s">
        <v>75</v>
      </c>
      <c r="B51" s="2">
        <f t="shared" si="0"/>
        <v>40266826.584943533</v>
      </c>
      <c r="C51" s="2">
        <v>33993654.397698551</v>
      </c>
      <c r="D51" s="2">
        <v>4.6049418086278861E-2</v>
      </c>
      <c r="E51" s="5">
        <v>38471283.213633098</v>
      </c>
      <c r="F51" s="5">
        <v>44143076.061458699</v>
      </c>
      <c r="G51" s="5">
        <v>36242089.343838498</v>
      </c>
      <c r="H51" s="5">
        <v>55117122.222386397</v>
      </c>
      <c r="I51" s="5">
        <v>27895538.789299801</v>
      </c>
      <c r="J51" s="5">
        <v>30472429.219353501</v>
      </c>
      <c r="K51" s="5">
        <v>48427197.717800498</v>
      </c>
      <c r="L51" s="5">
        <v>40514553.319099098</v>
      </c>
      <c r="M51" s="5">
        <v>26565588.8773573</v>
      </c>
      <c r="N51" s="5">
        <v>43405344.200943999</v>
      </c>
      <c r="O51" s="5">
        <v>41634320.394635998</v>
      </c>
      <c r="P51" s="5">
        <v>42478715.521041602</v>
      </c>
      <c r="Q51" s="5">
        <v>32775887.680020101</v>
      </c>
      <c r="R51" s="5">
        <v>65634244.703552201</v>
      </c>
      <c r="S51" s="5">
        <v>44686290.134555496</v>
      </c>
      <c r="T51" s="5">
        <v>37362085.644812301</v>
      </c>
      <c r="U51" s="5">
        <v>34703991.011995599</v>
      </c>
      <c r="V51" s="5">
        <v>32842468.721919999</v>
      </c>
      <c r="W51" s="5">
        <v>42270945.387730502</v>
      </c>
      <c r="X51" s="5">
        <v>32933004.813636299</v>
      </c>
      <c r="Y51" s="5">
        <v>48471993.040644303</v>
      </c>
      <c r="Z51" s="5">
        <v>38990171.101666003</v>
      </c>
      <c r="AA51" s="5">
        <v>33350265.839923799</v>
      </c>
      <c r="AB51" s="5">
        <v>47015231.077339903</v>
      </c>
      <c r="AC51" s="5">
        <v>31749493.698304001</v>
      </c>
      <c r="AD51" s="5">
        <v>34685804.591006197</v>
      </c>
      <c r="AE51" s="5">
        <v>34207689.293198101</v>
      </c>
      <c r="AF51" s="5">
        <v>35331630.008285902</v>
      </c>
      <c r="AG51">
        <f t="shared" si="1"/>
        <v>33993654.397698551</v>
      </c>
      <c r="AH51">
        <f t="shared" si="2"/>
        <v>1565388.0036400927</v>
      </c>
      <c r="AI51">
        <f t="shared" si="3"/>
        <v>4.6049418086278861E-2</v>
      </c>
    </row>
    <row r="52" spans="1:35" x14ac:dyDescent="0.45">
      <c r="A52" s="5" t="s">
        <v>76</v>
      </c>
      <c r="B52" s="2">
        <f t="shared" si="0"/>
        <v>366276512.99534005</v>
      </c>
      <c r="C52" s="2">
        <v>307588077.70531249</v>
      </c>
      <c r="D52" s="2">
        <v>6.5012713576908202E-2</v>
      </c>
      <c r="E52" s="5">
        <v>346883725.85656101</v>
      </c>
      <c r="F52" s="5">
        <v>282150801.950984</v>
      </c>
      <c r="G52" s="5">
        <v>433659888.114039</v>
      </c>
      <c r="H52" s="5">
        <v>624530020.51094103</v>
      </c>
      <c r="I52" s="5">
        <v>302647967.52027798</v>
      </c>
      <c r="J52" s="5">
        <v>378541564.66246802</v>
      </c>
      <c r="K52" s="5">
        <v>329485809.24515498</v>
      </c>
      <c r="L52" s="5">
        <v>395922117.79364997</v>
      </c>
      <c r="M52" s="5">
        <v>258240509.61265701</v>
      </c>
      <c r="N52" s="5">
        <v>270398840.07969099</v>
      </c>
      <c r="O52" s="5">
        <v>422500648.013924</v>
      </c>
      <c r="P52" s="5">
        <v>388590665.76243198</v>
      </c>
      <c r="Q52" s="5">
        <v>275948108.18845999</v>
      </c>
      <c r="R52" s="5">
        <v>532125131.10257</v>
      </c>
      <c r="S52" s="5">
        <v>395452796.815521</v>
      </c>
      <c r="T52" s="5">
        <v>372738473.450854</v>
      </c>
      <c r="U52" s="5">
        <v>254825219.04899001</v>
      </c>
      <c r="V52" s="5">
        <v>224741087.18669999</v>
      </c>
      <c r="W52" s="5">
        <v>364066116.09177101</v>
      </c>
      <c r="X52" s="5">
        <v>342907311.11312598</v>
      </c>
      <c r="Y52" s="5">
        <v>436116808.89994299</v>
      </c>
      <c r="Z52" s="5">
        <v>337315149.13926399</v>
      </c>
      <c r="AA52" s="5">
        <v>315975108.18139201</v>
      </c>
      <c r="AB52" s="5">
        <v>504872443.54679</v>
      </c>
      <c r="AC52" s="5">
        <v>282130704.93530601</v>
      </c>
      <c r="AD52" s="5">
        <v>308687304.96517003</v>
      </c>
      <c r="AE52" s="5">
        <v>308504145.95867801</v>
      </c>
      <c r="AF52" s="5">
        <v>331030154.96209598</v>
      </c>
      <c r="AG52">
        <f t="shared" si="1"/>
        <v>307588077.70531249</v>
      </c>
      <c r="AH52">
        <f t="shared" si="2"/>
        <v>19997135.595527265</v>
      </c>
      <c r="AI52">
        <f t="shared" si="3"/>
        <v>6.5012713576908202E-2</v>
      </c>
    </row>
    <row r="53" spans="1:35" x14ac:dyDescent="0.45">
      <c r="A53" s="5" t="s">
        <v>274</v>
      </c>
      <c r="B53" s="2">
        <f t="shared" si="0"/>
        <v>39985529.061309598</v>
      </c>
      <c r="C53" s="2">
        <v>36158187.653083824</v>
      </c>
      <c r="D53" s="2">
        <v>1.0622809914296663E-2</v>
      </c>
      <c r="E53" s="5">
        <v>36069576.059000403</v>
      </c>
      <c r="F53" s="5">
        <v>44015923.350928001</v>
      </c>
      <c r="G53" s="5">
        <v>36561083.954529896</v>
      </c>
      <c r="H53" s="5">
        <v>53147032.237152703</v>
      </c>
      <c r="I53" s="5">
        <v>53488996.100788303</v>
      </c>
      <c r="J53" s="5">
        <v>34214080.850607403</v>
      </c>
      <c r="K53" s="5">
        <v>41275759.643224597</v>
      </c>
      <c r="L53" s="5">
        <v>33568341.313792698</v>
      </c>
      <c r="M53" s="5">
        <v>45165333.396073699</v>
      </c>
      <c r="N53" s="5">
        <v>40707995.137067601</v>
      </c>
      <c r="O53" s="5">
        <v>11052425.724757301</v>
      </c>
      <c r="P53" s="5">
        <v>33559512.852501199</v>
      </c>
      <c r="Q53" s="5">
        <v>36107063.789432697</v>
      </c>
      <c r="R53" s="5">
        <v>22850236.9713884</v>
      </c>
      <c r="S53" s="5">
        <v>42953113.483417898</v>
      </c>
      <c r="T53" s="5">
        <v>69133847.724545702</v>
      </c>
      <c r="U53" s="5">
        <v>50109742.707367897</v>
      </c>
      <c r="V53" s="5">
        <v>28142986.4400068</v>
      </c>
      <c r="W53" s="5">
        <v>35268995.032718599</v>
      </c>
      <c r="X53" s="5">
        <v>62477178.341357</v>
      </c>
      <c r="Y53" s="5">
        <v>40937144.984462</v>
      </c>
      <c r="Z53" s="5">
        <v>38350459.979994699</v>
      </c>
      <c r="AA53" s="5">
        <v>35893537.831464902</v>
      </c>
      <c r="AB53" s="5">
        <v>34602329.564849898</v>
      </c>
      <c r="AC53" s="5">
        <v>35665251.776525497</v>
      </c>
      <c r="AD53" s="5">
        <v>36149146.012067303</v>
      </c>
      <c r="AE53" s="5">
        <v>36600936.376755297</v>
      </c>
      <c r="AF53" s="5">
        <v>36217416.446987197</v>
      </c>
      <c r="AG53">
        <f t="shared" si="1"/>
        <v>36158187.653083824</v>
      </c>
      <c r="AH53">
        <f t="shared" si="2"/>
        <v>384101.55428417801</v>
      </c>
      <c r="AI53">
        <f t="shared" si="3"/>
        <v>1.0622809914296663E-2</v>
      </c>
    </row>
    <row r="54" spans="1:35" x14ac:dyDescent="0.45">
      <c r="A54" s="5" t="s">
        <v>77</v>
      </c>
      <c r="B54" s="2">
        <f t="shared" si="0"/>
        <v>163606088.60820273</v>
      </c>
      <c r="C54" s="2">
        <v>121632048.17459899</v>
      </c>
      <c r="D54" s="2">
        <v>5.4805046305337397E-2</v>
      </c>
      <c r="E54" s="5">
        <v>97464966.329753399</v>
      </c>
      <c r="F54" s="5">
        <v>156883937.78721699</v>
      </c>
      <c r="G54" s="5">
        <v>112794271.854727</v>
      </c>
      <c r="H54" s="5">
        <v>45783448.755064398</v>
      </c>
      <c r="I54" s="5">
        <v>131428263.24998701</v>
      </c>
      <c r="J54" s="5">
        <v>121586884.954432</v>
      </c>
      <c r="K54" s="5">
        <v>238134648.84470499</v>
      </c>
      <c r="L54" s="5">
        <v>131501939.652998</v>
      </c>
      <c r="M54" s="5">
        <v>75590939.4962513</v>
      </c>
      <c r="N54" s="5">
        <v>191794969.52536601</v>
      </c>
      <c r="O54" s="5">
        <v>218977862.24164599</v>
      </c>
      <c r="P54" s="5">
        <v>205674905.916989</v>
      </c>
      <c r="Q54" s="5">
        <v>52100595.608268797</v>
      </c>
      <c r="R54" s="5">
        <v>43393663.434472904</v>
      </c>
      <c r="S54" s="5">
        <v>49097847.484120198</v>
      </c>
      <c r="T54" s="5">
        <v>1125795480.0392201</v>
      </c>
      <c r="U54" s="5">
        <v>62067449.549510702</v>
      </c>
      <c r="V54" s="5">
        <v>104478585.576969</v>
      </c>
      <c r="W54" s="5">
        <v>128769653.824772</v>
      </c>
      <c r="X54" s="5">
        <v>231294926.79138699</v>
      </c>
      <c r="Y54" s="5">
        <v>87724712.929958194</v>
      </c>
      <c r="Z54" s="5">
        <v>155193950.64021701</v>
      </c>
      <c r="AA54" s="5">
        <v>69047779.018178597</v>
      </c>
      <c r="AB54" s="5">
        <v>89964443.090655401</v>
      </c>
      <c r="AC54" s="5">
        <v>112762042.775931</v>
      </c>
      <c r="AD54" s="5">
        <v>124540621.873933</v>
      </c>
      <c r="AE54" s="5">
        <v>120844306.88542999</v>
      </c>
      <c r="AF54" s="5">
        <v>128381221.163102</v>
      </c>
      <c r="AG54">
        <f t="shared" si="1"/>
        <v>121632048.17459899</v>
      </c>
      <c r="AH54">
        <f t="shared" si="2"/>
        <v>6666050.032421927</v>
      </c>
      <c r="AI54">
        <f t="shared" si="3"/>
        <v>5.4805046305337397E-2</v>
      </c>
    </row>
    <row r="55" spans="1:35" x14ac:dyDescent="0.45">
      <c r="A55" s="5" t="s">
        <v>275</v>
      </c>
      <c r="B55" s="2">
        <f t="shared" si="0"/>
        <v>63069271.974592052</v>
      </c>
      <c r="C55" s="2">
        <v>44336412.710103497</v>
      </c>
      <c r="D55" s="2">
        <v>3.166515152918626E-2</v>
      </c>
      <c r="E55" s="5">
        <v>51937276.689418197</v>
      </c>
      <c r="F55" s="5">
        <v>80162723.485176399</v>
      </c>
      <c r="G55" s="5">
        <v>51047641.926791899</v>
      </c>
      <c r="H55" s="5">
        <v>59306789.063423</v>
      </c>
      <c r="I55" s="5">
        <v>70089242.758965999</v>
      </c>
      <c r="J55" s="5">
        <v>28800631.7466636</v>
      </c>
      <c r="K55" s="5">
        <v>39073254.914222397</v>
      </c>
      <c r="L55" s="5">
        <v>74568867.847675994</v>
      </c>
      <c r="M55" s="5">
        <v>36640314.956805401</v>
      </c>
      <c r="N55" s="5">
        <v>72787878.569873795</v>
      </c>
      <c r="O55" s="5">
        <v>55458337.390135899</v>
      </c>
      <c r="P55" s="5">
        <v>61349746.503995001</v>
      </c>
      <c r="Q55" s="5">
        <v>67963327.778530404</v>
      </c>
      <c r="R55" s="5">
        <v>41878485.469576403</v>
      </c>
      <c r="S55" s="5">
        <v>43412817.532235399</v>
      </c>
      <c r="T55" s="5">
        <v>230413413.14984399</v>
      </c>
      <c r="U55" s="5">
        <v>37432997.882814802</v>
      </c>
      <c r="V55" s="5">
        <v>55032216.807226099</v>
      </c>
      <c r="W55" s="5">
        <v>67960749.266641393</v>
      </c>
      <c r="X55" s="5">
        <v>44876225.322471</v>
      </c>
      <c r="Y55" s="5">
        <v>77637591.284789503</v>
      </c>
      <c r="Z55" s="5">
        <v>44762935.978373498</v>
      </c>
      <c r="AA55" s="5">
        <v>43196429.268215202</v>
      </c>
      <c r="AB55" s="5">
        <v>77872631.796343997</v>
      </c>
      <c r="AC55" s="5">
        <v>43490888.386134803</v>
      </c>
      <c r="AD55" s="5">
        <v>43137878.964396402</v>
      </c>
      <c r="AE55" s="5">
        <v>46272905.075914197</v>
      </c>
      <c r="AF55" s="5">
        <v>44443978.4139686</v>
      </c>
      <c r="AG55">
        <f t="shared" si="1"/>
        <v>44336412.710103497</v>
      </c>
      <c r="AH55">
        <f t="shared" si="2"/>
        <v>1403919.2267259669</v>
      </c>
      <c r="AI55">
        <f t="shared" si="3"/>
        <v>3.166515152918626E-2</v>
      </c>
    </row>
    <row r="56" spans="1:35" x14ac:dyDescent="0.45">
      <c r="A56" s="5" t="s">
        <v>78</v>
      </c>
      <c r="B56" s="2">
        <f t="shared" si="0"/>
        <v>33544650.355325703</v>
      </c>
      <c r="C56" s="2">
        <v>27887956.575792126</v>
      </c>
      <c r="D56" s="2">
        <v>7.9195764418487288E-2</v>
      </c>
      <c r="E56" s="5">
        <v>36540738.787317201</v>
      </c>
      <c r="F56" s="5">
        <v>32761503.027299199</v>
      </c>
      <c r="G56" s="5">
        <v>29510838.353067901</v>
      </c>
      <c r="H56" s="5">
        <v>16763576.240389699</v>
      </c>
      <c r="I56" s="5">
        <v>38407682.1571915</v>
      </c>
      <c r="J56" s="5">
        <v>25953035.702871699</v>
      </c>
      <c r="K56" s="5">
        <v>21752933.184158999</v>
      </c>
      <c r="L56" s="5">
        <v>29588473.091389898</v>
      </c>
      <c r="M56" s="5">
        <v>52508529.324158899</v>
      </c>
      <c r="N56" s="5">
        <v>27780399.058882602</v>
      </c>
      <c r="O56" s="5">
        <v>19446831.6254705</v>
      </c>
      <c r="P56" s="5">
        <v>26702525.499021798</v>
      </c>
      <c r="Q56" s="5">
        <v>31290757.921833999</v>
      </c>
      <c r="R56" s="5">
        <v>20028562.044647101</v>
      </c>
      <c r="S56" s="5">
        <v>23993317.057027299</v>
      </c>
      <c r="T56" s="5">
        <v>109664984.736719</v>
      </c>
      <c r="U56" s="5">
        <v>23873510.7879816</v>
      </c>
      <c r="V56" s="5">
        <v>35402917.915555201</v>
      </c>
      <c r="W56" s="5">
        <v>20308459.6351377</v>
      </c>
      <c r="X56" s="5">
        <v>47010448.119979799</v>
      </c>
      <c r="Y56" s="5">
        <v>39378487.631218903</v>
      </c>
      <c r="Z56" s="5">
        <v>31468458.326134302</v>
      </c>
      <c r="AA56" s="5">
        <v>32340922.072477199</v>
      </c>
      <c r="AB56" s="5">
        <v>32593716.2278849</v>
      </c>
      <c r="AC56" s="5">
        <v>25568648.957858</v>
      </c>
      <c r="AD56" s="5">
        <v>28293429.8140264</v>
      </c>
      <c r="AE56" s="5">
        <v>30749981.508133199</v>
      </c>
      <c r="AF56" s="5">
        <v>26939766.023150899</v>
      </c>
      <c r="AG56">
        <f t="shared" si="1"/>
        <v>27887956.575792126</v>
      </c>
      <c r="AH56">
        <f t="shared" si="2"/>
        <v>2208608.0390894366</v>
      </c>
      <c r="AI56">
        <f t="shared" si="3"/>
        <v>7.9195764418487288E-2</v>
      </c>
    </row>
    <row r="57" spans="1:35" x14ac:dyDescent="0.45">
      <c r="A57" s="5" t="s">
        <v>276</v>
      </c>
      <c r="B57" s="2">
        <f t="shared" si="0"/>
        <v>476686510.44731802</v>
      </c>
      <c r="C57" s="2">
        <v>472902302.52076197</v>
      </c>
      <c r="D57" s="2">
        <v>5.1856717599163937E-2</v>
      </c>
      <c r="E57" s="5">
        <v>814064181.886608</v>
      </c>
      <c r="F57" s="5">
        <v>473316424.47171497</v>
      </c>
      <c r="G57" s="5">
        <v>231771968.95105001</v>
      </c>
      <c r="H57" s="5">
        <v>197394850.15748</v>
      </c>
      <c r="I57" s="5">
        <v>573509588.35435903</v>
      </c>
      <c r="J57" s="5">
        <v>593265588.28064096</v>
      </c>
      <c r="K57" s="5">
        <v>538424267.96092403</v>
      </c>
      <c r="L57" s="5">
        <v>437117501.08742499</v>
      </c>
      <c r="M57" s="5">
        <v>718180934.49414897</v>
      </c>
      <c r="N57" s="5">
        <v>372562166.84847498</v>
      </c>
      <c r="O57" s="5">
        <v>252142568.04750201</v>
      </c>
      <c r="P57" s="5">
        <v>419653602.35182399</v>
      </c>
      <c r="Q57" s="5">
        <v>294695594.83552498</v>
      </c>
      <c r="R57" s="5">
        <v>432156490.87156099</v>
      </c>
      <c r="S57" s="5">
        <v>292494922.916933</v>
      </c>
      <c r="T57" s="5">
        <v>456832064.71261299</v>
      </c>
      <c r="U57" s="5">
        <v>1026076256.0886199</v>
      </c>
      <c r="V57" s="5">
        <v>449726417.74815798</v>
      </c>
      <c r="W57" s="5">
        <v>356029745.830607</v>
      </c>
      <c r="X57" s="5">
        <v>622205859.537727</v>
      </c>
      <c r="Y57" s="5">
        <v>350508147.860865</v>
      </c>
      <c r="Z57" s="5">
        <v>560308747.70538604</v>
      </c>
      <c r="AA57" s="5">
        <v>413984752.27380902</v>
      </c>
      <c r="AB57" s="5">
        <v>564053607.46167803</v>
      </c>
      <c r="AC57" s="5">
        <v>444527044.704234</v>
      </c>
      <c r="AD57" s="5">
        <v>461704125.29940099</v>
      </c>
      <c r="AE57" s="5">
        <v>499418562.71894097</v>
      </c>
      <c r="AF57" s="5">
        <v>485959477.36047202</v>
      </c>
      <c r="AG57">
        <f t="shared" si="1"/>
        <v>472902302.52076197</v>
      </c>
      <c r="AH57">
        <f t="shared" si="2"/>
        <v>24523161.153813545</v>
      </c>
      <c r="AI57">
        <f t="shared" si="3"/>
        <v>5.1856717599163937E-2</v>
      </c>
    </row>
    <row r="58" spans="1:35" x14ac:dyDescent="0.45">
      <c r="A58" s="5" t="s">
        <v>277</v>
      </c>
      <c r="B58" s="2">
        <f t="shared" si="0"/>
        <v>775920.50882793881</v>
      </c>
      <c r="C58" s="2">
        <v>404021.28024451202</v>
      </c>
      <c r="D58" s="2">
        <v>4.9480468902189871E-2</v>
      </c>
      <c r="E58" s="5">
        <v>947678.73921796901</v>
      </c>
      <c r="F58" s="5">
        <v>909880.99415909895</v>
      </c>
      <c r="G58" s="5">
        <v>376148.61377433699</v>
      </c>
      <c r="H58" s="5">
        <v>1206388.63697807</v>
      </c>
      <c r="I58" s="5">
        <v>98091.449618654398</v>
      </c>
      <c r="J58" s="5">
        <v>89742.199289234195</v>
      </c>
      <c r="K58" s="5">
        <v>629932.77546248795</v>
      </c>
      <c r="L58" s="5">
        <v>675353.11506143096</v>
      </c>
      <c r="M58" s="5">
        <v>1594696.1591706499</v>
      </c>
      <c r="N58" s="5">
        <v>847663.41733492899</v>
      </c>
      <c r="O58" s="5">
        <v>456120.88821305201</v>
      </c>
      <c r="P58" s="5">
        <v>1138973.3801178201</v>
      </c>
      <c r="Q58" s="5">
        <v>620633.43421481003</v>
      </c>
      <c r="R58" s="5">
        <v>345640.74664546101</v>
      </c>
      <c r="S58" s="5">
        <v>320346.16773398197</v>
      </c>
      <c r="T58" s="5">
        <v>3733337.4665907598</v>
      </c>
      <c r="U58" s="5">
        <v>592885.61857608706</v>
      </c>
      <c r="V58" s="5">
        <v>1193670.01195921</v>
      </c>
      <c r="W58" s="5">
        <v>531049.65940841299</v>
      </c>
      <c r="X58" s="5">
        <v>363536.98297465499</v>
      </c>
      <c r="Y58" s="5">
        <v>765130.25271680404</v>
      </c>
      <c r="Z58" s="5">
        <v>342772.61284515099</v>
      </c>
      <c r="AA58" s="5">
        <v>238915.978176359</v>
      </c>
      <c r="AB58" s="5">
        <v>603502.91163110198</v>
      </c>
      <c r="AC58" s="5">
        <v>375211.196578036</v>
      </c>
      <c r="AD58" s="5">
        <v>412161.47429762798</v>
      </c>
      <c r="AE58" s="5">
        <v>421028.32640905899</v>
      </c>
      <c r="AF58" s="5">
        <v>407684.12369332497</v>
      </c>
      <c r="AG58">
        <f t="shared" si="1"/>
        <v>404021.28024451202</v>
      </c>
      <c r="AH58">
        <f t="shared" si="2"/>
        <v>19991.162392961516</v>
      </c>
      <c r="AI58">
        <f t="shared" si="3"/>
        <v>4.9480468902189871E-2</v>
      </c>
    </row>
    <row r="59" spans="1:35" x14ac:dyDescent="0.45">
      <c r="A59" s="5" t="s">
        <v>278</v>
      </c>
      <c r="B59" s="2">
        <f t="shared" si="0"/>
        <v>22102608.942171358</v>
      </c>
      <c r="C59" s="2">
        <v>17810549.146198649</v>
      </c>
      <c r="D59" s="2">
        <v>5.136818009261257E-2</v>
      </c>
      <c r="E59" s="5">
        <v>13611922.309676901</v>
      </c>
      <c r="F59" s="5">
        <v>11401246.2167887</v>
      </c>
      <c r="G59" s="5">
        <v>12193556.1552277</v>
      </c>
      <c r="H59" s="5">
        <v>5902381.0131401801</v>
      </c>
      <c r="I59" s="5">
        <v>5105583.1560674701</v>
      </c>
      <c r="J59" s="5">
        <v>25009968.476885699</v>
      </c>
      <c r="K59" s="5">
        <v>14490994.139000401</v>
      </c>
      <c r="L59" s="5">
        <v>11414805.220784299</v>
      </c>
      <c r="M59" s="5">
        <v>25744441.548199199</v>
      </c>
      <c r="N59" s="5">
        <v>10090079.7130682</v>
      </c>
      <c r="O59" s="5">
        <v>166994219.81990299</v>
      </c>
      <c r="P59" s="5">
        <v>22783304.400598601</v>
      </c>
      <c r="Q59" s="5">
        <v>19865146.856409699</v>
      </c>
      <c r="R59" s="5">
        <v>13744075.0415729</v>
      </c>
      <c r="S59" s="5">
        <v>11274408.7247645</v>
      </c>
      <c r="T59" s="5">
        <v>16223533.07877</v>
      </c>
      <c r="U59" s="5">
        <v>16420591.7564077</v>
      </c>
      <c r="V59" s="5">
        <v>27067031.345320199</v>
      </c>
      <c r="W59" s="5">
        <v>8039008.11119965</v>
      </c>
      <c r="X59" s="5">
        <v>39705133.198342197</v>
      </c>
      <c r="Y59" s="5">
        <v>11373718.995526301</v>
      </c>
      <c r="Z59" s="5">
        <v>19945526.489489</v>
      </c>
      <c r="AA59" s="5">
        <v>11964173.003237501</v>
      </c>
      <c r="AB59" s="5">
        <v>10097765.8417325</v>
      </c>
      <c r="AC59" s="5">
        <v>18113584.784561899</v>
      </c>
      <c r="AD59" s="5">
        <v>16451275.9712651</v>
      </c>
      <c r="AE59" s="5">
        <v>18421819.214102399</v>
      </c>
      <c r="AF59" s="5">
        <v>18255516.614865199</v>
      </c>
      <c r="AG59">
        <f t="shared" si="1"/>
        <v>17810549.146198649</v>
      </c>
      <c r="AH59">
        <f t="shared" si="2"/>
        <v>914895.49609025929</v>
      </c>
      <c r="AI59">
        <f t="shared" si="3"/>
        <v>5.136818009261257E-2</v>
      </c>
    </row>
    <row r="60" spans="1:35" x14ac:dyDescent="0.45">
      <c r="A60" s="5" t="s">
        <v>279</v>
      </c>
      <c r="B60" s="2">
        <f t="shared" si="0"/>
        <v>333596419.38213319</v>
      </c>
      <c r="C60" s="2">
        <v>292635862.64611298</v>
      </c>
      <c r="D60" s="2">
        <v>7.0073493789371749E-2</v>
      </c>
      <c r="E60" s="5">
        <v>387968732.69322002</v>
      </c>
      <c r="F60" s="5">
        <v>398410731.22098702</v>
      </c>
      <c r="G60" s="5">
        <v>278378282.94308901</v>
      </c>
      <c r="H60" s="5">
        <v>374316473.867926</v>
      </c>
      <c r="I60" s="5">
        <v>351420247.372805</v>
      </c>
      <c r="J60" s="5">
        <v>200169916.902284</v>
      </c>
      <c r="K60" s="5">
        <v>289559333.73698699</v>
      </c>
      <c r="L60" s="5">
        <v>372116257.57894999</v>
      </c>
      <c r="M60" s="5">
        <v>301593726.33443499</v>
      </c>
      <c r="N60" s="5">
        <v>359163777.30523503</v>
      </c>
      <c r="O60" s="5">
        <v>202852002.313164</v>
      </c>
      <c r="P60" s="5">
        <v>366047768.26755297</v>
      </c>
      <c r="Q60" s="5">
        <v>312393561.25916702</v>
      </c>
      <c r="R60" s="5">
        <v>378840972.72163099</v>
      </c>
      <c r="S60" s="5">
        <v>321462926.50973803</v>
      </c>
      <c r="T60" s="5">
        <v>479597444.46562999</v>
      </c>
      <c r="U60" s="5">
        <v>418959553.03988099</v>
      </c>
      <c r="V60" s="5">
        <v>382154524.80357701</v>
      </c>
      <c r="W60" s="5">
        <v>310415133.41453701</v>
      </c>
      <c r="X60" s="5">
        <v>331754462.38029599</v>
      </c>
      <c r="Y60" s="5">
        <v>333388012.63109398</v>
      </c>
      <c r="Z60" s="5">
        <v>260895553.384175</v>
      </c>
      <c r="AA60" s="5">
        <v>259938853.931115</v>
      </c>
      <c r="AB60" s="5">
        <v>334515816.09372002</v>
      </c>
      <c r="AC60" s="5">
        <v>299072389.76439101</v>
      </c>
      <c r="AD60" s="5">
        <v>300157716.661578</v>
      </c>
      <c r="AE60" s="5">
        <v>262569176.91557401</v>
      </c>
      <c r="AF60" s="5">
        <v>308744167.24290901</v>
      </c>
      <c r="AG60">
        <f t="shared" si="1"/>
        <v>292635862.64611298</v>
      </c>
      <c r="AH60">
        <f t="shared" si="2"/>
        <v>20506017.303679843</v>
      </c>
      <c r="AI60">
        <f t="shared" si="3"/>
        <v>7.0073493789371749E-2</v>
      </c>
    </row>
    <row r="61" spans="1:35" x14ac:dyDescent="0.45">
      <c r="A61" s="5" t="s">
        <v>79</v>
      </c>
      <c r="B61" s="2">
        <f t="shared" si="0"/>
        <v>15567783.259270586</v>
      </c>
      <c r="C61" s="2">
        <v>9493769.2552824803</v>
      </c>
      <c r="D61" s="2">
        <v>8.4579775236845789E-2</v>
      </c>
      <c r="E61" s="5">
        <v>7887945.1092735203</v>
      </c>
      <c r="F61" s="5">
        <v>8343257.8519163299</v>
      </c>
      <c r="G61" s="5">
        <v>8267196.4996874304</v>
      </c>
      <c r="H61" s="5">
        <v>17741730.9199677</v>
      </c>
      <c r="I61" s="5">
        <v>9163685.6369449701</v>
      </c>
      <c r="J61" s="5">
        <v>7199181.0775345303</v>
      </c>
      <c r="K61" s="5">
        <v>8106558.6113615604</v>
      </c>
      <c r="L61" s="5">
        <v>9115766.9450032897</v>
      </c>
      <c r="M61" s="5">
        <v>5505135.8325883104</v>
      </c>
      <c r="N61" s="5">
        <v>4298129.5906470995</v>
      </c>
      <c r="O61" s="5">
        <v>15823811.796253899</v>
      </c>
      <c r="P61" s="5">
        <v>8151372.1986767603</v>
      </c>
      <c r="Q61" s="5">
        <v>5441518.4295903901</v>
      </c>
      <c r="R61" s="5">
        <v>8812970.4216303304</v>
      </c>
      <c r="S61" s="5">
        <v>6960630.2698011799</v>
      </c>
      <c r="T61" s="5">
        <v>176829348.68492201</v>
      </c>
      <c r="U61" s="5">
        <v>7867221.2569649499</v>
      </c>
      <c r="V61" s="5">
        <v>6943136.3588525802</v>
      </c>
      <c r="W61" s="5">
        <v>8325889.5916815205</v>
      </c>
      <c r="X61" s="5">
        <v>13510653.6570882</v>
      </c>
      <c r="Y61" s="5">
        <v>5923307.6058162097</v>
      </c>
      <c r="Z61" s="5">
        <v>9729525.7274280097</v>
      </c>
      <c r="AA61" s="5">
        <v>6822646.6274800403</v>
      </c>
      <c r="AB61" s="5">
        <v>6856177.5213832101</v>
      </c>
      <c r="AC61" s="5">
        <v>8347676.7454411797</v>
      </c>
      <c r="AD61" s="5">
        <v>10018422.158563999</v>
      </c>
      <c r="AE61" s="5">
        <v>9528398.0144520495</v>
      </c>
      <c r="AF61" s="5">
        <v>10080580.1026727</v>
      </c>
      <c r="AG61">
        <f t="shared" si="1"/>
        <v>9493769.2552824803</v>
      </c>
      <c r="AH61">
        <f t="shared" si="2"/>
        <v>802980.86976226897</v>
      </c>
      <c r="AI61">
        <f t="shared" si="3"/>
        <v>8.4579775236845789E-2</v>
      </c>
    </row>
    <row r="62" spans="1:35" x14ac:dyDescent="0.45">
      <c r="A62" s="5" t="s">
        <v>280</v>
      </c>
      <c r="B62" s="2">
        <f t="shared" si="0"/>
        <v>46227380.039220579</v>
      </c>
      <c r="C62" s="2">
        <v>48317284.616370201</v>
      </c>
      <c r="D62" s="2">
        <v>2.5881843967609345E-2</v>
      </c>
      <c r="E62" s="5">
        <v>28937393.559222002</v>
      </c>
      <c r="F62" s="5">
        <v>24268200.5468463</v>
      </c>
      <c r="G62" s="5">
        <v>30991161.0108632</v>
      </c>
      <c r="H62" s="5">
        <v>32671573.070278399</v>
      </c>
      <c r="I62" s="5">
        <v>209686136.100761</v>
      </c>
      <c r="J62" s="5">
        <v>22935296.9326014</v>
      </c>
      <c r="K62" s="5">
        <v>24284148.4905705</v>
      </c>
      <c r="L62" s="5">
        <v>24662601.626445901</v>
      </c>
      <c r="M62" s="5">
        <v>30655230.556457698</v>
      </c>
      <c r="N62" s="5">
        <v>25041822.622255199</v>
      </c>
      <c r="O62" s="5">
        <v>16775962.8264881</v>
      </c>
      <c r="P62" s="5">
        <v>25183891.340173502</v>
      </c>
      <c r="Q62" s="5">
        <v>159226726.28881499</v>
      </c>
      <c r="R62" s="5">
        <v>26488214.186613299</v>
      </c>
      <c r="S62" s="5">
        <v>22337064.802572802</v>
      </c>
      <c r="T62" s="5">
        <v>26682078.717165601</v>
      </c>
      <c r="U62" s="5">
        <v>26361498.296354</v>
      </c>
      <c r="V62" s="5">
        <v>27327524.025603801</v>
      </c>
      <c r="W62" s="5">
        <v>41274982.186327301</v>
      </c>
      <c r="X62" s="5">
        <v>23446266.764309801</v>
      </c>
      <c r="Y62" s="5">
        <v>188118602.151887</v>
      </c>
      <c r="Z62" s="5">
        <v>24928278.840276401</v>
      </c>
      <c r="AA62" s="5">
        <v>24047427.3038144</v>
      </c>
      <c r="AB62" s="5">
        <v>23125038.6945915</v>
      </c>
      <c r="AC62" s="5">
        <v>47622224.875077598</v>
      </c>
      <c r="AD62" s="5">
        <v>47251997.933809899</v>
      </c>
      <c r="AE62" s="5">
        <v>48324474.291647799</v>
      </c>
      <c r="AF62" s="5">
        <v>50070441.364945501</v>
      </c>
      <c r="AG62">
        <f t="shared" si="1"/>
        <v>48317284.616370201</v>
      </c>
      <c r="AH62">
        <f t="shared" si="2"/>
        <v>1250540.4213794649</v>
      </c>
      <c r="AI62">
        <f t="shared" si="3"/>
        <v>2.5881843967609345E-2</v>
      </c>
    </row>
    <row r="63" spans="1:35" x14ac:dyDescent="0.45">
      <c r="A63" s="5" t="s">
        <v>80</v>
      </c>
      <c r="B63" s="2">
        <f t="shared" si="0"/>
        <v>51334954.017755188</v>
      </c>
      <c r="C63" s="2">
        <v>42731643.444587499</v>
      </c>
      <c r="D63" s="2">
        <v>3.1650592469075554E-2</v>
      </c>
      <c r="E63" s="5">
        <v>54474758.936060399</v>
      </c>
      <c r="F63" s="5">
        <v>54643777.533310503</v>
      </c>
      <c r="G63" s="5">
        <v>49215936.6319611</v>
      </c>
      <c r="H63" s="5">
        <v>108725570.995217</v>
      </c>
      <c r="I63" s="5">
        <v>41478840.178006403</v>
      </c>
      <c r="J63" s="5">
        <v>45280301.507944003</v>
      </c>
      <c r="K63" s="5">
        <v>56482670.0298234</v>
      </c>
      <c r="L63" s="5">
        <v>73449211.667014301</v>
      </c>
      <c r="M63" s="5">
        <v>41683649.504776098</v>
      </c>
      <c r="N63" s="5">
        <v>45532044.153336398</v>
      </c>
      <c r="O63" s="5">
        <v>36252428.763235196</v>
      </c>
      <c r="P63" s="5">
        <v>61424772.042924702</v>
      </c>
      <c r="Q63" s="5">
        <v>30024645.604104601</v>
      </c>
      <c r="R63" s="5">
        <v>51686413.120737903</v>
      </c>
      <c r="S63" s="5">
        <v>49726980.4972478</v>
      </c>
      <c r="T63" s="5">
        <v>25125731.269500401</v>
      </c>
      <c r="U63" s="5">
        <v>44484470.363464698</v>
      </c>
      <c r="V63" s="5">
        <v>43098427.8115004</v>
      </c>
      <c r="W63" s="5">
        <v>40205508.353811704</v>
      </c>
      <c r="X63" s="5">
        <v>53485886.093328297</v>
      </c>
      <c r="Y63" s="5">
        <v>36301062.790914997</v>
      </c>
      <c r="Z63" s="5">
        <v>48856287.468681403</v>
      </c>
      <c r="AA63" s="5">
        <v>64493588.2088691</v>
      </c>
      <c r="AB63" s="5">
        <v>75905932.900353894</v>
      </c>
      <c r="AC63" s="5">
        <v>40803734.711799502</v>
      </c>
      <c r="AD63" s="5">
        <v>43739417.466640599</v>
      </c>
      <c r="AE63" s="5">
        <v>43599053.907694601</v>
      </c>
      <c r="AF63" s="5">
        <v>42784367.692215301</v>
      </c>
      <c r="AG63">
        <f t="shared" si="1"/>
        <v>42731643.444587499</v>
      </c>
      <c r="AH63">
        <f t="shared" si="2"/>
        <v>1352481.8321984829</v>
      </c>
      <c r="AI63">
        <f t="shared" si="3"/>
        <v>3.1650592469075554E-2</v>
      </c>
    </row>
    <row r="64" spans="1:35" x14ac:dyDescent="0.45">
      <c r="A64" s="5" t="s">
        <v>281</v>
      </c>
      <c r="B64" s="2">
        <f t="shared" si="0"/>
        <v>31827454.631214369</v>
      </c>
      <c r="C64" s="2">
        <v>16312368.217100952</v>
      </c>
      <c r="D64" s="2">
        <v>0.11354000578647545</v>
      </c>
      <c r="E64" s="5">
        <v>7856641.0999620697</v>
      </c>
      <c r="F64" s="5">
        <v>6682761.4787563104</v>
      </c>
      <c r="G64" s="5">
        <v>6671187.7095367098</v>
      </c>
      <c r="H64" s="5">
        <v>8572017.8323938102</v>
      </c>
      <c r="I64" s="5">
        <v>7896233.1502948198</v>
      </c>
      <c r="J64" s="5">
        <v>6625376.0906664999</v>
      </c>
      <c r="K64" s="5">
        <v>6870853.5003761696</v>
      </c>
      <c r="L64" s="5">
        <v>6492123.64511743</v>
      </c>
      <c r="M64" s="5">
        <v>10064020.756440399</v>
      </c>
      <c r="N64" s="5">
        <v>8863273.6377096307</v>
      </c>
      <c r="O64" s="5">
        <v>499399162.76363403</v>
      </c>
      <c r="P64" s="5">
        <v>30213956.8729393</v>
      </c>
      <c r="Q64" s="5">
        <v>12197608.622919301</v>
      </c>
      <c r="R64" s="5">
        <v>10627879.3365754</v>
      </c>
      <c r="S64" s="5">
        <v>3898283.1900152802</v>
      </c>
      <c r="T64" s="5">
        <v>59823986.056018703</v>
      </c>
      <c r="U64" s="5">
        <v>9821782.1354747191</v>
      </c>
      <c r="V64" s="5">
        <v>7290440.0253561102</v>
      </c>
      <c r="W64" s="5">
        <v>18669816.675081201</v>
      </c>
      <c r="X64" s="5">
        <v>4870566.1529606897</v>
      </c>
      <c r="Y64" s="5">
        <v>9073868.2385795992</v>
      </c>
      <c r="Z64" s="5">
        <v>8392222.2979826704</v>
      </c>
      <c r="AA64" s="5">
        <v>7131490.2112055896</v>
      </c>
      <c r="AB64" s="5">
        <v>5853359.6691483399</v>
      </c>
      <c r="AC64" s="5">
        <v>17771379.204507701</v>
      </c>
      <c r="AD64" s="5">
        <v>14077347.5278296</v>
      </c>
      <c r="AE64" s="5">
        <v>15503341.724137399</v>
      </c>
      <c r="AF64" s="5">
        <v>17897404.411929101</v>
      </c>
      <c r="AG64">
        <f t="shared" si="1"/>
        <v>16312368.217100952</v>
      </c>
      <c r="AH64">
        <f t="shared" si="2"/>
        <v>1852106.3817607604</v>
      </c>
      <c r="AI64">
        <f t="shared" si="3"/>
        <v>0.11354000578647545</v>
      </c>
    </row>
    <row r="65" spans="1:35" x14ac:dyDescent="0.45">
      <c r="A65" s="5" t="s">
        <v>81</v>
      </c>
      <c r="B65" s="2">
        <f t="shared" si="0"/>
        <v>25285817.603967708</v>
      </c>
      <c r="C65" s="2">
        <v>29888712.669606127</v>
      </c>
      <c r="D65" s="2">
        <v>2.9176455345650092E-2</v>
      </c>
      <c r="E65" s="5">
        <v>19841039.288121901</v>
      </c>
      <c r="F65" s="5">
        <v>19324299.547400199</v>
      </c>
      <c r="G65" s="5">
        <v>24221353.546560299</v>
      </c>
      <c r="H65" s="5">
        <v>5352806.9500797903</v>
      </c>
      <c r="I65" s="5">
        <v>54431409.9633485</v>
      </c>
      <c r="J65" s="5">
        <v>34723498.126039699</v>
      </c>
      <c r="K65" s="5">
        <v>6329609.3675555699</v>
      </c>
      <c r="L65" s="5">
        <v>33334242.709235098</v>
      </c>
      <c r="M65" s="5">
        <v>33277153.833333001</v>
      </c>
      <c r="N65" s="5">
        <v>19233877.858121999</v>
      </c>
      <c r="O65" s="5">
        <v>34187439.4415465</v>
      </c>
      <c r="P65" s="5">
        <v>6248207.6502678804</v>
      </c>
      <c r="Q65" s="5">
        <v>48256846.1049788</v>
      </c>
      <c r="R65" s="5">
        <v>6748999.13600899</v>
      </c>
      <c r="S65" s="5">
        <v>25313902.6143528</v>
      </c>
      <c r="T65" s="5">
        <v>26475649.038741</v>
      </c>
      <c r="U65" s="5">
        <v>20767802.0515095</v>
      </c>
      <c r="V65" s="5">
        <v>31951225.4864133</v>
      </c>
      <c r="W65" s="5">
        <v>17858153.931279302</v>
      </c>
      <c r="X65" s="5">
        <v>10364539.0703358</v>
      </c>
      <c r="Y65" s="5">
        <v>50115335.148918003</v>
      </c>
      <c r="Z65" s="5">
        <v>11366330.5211793</v>
      </c>
      <c r="AA65" s="5">
        <v>36676147.095481098</v>
      </c>
      <c r="AB65" s="5">
        <v>30459754.014416698</v>
      </c>
      <c r="AC65" s="5">
        <v>30670587.402889099</v>
      </c>
      <c r="AD65" s="5">
        <v>30580422.271296099</v>
      </c>
      <c r="AE65" s="5">
        <v>29382008.119897701</v>
      </c>
      <c r="AF65" s="5">
        <v>28921832.884341601</v>
      </c>
      <c r="AG65">
        <f t="shared" si="1"/>
        <v>29888712.669606127</v>
      </c>
      <c r="AH65">
        <f t="shared" si="2"/>
        <v>872046.69054372935</v>
      </c>
      <c r="AI65">
        <f t="shared" si="3"/>
        <v>2.9176455345650092E-2</v>
      </c>
    </row>
    <row r="66" spans="1:35" x14ac:dyDescent="0.45">
      <c r="A66" s="5" t="s">
        <v>82</v>
      </c>
      <c r="B66" s="2">
        <f t="shared" ref="B66:B129" si="4">AVERAGE(E66:AB66)</f>
        <v>23997694.156758349</v>
      </c>
      <c r="C66" s="2">
        <v>26115813.624472301</v>
      </c>
      <c r="D66" s="2">
        <v>0.11405324532870702</v>
      </c>
      <c r="E66" s="5">
        <v>5262902.7153907605</v>
      </c>
      <c r="F66" s="5">
        <v>13509973.248741601</v>
      </c>
      <c r="G66" s="5">
        <v>28101767.1201251</v>
      </c>
      <c r="H66" s="5">
        <v>17390889.7731557</v>
      </c>
      <c r="I66" s="5">
        <v>40331505.6398656</v>
      </c>
      <c r="J66" s="5">
        <v>45231255.227908097</v>
      </c>
      <c r="K66" s="5">
        <v>11556128.0354886</v>
      </c>
      <c r="L66" s="5">
        <v>21543409.8953829</v>
      </c>
      <c r="M66" s="5">
        <v>34277459.077613302</v>
      </c>
      <c r="N66" s="5">
        <v>7494565.0288237203</v>
      </c>
      <c r="O66" s="5">
        <v>10602282.175810199</v>
      </c>
      <c r="P66" s="5">
        <v>18016298.524632201</v>
      </c>
      <c r="Q66" s="5">
        <v>42075593.089079998</v>
      </c>
      <c r="R66" s="5">
        <v>16888477.311121602</v>
      </c>
      <c r="S66" s="5">
        <v>23782947.801193699</v>
      </c>
      <c r="T66" s="5">
        <v>26499952.660358999</v>
      </c>
      <c r="U66" s="5">
        <v>21938490.889163502</v>
      </c>
      <c r="V66" s="5">
        <v>32550137.539036602</v>
      </c>
      <c r="W66" s="5">
        <v>4597733.3551858999</v>
      </c>
      <c r="X66" s="5">
        <v>43259593.977309696</v>
      </c>
      <c r="Y66" s="5">
        <v>25634408.185104501</v>
      </c>
      <c r="Z66" s="5">
        <v>31392967.808674801</v>
      </c>
      <c r="AA66" s="5">
        <v>35828605.062895603</v>
      </c>
      <c r="AB66" s="5">
        <v>18177315.620137699</v>
      </c>
      <c r="AC66" s="5">
        <v>25068426.816928498</v>
      </c>
      <c r="AD66" s="5">
        <v>22381409.4076715</v>
      </c>
      <c r="AE66" s="5">
        <v>28241664.394966699</v>
      </c>
      <c r="AF66" s="5">
        <v>28771753.878322501</v>
      </c>
      <c r="AG66">
        <f t="shared" ref="AG66:AG129" si="5">AVERAGE(AC66:AF66)</f>
        <v>26115813.624472301</v>
      </c>
      <c r="AH66">
        <f t="shared" ref="AH66:AH129" si="6">STDEV(AC66:AF66)</f>
        <v>2978593.2982707284</v>
      </c>
      <c r="AI66">
        <f t="shared" ref="AI66:AI129" si="7">AH66/AG66</f>
        <v>0.11405324532870702</v>
      </c>
    </row>
    <row r="67" spans="1:35" x14ac:dyDescent="0.45">
      <c r="A67" s="5" t="s">
        <v>83</v>
      </c>
      <c r="B67" s="2">
        <f t="shared" si="4"/>
        <v>25457758.96049593</v>
      </c>
      <c r="C67" s="2">
        <v>28687167.730041701</v>
      </c>
      <c r="D67" s="2">
        <v>7.3217045454682453E-2</v>
      </c>
      <c r="E67" s="5">
        <v>17227114.160704698</v>
      </c>
      <c r="F67" s="5">
        <v>25460614.327335101</v>
      </c>
      <c r="G67" s="5">
        <v>23136941.141011499</v>
      </c>
      <c r="H67" s="5">
        <v>19532323.490297601</v>
      </c>
      <c r="I67" s="5">
        <v>29228650.301477298</v>
      </c>
      <c r="J67" s="5">
        <v>36585375.104883999</v>
      </c>
      <c r="K67" s="5">
        <v>41948439.898470402</v>
      </c>
      <c r="L67" s="5">
        <v>29307116.7523029</v>
      </c>
      <c r="M67" s="5">
        <v>38776648.068980798</v>
      </c>
      <c r="N67" s="5">
        <v>27356227.761644099</v>
      </c>
      <c r="O67" s="5">
        <v>7314440.9991933098</v>
      </c>
      <c r="P67" s="5">
        <v>32815828.475446001</v>
      </c>
      <c r="Q67" s="5">
        <v>14178416.0688744</v>
      </c>
      <c r="R67" s="5">
        <v>8899072.0404503699</v>
      </c>
      <c r="S67" s="5">
        <v>8281142.6180313602</v>
      </c>
      <c r="T67" s="5">
        <v>25492999.285643801</v>
      </c>
      <c r="U67" s="5">
        <v>36808253.452685103</v>
      </c>
      <c r="V67" s="5">
        <v>23089943.296848301</v>
      </c>
      <c r="W67" s="5">
        <v>25867016.343835101</v>
      </c>
      <c r="X67" s="5">
        <v>38269310.944615804</v>
      </c>
      <c r="Y67" s="5">
        <v>25418651.504168801</v>
      </c>
      <c r="Z67" s="5">
        <v>31153266.0532277</v>
      </c>
      <c r="AA67" s="5">
        <v>32488148.907795701</v>
      </c>
      <c r="AB67" s="5">
        <v>12350274.0539781</v>
      </c>
      <c r="AC67" s="5">
        <v>31775104.429432102</v>
      </c>
      <c r="AD67" s="5">
        <v>28199694.489401001</v>
      </c>
      <c r="AE67" s="5">
        <v>27587836.346182901</v>
      </c>
      <c r="AF67" s="5">
        <v>27186035.655150801</v>
      </c>
      <c r="AG67">
        <f t="shared" si="5"/>
        <v>28687167.730041701</v>
      </c>
      <c r="AH67">
        <f t="shared" si="6"/>
        <v>2100389.663656563</v>
      </c>
      <c r="AI67">
        <f t="shared" si="7"/>
        <v>7.3217045454682453E-2</v>
      </c>
    </row>
    <row r="68" spans="1:35" x14ac:dyDescent="0.45">
      <c r="A68" s="5" t="s">
        <v>84</v>
      </c>
      <c r="B68" s="2">
        <f t="shared" si="4"/>
        <v>72141825.094518468</v>
      </c>
      <c r="C68" s="2">
        <v>53079962.017116398</v>
      </c>
      <c r="D68" s="2">
        <v>5.2296826399076179E-2</v>
      </c>
      <c r="E68" s="5">
        <v>37980566.108376399</v>
      </c>
      <c r="F68" s="5">
        <v>61209089.892901197</v>
      </c>
      <c r="G68" s="5">
        <v>32691190.1516832</v>
      </c>
      <c r="H68" s="5">
        <v>46189708.449962899</v>
      </c>
      <c r="I68" s="5">
        <v>39009028.006308101</v>
      </c>
      <c r="J68" s="5">
        <v>98151025.376763001</v>
      </c>
      <c r="K68" s="5">
        <v>3833193.1319934102</v>
      </c>
      <c r="L68" s="5">
        <v>26776615.8146533</v>
      </c>
      <c r="M68" s="5">
        <v>89258129.8118072</v>
      </c>
      <c r="N68" s="5">
        <v>7416274.4037790904</v>
      </c>
      <c r="O68" s="5">
        <v>151247584.959227</v>
      </c>
      <c r="P68" s="5">
        <v>17725823.0821779</v>
      </c>
      <c r="Q68" s="5">
        <v>30922024.416298099</v>
      </c>
      <c r="R68" s="5">
        <v>62557339.971091799</v>
      </c>
      <c r="S68" s="5">
        <v>19721166.652157102</v>
      </c>
      <c r="T68" s="5">
        <v>597797994.979599</v>
      </c>
      <c r="U68" s="5">
        <v>80499656.859260499</v>
      </c>
      <c r="V68" s="5">
        <v>38694023.317243896</v>
      </c>
      <c r="W68" s="5">
        <v>38738303.302514002</v>
      </c>
      <c r="X68" s="5">
        <v>112895532.168734</v>
      </c>
      <c r="Y68" s="5">
        <v>27864007.987191599</v>
      </c>
      <c r="Z68" s="5">
        <v>69857960.440270603</v>
      </c>
      <c r="AA68" s="5">
        <v>35447193.390091799</v>
      </c>
      <c r="AB68" s="5">
        <v>4920369.5943578798</v>
      </c>
      <c r="AC68" s="5">
        <v>49356934.573501803</v>
      </c>
      <c r="AD68" s="5">
        <v>55180813.433428101</v>
      </c>
      <c r="AE68" s="5">
        <v>52563109.763286799</v>
      </c>
      <c r="AF68" s="5">
        <v>55218990.298248902</v>
      </c>
      <c r="AG68">
        <f t="shared" si="5"/>
        <v>53079962.017116398</v>
      </c>
      <c r="AH68">
        <f t="shared" si="6"/>
        <v>2775913.5588786937</v>
      </c>
      <c r="AI68">
        <f t="shared" si="7"/>
        <v>5.2296826399076179E-2</v>
      </c>
    </row>
    <row r="69" spans="1:35" x14ac:dyDescent="0.45">
      <c r="A69" s="5" t="s">
        <v>85</v>
      </c>
      <c r="B69" s="2">
        <f t="shared" si="4"/>
        <v>32140083.314122971</v>
      </c>
      <c r="C69" s="2">
        <v>32623006.079833023</v>
      </c>
      <c r="D69" s="2">
        <v>1.4467140450729646E-2</v>
      </c>
      <c r="E69" s="5">
        <v>17064178.8630086</v>
      </c>
      <c r="F69" s="5">
        <v>31358656.649962701</v>
      </c>
      <c r="G69" s="5">
        <v>11270560.2195064</v>
      </c>
      <c r="H69" s="5">
        <v>23300860.5422532</v>
      </c>
      <c r="I69" s="5">
        <v>21441011.1539164</v>
      </c>
      <c r="J69" s="5">
        <v>35517360.899986103</v>
      </c>
      <c r="K69" s="5">
        <v>59469111.7355875</v>
      </c>
      <c r="L69" s="5">
        <v>19077832.809250399</v>
      </c>
      <c r="M69" s="5">
        <v>48325083.766518503</v>
      </c>
      <c r="N69" s="5">
        <v>24839350.652734701</v>
      </c>
      <c r="O69" s="5">
        <v>24324827.562113401</v>
      </c>
      <c r="P69" s="5">
        <v>44931699.027210802</v>
      </c>
      <c r="Q69" s="5">
        <v>27692843.282695699</v>
      </c>
      <c r="R69" s="5">
        <v>24360966.522269901</v>
      </c>
      <c r="S69" s="5">
        <v>27027179.3391429</v>
      </c>
      <c r="T69" s="5">
        <v>50629697.211312398</v>
      </c>
      <c r="U69" s="5">
        <v>60013150.603736997</v>
      </c>
      <c r="V69" s="5">
        <v>28373631.295508798</v>
      </c>
      <c r="W69" s="5">
        <v>30735994.270205501</v>
      </c>
      <c r="X69" s="5">
        <v>49798880.462673001</v>
      </c>
      <c r="Y69" s="5">
        <v>16603172.935444999</v>
      </c>
      <c r="Z69" s="5">
        <v>33182957.0241214</v>
      </c>
      <c r="AA69" s="5">
        <v>32794888.145672102</v>
      </c>
      <c r="AB69" s="5">
        <v>29228104.564119</v>
      </c>
      <c r="AC69" s="5">
        <v>31921113.192209002</v>
      </c>
      <c r="AD69" s="5">
        <v>32791681.806610201</v>
      </c>
      <c r="AE69" s="5">
        <v>32839725.334609199</v>
      </c>
      <c r="AF69" s="5">
        <v>32939503.985903699</v>
      </c>
      <c r="AG69">
        <f t="shared" si="5"/>
        <v>32623006.079833023</v>
      </c>
      <c r="AH69">
        <f t="shared" si="6"/>
        <v>471961.61088195152</v>
      </c>
      <c r="AI69">
        <f t="shared" si="7"/>
        <v>1.4467140450729646E-2</v>
      </c>
    </row>
    <row r="70" spans="1:35" x14ac:dyDescent="0.45">
      <c r="A70" s="5" t="s">
        <v>86</v>
      </c>
      <c r="B70" s="2">
        <f t="shared" si="4"/>
        <v>57885906.774711542</v>
      </c>
      <c r="C70" s="2">
        <v>50000675.744052902</v>
      </c>
      <c r="D70" s="2">
        <v>7.9237838820623269E-2</v>
      </c>
      <c r="E70" s="5">
        <v>36884576.632171899</v>
      </c>
      <c r="F70" s="5">
        <v>42553214.4257465</v>
      </c>
      <c r="G70" s="5">
        <v>41592268.997665703</v>
      </c>
      <c r="H70" s="5">
        <v>25382448.342842799</v>
      </c>
      <c r="I70" s="5">
        <v>58898532.526474804</v>
      </c>
      <c r="J70" s="5">
        <v>33050579.059150402</v>
      </c>
      <c r="K70" s="5">
        <v>72319691.398665607</v>
      </c>
      <c r="L70" s="5">
        <v>51922919.815573297</v>
      </c>
      <c r="M70" s="5">
        <v>31805849.2822823</v>
      </c>
      <c r="N70" s="5">
        <v>39902985.626782499</v>
      </c>
      <c r="O70" s="5">
        <v>135058020.172968</v>
      </c>
      <c r="P70" s="5">
        <v>57799928.4938896</v>
      </c>
      <c r="Q70" s="5">
        <v>83587807.318709895</v>
      </c>
      <c r="R70" s="5">
        <v>46696457.4011079</v>
      </c>
      <c r="S70" s="5">
        <v>46084786.328613698</v>
      </c>
      <c r="T70" s="5">
        <v>100400968.714499</v>
      </c>
      <c r="U70" s="5">
        <v>59625323.777469903</v>
      </c>
      <c r="V70" s="5">
        <v>33820404.402256101</v>
      </c>
      <c r="W70" s="5">
        <v>77425623.762736797</v>
      </c>
      <c r="X70" s="5">
        <v>27227907.970582899</v>
      </c>
      <c r="Y70" s="5">
        <v>94984105.150950894</v>
      </c>
      <c r="Z70" s="5">
        <v>58776206.145489603</v>
      </c>
      <c r="AA70" s="5">
        <v>70755675.933106706</v>
      </c>
      <c r="AB70" s="5">
        <v>62705480.913340203</v>
      </c>
      <c r="AC70" s="5">
        <v>44645984.727019899</v>
      </c>
      <c r="AD70" s="5">
        <v>52508136.472373202</v>
      </c>
      <c r="AE70" s="5">
        <v>49414614.205397896</v>
      </c>
      <c r="AF70" s="5">
        <v>53433967.571420603</v>
      </c>
      <c r="AG70">
        <f t="shared" si="5"/>
        <v>50000675.744052902</v>
      </c>
      <c r="AH70">
        <f t="shared" si="6"/>
        <v>3961945.4855295112</v>
      </c>
      <c r="AI70">
        <f t="shared" si="7"/>
        <v>7.9237838820623269E-2</v>
      </c>
    </row>
    <row r="71" spans="1:35" x14ac:dyDescent="0.45">
      <c r="A71" s="5" t="s">
        <v>282</v>
      </c>
      <c r="B71" s="2">
        <f t="shared" si="4"/>
        <v>60073818.186720349</v>
      </c>
      <c r="C71" s="2">
        <v>60096131.784294501</v>
      </c>
      <c r="D71" s="2">
        <v>6.850700845865508E-2</v>
      </c>
      <c r="E71" s="5">
        <v>65961750.739041299</v>
      </c>
      <c r="F71" s="5">
        <v>57141316.808120802</v>
      </c>
      <c r="G71" s="5">
        <v>56033145.824232303</v>
      </c>
      <c r="H71" s="5">
        <v>76936792.682861596</v>
      </c>
      <c r="I71" s="5">
        <v>39091930.685550801</v>
      </c>
      <c r="J71" s="5">
        <v>9254398.7613899205</v>
      </c>
      <c r="K71" s="5">
        <v>21507799.2776151</v>
      </c>
      <c r="L71" s="5">
        <v>72095908.368745506</v>
      </c>
      <c r="M71" s="5">
        <v>33109793.2812186</v>
      </c>
      <c r="N71" s="5">
        <v>25505062.717403799</v>
      </c>
      <c r="O71" s="5">
        <v>91282360.128673896</v>
      </c>
      <c r="P71" s="5">
        <v>31658878.791135501</v>
      </c>
      <c r="Q71" s="5">
        <v>118603364.25236601</v>
      </c>
      <c r="R71" s="5">
        <v>52611139.354537301</v>
      </c>
      <c r="S71" s="5">
        <v>74301859.6770778</v>
      </c>
      <c r="T71" s="5">
        <v>104611886.64763799</v>
      </c>
      <c r="U71" s="5">
        <v>61172560.914348803</v>
      </c>
      <c r="V71" s="5">
        <v>39353014.877638198</v>
      </c>
      <c r="W71" s="5">
        <v>22579159.430144802</v>
      </c>
      <c r="X71" s="5">
        <v>32140463.388089899</v>
      </c>
      <c r="Y71" s="5">
        <v>140048867.14348099</v>
      </c>
      <c r="Z71" s="5">
        <v>86636080.976089701</v>
      </c>
      <c r="AA71" s="5">
        <v>68475874.114025697</v>
      </c>
      <c r="AB71" s="5">
        <v>61658227.639862202</v>
      </c>
      <c r="AC71" s="5">
        <v>55349734.687435701</v>
      </c>
      <c r="AD71" s="5">
        <v>58147442.787318401</v>
      </c>
      <c r="AE71" s="5">
        <v>64471161.388795704</v>
      </c>
      <c r="AF71" s="5">
        <v>62416188.273628198</v>
      </c>
      <c r="AG71">
        <f t="shared" si="5"/>
        <v>60096131.784294501</v>
      </c>
      <c r="AH71">
        <f t="shared" si="6"/>
        <v>4117006.2084791139</v>
      </c>
      <c r="AI71">
        <f t="shared" si="7"/>
        <v>6.850700845865508E-2</v>
      </c>
    </row>
    <row r="72" spans="1:35" x14ac:dyDescent="0.45">
      <c r="A72" s="5" t="s">
        <v>87</v>
      </c>
      <c r="B72" s="2">
        <f t="shared" si="4"/>
        <v>784983645.8516016</v>
      </c>
      <c r="C72" s="2">
        <v>698020069.5638845</v>
      </c>
      <c r="D72" s="2">
        <v>8.1696044807236523E-2</v>
      </c>
      <c r="E72" s="5">
        <v>786629711.13840604</v>
      </c>
      <c r="F72" s="5">
        <v>727693061.81429696</v>
      </c>
      <c r="G72" s="5">
        <v>789282208.887586</v>
      </c>
      <c r="H72" s="5">
        <v>597201675.54854298</v>
      </c>
      <c r="I72" s="5">
        <v>675857770.89492595</v>
      </c>
      <c r="J72" s="5">
        <v>632623500.68707895</v>
      </c>
      <c r="K72" s="5">
        <v>965153119.71930695</v>
      </c>
      <c r="L72" s="5">
        <v>971535258.98066795</v>
      </c>
      <c r="M72" s="5">
        <v>574816915.596609</v>
      </c>
      <c r="N72" s="5">
        <v>831780195.35480201</v>
      </c>
      <c r="O72" s="5">
        <v>855938781.63506997</v>
      </c>
      <c r="P72" s="5">
        <v>872245140.12962997</v>
      </c>
      <c r="Q72" s="5">
        <v>597896118.64356506</v>
      </c>
      <c r="R72" s="5">
        <v>989269050.36996806</v>
      </c>
      <c r="S72" s="5">
        <v>889804477.29730904</v>
      </c>
      <c r="T72" s="5">
        <v>945271706.48527503</v>
      </c>
      <c r="U72" s="5">
        <v>689794372.06054497</v>
      </c>
      <c r="V72" s="5">
        <v>718090318.47083294</v>
      </c>
      <c r="W72" s="5">
        <v>841525948.67498899</v>
      </c>
      <c r="X72" s="5">
        <v>714608724.65515399</v>
      </c>
      <c r="Y72" s="5">
        <v>714480959.91036701</v>
      </c>
      <c r="Z72" s="5">
        <v>838871414.42981803</v>
      </c>
      <c r="AA72" s="5">
        <v>663524527.52279103</v>
      </c>
      <c r="AB72" s="5">
        <v>955712541.53089797</v>
      </c>
      <c r="AC72" s="5">
        <v>621057117.62894201</v>
      </c>
      <c r="AD72" s="5">
        <v>707217669.81686902</v>
      </c>
      <c r="AE72" s="5">
        <v>704960655.10877502</v>
      </c>
      <c r="AF72" s="5">
        <v>758844835.70095205</v>
      </c>
      <c r="AG72">
        <f t="shared" si="5"/>
        <v>698020069.5638845</v>
      </c>
      <c r="AH72">
        <f t="shared" si="6"/>
        <v>57025478.879441462</v>
      </c>
      <c r="AI72">
        <f t="shared" si="7"/>
        <v>8.1696044807236523E-2</v>
      </c>
    </row>
    <row r="73" spans="1:35" x14ac:dyDescent="0.45">
      <c r="A73" s="5" t="s">
        <v>88</v>
      </c>
      <c r="B73" s="2">
        <f t="shared" si="4"/>
        <v>22753330.095398437</v>
      </c>
      <c r="C73" s="2">
        <v>25921778.683325101</v>
      </c>
      <c r="D73" s="2">
        <v>7.1888385184343401E-3</v>
      </c>
      <c r="E73" s="5">
        <v>72300796.313485906</v>
      </c>
      <c r="F73" s="5">
        <v>18999189.955992699</v>
      </c>
      <c r="G73" s="5">
        <v>5825017.8297349904</v>
      </c>
      <c r="H73" s="5">
        <v>46788229.185685202</v>
      </c>
      <c r="I73" s="5">
        <v>36823316.247581199</v>
      </c>
      <c r="J73" s="5">
        <v>6783728.48438951</v>
      </c>
      <c r="K73" s="5">
        <v>8028820.24740062</v>
      </c>
      <c r="L73" s="5">
        <v>5790216.0857307799</v>
      </c>
      <c r="M73" s="5">
        <v>69940155.408752993</v>
      </c>
      <c r="N73" s="5">
        <v>6673207.4722288102</v>
      </c>
      <c r="O73" s="5">
        <v>25011403.218855899</v>
      </c>
      <c r="P73" s="5">
        <v>7796993.7540637599</v>
      </c>
      <c r="Q73" s="5">
        <v>21655333.911960199</v>
      </c>
      <c r="R73" s="5">
        <v>7816989.1649958696</v>
      </c>
      <c r="S73" s="5">
        <v>21938175.393980499</v>
      </c>
      <c r="T73" s="5">
        <v>22396562.429322001</v>
      </c>
      <c r="U73" s="5">
        <v>70669631.309311301</v>
      </c>
      <c r="V73" s="5">
        <v>7945460.5244650804</v>
      </c>
      <c r="W73" s="5">
        <v>15910279.583362799</v>
      </c>
      <c r="X73" s="5">
        <v>5498017.3252313295</v>
      </c>
      <c r="Y73" s="5">
        <v>24034635.274548899</v>
      </c>
      <c r="Z73" s="5">
        <v>5970566.9069830403</v>
      </c>
      <c r="AA73" s="5">
        <v>9140319.3263149392</v>
      </c>
      <c r="AB73" s="5">
        <v>22342876.935184099</v>
      </c>
      <c r="AC73" s="5">
        <v>25847167.599489599</v>
      </c>
      <c r="AD73" s="5">
        <v>26185567.3160071</v>
      </c>
      <c r="AE73" s="5">
        <v>25901791.591324899</v>
      </c>
      <c r="AF73" s="5">
        <v>25752588.2264788</v>
      </c>
      <c r="AG73">
        <f t="shared" si="5"/>
        <v>25921778.683325101</v>
      </c>
      <c r="AH73">
        <f t="shared" si="6"/>
        <v>186347.48106501767</v>
      </c>
      <c r="AI73">
        <f t="shared" si="7"/>
        <v>7.1888385184343401E-3</v>
      </c>
    </row>
    <row r="74" spans="1:35" x14ac:dyDescent="0.45">
      <c r="A74" s="5" t="s">
        <v>89</v>
      </c>
      <c r="B74" s="2">
        <f t="shared" si="4"/>
        <v>5263646.2603098489</v>
      </c>
      <c r="C74" s="2">
        <v>4209923.2375616729</v>
      </c>
      <c r="D74" s="2">
        <v>0.10627625809920282</v>
      </c>
      <c r="E74" s="5">
        <v>2639342.8973042001</v>
      </c>
      <c r="F74" s="5">
        <v>8935877.4963858891</v>
      </c>
      <c r="G74" s="5">
        <v>4094003.2578380099</v>
      </c>
      <c r="H74" s="5">
        <v>2476160.1933919098</v>
      </c>
      <c r="I74" s="5">
        <v>9549139.9185268097</v>
      </c>
      <c r="J74" s="5">
        <v>6331754.1362632401</v>
      </c>
      <c r="K74" s="5">
        <v>6580416.4831097499</v>
      </c>
      <c r="L74" s="5">
        <v>4101972.7504955502</v>
      </c>
      <c r="M74" s="5">
        <v>2982877.4684772301</v>
      </c>
      <c r="N74" s="5">
        <v>7629633.49334192</v>
      </c>
      <c r="O74" s="5">
        <v>1453848.40124751</v>
      </c>
      <c r="P74" s="5">
        <v>4240905.9799752496</v>
      </c>
      <c r="Q74" s="5">
        <v>2974657.4594395799</v>
      </c>
      <c r="R74" s="5">
        <v>7916139.0019081002</v>
      </c>
      <c r="S74" s="5">
        <v>5063719.24944288</v>
      </c>
      <c r="T74" s="5">
        <v>2754468.2559858798</v>
      </c>
      <c r="U74" s="5">
        <v>2323913.0112563502</v>
      </c>
      <c r="V74" s="5">
        <v>5831389.6016460396</v>
      </c>
      <c r="W74" s="5">
        <v>3684809.5092800399</v>
      </c>
      <c r="X74" s="5">
        <v>5025321.1307774</v>
      </c>
      <c r="Y74" s="5">
        <v>6364904.3542130198</v>
      </c>
      <c r="Z74" s="5">
        <v>6617265.7239243304</v>
      </c>
      <c r="AA74" s="5">
        <v>9969911.5322009996</v>
      </c>
      <c r="AB74" s="5">
        <v>6785078.9410044895</v>
      </c>
      <c r="AC74" s="5">
        <v>3607081.8193839001</v>
      </c>
      <c r="AD74" s="5">
        <v>4688061.8036071602</v>
      </c>
      <c r="AE74" s="5">
        <v>4291387.2651594197</v>
      </c>
      <c r="AF74" s="5">
        <v>4253162.0620962102</v>
      </c>
      <c r="AG74">
        <f t="shared" si="5"/>
        <v>4209923.2375616729</v>
      </c>
      <c r="AH74">
        <f t="shared" si="6"/>
        <v>447414.88857293595</v>
      </c>
      <c r="AI74">
        <f t="shared" si="7"/>
        <v>0.10627625809920282</v>
      </c>
    </row>
    <row r="75" spans="1:35" x14ac:dyDescent="0.45">
      <c r="A75" s="5" t="s">
        <v>283</v>
      </c>
      <c r="B75" s="2">
        <f t="shared" si="4"/>
        <v>209633272.85035205</v>
      </c>
      <c r="C75" s="2">
        <v>205922108.71647874</v>
      </c>
      <c r="D75" s="2">
        <v>5.6172285642439986E-2</v>
      </c>
      <c r="E75" s="5">
        <v>65873108.680822603</v>
      </c>
      <c r="F75" s="5">
        <v>92661051.024431005</v>
      </c>
      <c r="G75" s="5">
        <v>150561324.69797799</v>
      </c>
      <c r="H75" s="5">
        <v>185146300.305426</v>
      </c>
      <c r="I75" s="5">
        <v>456486830.96472102</v>
      </c>
      <c r="J75" s="5">
        <v>378950831.20073998</v>
      </c>
      <c r="K75" s="5">
        <v>111070847.26508801</v>
      </c>
      <c r="L75" s="5">
        <v>185616910.87413901</v>
      </c>
      <c r="M75" s="5">
        <v>244856402.93563399</v>
      </c>
      <c r="N75" s="5">
        <v>70226499.602753401</v>
      </c>
      <c r="O75" s="5">
        <v>188052024.18139401</v>
      </c>
      <c r="P75" s="5">
        <v>91092673.272835404</v>
      </c>
      <c r="Q75" s="5">
        <v>523123917.00344801</v>
      </c>
      <c r="R75" s="5">
        <v>102447560.648072</v>
      </c>
      <c r="S75" s="5">
        <v>223711271.760075</v>
      </c>
      <c r="T75" s="5">
        <v>276753628.27002603</v>
      </c>
      <c r="U75" s="5">
        <v>166585487.32469499</v>
      </c>
      <c r="V75" s="5">
        <v>142928251.837859</v>
      </c>
      <c r="W75" s="5">
        <v>106155371.87943</v>
      </c>
      <c r="X75" s="5">
        <v>234340360.53400701</v>
      </c>
      <c r="Y75" s="5">
        <v>216461846.97337899</v>
      </c>
      <c r="Z75" s="5">
        <v>230708725.47137299</v>
      </c>
      <c r="AA75" s="5">
        <v>464771680.52628899</v>
      </c>
      <c r="AB75" s="5">
        <v>122615641.173833</v>
      </c>
      <c r="AC75" s="5">
        <v>189679879.657076</v>
      </c>
      <c r="AD75" s="5">
        <v>205779642.082196</v>
      </c>
      <c r="AE75" s="5">
        <v>212823128.626416</v>
      </c>
      <c r="AF75" s="5">
        <v>215405784.500227</v>
      </c>
      <c r="AG75">
        <f t="shared" si="5"/>
        <v>205922108.71647874</v>
      </c>
      <c r="AH75">
        <f t="shared" si="6"/>
        <v>11567115.510915624</v>
      </c>
      <c r="AI75">
        <f t="shared" si="7"/>
        <v>5.6172285642439986E-2</v>
      </c>
    </row>
    <row r="76" spans="1:35" x14ac:dyDescent="0.45">
      <c r="A76" s="5" t="s">
        <v>90</v>
      </c>
      <c r="B76" s="2">
        <f t="shared" si="4"/>
        <v>78067095.051195636</v>
      </c>
      <c r="C76" s="2">
        <v>71150938.814349711</v>
      </c>
      <c r="D76" s="2">
        <v>6.8033300163835617E-2</v>
      </c>
      <c r="E76" s="5">
        <v>69495529.239730701</v>
      </c>
      <c r="F76" s="5">
        <v>79252472.114671603</v>
      </c>
      <c r="G76" s="5">
        <v>81178272.509319097</v>
      </c>
      <c r="H76" s="5">
        <v>110280249.998133</v>
      </c>
      <c r="I76" s="5">
        <v>53313603.047368698</v>
      </c>
      <c r="J76" s="5">
        <v>58222857.353337899</v>
      </c>
      <c r="K76" s="5">
        <v>103095070.048987</v>
      </c>
      <c r="L76" s="5">
        <v>76347046.379192397</v>
      </c>
      <c r="M76" s="5">
        <v>58143822.485641703</v>
      </c>
      <c r="N76" s="5">
        <v>94360280.272682801</v>
      </c>
      <c r="O76" s="5">
        <v>127270302.801615</v>
      </c>
      <c r="P76" s="5">
        <v>33299366.970409401</v>
      </c>
      <c r="Q76" s="5">
        <v>61200582.483765498</v>
      </c>
      <c r="R76" s="5">
        <v>82939639.313052297</v>
      </c>
      <c r="S76" s="5">
        <v>106956272.71202099</v>
      </c>
      <c r="T76" s="5">
        <v>134348602.03304699</v>
      </c>
      <c r="U76" s="5">
        <v>60508583.545051299</v>
      </c>
      <c r="V76" s="5">
        <v>69266531.644511297</v>
      </c>
      <c r="W76" s="5">
        <v>95859143.296377599</v>
      </c>
      <c r="X76" s="5">
        <v>88332249.853648201</v>
      </c>
      <c r="Y76" s="5">
        <v>58188250.1478002</v>
      </c>
      <c r="Z76" s="5">
        <v>75360593.485149696</v>
      </c>
      <c r="AA76" s="5">
        <v>67387396.867631897</v>
      </c>
      <c r="AB76" s="5">
        <v>29003562.625550099</v>
      </c>
      <c r="AC76" s="5">
        <v>64668622.504786603</v>
      </c>
      <c r="AD76" s="5">
        <v>70990899.967720807</v>
      </c>
      <c r="AE76" s="5">
        <v>72713038.439192295</v>
      </c>
      <c r="AF76" s="5">
        <v>76231194.345699102</v>
      </c>
      <c r="AG76">
        <f t="shared" si="5"/>
        <v>71150938.814349711</v>
      </c>
      <c r="AH76">
        <f t="shared" si="6"/>
        <v>4840633.1772953561</v>
      </c>
      <c r="AI76">
        <f t="shared" si="7"/>
        <v>6.8033300163835617E-2</v>
      </c>
    </row>
    <row r="77" spans="1:35" x14ac:dyDescent="0.45">
      <c r="A77" s="5" t="s">
        <v>284</v>
      </c>
      <c r="B77" s="2">
        <f t="shared" si="4"/>
        <v>40888715.029593118</v>
      </c>
      <c r="C77" s="2">
        <v>34077565.560642324</v>
      </c>
      <c r="D77" s="2">
        <v>4.4024074715731928E-2</v>
      </c>
      <c r="E77" s="5">
        <v>49406514.586765803</v>
      </c>
      <c r="F77" s="5">
        <v>42779528.871453702</v>
      </c>
      <c r="G77" s="5">
        <v>40062805.343073703</v>
      </c>
      <c r="H77" s="5">
        <v>33529981.5276764</v>
      </c>
      <c r="I77" s="5">
        <v>35301413.389200903</v>
      </c>
      <c r="J77" s="5">
        <v>31155354.6892973</v>
      </c>
      <c r="K77" s="5">
        <v>53569089.666339003</v>
      </c>
      <c r="L77" s="5">
        <v>40141883.398695298</v>
      </c>
      <c r="M77" s="5">
        <v>37110199.265976198</v>
      </c>
      <c r="N77" s="5">
        <v>46526679.7270317</v>
      </c>
      <c r="O77" s="5">
        <v>37645443.707201898</v>
      </c>
      <c r="P77" s="5">
        <v>41707415.294713803</v>
      </c>
      <c r="Q77" s="5">
        <v>29312281.439200301</v>
      </c>
      <c r="R77" s="5">
        <v>41562962.770161599</v>
      </c>
      <c r="S77" s="5">
        <v>44814007.557147197</v>
      </c>
      <c r="T77" s="5">
        <v>40631909.505008303</v>
      </c>
      <c r="U77" s="5">
        <v>40975272.113760702</v>
      </c>
      <c r="V77" s="5">
        <v>44592418.797225296</v>
      </c>
      <c r="W77" s="5">
        <v>41370909.382069297</v>
      </c>
      <c r="X77" s="5">
        <v>37124680.147368401</v>
      </c>
      <c r="Y77" s="5">
        <v>40179997.5786478</v>
      </c>
      <c r="Z77" s="5">
        <v>42921709.136792898</v>
      </c>
      <c r="AA77" s="5">
        <v>40587836.774343401</v>
      </c>
      <c r="AB77" s="5">
        <v>48318866.041083798</v>
      </c>
      <c r="AC77" s="5">
        <v>32402427.755665701</v>
      </c>
      <c r="AD77" s="5">
        <v>33775675.002831303</v>
      </c>
      <c r="AE77" s="5">
        <v>36040901.4299445</v>
      </c>
      <c r="AF77" s="5">
        <v>34091258.054127797</v>
      </c>
      <c r="AG77">
        <f t="shared" si="5"/>
        <v>34077565.560642324</v>
      </c>
      <c r="AH77">
        <f t="shared" si="6"/>
        <v>1500233.2923719708</v>
      </c>
      <c r="AI77">
        <f t="shared" si="7"/>
        <v>4.4024074715731928E-2</v>
      </c>
    </row>
    <row r="78" spans="1:35" x14ac:dyDescent="0.45">
      <c r="A78" s="5" t="s">
        <v>285</v>
      </c>
      <c r="B78" s="2">
        <f t="shared" si="4"/>
        <v>66396248.708351843</v>
      </c>
      <c r="C78" s="2">
        <v>54648979.099591225</v>
      </c>
      <c r="D78" s="2">
        <v>0.14900023869540624</v>
      </c>
      <c r="E78" s="5">
        <v>61679075.9393254</v>
      </c>
      <c r="F78" s="5">
        <v>78221414.574880794</v>
      </c>
      <c r="G78" s="5">
        <v>56650873.413725697</v>
      </c>
      <c r="H78" s="5">
        <v>53965386.559924804</v>
      </c>
      <c r="I78" s="5">
        <v>75828856.760695294</v>
      </c>
      <c r="J78" s="5">
        <v>81644022.790533096</v>
      </c>
      <c r="K78" s="5">
        <v>52412586.0347398</v>
      </c>
      <c r="L78" s="5">
        <v>65471494.139601797</v>
      </c>
      <c r="M78" s="5">
        <v>61952044.875257</v>
      </c>
      <c r="N78" s="5">
        <v>44220292.475484803</v>
      </c>
      <c r="O78" s="5">
        <v>35324746.973815799</v>
      </c>
      <c r="P78" s="5">
        <v>28883093.786025699</v>
      </c>
      <c r="Q78" s="5">
        <v>49254023.507075101</v>
      </c>
      <c r="R78" s="5">
        <v>94562887.146360293</v>
      </c>
      <c r="S78" s="5">
        <v>64524340.790741801</v>
      </c>
      <c r="T78" s="5">
        <v>237320762.41631699</v>
      </c>
      <c r="U78" s="5">
        <v>58990374.960465796</v>
      </c>
      <c r="V78" s="5">
        <v>49218674.043984003</v>
      </c>
      <c r="W78" s="5">
        <v>41102615.3585651</v>
      </c>
      <c r="X78" s="5">
        <v>58518609.139015697</v>
      </c>
      <c r="Y78" s="5">
        <v>9789517.9799929094</v>
      </c>
      <c r="Z78" s="5">
        <v>90363024.669651493</v>
      </c>
      <c r="AA78" s="5">
        <v>79559360.221627906</v>
      </c>
      <c r="AB78" s="5">
        <v>64051890.442637198</v>
      </c>
      <c r="AC78" s="5">
        <v>47300748.2023037</v>
      </c>
      <c r="AD78" s="5">
        <v>47907436.322479203</v>
      </c>
      <c r="AE78" s="5">
        <v>61373345.6957241</v>
      </c>
      <c r="AF78" s="5">
        <v>62014386.177857898</v>
      </c>
      <c r="AG78">
        <f t="shared" si="5"/>
        <v>54648979.099591225</v>
      </c>
      <c r="AH78">
        <f t="shared" si="6"/>
        <v>8142710.9302993594</v>
      </c>
      <c r="AI78">
        <f t="shared" si="7"/>
        <v>0.14900023869540624</v>
      </c>
    </row>
    <row r="79" spans="1:35" x14ac:dyDescent="0.45">
      <c r="A79" s="5" t="s">
        <v>286</v>
      </c>
      <c r="B79" s="2">
        <f t="shared" si="4"/>
        <v>13308497.85687382</v>
      </c>
      <c r="C79" s="2">
        <v>9829001.5740250051</v>
      </c>
      <c r="D79" s="2">
        <v>7.2004255659828681E-2</v>
      </c>
      <c r="E79" s="5">
        <v>6664747.1779255299</v>
      </c>
      <c r="F79" s="5">
        <v>6489188.8125453098</v>
      </c>
      <c r="G79" s="5">
        <v>9030870.8546040691</v>
      </c>
      <c r="H79" s="5">
        <v>6559799.3139284104</v>
      </c>
      <c r="I79" s="5">
        <v>10916638.1644729</v>
      </c>
      <c r="J79" s="5">
        <v>9667570.3730565291</v>
      </c>
      <c r="K79" s="5">
        <v>10544172.8531825</v>
      </c>
      <c r="L79" s="5">
        <v>9405784.06164217</v>
      </c>
      <c r="M79" s="5">
        <v>10710342.2446611</v>
      </c>
      <c r="N79" s="5">
        <v>9454431.92516643</v>
      </c>
      <c r="O79" s="5">
        <v>49516898.929958798</v>
      </c>
      <c r="P79" s="5">
        <v>9898467.98092857</v>
      </c>
      <c r="Q79" s="5">
        <v>13772448.4572051</v>
      </c>
      <c r="R79" s="5">
        <v>11720255.1037577</v>
      </c>
      <c r="S79" s="5">
        <v>12521700.035861799</v>
      </c>
      <c r="T79" s="5">
        <v>49187465.171255603</v>
      </c>
      <c r="U79" s="5">
        <v>8884683.0259148497</v>
      </c>
      <c r="V79" s="5">
        <v>10316372.5880893</v>
      </c>
      <c r="W79" s="5">
        <v>17312263.303389899</v>
      </c>
      <c r="X79" s="5">
        <v>7815873.7877091803</v>
      </c>
      <c r="Y79" s="5">
        <v>8266497.1851507099</v>
      </c>
      <c r="Z79" s="5">
        <v>9106717.3034877107</v>
      </c>
      <c r="AA79" s="5">
        <v>14696085.389579499</v>
      </c>
      <c r="AB79" s="5">
        <v>6944674.5214981101</v>
      </c>
      <c r="AC79" s="5">
        <v>8841174.2530698702</v>
      </c>
      <c r="AD79" s="5">
        <v>9796136.9246741496</v>
      </c>
      <c r="AE79" s="5">
        <v>10388622.618819401</v>
      </c>
      <c r="AF79" s="5">
        <v>10290072.4995366</v>
      </c>
      <c r="AG79">
        <f t="shared" si="5"/>
        <v>9829001.5740250051</v>
      </c>
      <c r="AH79">
        <f t="shared" si="6"/>
        <v>707729.94221695501</v>
      </c>
      <c r="AI79">
        <f t="shared" si="7"/>
        <v>7.2004255659828681E-2</v>
      </c>
    </row>
    <row r="80" spans="1:35" x14ac:dyDescent="0.45">
      <c r="A80" s="5" t="s">
        <v>91</v>
      </c>
      <c r="B80" s="2">
        <f t="shared" si="4"/>
        <v>29284728.038153555</v>
      </c>
      <c r="C80" s="2">
        <v>25540754.300285649</v>
      </c>
      <c r="D80" s="2">
        <v>4.4859556544890586E-2</v>
      </c>
      <c r="E80" s="5">
        <v>23165174.506542299</v>
      </c>
      <c r="F80" s="5">
        <v>16473672.177216301</v>
      </c>
      <c r="G80" s="5">
        <v>29572686.8372606</v>
      </c>
      <c r="H80" s="5">
        <v>16030868.947857801</v>
      </c>
      <c r="I80" s="5">
        <v>26398803.1667905</v>
      </c>
      <c r="J80" s="5">
        <v>19071580.6614304</v>
      </c>
      <c r="K80" s="5">
        <v>31630378.839966498</v>
      </c>
      <c r="L80" s="5">
        <v>34138687.714966901</v>
      </c>
      <c r="M80" s="5">
        <v>25216183.832159299</v>
      </c>
      <c r="N80" s="5">
        <v>19917795.1574688</v>
      </c>
      <c r="O80" s="5">
        <v>39165903.192864299</v>
      </c>
      <c r="P80" s="5">
        <v>32699128.874744002</v>
      </c>
      <c r="Q80" s="5">
        <v>43645481.575033396</v>
      </c>
      <c r="R80" s="5">
        <v>24360528.757107701</v>
      </c>
      <c r="S80" s="5">
        <v>46402953.734584197</v>
      </c>
      <c r="T80" s="5">
        <v>46236041.467570297</v>
      </c>
      <c r="U80" s="5">
        <v>24006588.6076313</v>
      </c>
      <c r="V80" s="5">
        <v>15159893.948409799</v>
      </c>
      <c r="W80" s="5">
        <v>26249573.030589599</v>
      </c>
      <c r="X80" s="5">
        <v>23500047.010574199</v>
      </c>
      <c r="Y80" s="5">
        <v>47490600.317376502</v>
      </c>
      <c r="Z80" s="5">
        <v>23629458.892340802</v>
      </c>
      <c r="AA80" s="5">
        <v>35119671.181810401</v>
      </c>
      <c r="AB80" s="5">
        <v>33551770.4833894</v>
      </c>
      <c r="AC80" s="5">
        <v>24460790.9980071</v>
      </c>
      <c r="AD80" s="5">
        <v>24741861.418345399</v>
      </c>
      <c r="AE80" s="5">
        <v>26909488.288967699</v>
      </c>
      <c r="AF80" s="5">
        <v>26050876.4958224</v>
      </c>
      <c r="AG80">
        <f t="shared" si="5"/>
        <v>25540754.300285649</v>
      </c>
      <c r="AH80">
        <f t="shared" si="6"/>
        <v>1145746.9117328215</v>
      </c>
      <c r="AI80">
        <f t="shared" si="7"/>
        <v>4.4859556544890586E-2</v>
      </c>
    </row>
    <row r="81" spans="1:35" x14ac:dyDescent="0.45">
      <c r="A81" s="5" t="s">
        <v>92</v>
      </c>
      <c r="B81" s="2">
        <f t="shared" si="4"/>
        <v>11259089.664753335</v>
      </c>
      <c r="C81" s="2">
        <v>8622900.8839472067</v>
      </c>
      <c r="D81" s="2">
        <v>3.3432394401917191E-2</v>
      </c>
      <c r="E81" s="5">
        <v>13404007.365887601</v>
      </c>
      <c r="F81" s="5">
        <v>6838053.49434336</v>
      </c>
      <c r="G81" s="5">
        <v>9064524.1276726406</v>
      </c>
      <c r="H81" s="5">
        <v>8243209.4319896996</v>
      </c>
      <c r="I81" s="5">
        <v>10934980.1696166</v>
      </c>
      <c r="J81" s="5">
        <v>13960908.271201599</v>
      </c>
      <c r="K81" s="5">
        <v>14934008.7974621</v>
      </c>
      <c r="L81" s="5">
        <v>9004616.0734063908</v>
      </c>
      <c r="M81" s="5">
        <v>13924055.807189601</v>
      </c>
      <c r="N81" s="5">
        <v>15703994.6320443</v>
      </c>
      <c r="O81" s="5">
        <v>13595096.944940001</v>
      </c>
      <c r="P81" s="5">
        <v>15415021.7690323</v>
      </c>
      <c r="Q81" s="5">
        <v>18246012.832499102</v>
      </c>
      <c r="R81" s="5">
        <v>6000154.2889964599</v>
      </c>
      <c r="S81" s="5">
        <v>15114756.5639273</v>
      </c>
      <c r="T81" s="5">
        <v>9540326.4783353601</v>
      </c>
      <c r="U81" s="5">
        <v>7834973.4377237596</v>
      </c>
      <c r="V81" s="5">
        <v>8707586.4524016399</v>
      </c>
      <c r="W81" s="5">
        <v>5563588.3834571401</v>
      </c>
      <c r="X81" s="5">
        <v>7054705.0687803999</v>
      </c>
      <c r="Y81" s="5">
        <v>10316203.094061101</v>
      </c>
      <c r="Z81" s="5">
        <v>11585540.739420099</v>
      </c>
      <c r="AA81" s="5">
        <v>14798142.4065414</v>
      </c>
      <c r="AB81" s="5">
        <v>10433685.3231501</v>
      </c>
      <c r="AC81" s="5">
        <v>8928431.7320197895</v>
      </c>
      <c r="AD81" s="5">
        <v>8693252.4274715707</v>
      </c>
      <c r="AE81" s="5">
        <v>8234483.8103578398</v>
      </c>
      <c r="AF81" s="5">
        <v>8635435.5659396295</v>
      </c>
      <c r="AG81">
        <f t="shared" si="5"/>
        <v>8622900.8839472067</v>
      </c>
      <c r="AH81">
        <f t="shared" si="6"/>
        <v>288284.22324076341</v>
      </c>
      <c r="AI81">
        <f t="shared" si="7"/>
        <v>3.3432394401917191E-2</v>
      </c>
    </row>
    <row r="82" spans="1:35" x14ac:dyDescent="0.45">
      <c r="A82" s="5" t="s">
        <v>93</v>
      </c>
      <c r="B82" s="2">
        <f t="shared" si="4"/>
        <v>1920047063.6358755</v>
      </c>
      <c r="C82" s="2">
        <v>1575344537.3985975</v>
      </c>
      <c r="D82" s="2">
        <v>6.7344784159000054E-2</v>
      </c>
      <c r="E82" s="5">
        <v>2273931278.50209</v>
      </c>
      <c r="F82" s="5">
        <v>2025136959.66959</v>
      </c>
      <c r="G82" s="5">
        <v>1914934946.1135099</v>
      </c>
      <c r="H82" s="5">
        <v>3715748583.69032</v>
      </c>
      <c r="I82" s="5">
        <v>84421949.960254505</v>
      </c>
      <c r="J82" s="5">
        <v>1804667411.9268701</v>
      </c>
      <c r="K82" s="5">
        <v>2592721817.5991302</v>
      </c>
      <c r="L82" s="5">
        <v>2193662455.96064</v>
      </c>
      <c r="M82" s="5">
        <v>1457263963.5294499</v>
      </c>
      <c r="N82" s="5">
        <v>1667999003.26104</v>
      </c>
      <c r="O82" s="5">
        <v>2230992174.09582</v>
      </c>
      <c r="P82" s="5">
        <v>1845767866.59904</v>
      </c>
      <c r="Q82" s="5">
        <v>157840917.75259799</v>
      </c>
      <c r="R82" s="5">
        <v>3575334676.7747998</v>
      </c>
      <c r="S82" s="5">
        <v>2343811340.3487802</v>
      </c>
      <c r="T82" s="5">
        <v>2236364610.6201401</v>
      </c>
      <c r="U82" s="5">
        <v>1911215841.6710801</v>
      </c>
      <c r="V82" s="5">
        <v>1909826481.9391699</v>
      </c>
      <c r="W82" s="5">
        <v>2008509313.4395499</v>
      </c>
      <c r="X82" s="5">
        <v>1994272855.1352501</v>
      </c>
      <c r="Y82" s="5">
        <v>110366504.110441</v>
      </c>
      <c r="Z82" s="5">
        <v>2527539735.5062399</v>
      </c>
      <c r="AA82" s="5">
        <v>1680896669.7049201</v>
      </c>
      <c r="AB82" s="5">
        <v>1817902169.35028</v>
      </c>
      <c r="AC82" s="5">
        <v>1684058353.2185199</v>
      </c>
      <c r="AD82" s="5">
        <v>1630204816.9512999</v>
      </c>
      <c r="AE82" s="5">
        <v>1546280662.42893</v>
      </c>
      <c r="AF82" s="5">
        <v>1440834316.99564</v>
      </c>
      <c r="AG82">
        <f t="shared" si="5"/>
        <v>1575344537.3985975</v>
      </c>
      <c r="AH82">
        <f t="shared" si="6"/>
        <v>106091237.84716833</v>
      </c>
      <c r="AI82">
        <f t="shared" si="7"/>
        <v>6.7344784159000054E-2</v>
      </c>
    </row>
    <row r="83" spans="1:35" x14ac:dyDescent="0.45">
      <c r="A83" s="5" t="s">
        <v>94</v>
      </c>
      <c r="B83" s="2">
        <f t="shared" si="4"/>
        <v>395721435.31940347</v>
      </c>
      <c r="C83" s="2">
        <v>373350631.77563655</v>
      </c>
      <c r="D83" s="2">
        <v>7.2564024458482521E-2</v>
      </c>
      <c r="E83" s="5">
        <v>410398762.21323699</v>
      </c>
      <c r="F83" s="5">
        <v>514050939.60863298</v>
      </c>
      <c r="G83" s="5">
        <v>423494664.86486298</v>
      </c>
      <c r="H83" s="5">
        <v>437812013.75084698</v>
      </c>
      <c r="I83" s="5">
        <v>408370108.205127</v>
      </c>
      <c r="J83" s="5">
        <v>334497742.85113001</v>
      </c>
      <c r="K83" s="5">
        <v>360501265.85706502</v>
      </c>
      <c r="L83" s="5">
        <v>360979840.25514901</v>
      </c>
      <c r="M83" s="5">
        <v>449617378.369582</v>
      </c>
      <c r="N83" s="5">
        <v>208345890.38973901</v>
      </c>
      <c r="O83" s="5">
        <v>175742120.00805601</v>
      </c>
      <c r="P83" s="5">
        <v>326622032.40712398</v>
      </c>
      <c r="Q83" s="5">
        <v>465802336.89180201</v>
      </c>
      <c r="R83" s="5">
        <v>350516543.56759399</v>
      </c>
      <c r="S83" s="5">
        <v>428900624.76450902</v>
      </c>
      <c r="T83" s="5">
        <v>438483687.32617998</v>
      </c>
      <c r="U83" s="5">
        <v>584376098.20916998</v>
      </c>
      <c r="V83" s="5">
        <v>321622526.848903</v>
      </c>
      <c r="W83" s="5">
        <v>463189796.32146698</v>
      </c>
      <c r="X83" s="5">
        <v>489397049.84502703</v>
      </c>
      <c r="Y83" s="5">
        <v>238664923.28744501</v>
      </c>
      <c r="Z83" s="5">
        <v>559203710.65669096</v>
      </c>
      <c r="AA83" s="5">
        <v>352043634.46128303</v>
      </c>
      <c r="AB83" s="5">
        <v>394680756.70506001</v>
      </c>
      <c r="AC83" s="5">
        <v>401005971.24370599</v>
      </c>
      <c r="AD83" s="5">
        <v>336066430.09085602</v>
      </c>
      <c r="AE83" s="5">
        <v>378719072.748914</v>
      </c>
      <c r="AF83" s="5">
        <v>377611053.01907003</v>
      </c>
      <c r="AG83">
        <f t="shared" si="5"/>
        <v>373350631.77563655</v>
      </c>
      <c r="AH83">
        <f t="shared" si="6"/>
        <v>27091824.375757191</v>
      </c>
      <c r="AI83">
        <f t="shared" si="7"/>
        <v>7.2564024458482521E-2</v>
      </c>
    </row>
    <row r="84" spans="1:35" x14ac:dyDescent="0.45">
      <c r="A84" s="5" t="s">
        <v>95</v>
      </c>
      <c r="B84" s="2">
        <f t="shared" si="4"/>
        <v>6075345.2394793881</v>
      </c>
      <c r="C84" s="2">
        <v>5079185.6244257474</v>
      </c>
      <c r="D84" s="2">
        <v>0.22511490409353233</v>
      </c>
      <c r="E84" s="5">
        <v>5467049.4890706297</v>
      </c>
      <c r="F84" s="5">
        <v>1571808.6051038499</v>
      </c>
      <c r="G84" s="5">
        <v>804679.65487007203</v>
      </c>
      <c r="H84" s="5">
        <v>26460813.235941201</v>
      </c>
      <c r="I84" s="5">
        <v>9104409.9562917091</v>
      </c>
      <c r="J84" s="5">
        <v>804426.55209731997</v>
      </c>
      <c r="K84" s="5">
        <v>1127367.11003504</v>
      </c>
      <c r="L84" s="5">
        <v>1702567.48587734</v>
      </c>
      <c r="M84" s="5">
        <v>10605049.761060899</v>
      </c>
      <c r="N84" s="5">
        <v>1304488.9658655699</v>
      </c>
      <c r="O84" s="5">
        <v>17844612.239472099</v>
      </c>
      <c r="P84" s="5">
        <v>883546.60323906096</v>
      </c>
      <c r="Q84" s="5">
        <v>1932170.5091091399</v>
      </c>
      <c r="R84" s="5">
        <v>1442193.3569578901</v>
      </c>
      <c r="S84" s="5">
        <v>997701.51677913405</v>
      </c>
      <c r="T84" s="5">
        <v>17721247.750460301</v>
      </c>
      <c r="U84" s="5">
        <v>10867372.005759999</v>
      </c>
      <c r="V84" s="5">
        <v>19669925.2092732</v>
      </c>
      <c r="W84" s="5">
        <v>962179.39539476403</v>
      </c>
      <c r="X84" s="5">
        <v>4375519.3267330099</v>
      </c>
      <c r="Y84" s="5">
        <v>4252942.1518147998</v>
      </c>
      <c r="Z84" s="5">
        <v>1433494.24708444</v>
      </c>
      <c r="AA84" s="5">
        <v>986934.48055074096</v>
      </c>
      <c r="AB84" s="5">
        <v>3485786.1386631099</v>
      </c>
      <c r="AC84" s="5">
        <v>6545452.0384774702</v>
      </c>
      <c r="AD84" s="5">
        <v>4216713.1533937398</v>
      </c>
      <c r="AE84" s="5">
        <v>4126898.8481728998</v>
      </c>
      <c r="AF84" s="5">
        <v>5427678.4576588804</v>
      </c>
      <c r="AG84">
        <f t="shared" si="5"/>
        <v>5079185.6244257474</v>
      </c>
      <c r="AH84">
        <f t="shared" si="6"/>
        <v>1143400.3847158502</v>
      </c>
      <c r="AI84">
        <f t="shared" si="7"/>
        <v>0.22511490409353233</v>
      </c>
    </row>
    <row r="85" spans="1:35" x14ac:dyDescent="0.45">
      <c r="A85" s="5" t="s">
        <v>96</v>
      </c>
      <c r="B85" s="2">
        <f t="shared" si="4"/>
        <v>77330495.988247827</v>
      </c>
      <c r="C85" s="2">
        <v>86103692.865193605</v>
      </c>
      <c r="D85" s="2">
        <v>6.101372174069716E-3</v>
      </c>
      <c r="E85" s="5">
        <v>85956025.006910294</v>
      </c>
      <c r="F85" s="5">
        <v>66445528.997263402</v>
      </c>
      <c r="G85" s="5">
        <v>89664996.1215211</v>
      </c>
      <c r="H85" s="5">
        <v>40395195.160674997</v>
      </c>
      <c r="I85" s="5">
        <v>56101497.006515399</v>
      </c>
      <c r="J85" s="5">
        <v>68324484.444983795</v>
      </c>
      <c r="K85" s="5">
        <v>131675808.93243</v>
      </c>
      <c r="L85" s="5">
        <v>66788189.846555598</v>
      </c>
      <c r="M85" s="5">
        <v>99971170.237525806</v>
      </c>
      <c r="N85" s="5">
        <v>103675013.10730401</v>
      </c>
      <c r="O85" s="5">
        <v>28474637.253944799</v>
      </c>
      <c r="P85" s="5">
        <v>86583863.832217798</v>
      </c>
      <c r="Q85" s="5">
        <v>48630157.668907501</v>
      </c>
      <c r="R85" s="5">
        <v>45970288.5769023</v>
      </c>
      <c r="S85" s="5">
        <v>97410169.977829501</v>
      </c>
      <c r="T85" s="5">
        <v>30560433.714767601</v>
      </c>
      <c r="U85" s="5">
        <v>130203688.502032</v>
      </c>
      <c r="V85" s="5">
        <v>71880522.885965094</v>
      </c>
      <c r="W85" s="5">
        <v>113795013.492053</v>
      </c>
      <c r="X85" s="5">
        <v>95490500.067392603</v>
      </c>
      <c r="Y85" s="5">
        <v>50520909.196122199</v>
      </c>
      <c r="Z85" s="5">
        <v>114108766.424558</v>
      </c>
      <c r="AA85" s="5">
        <v>84853531.555748403</v>
      </c>
      <c r="AB85" s="5">
        <v>48451511.707822599</v>
      </c>
      <c r="AC85" s="5">
        <v>86096479.709773704</v>
      </c>
      <c r="AD85" s="5">
        <v>86718214.910623193</v>
      </c>
      <c r="AE85" s="5">
        <v>85435430.014083803</v>
      </c>
      <c r="AF85" s="5">
        <v>86164646.826293707</v>
      </c>
      <c r="AG85">
        <f t="shared" si="5"/>
        <v>86103692.865193605</v>
      </c>
      <c r="AH85">
        <f t="shared" si="6"/>
        <v>525350.6757323374</v>
      </c>
      <c r="AI85">
        <f t="shared" si="7"/>
        <v>6.101372174069716E-3</v>
      </c>
    </row>
    <row r="86" spans="1:35" x14ac:dyDescent="0.45">
      <c r="A86" s="5" t="s">
        <v>97</v>
      </c>
      <c r="B86" s="2">
        <f t="shared" si="4"/>
        <v>21497513.354623388</v>
      </c>
      <c r="C86" s="2">
        <v>22622183.325544272</v>
      </c>
      <c r="D86" s="2">
        <v>4.3445833996990278E-2</v>
      </c>
      <c r="E86" s="5">
        <v>18733822.987638399</v>
      </c>
      <c r="F86" s="5">
        <v>25451122.446651101</v>
      </c>
      <c r="G86" s="5">
        <v>13907922.080275999</v>
      </c>
      <c r="H86" s="5">
        <v>17493952.106068</v>
      </c>
      <c r="I86" s="5">
        <v>20958016.255827598</v>
      </c>
      <c r="J86" s="5">
        <v>23761922.286656901</v>
      </c>
      <c r="K86" s="5">
        <v>26879374.954815499</v>
      </c>
      <c r="L86" s="5">
        <v>24009891.277690001</v>
      </c>
      <c r="M86" s="5">
        <v>20981115.307020199</v>
      </c>
      <c r="N86" s="5">
        <v>22224733.545668699</v>
      </c>
      <c r="O86" s="5">
        <v>10929374.747773901</v>
      </c>
      <c r="P86" s="5">
        <v>20098286.945348799</v>
      </c>
      <c r="Q86" s="5">
        <v>20738472.5638282</v>
      </c>
      <c r="R86" s="5">
        <v>24386270.9069543</v>
      </c>
      <c r="S86" s="5">
        <v>26591002.270122901</v>
      </c>
      <c r="T86" s="5">
        <v>20645468.6127734</v>
      </c>
      <c r="U86" s="5">
        <v>27199211.8325071</v>
      </c>
      <c r="V86" s="5">
        <v>19873351.179277498</v>
      </c>
      <c r="W86" s="5">
        <v>22826072.5904117</v>
      </c>
      <c r="X86" s="5">
        <v>20735597.111370999</v>
      </c>
      <c r="Y86" s="5">
        <v>14953093.274622099</v>
      </c>
      <c r="Z86" s="5">
        <v>25758911.420464601</v>
      </c>
      <c r="AA86" s="5">
        <v>27000425.077237699</v>
      </c>
      <c r="AB86" s="5">
        <v>19802908.7299558</v>
      </c>
      <c r="AC86" s="5">
        <v>23501278.526201598</v>
      </c>
      <c r="AD86" s="5">
        <v>22777172.422114801</v>
      </c>
      <c r="AE86" s="5">
        <v>22990134.3987929</v>
      </c>
      <c r="AF86" s="5">
        <v>21220147.955067798</v>
      </c>
      <c r="AG86">
        <f t="shared" si="5"/>
        <v>22622183.325544272</v>
      </c>
      <c r="AH86">
        <f t="shared" si="6"/>
        <v>982839.62141107791</v>
      </c>
      <c r="AI86">
        <f t="shared" si="7"/>
        <v>4.3445833996990278E-2</v>
      </c>
    </row>
    <row r="87" spans="1:35" x14ac:dyDescent="0.45">
      <c r="A87" s="5" t="s">
        <v>287</v>
      </c>
      <c r="B87" s="2">
        <f t="shared" si="4"/>
        <v>155502047.3899599</v>
      </c>
      <c r="C87" s="2">
        <v>117896913.91370924</v>
      </c>
      <c r="D87" s="2">
        <v>5.5583962887476121E-2</v>
      </c>
      <c r="E87" s="5">
        <v>38527639.587489702</v>
      </c>
      <c r="F87" s="5">
        <v>139928866.03051201</v>
      </c>
      <c r="G87" s="5">
        <v>106651488.77928901</v>
      </c>
      <c r="H87" s="5">
        <v>540775033.98288798</v>
      </c>
      <c r="I87" s="5">
        <v>65125215.523683198</v>
      </c>
      <c r="J87" s="5">
        <v>51273962.237687699</v>
      </c>
      <c r="K87" s="5">
        <v>35596202.2659427</v>
      </c>
      <c r="L87" s="5">
        <v>162190816.05430299</v>
      </c>
      <c r="M87" s="5">
        <v>47287411.637023799</v>
      </c>
      <c r="N87" s="5">
        <v>199478145.23391399</v>
      </c>
      <c r="O87" s="5">
        <v>591335914.26497102</v>
      </c>
      <c r="P87" s="5">
        <v>56797393.525101699</v>
      </c>
      <c r="Q87" s="5">
        <v>173655618.60090101</v>
      </c>
      <c r="R87" s="5">
        <v>196243959.917559</v>
      </c>
      <c r="S87" s="5">
        <v>285662801.48966801</v>
      </c>
      <c r="T87" s="5">
        <v>282074327.754673</v>
      </c>
      <c r="U87" s="5">
        <v>72328519.084152594</v>
      </c>
      <c r="V87" s="5">
        <v>187569038.230685</v>
      </c>
      <c r="W87" s="5">
        <v>22079926.955356698</v>
      </c>
      <c r="X87" s="5">
        <v>104013842.607656</v>
      </c>
      <c r="Y87" s="5">
        <v>276904941.831801</v>
      </c>
      <c r="Z87" s="5">
        <v>34407945.571403399</v>
      </c>
      <c r="AA87" s="5">
        <v>26052902.3003993</v>
      </c>
      <c r="AB87" s="5">
        <v>36087223.891976699</v>
      </c>
      <c r="AC87" s="5">
        <v>111445382.301955</v>
      </c>
      <c r="AD87" s="5">
        <v>113098018.874134</v>
      </c>
      <c r="AE87" s="5">
        <v>122853281.309383</v>
      </c>
      <c r="AF87" s="5">
        <v>124190973.169365</v>
      </c>
      <c r="AG87">
        <f t="shared" si="5"/>
        <v>117896913.91370924</v>
      </c>
      <c r="AH87">
        <f t="shared" si="6"/>
        <v>6553177.6875275811</v>
      </c>
      <c r="AI87">
        <f t="shared" si="7"/>
        <v>5.5583962887476121E-2</v>
      </c>
    </row>
    <row r="88" spans="1:35" x14ac:dyDescent="0.45">
      <c r="A88" s="5" t="s">
        <v>98</v>
      </c>
      <c r="B88" s="2">
        <f t="shared" si="4"/>
        <v>1650129.1930387793</v>
      </c>
      <c r="C88" s="2">
        <v>1680011.3353833901</v>
      </c>
      <c r="D88" s="2">
        <v>4.7462708711301108E-2</v>
      </c>
      <c r="E88" s="5">
        <v>1523919.3963850201</v>
      </c>
      <c r="F88" s="5">
        <v>1515114.9177942199</v>
      </c>
      <c r="G88" s="5">
        <v>2537661.7159706699</v>
      </c>
      <c r="H88" s="5">
        <v>600407.43533572799</v>
      </c>
      <c r="I88" s="5">
        <v>2836803.8378053298</v>
      </c>
      <c r="J88" s="5">
        <v>1881159.3546070999</v>
      </c>
      <c r="K88" s="5">
        <v>878819.45328112994</v>
      </c>
      <c r="L88" s="5">
        <v>2083270.29603312</v>
      </c>
      <c r="M88" s="5">
        <v>3276894.5337520898</v>
      </c>
      <c r="N88" s="5">
        <v>773769.36406927695</v>
      </c>
      <c r="O88" s="5">
        <v>1316592.9467175701</v>
      </c>
      <c r="P88" s="5">
        <v>1065402.97122543</v>
      </c>
      <c r="Q88" s="5">
        <v>2411373.31569312</v>
      </c>
      <c r="R88" s="5">
        <v>1070870.67552218</v>
      </c>
      <c r="S88" s="5">
        <v>1138905.65787493</v>
      </c>
      <c r="T88" s="5">
        <v>1246008.7150673999</v>
      </c>
      <c r="U88" s="5">
        <v>1873366.94429097</v>
      </c>
      <c r="V88" s="5">
        <v>1956830.5272363401</v>
      </c>
      <c r="W88" s="5">
        <v>1178848.6068214299</v>
      </c>
      <c r="X88" s="5">
        <v>2263802.59296634</v>
      </c>
      <c r="Y88" s="5">
        <v>1787976.00228548</v>
      </c>
      <c r="Z88" s="5">
        <v>1632955.3392998499</v>
      </c>
      <c r="AA88" s="5">
        <v>1644877.03507559</v>
      </c>
      <c r="AB88" s="5">
        <v>1107468.9978203899</v>
      </c>
      <c r="AC88" s="5">
        <v>1640989.1263046099</v>
      </c>
      <c r="AD88" s="5">
        <v>1778671.6772372699</v>
      </c>
      <c r="AE88" s="5">
        <v>1595240.2746773399</v>
      </c>
      <c r="AF88" s="5">
        <v>1705144.26331434</v>
      </c>
      <c r="AG88">
        <f t="shared" si="5"/>
        <v>1680011.3353833901</v>
      </c>
      <c r="AH88">
        <f t="shared" si="6"/>
        <v>79737.888642985839</v>
      </c>
      <c r="AI88">
        <f t="shared" si="7"/>
        <v>4.7462708711301108E-2</v>
      </c>
    </row>
    <row r="89" spans="1:35" x14ac:dyDescent="0.45">
      <c r="A89" s="5" t="s">
        <v>99</v>
      </c>
      <c r="B89" s="2">
        <f t="shared" si="4"/>
        <v>147444766.17526969</v>
      </c>
      <c r="C89" s="2">
        <v>106373405.03074667</v>
      </c>
      <c r="D89" s="2">
        <v>6.2390474538048905E-2</v>
      </c>
      <c r="E89" s="5">
        <v>122750506.48329</v>
      </c>
      <c r="F89" s="5">
        <v>121819917.026583</v>
      </c>
      <c r="G89" s="5">
        <v>109963879.924081</v>
      </c>
      <c r="H89" s="5">
        <v>168716730.56085399</v>
      </c>
      <c r="I89" s="5">
        <v>100051373.817297</v>
      </c>
      <c r="J89" s="5">
        <v>91087316.425340205</v>
      </c>
      <c r="K89" s="5">
        <v>138796052.10624701</v>
      </c>
      <c r="L89" s="5">
        <v>139103380.787348</v>
      </c>
      <c r="M89" s="5">
        <v>87147198.903473407</v>
      </c>
      <c r="N89" s="5">
        <v>119479418.46539401</v>
      </c>
      <c r="O89" s="5">
        <v>378850157.65645999</v>
      </c>
      <c r="P89" s="5">
        <v>112157844.393913</v>
      </c>
      <c r="Q89" s="5">
        <v>87635996.894673601</v>
      </c>
      <c r="R89" s="5">
        <v>189833723.51661801</v>
      </c>
      <c r="S89" s="5">
        <v>118621411.917771</v>
      </c>
      <c r="T89" s="5">
        <v>553388700.87680304</v>
      </c>
      <c r="U89" s="5">
        <v>100098600.60476901</v>
      </c>
      <c r="V89" s="5">
        <v>105866912.690477</v>
      </c>
      <c r="W89" s="5">
        <v>117262489.89257599</v>
      </c>
      <c r="X89" s="5">
        <v>125581566.56080399</v>
      </c>
      <c r="Y89" s="5">
        <v>92155083.7012918</v>
      </c>
      <c r="Z89" s="5">
        <v>115898743.953464</v>
      </c>
      <c r="AA89" s="5">
        <v>108498104.598175</v>
      </c>
      <c r="AB89" s="5">
        <v>133909276.448769</v>
      </c>
      <c r="AC89" s="5">
        <v>99566233.997418702</v>
      </c>
      <c r="AD89" s="5">
        <v>110710650.291421</v>
      </c>
      <c r="AE89" s="5">
        <v>101954284.83035199</v>
      </c>
      <c r="AF89" s="5">
        <v>113262451.003795</v>
      </c>
      <c r="AG89">
        <f t="shared" si="5"/>
        <v>106373405.03074667</v>
      </c>
      <c r="AH89">
        <f t="shared" si="6"/>
        <v>6636687.2180963634</v>
      </c>
      <c r="AI89">
        <f t="shared" si="7"/>
        <v>6.2390474538048905E-2</v>
      </c>
    </row>
    <row r="90" spans="1:35" x14ac:dyDescent="0.45">
      <c r="A90" s="5" t="s">
        <v>100</v>
      </c>
      <c r="B90" s="2">
        <f t="shared" si="4"/>
        <v>89028090.649951607</v>
      </c>
      <c r="C90" s="2">
        <v>99479692.268985599</v>
      </c>
      <c r="D90" s="2">
        <v>0.13574009336988141</v>
      </c>
      <c r="E90" s="5">
        <v>92801156.543241605</v>
      </c>
      <c r="F90" s="5">
        <v>133719010.527154</v>
      </c>
      <c r="G90" s="5">
        <v>54232971.3316001</v>
      </c>
      <c r="H90" s="5">
        <v>66134760.583627</v>
      </c>
      <c r="I90" s="5">
        <v>154111598.18984199</v>
      </c>
      <c r="J90" s="5">
        <v>111308036.414755</v>
      </c>
      <c r="K90" s="5">
        <v>82806641.739243299</v>
      </c>
      <c r="L90" s="5">
        <v>100266584.022246</v>
      </c>
      <c r="M90" s="5">
        <v>104769833.35303099</v>
      </c>
      <c r="N90" s="5">
        <v>44764880.883227602</v>
      </c>
      <c r="O90" s="5">
        <v>91479327.012140304</v>
      </c>
      <c r="P90" s="5">
        <v>18236937.775079899</v>
      </c>
      <c r="Q90" s="5">
        <v>95437753.109510601</v>
      </c>
      <c r="R90" s="5">
        <v>83147853.3511585</v>
      </c>
      <c r="S90" s="5">
        <v>141767259.67431301</v>
      </c>
      <c r="T90" s="5">
        <v>89167491.508837104</v>
      </c>
      <c r="U90" s="5">
        <v>113385883.969814</v>
      </c>
      <c r="V90" s="5">
        <v>72041849.558878496</v>
      </c>
      <c r="W90" s="5">
        <v>82025778.764899597</v>
      </c>
      <c r="X90" s="5">
        <v>84104900.931096405</v>
      </c>
      <c r="Y90" s="5">
        <v>66226116.330886401</v>
      </c>
      <c r="Z90" s="5">
        <v>74679634.352718204</v>
      </c>
      <c r="AA90" s="5">
        <v>108299770.590488</v>
      </c>
      <c r="AB90" s="5">
        <v>71758145.081050605</v>
      </c>
      <c r="AC90" s="5">
        <v>96218102.173324898</v>
      </c>
      <c r="AD90" s="5">
        <v>119382798.341392</v>
      </c>
      <c r="AE90" s="5">
        <v>92102969.799422696</v>
      </c>
      <c r="AF90" s="5">
        <v>90214898.761802807</v>
      </c>
      <c r="AG90">
        <f t="shared" si="5"/>
        <v>99479692.268985599</v>
      </c>
      <c r="AH90">
        <f t="shared" si="6"/>
        <v>13503382.716999175</v>
      </c>
      <c r="AI90">
        <f t="shared" si="7"/>
        <v>0.13574009336988141</v>
      </c>
    </row>
    <row r="91" spans="1:35" x14ac:dyDescent="0.45">
      <c r="A91" s="5" t="s">
        <v>101</v>
      </c>
      <c r="B91" s="2">
        <f t="shared" si="4"/>
        <v>184531673.11600116</v>
      </c>
      <c r="C91" s="2">
        <v>158535826.99344599</v>
      </c>
      <c r="D91" s="2">
        <v>7.8104303025141056E-2</v>
      </c>
      <c r="E91" s="5">
        <v>14974874.0710898</v>
      </c>
      <c r="F91" s="5">
        <v>95140295.341183707</v>
      </c>
      <c r="G91" s="5">
        <v>10531572.6434092</v>
      </c>
      <c r="H91" s="5">
        <v>1221936129.61356</v>
      </c>
      <c r="I91" s="5">
        <v>33165227.074701399</v>
      </c>
      <c r="J91" s="5">
        <v>348775117.285909</v>
      </c>
      <c r="K91" s="5">
        <v>101407868.819337</v>
      </c>
      <c r="L91" s="5">
        <v>15207006.8267716</v>
      </c>
      <c r="M91" s="5">
        <v>51089417.949429996</v>
      </c>
      <c r="N91" s="5">
        <v>678702328.36877298</v>
      </c>
      <c r="O91" s="5">
        <v>41464462.6785625</v>
      </c>
      <c r="P91" s="5">
        <v>158653551.79434699</v>
      </c>
      <c r="Q91" s="5">
        <v>17875534.368939199</v>
      </c>
      <c r="R91" s="5">
        <v>256126008.05453601</v>
      </c>
      <c r="S91" s="5">
        <v>942027175.71144903</v>
      </c>
      <c r="T91" s="5">
        <v>36100967.771447703</v>
      </c>
      <c r="U91" s="5">
        <v>41180717.8965813</v>
      </c>
      <c r="V91" s="5">
        <v>112466168.361017</v>
      </c>
      <c r="W91" s="5">
        <v>8686899.9626873899</v>
      </c>
      <c r="X91" s="5">
        <v>34967639.977218501</v>
      </c>
      <c r="Y91" s="5">
        <v>70067861.111868307</v>
      </c>
      <c r="Z91" s="5">
        <v>99693528.607279301</v>
      </c>
      <c r="AA91" s="5">
        <v>24746483.229683001</v>
      </c>
      <c r="AB91" s="5">
        <v>13773317.264247101</v>
      </c>
      <c r="AC91" s="5">
        <v>142164931.220364</v>
      </c>
      <c r="AD91" s="5">
        <v>156762901.48708701</v>
      </c>
      <c r="AE91" s="5">
        <v>164127961.03773499</v>
      </c>
      <c r="AF91" s="5">
        <v>171087514.228598</v>
      </c>
      <c r="AG91">
        <f t="shared" si="5"/>
        <v>158535826.99344599</v>
      </c>
      <c r="AH91">
        <f t="shared" si="6"/>
        <v>12382330.271837443</v>
      </c>
      <c r="AI91">
        <f t="shared" si="7"/>
        <v>7.8104303025141056E-2</v>
      </c>
    </row>
    <row r="92" spans="1:35" x14ac:dyDescent="0.45">
      <c r="A92" s="5" t="s">
        <v>102</v>
      </c>
      <c r="B92" s="2">
        <f t="shared" si="4"/>
        <v>238212737.95737302</v>
      </c>
      <c r="C92" s="2">
        <v>215685996.34136122</v>
      </c>
      <c r="D92" s="2">
        <v>7.0763506769720208E-2</v>
      </c>
      <c r="E92" s="5">
        <v>122355107.465794</v>
      </c>
      <c r="F92" s="5">
        <v>10113905.9745903</v>
      </c>
      <c r="G92" s="5">
        <v>19160884.123306599</v>
      </c>
      <c r="H92" s="5">
        <v>19562957.8394816</v>
      </c>
      <c r="I92" s="5">
        <v>29803526.7645774</v>
      </c>
      <c r="J92" s="5">
        <v>23904528.272045098</v>
      </c>
      <c r="K92" s="5">
        <v>873070142.01258802</v>
      </c>
      <c r="L92" s="5">
        <v>55397074.184231304</v>
      </c>
      <c r="M92" s="5">
        <v>344090438.315611</v>
      </c>
      <c r="N92" s="5">
        <v>13390720.036095999</v>
      </c>
      <c r="O92" s="5">
        <v>33705152.311774001</v>
      </c>
      <c r="P92" s="5">
        <v>758487276.21192503</v>
      </c>
      <c r="Q92" s="5">
        <v>20946684.993824001</v>
      </c>
      <c r="R92" s="5">
        <v>18236647.6003066</v>
      </c>
      <c r="S92" s="5">
        <v>1136269477.3020501</v>
      </c>
      <c r="T92" s="5">
        <v>45921208.739255801</v>
      </c>
      <c r="U92" s="5">
        <v>350662113.29480898</v>
      </c>
      <c r="V92" s="5">
        <v>13361924.334617199</v>
      </c>
      <c r="W92" s="5">
        <v>15623676.3088778</v>
      </c>
      <c r="X92" s="5">
        <v>728886242.695912</v>
      </c>
      <c r="Y92" s="5">
        <v>48552116.406903498</v>
      </c>
      <c r="Z92" s="5">
        <v>24176846.674640998</v>
      </c>
      <c r="AA92" s="5">
        <v>979589235.562451</v>
      </c>
      <c r="AB92" s="5">
        <v>31837823.551284701</v>
      </c>
      <c r="AC92" s="5">
        <v>194759052.47603399</v>
      </c>
      <c r="AD92" s="5">
        <v>215185192.59799799</v>
      </c>
      <c r="AE92" s="5">
        <v>222457292.70522299</v>
      </c>
      <c r="AF92" s="5">
        <v>230342447.58618999</v>
      </c>
      <c r="AG92">
        <f t="shared" si="5"/>
        <v>215685996.34136122</v>
      </c>
      <c r="AH92">
        <f t="shared" si="6"/>
        <v>15262697.462235764</v>
      </c>
      <c r="AI92">
        <f t="shared" si="7"/>
        <v>7.0763506769720208E-2</v>
      </c>
    </row>
    <row r="93" spans="1:35" x14ac:dyDescent="0.45">
      <c r="A93" s="5" t="s">
        <v>103</v>
      </c>
      <c r="B93" s="2">
        <f t="shared" si="4"/>
        <v>311182496.78598601</v>
      </c>
      <c r="C93" s="2">
        <v>238687905.93611827</v>
      </c>
      <c r="D93" s="2">
        <v>1.2716061315297849E-2</v>
      </c>
      <c r="E93" s="5">
        <v>29028299.306534801</v>
      </c>
      <c r="F93" s="5">
        <v>399233705.32352698</v>
      </c>
      <c r="G93" s="5">
        <v>378066685.356067</v>
      </c>
      <c r="H93" s="5">
        <v>1087675405.7644</v>
      </c>
      <c r="I93" s="5">
        <v>324609849.12279701</v>
      </c>
      <c r="J93" s="5">
        <v>250079353.51739401</v>
      </c>
      <c r="K93" s="5">
        <v>52112177.186783299</v>
      </c>
      <c r="L93" s="5">
        <v>678754120.77790201</v>
      </c>
      <c r="M93" s="5">
        <v>30904461.249755301</v>
      </c>
      <c r="N93" s="5">
        <v>471333800.39876801</v>
      </c>
      <c r="O93" s="5">
        <v>238123255.83640301</v>
      </c>
      <c r="P93" s="5">
        <v>46928019.984229498</v>
      </c>
      <c r="Q93" s="5">
        <v>252221706.08099899</v>
      </c>
      <c r="R93" s="5">
        <v>770584576.60938096</v>
      </c>
      <c r="S93" s="5">
        <v>49584420.847140603</v>
      </c>
      <c r="T93" s="5">
        <v>344587925.58174402</v>
      </c>
      <c r="U93" s="5">
        <v>18648276.1169983</v>
      </c>
      <c r="V93" s="5">
        <v>316493075.308258</v>
      </c>
      <c r="W93" s="5">
        <v>447908120.18772298</v>
      </c>
      <c r="X93" s="5">
        <v>38305786.248981804</v>
      </c>
      <c r="Y93" s="5">
        <v>343870504.80551499</v>
      </c>
      <c r="Z93" s="5">
        <v>365224026.024342</v>
      </c>
      <c r="AA93" s="5">
        <v>41057102.515399598</v>
      </c>
      <c r="AB93" s="5">
        <v>493045268.71262097</v>
      </c>
      <c r="AC93" s="5">
        <v>234894695.261228</v>
      </c>
      <c r="AD93" s="5">
        <v>239861553.89806801</v>
      </c>
      <c r="AE93" s="5">
        <v>242051929.30344099</v>
      </c>
      <c r="AF93" s="5">
        <v>237943445.28173599</v>
      </c>
      <c r="AG93">
        <f t="shared" si="5"/>
        <v>238687905.93611827</v>
      </c>
      <c r="AH93">
        <f t="shared" si="6"/>
        <v>3035170.0471037254</v>
      </c>
      <c r="AI93">
        <f t="shared" si="7"/>
        <v>1.2716061315297849E-2</v>
      </c>
    </row>
    <row r="94" spans="1:35" x14ac:dyDescent="0.45">
      <c r="A94" s="5" t="s">
        <v>104</v>
      </c>
      <c r="B94" s="2">
        <f t="shared" si="4"/>
        <v>11973553.679351276</v>
      </c>
      <c r="C94" s="2">
        <v>13103838.143924849</v>
      </c>
      <c r="D94" s="2">
        <v>0.10673902781421502</v>
      </c>
      <c r="E94" s="5">
        <v>2285715.0411327002</v>
      </c>
      <c r="F94" s="5">
        <v>1247742.88128691</v>
      </c>
      <c r="G94" s="5">
        <v>1594653.8568726401</v>
      </c>
      <c r="H94" s="5">
        <v>3383588.81595498</v>
      </c>
      <c r="I94" s="5">
        <v>2156455.6815506699</v>
      </c>
      <c r="J94" s="5">
        <v>1782748.22332028</v>
      </c>
      <c r="K94" s="5">
        <v>2292769.1843710998</v>
      </c>
      <c r="L94" s="5">
        <v>2941833.7855088799</v>
      </c>
      <c r="M94" s="5">
        <v>1680337.4628121001</v>
      </c>
      <c r="N94" s="5">
        <v>3006237.5422635302</v>
      </c>
      <c r="O94" s="5">
        <v>890149.48825172801</v>
      </c>
      <c r="P94" s="5">
        <v>2683768.8604809102</v>
      </c>
      <c r="Q94" s="5">
        <v>231088254.07281601</v>
      </c>
      <c r="R94" s="5">
        <v>2220340.96481039</v>
      </c>
      <c r="S94" s="5">
        <v>3278997.19377359</v>
      </c>
      <c r="T94" s="5">
        <v>7997686.2383701103</v>
      </c>
      <c r="U94" s="5">
        <v>1799110.5143430601</v>
      </c>
      <c r="V94" s="5">
        <v>1374620.5798541401</v>
      </c>
      <c r="W94" s="5">
        <v>1910163.4731048699</v>
      </c>
      <c r="X94" s="5">
        <v>1394723.6030399899</v>
      </c>
      <c r="Y94" s="5">
        <v>3621187.4227611502</v>
      </c>
      <c r="Z94" s="5">
        <v>1897134.6836021401</v>
      </c>
      <c r="AA94" s="5">
        <v>2102471.6777037499</v>
      </c>
      <c r="AB94" s="5">
        <v>2734597.0564449402</v>
      </c>
      <c r="AC94" s="5">
        <v>11447032.192891899</v>
      </c>
      <c r="AD94" s="5">
        <v>12452375.981365699</v>
      </c>
      <c r="AE94" s="5">
        <v>14391293.8432444</v>
      </c>
      <c r="AF94" s="5">
        <v>14124650.5581974</v>
      </c>
      <c r="AG94">
        <f t="shared" si="5"/>
        <v>13103838.143924849</v>
      </c>
      <c r="AH94">
        <f t="shared" si="6"/>
        <v>1398690.9441173661</v>
      </c>
      <c r="AI94">
        <f t="shared" si="7"/>
        <v>0.10673902781421502</v>
      </c>
    </row>
    <row r="95" spans="1:35" x14ac:dyDescent="0.45">
      <c r="A95" s="5" t="s">
        <v>105</v>
      </c>
      <c r="B95" s="2">
        <f t="shared" si="4"/>
        <v>51115886.893443108</v>
      </c>
      <c r="C95" s="2">
        <v>37542866.644711629</v>
      </c>
      <c r="D95" s="2">
        <v>6.7748509695915865E-2</v>
      </c>
      <c r="E95" s="5">
        <v>26382759.606724501</v>
      </c>
      <c r="F95" s="5">
        <v>30216571.232702099</v>
      </c>
      <c r="G95" s="5">
        <v>45940520.241121598</v>
      </c>
      <c r="H95" s="5">
        <v>84901890.242464796</v>
      </c>
      <c r="I95" s="5">
        <v>23703312.515369799</v>
      </c>
      <c r="J95" s="5">
        <v>34962317.990543202</v>
      </c>
      <c r="K95" s="5">
        <v>32276732.762532901</v>
      </c>
      <c r="L95" s="5">
        <v>52604903.815087698</v>
      </c>
      <c r="M95" s="5">
        <v>41449629.319021501</v>
      </c>
      <c r="N95" s="5">
        <v>25605246.956969202</v>
      </c>
      <c r="O95" s="5">
        <v>97479382.860544905</v>
      </c>
      <c r="P95" s="5">
        <v>43575409.954750903</v>
      </c>
      <c r="Q95" s="5">
        <v>45519618.818578698</v>
      </c>
      <c r="R95" s="5">
        <v>75380202.789395303</v>
      </c>
      <c r="S95" s="5">
        <v>57796627.688276999</v>
      </c>
      <c r="T95" s="5">
        <v>181589200.18011501</v>
      </c>
      <c r="U95" s="5">
        <v>26988584.754262101</v>
      </c>
      <c r="V95" s="5">
        <v>27461997.059692401</v>
      </c>
      <c r="W95" s="5">
        <v>40758893.528351903</v>
      </c>
      <c r="X95" s="5">
        <v>57763325.740076199</v>
      </c>
      <c r="Y95" s="5">
        <v>37041309.029233597</v>
      </c>
      <c r="Z95" s="5">
        <v>48216763.951904602</v>
      </c>
      <c r="AA95" s="5">
        <v>48517212.1169568</v>
      </c>
      <c r="AB95" s="5">
        <v>40648872.287958004</v>
      </c>
      <c r="AC95" s="5">
        <v>34191420.9340894</v>
      </c>
      <c r="AD95" s="5">
        <v>37002919.040666699</v>
      </c>
      <c r="AE95" s="5">
        <v>39093236.844179802</v>
      </c>
      <c r="AF95" s="5">
        <v>39883889.759910598</v>
      </c>
      <c r="AG95">
        <f t="shared" si="5"/>
        <v>37542866.644711629</v>
      </c>
      <c r="AH95">
        <f t="shared" si="6"/>
        <v>2543473.2648917222</v>
      </c>
      <c r="AI95">
        <f t="shared" si="7"/>
        <v>6.7748509695915865E-2</v>
      </c>
    </row>
    <row r="96" spans="1:35" x14ac:dyDescent="0.45">
      <c r="A96" s="5" t="s">
        <v>106</v>
      </c>
      <c r="B96" s="2">
        <f t="shared" si="4"/>
        <v>8085882.2133771451</v>
      </c>
      <c r="C96" s="2">
        <v>6915609.6133387676</v>
      </c>
      <c r="D96" s="2">
        <v>2.5344691017407887E-2</v>
      </c>
      <c r="E96" s="5">
        <v>3788692.1175577599</v>
      </c>
      <c r="F96" s="5">
        <v>2596874.2823732002</v>
      </c>
      <c r="G96" s="5">
        <v>15550591.234798601</v>
      </c>
      <c r="H96" s="5">
        <v>2343949.9597283402</v>
      </c>
      <c r="I96" s="5">
        <v>15150184.267996199</v>
      </c>
      <c r="J96" s="5">
        <v>9567339.3173675109</v>
      </c>
      <c r="K96" s="5">
        <v>2900600.6011600401</v>
      </c>
      <c r="L96" s="5">
        <v>12465720.285814701</v>
      </c>
      <c r="M96" s="5">
        <v>8445984.4952726699</v>
      </c>
      <c r="N96" s="5">
        <v>1448867.24720049</v>
      </c>
      <c r="O96" s="5">
        <v>5492295.9035352599</v>
      </c>
      <c r="P96" s="5">
        <v>1829040.9442403901</v>
      </c>
      <c r="Q96" s="5">
        <v>16094649.3538101</v>
      </c>
      <c r="R96" s="5">
        <v>2914474.0633105901</v>
      </c>
      <c r="S96" s="5">
        <v>13613196.772270299</v>
      </c>
      <c r="T96" s="5">
        <v>4093546.36533943</v>
      </c>
      <c r="U96" s="5">
        <v>8188410.8466958003</v>
      </c>
      <c r="V96" s="5">
        <v>15385924.949191401</v>
      </c>
      <c r="W96" s="5">
        <v>3591041.4016439798</v>
      </c>
      <c r="X96" s="5">
        <v>6489502.7134390296</v>
      </c>
      <c r="Y96" s="5">
        <v>6909300.0662309099</v>
      </c>
      <c r="Z96" s="5">
        <v>9574430.2549462598</v>
      </c>
      <c r="AA96" s="5">
        <v>15631427.209476599</v>
      </c>
      <c r="AB96" s="5">
        <v>9995128.4676518906</v>
      </c>
      <c r="AC96" s="5">
        <v>6869836.5001477599</v>
      </c>
      <c r="AD96" s="5">
        <v>6737190.9966316801</v>
      </c>
      <c r="AE96" s="5">
        <v>7156359.2130623804</v>
      </c>
      <c r="AF96" s="5">
        <v>6899051.7435132498</v>
      </c>
      <c r="AG96">
        <f t="shared" si="5"/>
        <v>6915609.6133387676</v>
      </c>
      <c r="AH96">
        <f t="shared" si="6"/>
        <v>175273.9888470867</v>
      </c>
      <c r="AI96">
        <f t="shared" si="7"/>
        <v>2.5344691017407887E-2</v>
      </c>
    </row>
    <row r="97" spans="1:35" x14ac:dyDescent="0.45">
      <c r="A97" s="5" t="s">
        <v>107</v>
      </c>
      <c r="B97" s="2">
        <f t="shared" si="4"/>
        <v>723404.63145443809</v>
      </c>
      <c r="C97" s="2">
        <v>851274.34145297646</v>
      </c>
      <c r="D97" s="2">
        <v>5.8638750116866076E-2</v>
      </c>
      <c r="E97" s="5">
        <v>49052.110684140302</v>
      </c>
      <c r="F97" s="5">
        <v>47730.134023973696</v>
      </c>
      <c r="G97" s="5">
        <v>758980.28640525602</v>
      </c>
      <c r="H97" s="5">
        <v>577231.35048506805</v>
      </c>
      <c r="I97" s="5">
        <v>2553412.0688631302</v>
      </c>
      <c r="J97" s="5">
        <v>1313919.0221370601</v>
      </c>
      <c r="K97" s="5">
        <v>149192.89715643899</v>
      </c>
      <c r="L97" s="5">
        <v>526918.47732814203</v>
      </c>
      <c r="M97" s="5">
        <v>1242274.8740465201</v>
      </c>
      <c r="N97" s="5">
        <v>46800.464679250799</v>
      </c>
      <c r="O97" s="5">
        <v>84210.546672787197</v>
      </c>
      <c r="P97" s="5">
        <v>59491.454245833404</v>
      </c>
      <c r="Q97" s="5">
        <v>3245110.68254381</v>
      </c>
      <c r="R97" s="5">
        <v>41608.3638722287</v>
      </c>
      <c r="S97" s="5">
        <v>1275933.9665225099</v>
      </c>
      <c r="T97" s="5">
        <v>461870.01719051303</v>
      </c>
      <c r="U97" s="5">
        <v>54854.368872413397</v>
      </c>
      <c r="V97" s="5">
        <v>496099.73778515903</v>
      </c>
      <c r="W97" s="5">
        <v>41326.265052778501</v>
      </c>
      <c r="X97" s="5">
        <v>260899.962930779</v>
      </c>
      <c r="Y97" s="5">
        <v>705422.52927831304</v>
      </c>
      <c r="Z97" s="5">
        <v>840246.32733203296</v>
      </c>
      <c r="AA97" s="5">
        <v>1970196.9745912801</v>
      </c>
      <c r="AB97" s="5">
        <v>558928.27220709797</v>
      </c>
      <c r="AC97" s="5">
        <v>820098.81753073004</v>
      </c>
      <c r="AD97" s="5">
        <v>855014.07253928098</v>
      </c>
      <c r="AE97" s="5">
        <v>809706.34857689799</v>
      </c>
      <c r="AF97" s="5">
        <v>920278.12716499704</v>
      </c>
      <c r="AG97">
        <f t="shared" si="5"/>
        <v>851274.34145297646</v>
      </c>
      <c r="AH97">
        <f t="shared" si="6"/>
        <v>49917.663389360816</v>
      </c>
      <c r="AI97">
        <f t="shared" si="7"/>
        <v>5.8638750116866076E-2</v>
      </c>
    </row>
    <row r="98" spans="1:35" x14ac:dyDescent="0.45">
      <c r="A98" s="5" t="s">
        <v>108</v>
      </c>
      <c r="B98" s="2">
        <f t="shared" si="4"/>
        <v>22585059.568717018</v>
      </c>
      <c r="C98" s="2">
        <v>20539963.528453976</v>
      </c>
      <c r="D98" s="2">
        <v>8.822659075092594E-2</v>
      </c>
      <c r="E98" s="5">
        <v>25585907.5997856</v>
      </c>
      <c r="F98" s="5">
        <v>21641239.844296802</v>
      </c>
      <c r="G98" s="5">
        <v>24454870.965128399</v>
      </c>
      <c r="H98" s="5">
        <v>18357694.454425599</v>
      </c>
      <c r="I98" s="5">
        <v>7939690.1652079597</v>
      </c>
      <c r="J98" s="5">
        <v>7177475.6076865001</v>
      </c>
      <c r="K98" s="5">
        <v>27165481.091635499</v>
      </c>
      <c r="L98" s="5">
        <v>26101944.702699199</v>
      </c>
      <c r="M98" s="5">
        <v>20718267.443584099</v>
      </c>
      <c r="N98" s="5">
        <v>23984667.646466501</v>
      </c>
      <c r="O98" s="5">
        <v>26684555.797248099</v>
      </c>
      <c r="P98" s="5">
        <v>10332493.579235001</v>
      </c>
      <c r="Q98" s="5">
        <v>8815387.6933631208</v>
      </c>
      <c r="R98" s="5">
        <v>22123900.775373898</v>
      </c>
      <c r="S98" s="5">
        <v>29315410.5712937</v>
      </c>
      <c r="T98" s="5">
        <v>46637170.952535599</v>
      </c>
      <c r="U98" s="5">
        <v>24934794.4091691</v>
      </c>
      <c r="V98" s="5">
        <v>22602746.768890999</v>
      </c>
      <c r="W98" s="5">
        <v>23217666.140170399</v>
      </c>
      <c r="X98" s="5">
        <v>27610975.0655501</v>
      </c>
      <c r="Y98" s="5">
        <v>11614326.702684101</v>
      </c>
      <c r="Z98" s="5">
        <v>28390637.896176301</v>
      </c>
      <c r="AA98" s="5">
        <v>26414345.6808904</v>
      </c>
      <c r="AB98" s="5">
        <v>30219778.0957116</v>
      </c>
      <c r="AC98" s="5">
        <v>18660634.448010299</v>
      </c>
      <c r="AD98" s="5">
        <v>20052017.4371185</v>
      </c>
      <c r="AE98" s="5">
        <v>23004211.452047199</v>
      </c>
      <c r="AF98" s="5">
        <v>20442990.776639901</v>
      </c>
      <c r="AG98">
        <f t="shared" si="5"/>
        <v>20539963.528453976</v>
      </c>
      <c r="AH98">
        <f t="shared" si="6"/>
        <v>1812170.9562638537</v>
      </c>
      <c r="AI98">
        <f t="shared" si="7"/>
        <v>8.822659075092594E-2</v>
      </c>
    </row>
    <row r="99" spans="1:35" x14ac:dyDescent="0.45">
      <c r="A99" s="5" t="s">
        <v>109</v>
      </c>
      <c r="B99" s="2">
        <f t="shared" si="4"/>
        <v>628069.95886154345</v>
      </c>
      <c r="C99" s="2">
        <v>413752.87886284676</v>
      </c>
      <c r="D99" s="2">
        <v>0.10627155044804257</v>
      </c>
      <c r="E99" s="5">
        <v>1205706.75450234</v>
      </c>
      <c r="F99" s="5">
        <v>490252.61721030599</v>
      </c>
      <c r="G99" s="5">
        <v>511897.14842902002</v>
      </c>
      <c r="H99" s="5">
        <v>665441.57490626397</v>
      </c>
      <c r="I99" s="5">
        <v>240612.74747672401</v>
      </c>
      <c r="J99" s="5">
        <v>158139.89627960001</v>
      </c>
      <c r="K99" s="5">
        <v>369962.85413404898</v>
      </c>
      <c r="L99" s="5">
        <v>1182157.50084213</v>
      </c>
      <c r="M99" s="5">
        <v>394143.38867333398</v>
      </c>
      <c r="N99" s="5">
        <v>939171.21400349902</v>
      </c>
      <c r="O99" s="5">
        <v>754433.71317460702</v>
      </c>
      <c r="P99" s="5">
        <v>527733.29834849201</v>
      </c>
      <c r="Q99" s="5">
        <v>682094.15286612499</v>
      </c>
      <c r="R99" s="5">
        <v>1381683.2955896601</v>
      </c>
      <c r="S99" s="5">
        <v>609045.66505889699</v>
      </c>
      <c r="T99" s="5">
        <v>381966.259188784</v>
      </c>
      <c r="U99" s="5">
        <v>337373.69357662398</v>
      </c>
      <c r="V99" s="5">
        <v>495042.24542986602</v>
      </c>
      <c r="W99" s="5">
        <v>649040.320961121</v>
      </c>
      <c r="X99" s="5">
        <v>286766.968322984</v>
      </c>
      <c r="Y99" s="5">
        <v>1220051.6034345201</v>
      </c>
      <c r="Z99" s="5">
        <v>506384.31029961299</v>
      </c>
      <c r="AA99" s="5">
        <v>143710.30178325099</v>
      </c>
      <c r="AB99" s="5">
        <v>940867.48818523099</v>
      </c>
      <c r="AC99" s="5">
        <v>398434.81093319698</v>
      </c>
      <c r="AD99" s="5">
        <v>383201.245212315</v>
      </c>
      <c r="AE99" s="5">
        <v>394378.95627277502</v>
      </c>
      <c r="AF99" s="5">
        <v>478996.50303309999</v>
      </c>
      <c r="AG99">
        <f t="shared" si="5"/>
        <v>413752.87886284676</v>
      </c>
      <c r="AH99">
        <f t="shared" si="6"/>
        <v>43970.159939095865</v>
      </c>
      <c r="AI99">
        <f t="shared" si="7"/>
        <v>0.10627155044804257</v>
      </c>
    </row>
    <row r="100" spans="1:35" x14ac:dyDescent="0.45">
      <c r="A100" s="5" t="s">
        <v>110</v>
      </c>
      <c r="B100" s="2">
        <f t="shared" si="4"/>
        <v>30062637.221893687</v>
      </c>
      <c r="C100" s="2">
        <v>32698791.943594351</v>
      </c>
      <c r="D100" s="2">
        <v>5.7515532314663394E-2</v>
      </c>
      <c r="E100" s="5">
        <v>23705362.531489301</v>
      </c>
      <c r="F100" s="5">
        <v>37975586.677673496</v>
      </c>
      <c r="G100" s="5">
        <v>28662546.860423401</v>
      </c>
      <c r="H100" s="5">
        <v>22610517.4099163</v>
      </c>
      <c r="I100" s="5">
        <v>31420725.114176098</v>
      </c>
      <c r="J100" s="5">
        <v>45235832.301721402</v>
      </c>
      <c r="K100" s="5">
        <v>19244338.721733999</v>
      </c>
      <c r="L100" s="5">
        <v>40215365.256843798</v>
      </c>
      <c r="M100" s="5">
        <v>29035286.341635</v>
      </c>
      <c r="N100" s="5">
        <v>37986860.520889901</v>
      </c>
      <c r="O100" s="5">
        <v>32962646.518095601</v>
      </c>
      <c r="P100" s="5">
        <v>31107553.678760201</v>
      </c>
      <c r="Q100" s="5">
        <v>9759390.4299575891</v>
      </c>
      <c r="R100" s="5">
        <v>6913705.9394763904</v>
      </c>
      <c r="S100" s="5">
        <v>35763803.553108104</v>
      </c>
      <c r="T100" s="5">
        <v>69538836.644035205</v>
      </c>
      <c r="U100" s="5">
        <v>19460933.1085274</v>
      </c>
      <c r="V100" s="5">
        <v>13561369.1400504</v>
      </c>
      <c r="W100" s="5">
        <v>28180632.460816</v>
      </c>
      <c r="X100" s="5">
        <v>32384519.479057498</v>
      </c>
      <c r="Y100" s="5">
        <v>30363684.245851401</v>
      </c>
      <c r="Z100" s="5">
        <v>44739697.702110603</v>
      </c>
      <c r="AA100" s="5">
        <v>38412444.9254198</v>
      </c>
      <c r="AB100" s="5">
        <v>12261653.763679599</v>
      </c>
      <c r="AC100" s="5">
        <v>30250663.265239999</v>
      </c>
      <c r="AD100" s="5">
        <v>32371835.337456498</v>
      </c>
      <c r="AE100" s="5">
        <v>33511798.670504998</v>
      </c>
      <c r="AF100" s="5">
        <v>34660870.501175903</v>
      </c>
      <c r="AG100">
        <f t="shared" si="5"/>
        <v>32698791.943594351</v>
      </c>
      <c r="AH100">
        <f t="shared" si="6"/>
        <v>1880688.4246822561</v>
      </c>
      <c r="AI100">
        <f t="shared" si="7"/>
        <v>5.7515532314663394E-2</v>
      </c>
    </row>
    <row r="101" spans="1:35" x14ac:dyDescent="0.45">
      <c r="A101" s="5" t="s">
        <v>111</v>
      </c>
      <c r="B101" s="2">
        <f t="shared" si="4"/>
        <v>50400116.496968217</v>
      </c>
      <c r="C101" s="2">
        <v>50629614.736644126</v>
      </c>
      <c r="D101" s="2">
        <v>4.5525432811974804E-2</v>
      </c>
      <c r="E101" s="5">
        <v>40454221.925804697</v>
      </c>
      <c r="F101" s="5">
        <v>26046196.4871682</v>
      </c>
      <c r="G101" s="5">
        <v>58156003.335466899</v>
      </c>
      <c r="H101" s="5">
        <v>10065610.3456065</v>
      </c>
      <c r="I101" s="5">
        <v>60606699.117177702</v>
      </c>
      <c r="J101" s="5">
        <v>65263528.493133202</v>
      </c>
      <c r="K101" s="5">
        <v>33116478.423249699</v>
      </c>
      <c r="L101" s="5">
        <v>64297719.625163302</v>
      </c>
      <c r="M101" s="5">
        <v>85678256.116708294</v>
      </c>
      <c r="N101" s="5">
        <v>24631914.138104498</v>
      </c>
      <c r="O101" s="5">
        <v>19211453.516961399</v>
      </c>
      <c r="P101" s="5">
        <v>17534598.282451101</v>
      </c>
      <c r="Q101" s="5">
        <v>123344113.33179501</v>
      </c>
      <c r="R101" s="5">
        <v>23318823.7663959</v>
      </c>
      <c r="S101" s="5">
        <v>72850504.116378397</v>
      </c>
      <c r="T101" s="5">
        <v>39775611.770606503</v>
      </c>
      <c r="U101" s="5">
        <v>48119585.830599502</v>
      </c>
      <c r="V101" s="5">
        <v>39234424.148361899</v>
      </c>
      <c r="W101" s="5">
        <v>30799131.5267451</v>
      </c>
      <c r="X101" s="5">
        <v>42228709.116676301</v>
      </c>
      <c r="Y101" s="5">
        <v>70603275.111723393</v>
      </c>
      <c r="Z101" s="5">
        <v>47642653.089829803</v>
      </c>
      <c r="AA101" s="5">
        <v>112175337.06197301</v>
      </c>
      <c r="AB101" s="5">
        <v>54447947.249156602</v>
      </c>
      <c r="AC101" s="5">
        <v>53401455.800437897</v>
      </c>
      <c r="AD101" s="5">
        <v>51344786.313352697</v>
      </c>
      <c r="AE101" s="5">
        <v>49798242.1601009</v>
      </c>
      <c r="AF101" s="5">
        <v>47973974.672684997</v>
      </c>
      <c r="AG101">
        <f t="shared" si="5"/>
        <v>50629614.736644126</v>
      </c>
      <c r="AH101">
        <f t="shared" si="6"/>
        <v>2304935.1239892617</v>
      </c>
      <c r="AI101">
        <f t="shared" si="7"/>
        <v>4.5525432811974804E-2</v>
      </c>
    </row>
    <row r="102" spans="1:35" x14ac:dyDescent="0.45">
      <c r="A102" s="5" t="s">
        <v>288</v>
      </c>
      <c r="B102" s="2">
        <f t="shared" si="4"/>
        <v>900842325.37815678</v>
      </c>
      <c r="C102" s="2">
        <v>933469936.74777865</v>
      </c>
      <c r="D102" s="2">
        <v>3.8300828801218226E-2</v>
      </c>
      <c r="E102" s="5">
        <v>436311975.786928</v>
      </c>
      <c r="F102" s="5">
        <v>852068439.62747598</v>
      </c>
      <c r="G102" s="5">
        <v>352215063.18519998</v>
      </c>
      <c r="H102" s="5">
        <v>1194458950.93241</v>
      </c>
      <c r="I102" s="5">
        <v>955659312.43521798</v>
      </c>
      <c r="J102" s="5">
        <v>1794329257.88925</v>
      </c>
      <c r="K102" s="5">
        <v>616181912.95973694</v>
      </c>
      <c r="L102" s="5">
        <v>767419558.28231597</v>
      </c>
      <c r="M102" s="5">
        <v>815793044.42286694</v>
      </c>
      <c r="N102" s="5">
        <v>602095523.80638599</v>
      </c>
      <c r="O102" s="5">
        <v>465421239.31785202</v>
      </c>
      <c r="P102" s="5">
        <v>806118048.02441299</v>
      </c>
      <c r="Q102" s="5">
        <v>1012262369.01464</v>
      </c>
      <c r="R102" s="5">
        <v>1357991381.3970399</v>
      </c>
      <c r="S102" s="5">
        <v>761591745.460096</v>
      </c>
      <c r="T102" s="5">
        <v>896359320.55029595</v>
      </c>
      <c r="U102" s="5">
        <v>484210882.85442001</v>
      </c>
      <c r="V102" s="5">
        <v>819678432.31291199</v>
      </c>
      <c r="W102" s="5">
        <v>806813755.37272799</v>
      </c>
      <c r="X102" s="5">
        <v>1627870420.89676</v>
      </c>
      <c r="Y102" s="5">
        <v>748868246.96617901</v>
      </c>
      <c r="Z102" s="5">
        <v>1944314458.80604</v>
      </c>
      <c r="AA102" s="5">
        <v>616393317.81106997</v>
      </c>
      <c r="AB102" s="5">
        <v>885789150.96352899</v>
      </c>
      <c r="AC102" s="5">
        <v>949347603.84857702</v>
      </c>
      <c r="AD102" s="5">
        <v>918082746.48930705</v>
      </c>
      <c r="AE102" s="5">
        <v>974125642.66896403</v>
      </c>
      <c r="AF102" s="5">
        <v>892323753.984267</v>
      </c>
      <c r="AG102">
        <f t="shared" si="5"/>
        <v>933469936.74777865</v>
      </c>
      <c r="AH102">
        <f t="shared" si="6"/>
        <v>35752672.238460675</v>
      </c>
      <c r="AI102">
        <f t="shared" si="7"/>
        <v>3.8300828801218226E-2</v>
      </c>
    </row>
    <row r="103" spans="1:35" x14ac:dyDescent="0.45">
      <c r="A103" s="5" t="s">
        <v>112</v>
      </c>
      <c r="B103" s="2">
        <f t="shared" si="4"/>
        <v>25216589.958971743</v>
      </c>
      <c r="C103" s="2">
        <v>22317280.137419552</v>
      </c>
      <c r="D103" s="2">
        <v>6.4974088332940966E-2</v>
      </c>
      <c r="E103" s="5">
        <v>9299641.7692829594</v>
      </c>
      <c r="F103" s="5">
        <v>12849576.2379255</v>
      </c>
      <c r="G103" s="5">
        <v>21639499.506627899</v>
      </c>
      <c r="H103" s="5">
        <v>31942633.729500402</v>
      </c>
      <c r="I103" s="5">
        <v>118805078.83885901</v>
      </c>
      <c r="J103" s="5">
        <v>14762777.2489329</v>
      </c>
      <c r="K103" s="5">
        <v>12812716.8988555</v>
      </c>
      <c r="L103" s="5">
        <v>22145860.764319699</v>
      </c>
      <c r="M103" s="5">
        <v>17828159.1284055</v>
      </c>
      <c r="N103" s="5">
        <v>15761817.349819399</v>
      </c>
      <c r="O103" s="5">
        <v>45208476.641446702</v>
      </c>
      <c r="P103" s="5">
        <v>13761364.439142199</v>
      </c>
      <c r="Q103" s="5">
        <v>26849907.074438699</v>
      </c>
      <c r="R103" s="5">
        <v>12891859.749954499</v>
      </c>
      <c r="S103" s="5">
        <v>29683966.405230202</v>
      </c>
      <c r="T103" s="5">
        <v>27325272.2128403</v>
      </c>
      <c r="U103" s="5">
        <v>10384944.619405299</v>
      </c>
      <c r="V103" s="5">
        <v>20404177.7560343</v>
      </c>
      <c r="W103" s="5">
        <v>9972422.7402701695</v>
      </c>
      <c r="X103" s="5">
        <v>24576463.401572101</v>
      </c>
      <c r="Y103" s="5">
        <v>40168273.550297096</v>
      </c>
      <c r="Z103" s="5">
        <v>12224507.1916239</v>
      </c>
      <c r="AA103" s="5">
        <v>33996596.2329579</v>
      </c>
      <c r="AB103" s="5">
        <v>19902165.527579401</v>
      </c>
      <c r="AC103" s="5">
        <v>22989093.5416601</v>
      </c>
      <c r="AD103" s="5">
        <v>23943121.222933799</v>
      </c>
      <c r="AE103" s="5">
        <v>20632920.287024502</v>
      </c>
      <c r="AF103" s="5">
        <v>21703985.498059802</v>
      </c>
      <c r="AG103">
        <f t="shared" si="5"/>
        <v>22317280.137419552</v>
      </c>
      <c r="AH103">
        <f t="shared" si="6"/>
        <v>1450044.9309996869</v>
      </c>
      <c r="AI103">
        <f t="shared" si="7"/>
        <v>6.4974088332940966E-2</v>
      </c>
    </row>
    <row r="104" spans="1:35" x14ac:dyDescent="0.45">
      <c r="A104" s="5" t="s">
        <v>113</v>
      </c>
      <c r="B104" s="2">
        <f t="shared" si="4"/>
        <v>7346091.9350065244</v>
      </c>
      <c r="C104" s="2">
        <v>8580791.7876713928</v>
      </c>
      <c r="D104" s="2">
        <v>9.1525799988129458E-2</v>
      </c>
      <c r="E104" s="5">
        <v>6418762.4983693203</v>
      </c>
      <c r="F104" s="5">
        <v>4475410.2040676596</v>
      </c>
      <c r="G104" s="5">
        <v>5208794.9079002803</v>
      </c>
      <c r="H104" s="5">
        <v>1940030.0353445399</v>
      </c>
      <c r="I104" s="5">
        <v>13016795.245422101</v>
      </c>
      <c r="J104" s="5">
        <v>3660462.9786385498</v>
      </c>
      <c r="K104" s="5">
        <v>5761769.5551946303</v>
      </c>
      <c r="L104" s="5">
        <v>8474375.8177183401</v>
      </c>
      <c r="M104" s="5">
        <v>12113115.6108617</v>
      </c>
      <c r="N104" s="5">
        <v>6337351.8689288301</v>
      </c>
      <c r="O104" s="5">
        <v>5298667.2457223898</v>
      </c>
      <c r="P104" s="5">
        <v>1951495.8312068</v>
      </c>
      <c r="Q104" s="5">
        <v>22571073.163979098</v>
      </c>
      <c r="R104" s="5">
        <v>2917480.8728425298</v>
      </c>
      <c r="S104" s="5">
        <v>4705445.93730783</v>
      </c>
      <c r="T104" s="5">
        <v>2730261.49176133</v>
      </c>
      <c r="U104" s="5">
        <v>6597712.8396255402</v>
      </c>
      <c r="V104" s="5">
        <v>9596455.1201408207</v>
      </c>
      <c r="W104" s="5">
        <v>5184635.3833392998</v>
      </c>
      <c r="X104" s="5">
        <v>3644166.49024656</v>
      </c>
      <c r="Y104" s="5">
        <v>15363635.7247515</v>
      </c>
      <c r="Z104" s="5">
        <v>5493967.1352055501</v>
      </c>
      <c r="AA104" s="5">
        <v>10113319.601871699</v>
      </c>
      <c r="AB104" s="5">
        <v>12731020.8797097</v>
      </c>
      <c r="AC104" s="5">
        <v>9576716.1553889904</v>
      </c>
      <c r="AD104" s="5">
        <v>7656003.0270895297</v>
      </c>
      <c r="AE104" s="5">
        <v>8564708.7840783093</v>
      </c>
      <c r="AF104" s="5">
        <v>8525739.1841287408</v>
      </c>
      <c r="AG104">
        <f t="shared" si="5"/>
        <v>8580791.7876713928</v>
      </c>
      <c r="AH104">
        <f t="shared" si="6"/>
        <v>785363.83289819572</v>
      </c>
      <c r="AI104">
        <f t="shared" si="7"/>
        <v>9.1525799988129458E-2</v>
      </c>
    </row>
    <row r="105" spans="1:35" x14ac:dyDescent="0.45">
      <c r="A105" s="5" t="s">
        <v>114</v>
      </c>
      <c r="B105" s="2">
        <f t="shared" si="4"/>
        <v>121729758.07430661</v>
      </c>
      <c r="C105" s="2">
        <v>99533505.696999997</v>
      </c>
      <c r="D105" s="2">
        <v>7.5560658341190329E-2</v>
      </c>
      <c r="E105" s="5">
        <v>134196225.391022</v>
      </c>
      <c r="F105" s="5">
        <v>120974817.79901101</v>
      </c>
      <c r="G105" s="5">
        <v>74535026.202396199</v>
      </c>
      <c r="H105" s="5">
        <v>155042686.21457699</v>
      </c>
      <c r="I105" s="5">
        <v>97243318.355477706</v>
      </c>
      <c r="J105" s="5">
        <v>138114427.45748299</v>
      </c>
      <c r="K105" s="5">
        <v>94312315.512649104</v>
      </c>
      <c r="L105" s="5">
        <v>107061760.128612</v>
      </c>
      <c r="M105" s="5">
        <v>83030585.516431496</v>
      </c>
      <c r="N105" s="5">
        <v>110194392.184624</v>
      </c>
      <c r="O105" s="5">
        <v>235658444.62035099</v>
      </c>
      <c r="P105" s="5">
        <v>130002245.915989</v>
      </c>
      <c r="Q105" s="5">
        <v>88002172.465365499</v>
      </c>
      <c r="R105" s="5">
        <v>183102564.130229</v>
      </c>
      <c r="S105" s="5">
        <v>76845091.9368774</v>
      </c>
      <c r="T105" s="5">
        <v>126616202.33033</v>
      </c>
      <c r="U105" s="5">
        <v>144537265.44825199</v>
      </c>
      <c r="V105" s="5">
        <v>123852172.59091599</v>
      </c>
      <c r="W105" s="5">
        <v>172142335.778873</v>
      </c>
      <c r="X105" s="5">
        <v>181723144.37954</v>
      </c>
      <c r="Y105" s="5">
        <v>71245447.136014104</v>
      </c>
      <c r="Z105" s="5">
        <v>107196150.911192</v>
      </c>
      <c r="AA105" s="5">
        <v>86983309.765948102</v>
      </c>
      <c r="AB105" s="5">
        <v>78902091.611197993</v>
      </c>
      <c r="AC105" s="5">
        <v>88338363.692903996</v>
      </c>
      <c r="AD105" s="5">
        <v>102487958.796841</v>
      </c>
      <c r="AE105" s="5">
        <v>104568617.998496</v>
      </c>
      <c r="AF105" s="5">
        <v>102739082.299759</v>
      </c>
      <c r="AG105">
        <f t="shared" si="5"/>
        <v>99533505.696999997</v>
      </c>
      <c r="AH105">
        <f t="shared" si="6"/>
        <v>7520817.2174719376</v>
      </c>
      <c r="AI105">
        <f t="shared" si="7"/>
        <v>7.5560658341190329E-2</v>
      </c>
    </row>
    <row r="106" spans="1:35" x14ac:dyDescent="0.45">
      <c r="A106" s="5" t="s">
        <v>289</v>
      </c>
      <c r="B106" s="2">
        <f t="shared" si="4"/>
        <v>47096447.152755558</v>
      </c>
      <c r="C106" s="2">
        <v>42177067.507261299</v>
      </c>
      <c r="D106" s="2">
        <v>6.7677858966477294E-2</v>
      </c>
      <c r="E106" s="5">
        <v>39752251.364083402</v>
      </c>
      <c r="F106" s="5">
        <v>38583204.6981989</v>
      </c>
      <c r="G106" s="5">
        <v>69511722.015686706</v>
      </c>
      <c r="H106" s="5">
        <v>45600881.498236597</v>
      </c>
      <c r="I106" s="5">
        <v>17579452.309742399</v>
      </c>
      <c r="J106" s="5">
        <v>11065936.0880465</v>
      </c>
      <c r="K106" s="5">
        <v>41553519.254277602</v>
      </c>
      <c r="L106" s="5">
        <v>46528421.835774101</v>
      </c>
      <c r="M106" s="5">
        <v>47566842.341463901</v>
      </c>
      <c r="N106" s="5">
        <v>43164748.2100356</v>
      </c>
      <c r="O106" s="5">
        <v>6334289.8589498196</v>
      </c>
      <c r="P106" s="5">
        <v>64155722.1812336</v>
      </c>
      <c r="Q106" s="5">
        <v>82283348.142222598</v>
      </c>
      <c r="R106" s="5">
        <v>45686712.655563302</v>
      </c>
      <c r="S106" s="5">
        <v>88754942.165201396</v>
      </c>
      <c r="T106" s="5">
        <v>58082237.527580298</v>
      </c>
      <c r="U106" s="5">
        <v>27551306.668241698</v>
      </c>
      <c r="V106" s="5">
        <v>32094708.797551699</v>
      </c>
      <c r="W106" s="5">
        <v>76720435.111889496</v>
      </c>
      <c r="X106" s="5">
        <v>59756156.542521797</v>
      </c>
      <c r="Y106" s="5">
        <v>49727263.543170802</v>
      </c>
      <c r="Z106" s="5">
        <v>42588660.646888599</v>
      </c>
      <c r="AA106" s="5">
        <v>53738981.2330475</v>
      </c>
      <c r="AB106" s="5">
        <v>41932986.9765248</v>
      </c>
      <c r="AC106" s="5">
        <v>43867519.737152003</v>
      </c>
      <c r="AD106" s="5">
        <v>38044599.332059696</v>
      </c>
      <c r="AE106" s="5">
        <v>44271881.412667498</v>
      </c>
      <c r="AF106" s="5">
        <v>42524269.547165997</v>
      </c>
      <c r="AG106">
        <f t="shared" si="5"/>
        <v>42177067.507261299</v>
      </c>
      <c r="AH106">
        <f t="shared" si="6"/>
        <v>2854453.6263760221</v>
      </c>
      <c r="AI106">
        <f t="shared" si="7"/>
        <v>6.7677858966477294E-2</v>
      </c>
    </row>
    <row r="107" spans="1:35" x14ac:dyDescent="0.45">
      <c r="A107" s="5" t="s">
        <v>115</v>
      </c>
      <c r="B107" s="2">
        <f t="shared" si="4"/>
        <v>74732581.169007704</v>
      </c>
      <c r="C107" s="2">
        <v>62983630.974049322</v>
      </c>
      <c r="D107" s="2">
        <v>4.7070243862322336E-2</v>
      </c>
      <c r="E107" s="5">
        <v>30165502.230822898</v>
      </c>
      <c r="F107" s="5">
        <v>56881365.581625499</v>
      </c>
      <c r="G107" s="5">
        <v>41769648.2857152</v>
      </c>
      <c r="H107" s="5">
        <v>52150406.067462102</v>
      </c>
      <c r="I107" s="5">
        <v>79199076.387386993</v>
      </c>
      <c r="J107" s="5">
        <v>46872887.781011902</v>
      </c>
      <c r="K107" s="5">
        <v>84801825.174881294</v>
      </c>
      <c r="L107" s="5">
        <v>26352188.323649101</v>
      </c>
      <c r="M107" s="5">
        <v>48985415.564163499</v>
      </c>
      <c r="N107" s="5">
        <v>97720236.294015795</v>
      </c>
      <c r="O107" s="5">
        <v>337949906.40893501</v>
      </c>
      <c r="P107" s="5">
        <v>76399783.143487602</v>
      </c>
      <c r="Q107" s="5">
        <v>75290869.437805504</v>
      </c>
      <c r="R107" s="5">
        <v>49172549.164793402</v>
      </c>
      <c r="S107" s="5">
        <v>99872750.818078801</v>
      </c>
      <c r="T107" s="5">
        <v>142249592.21183199</v>
      </c>
      <c r="U107" s="5">
        <v>64184957.585930899</v>
      </c>
      <c r="V107" s="5">
        <v>62722212.355601497</v>
      </c>
      <c r="W107" s="5">
        <v>94292857.9551934</v>
      </c>
      <c r="X107" s="5">
        <v>44312722.254862197</v>
      </c>
      <c r="Y107" s="5">
        <v>34863162.235087201</v>
      </c>
      <c r="Z107" s="5">
        <v>38796223.638159499</v>
      </c>
      <c r="AA107" s="5">
        <v>75805948.2975595</v>
      </c>
      <c r="AB107" s="5">
        <v>32769860.8581242</v>
      </c>
      <c r="AC107" s="5">
        <v>65335021.753970496</v>
      </c>
      <c r="AD107" s="5">
        <v>65418667.351215698</v>
      </c>
      <c r="AE107" s="5">
        <v>61904600.080450103</v>
      </c>
      <c r="AF107" s="5">
        <v>59276234.710561</v>
      </c>
      <c r="AG107">
        <f t="shared" si="5"/>
        <v>62983630.974049322</v>
      </c>
      <c r="AH107">
        <f t="shared" si="6"/>
        <v>2964654.86928302</v>
      </c>
      <c r="AI107">
        <f t="shared" si="7"/>
        <v>4.7070243862322336E-2</v>
      </c>
    </row>
    <row r="108" spans="1:35" x14ac:dyDescent="0.45">
      <c r="A108" s="5" t="s">
        <v>116</v>
      </c>
      <c r="B108" s="2">
        <f t="shared" si="4"/>
        <v>9948057.7572034672</v>
      </c>
      <c r="C108" s="2">
        <v>8912458.3488248475</v>
      </c>
      <c r="D108" s="2">
        <v>4.9647350673473097E-2</v>
      </c>
      <c r="E108" s="5">
        <v>14103365.1967989</v>
      </c>
      <c r="F108" s="5">
        <v>9522634.6309255008</v>
      </c>
      <c r="G108" s="5">
        <v>8961020.0795134604</v>
      </c>
      <c r="H108" s="5">
        <v>14417566.454902301</v>
      </c>
      <c r="I108" s="5">
        <v>10191463.924862901</v>
      </c>
      <c r="J108" s="5">
        <v>6929945.4517520899</v>
      </c>
      <c r="K108" s="5">
        <v>9956325.3403736092</v>
      </c>
      <c r="L108" s="5">
        <v>13993672.684250301</v>
      </c>
      <c r="M108" s="5">
        <v>9139796.6896889899</v>
      </c>
      <c r="N108" s="5">
        <v>13154133.3882348</v>
      </c>
      <c r="O108" s="5">
        <v>2343165.1581918299</v>
      </c>
      <c r="P108" s="5">
        <v>8288906.3419010602</v>
      </c>
      <c r="Q108" s="5">
        <v>8034112.4004921997</v>
      </c>
      <c r="R108" s="5">
        <v>10792405.5131716</v>
      </c>
      <c r="S108" s="5">
        <v>13395126.979700699</v>
      </c>
      <c r="T108" s="5">
        <v>11074903.028266501</v>
      </c>
      <c r="U108" s="5">
        <v>12442880.3298919</v>
      </c>
      <c r="V108" s="5">
        <v>2886047.7151734801</v>
      </c>
      <c r="W108" s="5">
        <v>11544865.7315915</v>
      </c>
      <c r="X108" s="5">
        <v>6925622.9017668897</v>
      </c>
      <c r="Y108" s="5">
        <v>8583617.3897351492</v>
      </c>
      <c r="Z108" s="5">
        <v>11821566.2727786</v>
      </c>
      <c r="AA108" s="5">
        <v>10287038.921188099</v>
      </c>
      <c r="AB108" s="5">
        <v>9963203.6477308795</v>
      </c>
      <c r="AC108" s="5">
        <v>8424063.6105785798</v>
      </c>
      <c r="AD108" s="5">
        <v>8651895.5113015305</v>
      </c>
      <c r="AE108" s="5">
        <v>9271536.3671903405</v>
      </c>
      <c r="AF108" s="5">
        <v>9302337.9062289391</v>
      </c>
      <c r="AG108">
        <f t="shared" si="5"/>
        <v>8912458.3488248475</v>
      </c>
      <c r="AH108">
        <f t="shared" si="6"/>
        <v>442479.94500683021</v>
      </c>
      <c r="AI108">
        <f t="shared" si="7"/>
        <v>4.9647350673473097E-2</v>
      </c>
    </row>
    <row r="109" spans="1:35" x14ac:dyDescent="0.45">
      <c r="A109" s="5" t="s">
        <v>117</v>
      </c>
      <c r="B109" s="2">
        <f t="shared" si="4"/>
        <v>548869025.72340977</v>
      </c>
      <c r="C109" s="2">
        <v>549764139.77843404</v>
      </c>
      <c r="D109" s="2">
        <v>5.9931131110015447E-2</v>
      </c>
      <c r="E109" s="5">
        <v>631727956.18437004</v>
      </c>
      <c r="F109" s="5">
        <v>503551327.33189702</v>
      </c>
      <c r="G109" s="5">
        <v>262260137.64129499</v>
      </c>
      <c r="H109" s="5">
        <v>109385803.126734</v>
      </c>
      <c r="I109" s="5">
        <v>799997642.45778501</v>
      </c>
      <c r="J109" s="5">
        <v>1076028105.9093001</v>
      </c>
      <c r="K109" s="5">
        <v>446435633.62095797</v>
      </c>
      <c r="L109" s="5">
        <v>359162303.55924702</v>
      </c>
      <c r="M109" s="5">
        <v>1626406899.08974</v>
      </c>
      <c r="N109" s="5">
        <v>133154155.849024</v>
      </c>
      <c r="O109" s="5">
        <v>308949812.95580101</v>
      </c>
      <c r="P109" s="5">
        <v>259938282.27386701</v>
      </c>
      <c r="Q109" s="5">
        <v>456634824.03798401</v>
      </c>
      <c r="R109" s="5">
        <v>286597499.14250499</v>
      </c>
      <c r="S109" s="5">
        <v>206746864.866061</v>
      </c>
      <c r="T109" s="5">
        <v>871472510.30868399</v>
      </c>
      <c r="U109" s="5">
        <v>1463781355.5395601</v>
      </c>
      <c r="V109" s="5">
        <v>418368408.933658</v>
      </c>
      <c r="W109" s="5">
        <v>289092546.85188901</v>
      </c>
      <c r="X109" s="5">
        <v>937414020.24586105</v>
      </c>
      <c r="Y109" s="5">
        <v>162039164.43361199</v>
      </c>
      <c r="Z109" s="5">
        <v>735351063.08543301</v>
      </c>
      <c r="AA109" s="5">
        <v>624480587.00917006</v>
      </c>
      <c r="AB109" s="5">
        <v>203879712.90739799</v>
      </c>
      <c r="AC109" s="5">
        <v>517851024.83007401</v>
      </c>
      <c r="AD109" s="5">
        <v>529444771.82300001</v>
      </c>
      <c r="AE109" s="5">
        <v>591067048.66960597</v>
      </c>
      <c r="AF109" s="5">
        <v>560693713.79105604</v>
      </c>
      <c r="AG109">
        <f t="shared" si="5"/>
        <v>549764139.77843404</v>
      </c>
      <c r="AH109">
        <f t="shared" si="6"/>
        <v>32947986.740646187</v>
      </c>
      <c r="AI109">
        <f t="shared" si="7"/>
        <v>5.9931131110015447E-2</v>
      </c>
    </row>
    <row r="110" spans="1:35" x14ac:dyDescent="0.45">
      <c r="A110" s="5" t="s">
        <v>118</v>
      </c>
      <c r="B110" s="2">
        <f t="shared" si="4"/>
        <v>9891161.0742452629</v>
      </c>
      <c r="C110" s="2">
        <v>9263375.151429221</v>
      </c>
      <c r="D110" s="2">
        <v>8.2889618053674272E-2</v>
      </c>
      <c r="E110" s="5">
        <v>11498455.260539301</v>
      </c>
      <c r="F110" s="5">
        <v>7687325.4991361704</v>
      </c>
      <c r="G110" s="5">
        <v>7220979.4582283599</v>
      </c>
      <c r="H110" s="5">
        <v>8244876.7385107996</v>
      </c>
      <c r="I110" s="5">
        <v>12646849.7492474</v>
      </c>
      <c r="J110" s="5">
        <v>8787527.29758141</v>
      </c>
      <c r="K110" s="5">
        <v>7657743.2880175496</v>
      </c>
      <c r="L110" s="5">
        <v>10494267.046298699</v>
      </c>
      <c r="M110" s="5">
        <v>18063755.953988899</v>
      </c>
      <c r="N110" s="5">
        <v>8159858.8274041601</v>
      </c>
      <c r="O110" s="5">
        <v>14434543.436476</v>
      </c>
      <c r="P110" s="5">
        <v>8310440.8079351801</v>
      </c>
      <c r="Q110" s="5">
        <v>9882321.9536822997</v>
      </c>
      <c r="R110" s="5">
        <v>8944823.8580288105</v>
      </c>
      <c r="S110" s="5">
        <v>7645117.7641048301</v>
      </c>
      <c r="T110" s="5">
        <v>4519325.8993883803</v>
      </c>
      <c r="U110" s="5">
        <v>13251564.907524999</v>
      </c>
      <c r="V110" s="5">
        <v>10369397.1287349</v>
      </c>
      <c r="W110" s="5">
        <v>6614542.1289719203</v>
      </c>
      <c r="X110" s="5">
        <v>9964073.9760832302</v>
      </c>
      <c r="Y110" s="5">
        <v>12336834.397218799</v>
      </c>
      <c r="Z110" s="5">
        <v>10613968.406868599</v>
      </c>
      <c r="AA110" s="5">
        <v>11767916.452277601</v>
      </c>
      <c r="AB110" s="5">
        <v>8271355.5456380202</v>
      </c>
      <c r="AC110" s="5">
        <v>8726032.8351258896</v>
      </c>
      <c r="AD110" s="5">
        <v>10111175.853913199</v>
      </c>
      <c r="AE110" s="5">
        <v>9705234.2554086093</v>
      </c>
      <c r="AF110" s="5">
        <v>8511057.6612691898</v>
      </c>
      <c r="AG110">
        <f t="shared" si="5"/>
        <v>9263375.151429221</v>
      </c>
      <c r="AH110">
        <f t="shared" si="6"/>
        <v>767837.62818986515</v>
      </c>
      <c r="AI110">
        <f t="shared" si="7"/>
        <v>8.2889618053674272E-2</v>
      </c>
    </row>
    <row r="111" spans="1:35" x14ac:dyDescent="0.45">
      <c r="A111" s="5" t="s">
        <v>119</v>
      </c>
      <c r="B111" s="2">
        <f t="shared" si="4"/>
        <v>15014869.724845171</v>
      </c>
      <c r="C111" s="2">
        <v>15496275.454702076</v>
      </c>
      <c r="D111" s="2">
        <v>0.15129758205679666</v>
      </c>
      <c r="E111" s="5">
        <v>21014594.526540998</v>
      </c>
      <c r="F111" s="5">
        <v>21411682.937663101</v>
      </c>
      <c r="G111" s="5">
        <v>19176507.4469372</v>
      </c>
      <c r="H111" s="5">
        <v>10702037.013055701</v>
      </c>
      <c r="I111" s="5">
        <v>23821426.325782999</v>
      </c>
      <c r="J111" s="5">
        <v>15113517.418284699</v>
      </c>
      <c r="K111" s="5">
        <v>22681253.1818422</v>
      </c>
      <c r="L111" s="5">
        <v>12769522.693406399</v>
      </c>
      <c r="M111" s="5">
        <v>16661432.866822399</v>
      </c>
      <c r="N111" s="5">
        <v>17586099.5205734</v>
      </c>
      <c r="O111" s="5">
        <v>3193647.7384375501</v>
      </c>
      <c r="P111" s="5">
        <v>14112424.933139401</v>
      </c>
      <c r="Q111" s="5">
        <v>15403271.078619899</v>
      </c>
      <c r="R111" s="5">
        <v>5601523.4881211501</v>
      </c>
      <c r="S111" s="5">
        <v>12709433.1976522</v>
      </c>
      <c r="T111" s="5">
        <v>4770018.2747352002</v>
      </c>
      <c r="U111" s="5">
        <v>18710484.027486201</v>
      </c>
      <c r="V111" s="5">
        <v>7785338.0188199002</v>
      </c>
      <c r="W111" s="5">
        <v>16071355.5661211</v>
      </c>
      <c r="X111" s="5">
        <v>5868101.5491004903</v>
      </c>
      <c r="Y111" s="5">
        <v>21576148.66336</v>
      </c>
      <c r="Z111" s="5">
        <v>11527670.7474172</v>
      </c>
      <c r="AA111" s="5">
        <v>21221688.211203199</v>
      </c>
      <c r="AB111" s="5">
        <v>20867693.971161399</v>
      </c>
      <c r="AC111" s="5">
        <v>14998102.109983001</v>
      </c>
      <c r="AD111" s="5">
        <v>12380458.346072599</v>
      </c>
      <c r="AE111" s="5">
        <v>17259832.754528701</v>
      </c>
      <c r="AF111" s="5">
        <v>17346708.608224001</v>
      </c>
      <c r="AG111">
        <f t="shared" si="5"/>
        <v>15496275.454702076</v>
      </c>
      <c r="AH111">
        <f t="shared" si="6"/>
        <v>2344549.0071825115</v>
      </c>
      <c r="AI111">
        <f t="shared" si="7"/>
        <v>0.15129758205679666</v>
      </c>
    </row>
    <row r="112" spans="1:35" x14ac:dyDescent="0.45">
      <c r="A112" s="5" t="s">
        <v>120</v>
      </c>
      <c r="B112" s="2">
        <f t="shared" si="4"/>
        <v>31168081.740239725</v>
      </c>
      <c r="C112" s="2">
        <v>29578073.097905327</v>
      </c>
      <c r="D112" s="2">
        <v>3.5669012965543742E-2</v>
      </c>
      <c r="E112" s="5">
        <v>35235629.967603602</v>
      </c>
      <c r="F112" s="5">
        <v>34720700.074644499</v>
      </c>
      <c r="G112" s="5">
        <v>31940586.604459401</v>
      </c>
      <c r="H112" s="5">
        <v>29772795.177372798</v>
      </c>
      <c r="I112" s="5">
        <v>24569301.835496798</v>
      </c>
      <c r="J112" s="5">
        <v>29859226.192855299</v>
      </c>
      <c r="K112" s="5">
        <v>36156937.128966101</v>
      </c>
      <c r="L112" s="5">
        <v>24245413.002316002</v>
      </c>
      <c r="M112" s="5">
        <v>34941289.437463999</v>
      </c>
      <c r="N112" s="5">
        <v>29396841.347098202</v>
      </c>
      <c r="O112" s="5">
        <v>14115905.538664401</v>
      </c>
      <c r="P112" s="5">
        <v>40110906.679632597</v>
      </c>
      <c r="Q112" s="5">
        <v>30675074.515165102</v>
      </c>
      <c r="R112" s="5">
        <v>30139773.621511199</v>
      </c>
      <c r="S112" s="5">
        <v>36643330.403856099</v>
      </c>
      <c r="T112" s="5">
        <v>21089959.6962975</v>
      </c>
      <c r="U112" s="5">
        <v>31000680.821174499</v>
      </c>
      <c r="V112" s="5">
        <v>33441072.084619898</v>
      </c>
      <c r="W112" s="5">
        <v>24426326.919952601</v>
      </c>
      <c r="X112" s="5">
        <v>42762426.498927198</v>
      </c>
      <c r="Y112" s="5">
        <v>31395168.897546802</v>
      </c>
      <c r="Z112" s="5">
        <v>35639731.621818498</v>
      </c>
      <c r="AA112" s="5">
        <v>28978234.0531202</v>
      </c>
      <c r="AB112" s="5">
        <v>36776649.645189904</v>
      </c>
      <c r="AC112" s="5">
        <v>30140937.446603499</v>
      </c>
      <c r="AD112" s="5">
        <v>28717032.1219869</v>
      </c>
      <c r="AE112" s="5">
        <v>28669677.753838401</v>
      </c>
      <c r="AF112" s="5">
        <v>30784645.069192499</v>
      </c>
      <c r="AG112">
        <f t="shared" si="5"/>
        <v>29578073.097905327</v>
      </c>
      <c r="AH112">
        <f t="shared" si="6"/>
        <v>1055020.6728249856</v>
      </c>
      <c r="AI112">
        <f t="shared" si="7"/>
        <v>3.5669012965543742E-2</v>
      </c>
    </row>
    <row r="113" spans="1:35" x14ac:dyDescent="0.45">
      <c r="A113" s="5" t="s">
        <v>121</v>
      </c>
      <c r="B113" s="2">
        <f t="shared" si="4"/>
        <v>6090363.9825026952</v>
      </c>
      <c r="C113" s="2">
        <v>5481069.4046664825</v>
      </c>
      <c r="D113" s="2">
        <v>5.8756423686524138E-2</v>
      </c>
      <c r="E113" s="5">
        <v>3281100.22432577</v>
      </c>
      <c r="F113" s="5">
        <v>4324829.4029494701</v>
      </c>
      <c r="G113" s="5">
        <v>3904976.0323243998</v>
      </c>
      <c r="H113" s="5">
        <v>18666566.932257101</v>
      </c>
      <c r="I113" s="5">
        <v>4826414.4769834299</v>
      </c>
      <c r="J113" s="5">
        <v>7393052.0057249302</v>
      </c>
      <c r="K113" s="5">
        <v>3910569.0669222502</v>
      </c>
      <c r="L113" s="5">
        <v>4765777.2727580899</v>
      </c>
      <c r="M113" s="5">
        <v>507097.54510601598</v>
      </c>
      <c r="N113" s="5">
        <v>13131572.8470465</v>
      </c>
      <c r="O113" s="5">
        <v>7652705.4146282598</v>
      </c>
      <c r="P113" s="5">
        <v>15897162.268498899</v>
      </c>
      <c r="Q113" s="5">
        <v>3956756.0606252002</v>
      </c>
      <c r="R113" s="5">
        <v>8646119.7106424104</v>
      </c>
      <c r="S113" s="5">
        <v>3745385.8425276801</v>
      </c>
      <c r="T113" s="5">
        <v>2519998.6450687801</v>
      </c>
      <c r="U113" s="5">
        <v>5105039.1531683896</v>
      </c>
      <c r="V113" s="5">
        <v>7356977.4609611603</v>
      </c>
      <c r="W113" s="5">
        <v>5466834.27645755</v>
      </c>
      <c r="X113" s="5">
        <v>3743187.38580616</v>
      </c>
      <c r="Y113" s="5">
        <v>3733934.2270647599</v>
      </c>
      <c r="Z113" s="5">
        <v>4571537.5185535802</v>
      </c>
      <c r="AA113" s="5">
        <v>4035292.2499761698</v>
      </c>
      <c r="AB113" s="5">
        <v>5025849.5596877597</v>
      </c>
      <c r="AC113" s="5">
        <v>5488107.3217796404</v>
      </c>
      <c r="AD113" s="5">
        <v>5809223.3067461802</v>
      </c>
      <c r="AE113" s="5">
        <v>5042149.4090599502</v>
      </c>
      <c r="AF113" s="5">
        <v>5584797.5810801601</v>
      </c>
      <c r="AG113">
        <f t="shared" si="5"/>
        <v>5481069.4046664825</v>
      </c>
      <c r="AH113">
        <f t="shared" si="6"/>
        <v>322048.03619582846</v>
      </c>
      <c r="AI113">
        <f t="shared" si="7"/>
        <v>5.8756423686524138E-2</v>
      </c>
    </row>
    <row r="114" spans="1:35" x14ac:dyDescent="0.45">
      <c r="A114" s="5" t="s">
        <v>122</v>
      </c>
      <c r="B114" s="2">
        <f t="shared" si="4"/>
        <v>5528067.8436842533</v>
      </c>
      <c r="C114" s="2">
        <v>5566171.5308726327</v>
      </c>
      <c r="D114" s="2">
        <v>2.998327183035757E-2</v>
      </c>
      <c r="E114" s="5">
        <v>7969994.8119786801</v>
      </c>
      <c r="F114" s="5">
        <v>4684094.8353814203</v>
      </c>
      <c r="G114" s="5">
        <v>4884767.2700370997</v>
      </c>
      <c r="H114" s="5">
        <v>594758.30728555704</v>
      </c>
      <c r="I114" s="5">
        <v>8558189.3189146109</v>
      </c>
      <c r="J114" s="5">
        <v>5123265.0506249201</v>
      </c>
      <c r="K114" s="5">
        <v>7948312.4462707099</v>
      </c>
      <c r="L114" s="5">
        <v>5751687.9405716797</v>
      </c>
      <c r="M114" s="5">
        <v>9357267.2371112797</v>
      </c>
      <c r="N114" s="5">
        <v>6153733.1255960502</v>
      </c>
      <c r="O114" s="5">
        <v>3787329.54630931</v>
      </c>
      <c r="P114" s="5">
        <v>5520547.8194236299</v>
      </c>
      <c r="Q114" s="5">
        <v>851904.030057539</v>
      </c>
      <c r="R114" s="5">
        <v>3191639.2032899498</v>
      </c>
      <c r="S114" s="5">
        <v>3879261.5176099101</v>
      </c>
      <c r="T114" s="5">
        <v>7150663.0469617201</v>
      </c>
      <c r="U114" s="5">
        <v>7734829.4097638996</v>
      </c>
      <c r="V114" s="5">
        <v>9097835.2387459893</v>
      </c>
      <c r="W114" s="5">
        <v>3533603.6855398598</v>
      </c>
      <c r="X114" s="5">
        <v>3686374.12677396</v>
      </c>
      <c r="Y114" s="5">
        <v>568347.00574280298</v>
      </c>
      <c r="Z114" s="5">
        <v>7755396.8135697199</v>
      </c>
      <c r="AA114" s="5">
        <v>6304370.00008382</v>
      </c>
      <c r="AB114" s="5">
        <v>8585456.4607779607</v>
      </c>
      <c r="AC114" s="5">
        <v>5709317.1555190003</v>
      </c>
      <c r="AD114" s="5">
        <v>5704780.0391832804</v>
      </c>
      <c r="AE114" s="5">
        <v>5379670.0797301698</v>
      </c>
      <c r="AF114" s="5">
        <v>5470918.8490580805</v>
      </c>
      <c r="AG114">
        <f t="shared" si="5"/>
        <v>5566171.5308726327</v>
      </c>
      <c r="AH114">
        <f t="shared" si="6"/>
        <v>166892.03406455167</v>
      </c>
      <c r="AI114">
        <f t="shared" si="7"/>
        <v>2.998327183035757E-2</v>
      </c>
    </row>
    <row r="115" spans="1:35" x14ac:dyDescent="0.45">
      <c r="A115" s="5" t="s">
        <v>123</v>
      </c>
      <c r="B115" s="2">
        <f t="shared" si="4"/>
        <v>35284616.552757181</v>
      </c>
      <c r="C115" s="2">
        <v>35379014.030336373</v>
      </c>
      <c r="D115" s="2">
        <v>8.3293385660577451E-2</v>
      </c>
      <c r="E115" s="5">
        <v>7095127.5439562798</v>
      </c>
      <c r="F115" s="5">
        <v>8516293.8872360196</v>
      </c>
      <c r="G115" s="5">
        <v>72576712.648170903</v>
      </c>
      <c r="H115" s="5">
        <v>74020011.492785603</v>
      </c>
      <c r="I115" s="5">
        <v>74652133.447943002</v>
      </c>
      <c r="J115" s="5">
        <v>11059020.298349001</v>
      </c>
      <c r="K115" s="5">
        <v>19077042.7400163</v>
      </c>
      <c r="L115" s="5">
        <v>73714566.359612897</v>
      </c>
      <c r="M115" s="5">
        <v>6107334.4316970501</v>
      </c>
      <c r="N115" s="5">
        <v>5872375.9292231398</v>
      </c>
      <c r="O115" s="5">
        <v>49731350.327322997</v>
      </c>
      <c r="P115" s="5">
        <v>47551776.125216097</v>
      </c>
      <c r="Q115" s="5">
        <v>24218513.096401099</v>
      </c>
      <c r="R115" s="5">
        <v>5284705.2633091398</v>
      </c>
      <c r="S115" s="5">
        <v>10261727.3398335</v>
      </c>
      <c r="T115" s="5">
        <v>60621980.995545797</v>
      </c>
      <c r="U115" s="5">
        <v>6519238.5404818701</v>
      </c>
      <c r="V115" s="5">
        <v>7005623.1824716805</v>
      </c>
      <c r="W115" s="5">
        <v>61340720.032026</v>
      </c>
      <c r="X115" s="5">
        <v>98887887.319615901</v>
      </c>
      <c r="Y115" s="5">
        <v>27648151.946521498</v>
      </c>
      <c r="Z115" s="5">
        <v>7023713.8194010798</v>
      </c>
      <c r="AA115" s="5">
        <v>9653969.7822388299</v>
      </c>
      <c r="AB115" s="5">
        <v>78390820.716796696</v>
      </c>
      <c r="AC115" s="5">
        <v>31152391.388324</v>
      </c>
      <c r="AD115" s="5">
        <v>35748650.958575003</v>
      </c>
      <c r="AE115" s="5">
        <v>36754144.301230498</v>
      </c>
      <c r="AF115" s="5">
        <v>37860869.473215997</v>
      </c>
      <c r="AG115">
        <f t="shared" si="5"/>
        <v>35379014.030336373</v>
      </c>
      <c r="AH115">
        <f t="shared" si="6"/>
        <v>2946837.8599197883</v>
      </c>
      <c r="AI115">
        <f t="shared" si="7"/>
        <v>8.3293385660577451E-2</v>
      </c>
    </row>
    <row r="116" spans="1:35" x14ac:dyDescent="0.45">
      <c r="A116" s="5" t="s">
        <v>124</v>
      </c>
      <c r="B116" s="2">
        <f t="shared" si="4"/>
        <v>108325570.8436818</v>
      </c>
      <c r="C116" s="2">
        <v>90370741.828832895</v>
      </c>
      <c r="D116" s="2">
        <v>4.1616846913473497E-2</v>
      </c>
      <c r="E116" s="5">
        <v>129068551.321182</v>
      </c>
      <c r="F116" s="5">
        <v>140817856.45921499</v>
      </c>
      <c r="G116" s="5">
        <v>156252136.75512299</v>
      </c>
      <c r="H116" s="5">
        <v>60428396.788605303</v>
      </c>
      <c r="I116" s="5">
        <v>93337400.480532393</v>
      </c>
      <c r="J116" s="5">
        <v>51043226.9108871</v>
      </c>
      <c r="K116" s="5">
        <v>170315922.791293</v>
      </c>
      <c r="L116" s="5">
        <v>109563572.023524</v>
      </c>
      <c r="M116" s="5">
        <v>87886743.685917303</v>
      </c>
      <c r="N116" s="5">
        <v>109066428.073779</v>
      </c>
      <c r="O116" s="5">
        <v>34111584.2020391</v>
      </c>
      <c r="P116" s="5">
        <v>81045153.836157903</v>
      </c>
      <c r="Q116" s="5">
        <v>77725502.777487397</v>
      </c>
      <c r="R116" s="5">
        <v>125068103.751828</v>
      </c>
      <c r="S116" s="5">
        <v>181251776.35143</v>
      </c>
      <c r="T116" s="5">
        <v>55521538.516889699</v>
      </c>
      <c r="U116" s="5">
        <v>109597079.310277</v>
      </c>
      <c r="V116" s="5">
        <v>92980511.254266694</v>
      </c>
      <c r="W116" s="5">
        <v>125482885.938997</v>
      </c>
      <c r="X116" s="5">
        <v>106399485.78174999</v>
      </c>
      <c r="Y116" s="5">
        <v>121606457.905913</v>
      </c>
      <c r="Z116" s="5">
        <v>89671826.785989299</v>
      </c>
      <c r="AA116" s="5">
        <v>170896336.12219301</v>
      </c>
      <c r="AB116" s="5">
        <v>120675222.423087</v>
      </c>
      <c r="AC116" s="5">
        <v>85298090.053185701</v>
      </c>
      <c r="AD116" s="5">
        <v>92574514.495101601</v>
      </c>
      <c r="AE116" s="5">
        <v>89839159.307061493</v>
      </c>
      <c r="AF116" s="5">
        <v>93771203.459982798</v>
      </c>
      <c r="AG116">
        <f t="shared" si="5"/>
        <v>90370741.828832895</v>
      </c>
      <c r="AH116">
        <f t="shared" si="6"/>
        <v>3760945.3281475748</v>
      </c>
      <c r="AI116">
        <f t="shared" si="7"/>
        <v>4.1616846913473497E-2</v>
      </c>
    </row>
    <row r="117" spans="1:35" x14ac:dyDescent="0.45">
      <c r="A117" s="5" t="s">
        <v>125</v>
      </c>
      <c r="B117" s="2">
        <f t="shared" si="4"/>
        <v>17767876.79365455</v>
      </c>
      <c r="C117" s="2">
        <v>13574457.668652624</v>
      </c>
      <c r="D117" s="2">
        <v>4.0984787279124364E-2</v>
      </c>
      <c r="E117" s="5">
        <v>14157255.961522801</v>
      </c>
      <c r="F117" s="5">
        <v>15418290.0259021</v>
      </c>
      <c r="G117" s="5">
        <v>6883680.35473538</v>
      </c>
      <c r="H117" s="5">
        <v>22193162.452382501</v>
      </c>
      <c r="I117" s="5">
        <v>6457196.9131728904</v>
      </c>
      <c r="J117" s="5">
        <v>10134025.428158401</v>
      </c>
      <c r="K117" s="5">
        <v>16679931.493639899</v>
      </c>
      <c r="L117" s="5">
        <v>12044817.7149608</v>
      </c>
      <c r="M117" s="5">
        <v>12098945.205040799</v>
      </c>
      <c r="N117" s="5">
        <v>17486146.4876533</v>
      </c>
      <c r="O117" s="5">
        <v>31398542.313527498</v>
      </c>
      <c r="P117" s="5">
        <v>22915425.801334798</v>
      </c>
      <c r="Q117" s="5">
        <v>22468586.864123601</v>
      </c>
      <c r="R117" s="5">
        <v>23145476.447403301</v>
      </c>
      <c r="S117" s="5">
        <v>10793927.6013132</v>
      </c>
      <c r="T117" s="5">
        <v>70788550.618041903</v>
      </c>
      <c r="U117" s="5">
        <v>19743745.416559201</v>
      </c>
      <c r="V117" s="5">
        <v>11621687.9287482</v>
      </c>
      <c r="W117" s="5">
        <v>28465324.7706028</v>
      </c>
      <c r="X117" s="5">
        <v>9836911.3243910708</v>
      </c>
      <c r="Y117" s="5">
        <v>7735996.4955960801</v>
      </c>
      <c r="Z117" s="5">
        <v>13428947.621585799</v>
      </c>
      <c r="AA117" s="5">
        <v>8867059.5563778207</v>
      </c>
      <c r="AB117" s="5">
        <v>11665408.250934999</v>
      </c>
      <c r="AC117" s="5">
        <v>14020305.2356869</v>
      </c>
      <c r="AD117" s="5">
        <v>13181021.6020294</v>
      </c>
      <c r="AE117" s="5">
        <v>14083797.438800201</v>
      </c>
      <c r="AF117" s="5">
        <v>13012706.398094</v>
      </c>
      <c r="AG117">
        <f t="shared" si="5"/>
        <v>13574457.668652624</v>
      </c>
      <c r="AH117">
        <f t="shared" si="6"/>
        <v>556346.25997920625</v>
      </c>
      <c r="AI117">
        <f t="shared" si="7"/>
        <v>4.0984787279124364E-2</v>
      </c>
    </row>
    <row r="118" spans="1:35" x14ac:dyDescent="0.45">
      <c r="A118" s="5" t="s">
        <v>126</v>
      </c>
      <c r="B118" s="2">
        <f t="shared" si="4"/>
        <v>4345867035.1385889</v>
      </c>
      <c r="C118" s="2">
        <v>6510881060.9816055</v>
      </c>
      <c r="D118" s="2">
        <v>4.0724847140953639E-2</v>
      </c>
      <c r="E118" s="5">
        <v>5238747024.3722</v>
      </c>
      <c r="F118" s="5">
        <v>595623264.62607598</v>
      </c>
      <c r="G118" s="5">
        <v>417760975.636127</v>
      </c>
      <c r="H118" s="5">
        <v>1832749622.14644</v>
      </c>
      <c r="I118" s="5">
        <v>257631498.391137</v>
      </c>
      <c r="J118" s="5">
        <v>14590012897.8291</v>
      </c>
      <c r="K118" s="5">
        <v>586235939.69014502</v>
      </c>
      <c r="L118" s="5">
        <v>615271340.89634097</v>
      </c>
      <c r="M118" s="5">
        <v>8067302296.4660301</v>
      </c>
      <c r="N118" s="5">
        <v>908376818.54210806</v>
      </c>
      <c r="O118" s="5">
        <v>25785648159.966499</v>
      </c>
      <c r="P118" s="5">
        <v>3211262975.9831901</v>
      </c>
      <c r="Q118" s="5">
        <v>9279490991.8282795</v>
      </c>
      <c r="R118" s="5">
        <v>3006972670.0798402</v>
      </c>
      <c r="S118" s="5">
        <v>278490853.66944301</v>
      </c>
      <c r="T118" s="5">
        <v>2485813188.3221598</v>
      </c>
      <c r="U118" s="5">
        <v>7019931215.7519999</v>
      </c>
      <c r="V118" s="5">
        <v>477478103.02135402</v>
      </c>
      <c r="W118" s="5">
        <v>2052675207.4621601</v>
      </c>
      <c r="X118" s="5">
        <v>1107961310.1201601</v>
      </c>
      <c r="Y118" s="5">
        <v>235889983.686225</v>
      </c>
      <c r="Z118" s="5">
        <v>15721402676.7889</v>
      </c>
      <c r="AA118" s="5">
        <v>93353656.194163799</v>
      </c>
      <c r="AB118" s="5">
        <v>434726171.85606998</v>
      </c>
      <c r="AC118" s="5">
        <v>6423814753.3132696</v>
      </c>
      <c r="AD118" s="5">
        <v>6733531307.1438303</v>
      </c>
      <c r="AE118" s="5">
        <v>6174225030.6558104</v>
      </c>
      <c r="AF118" s="5">
        <v>6711953152.8135099</v>
      </c>
      <c r="AG118">
        <f t="shared" si="5"/>
        <v>6510881060.9816055</v>
      </c>
      <c r="AH118">
        <f t="shared" si="6"/>
        <v>265154635.96140593</v>
      </c>
      <c r="AI118">
        <f t="shared" si="7"/>
        <v>4.0724847140953639E-2</v>
      </c>
    </row>
    <row r="119" spans="1:35" x14ac:dyDescent="0.45">
      <c r="A119" s="5" t="s">
        <v>127</v>
      </c>
      <c r="B119" s="2">
        <f t="shared" si="4"/>
        <v>137776313.69259802</v>
      </c>
      <c r="C119" s="2">
        <v>143387489.83295202</v>
      </c>
      <c r="D119" s="2">
        <v>5.6324912009767115E-2</v>
      </c>
      <c r="E119" s="5">
        <v>89591179.909276396</v>
      </c>
      <c r="F119" s="5">
        <v>52187797.040416703</v>
      </c>
      <c r="G119" s="5">
        <v>116685875.618191</v>
      </c>
      <c r="H119" s="5">
        <v>41667173.7416462</v>
      </c>
      <c r="I119" s="5">
        <v>126929389.91350301</v>
      </c>
      <c r="J119" s="5">
        <v>292172837.82059097</v>
      </c>
      <c r="K119" s="5">
        <v>53185996.219848402</v>
      </c>
      <c r="L119" s="5">
        <v>104939276.501627</v>
      </c>
      <c r="M119" s="5">
        <v>198973988.91422701</v>
      </c>
      <c r="N119" s="5">
        <v>50742319.443897203</v>
      </c>
      <c r="O119" s="5">
        <v>46531729.798984997</v>
      </c>
      <c r="P119" s="5">
        <v>25761144.228914101</v>
      </c>
      <c r="Q119" s="5">
        <v>359702739.85188001</v>
      </c>
      <c r="R119" s="5">
        <v>41935567.567578197</v>
      </c>
      <c r="S119" s="5">
        <v>185514520.59082201</v>
      </c>
      <c r="T119" s="5">
        <v>301437852.18618399</v>
      </c>
      <c r="U119" s="5">
        <v>125048315.584758</v>
      </c>
      <c r="V119" s="5">
        <v>84479561.254423603</v>
      </c>
      <c r="W119" s="5">
        <v>47166729.948019601</v>
      </c>
      <c r="X119" s="5">
        <v>365596496.94816297</v>
      </c>
      <c r="Y119" s="5">
        <v>65442557.395414501</v>
      </c>
      <c r="Z119" s="5">
        <v>189806760.483769</v>
      </c>
      <c r="AA119" s="5">
        <v>288202398.64195597</v>
      </c>
      <c r="AB119" s="5">
        <v>52929319.018262498</v>
      </c>
      <c r="AC119" s="5">
        <v>135120344.85394701</v>
      </c>
      <c r="AD119" s="5">
        <v>144738771.65578201</v>
      </c>
      <c r="AE119" s="5">
        <v>139718253.63181901</v>
      </c>
      <c r="AF119" s="5">
        <v>153972589.19025999</v>
      </c>
      <c r="AG119">
        <f t="shared" si="5"/>
        <v>143387489.83295202</v>
      </c>
      <c r="AH119">
        <f t="shared" si="6"/>
        <v>8076287.7481423998</v>
      </c>
      <c r="AI119">
        <f t="shared" si="7"/>
        <v>5.6324912009767115E-2</v>
      </c>
    </row>
    <row r="120" spans="1:35" x14ac:dyDescent="0.45">
      <c r="A120" s="5" t="s">
        <v>290</v>
      </c>
      <c r="B120" s="2">
        <f t="shared" si="4"/>
        <v>28073209.213396579</v>
      </c>
      <c r="C120" s="2">
        <v>22516059.419083875</v>
      </c>
      <c r="D120" s="2">
        <v>0.22154588476748821</v>
      </c>
      <c r="E120" s="5">
        <v>38338711.518509597</v>
      </c>
      <c r="F120" s="5">
        <v>23353886.437626701</v>
      </c>
      <c r="G120" s="5">
        <v>32393528.782622501</v>
      </c>
      <c r="H120" s="5">
        <v>8755735.2721186709</v>
      </c>
      <c r="I120" s="5">
        <v>27742541.362002902</v>
      </c>
      <c r="J120" s="5">
        <v>10742974.3689448</v>
      </c>
      <c r="K120" s="5">
        <v>34106080.897278801</v>
      </c>
      <c r="L120" s="5">
        <v>28993009.896863598</v>
      </c>
      <c r="M120" s="5">
        <v>20580561.903488498</v>
      </c>
      <c r="N120" s="5">
        <v>39005257.396017902</v>
      </c>
      <c r="O120" s="5">
        <v>30430866.2931883</v>
      </c>
      <c r="P120" s="5">
        <v>36572054.0040887</v>
      </c>
      <c r="Q120" s="5">
        <v>23455866.151578698</v>
      </c>
      <c r="R120" s="5">
        <v>9863844.0982628409</v>
      </c>
      <c r="S120" s="5">
        <v>31381647.347993899</v>
      </c>
      <c r="T120" s="5">
        <v>43238116.217008799</v>
      </c>
      <c r="U120" s="5">
        <v>40440675.335512199</v>
      </c>
      <c r="V120" s="5">
        <v>29984305.8785992</v>
      </c>
      <c r="W120" s="5">
        <v>44381571.3844833</v>
      </c>
      <c r="X120" s="5">
        <v>29943373.023814298</v>
      </c>
      <c r="Y120" s="5">
        <v>19465330.938999798</v>
      </c>
      <c r="Z120" s="5">
        <v>26321533.215482902</v>
      </c>
      <c r="AA120" s="5">
        <v>21890803.339366101</v>
      </c>
      <c r="AB120" s="5">
        <v>22374746.0576648</v>
      </c>
      <c r="AC120" s="5">
        <v>25308370.491348099</v>
      </c>
      <c r="AD120" s="5">
        <v>25200315.629205499</v>
      </c>
      <c r="AE120" s="5">
        <v>15052736.630716501</v>
      </c>
      <c r="AF120" s="5">
        <v>24502814.925065398</v>
      </c>
      <c r="AG120">
        <f t="shared" si="5"/>
        <v>22516059.419083875</v>
      </c>
      <c r="AH120">
        <f t="shared" si="6"/>
        <v>4988340.3054782739</v>
      </c>
      <c r="AI120">
        <f t="shared" si="7"/>
        <v>0.22154588476748821</v>
      </c>
    </row>
    <row r="121" spans="1:35" x14ac:dyDescent="0.45">
      <c r="A121" s="5" t="s">
        <v>128</v>
      </c>
      <c r="B121" s="2">
        <f t="shared" si="4"/>
        <v>40487424.699111961</v>
      </c>
      <c r="C121" s="2">
        <v>33641307.287971772</v>
      </c>
      <c r="D121" s="2">
        <v>0.11315672349335711</v>
      </c>
      <c r="E121" s="5">
        <v>22596361.241983902</v>
      </c>
      <c r="F121" s="5">
        <v>26644178.316611402</v>
      </c>
      <c r="G121" s="5">
        <v>28319275.406722799</v>
      </c>
      <c r="H121" s="5">
        <v>24802747.995944198</v>
      </c>
      <c r="I121" s="5">
        <v>37796549.876831099</v>
      </c>
      <c r="J121" s="5">
        <v>21215304.540268902</v>
      </c>
      <c r="K121" s="5">
        <v>48030933.874944799</v>
      </c>
      <c r="L121" s="5">
        <v>39960486.228814602</v>
      </c>
      <c r="M121" s="5">
        <v>18421291.254103702</v>
      </c>
      <c r="N121" s="5">
        <v>24644542.482009001</v>
      </c>
      <c r="O121" s="5">
        <v>110591809.193359</v>
      </c>
      <c r="P121" s="5">
        <v>39555686.695481002</v>
      </c>
      <c r="Q121" s="5">
        <v>58891512.506936803</v>
      </c>
      <c r="R121" s="5">
        <v>35163028.616720296</v>
      </c>
      <c r="S121" s="5">
        <v>32890708.783848099</v>
      </c>
      <c r="T121" s="5">
        <v>73171337.706157804</v>
      </c>
      <c r="U121" s="5">
        <v>34570268.017425299</v>
      </c>
      <c r="V121" s="5">
        <v>21031861.000117902</v>
      </c>
      <c r="W121" s="5">
        <v>53850022.956313901</v>
      </c>
      <c r="X121" s="5">
        <v>20741478.020894799</v>
      </c>
      <c r="Y121" s="5">
        <v>63629687.331901401</v>
      </c>
      <c r="Z121" s="5">
        <v>40221197.593254998</v>
      </c>
      <c r="AA121" s="5">
        <v>49204179.327441201</v>
      </c>
      <c r="AB121" s="5">
        <v>45753743.810600102</v>
      </c>
      <c r="AC121" s="5">
        <v>28356977.465966001</v>
      </c>
      <c r="AD121" s="5">
        <v>33636214.4328923</v>
      </c>
      <c r="AE121" s="5">
        <v>35402659.416609898</v>
      </c>
      <c r="AF121" s="5">
        <v>37169377.836418897</v>
      </c>
      <c r="AG121">
        <f t="shared" si="5"/>
        <v>33641307.287971772</v>
      </c>
      <c r="AH121">
        <f t="shared" si="6"/>
        <v>3806740.1067400812</v>
      </c>
      <c r="AI121">
        <f t="shared" si="7"/>
        <v>0.11315672349335711</v>
      </c>
    </row>
    <row r="122" spans="1:35" x14ac:dyDescent="0.45">
      <c r="A122" s="5" t="s">
        <v>129</v>
      </c>
      <c r="B122" s="2">
        <f t="shared" si="4"/>
        <v>289327187.07222056</v>
      </c>
      <c r="C122" s="2">
        <v>217247441.38943851</v>
      </c>
      <c r="D122" s="2">
        <v>2.4746818804259298E-2</v>
      </c>
      <c r="E122" s="5">
        <v>256477394.025617</v>
      </c>
      <c r="F122" s="5">
        <v>228903742.00370699</v>
      </c>
      <c r="G122" s="5">
        <v>157289505.11244801</v>
      </c>
      <c r="H122" s="5">
        <v>398452150.79675698</v>
      </c>
      <c r="I122" s="5">
        <v>195918644.464598</v>
      </c>
      <c r="J122" s="5">
        <v>266916343.368498</v>
      </c>
      <c r="K122" s="5">
        <v>303192372.05225003</v>
      </c>
      <c r="L122" s="5">
        <v>383378174.60385901</v>
      </c>
      <c r="M122" s="5">
        <v>185049796.097808</v>
      </c>
      <c r="N122" s="5">
        <v>187261473.703116</v>
      </c>
      <c r="O122" s="5">
        <v>172933690.84438199</v>
      </c>
      <c r="P122" s="5">
        <v>152843573.34227201</v>
      </c>
      <c r="Q122" s="5">
        <v>277853753.67388099</v>
      </c>
      <c r="R122" s="5">
        <v>1238449967.1092899</v>
      </c>
      <c r="S122" s="5">
        <v>245564942.749814</v>
      </c>
      <c r="T122" s="5">
        <v>363311686.76738</v>
      </c>
      <c r="U122" s="5">
        <v>201377865.655256</v>
      </c>
      <c r="V122" s="5">
        <v>252324256.271808</v>
      </c>
      <c r="W122" s="5">
        <v>278709344.86290199</v>
      </c>
      <c r="X122" s="5">
        <v>209102427.685689</v>
      </c>
      <c r="Y122" s="5">
        <v>350778613.65591598</v>
      </c>
      <c r="Z122" s="5">
        <v>237091990.35925201</v>
      </c>
      <c r="AA122" s="5">
        <v>230359117.623602</v>
      </c>
      <c r="AB122" s="5">
        <v>170311662.903193</v>
      </c>
      <c r="AC122" s="5">
        <v>210761858.82137299</v>
      </c>
      <c r="AD122" s="5">
        <v>217664919.46989599</v>
      </c>
      <c r="AE122" s="5">
        <v>216671644.751165</v>
      </c>
      <c r="AF122" s="5">
        <v>223891342.51532</v>
      </c>
      <c r="AG122">
        <f t="shared" si="5"/>
        <v>217247441.38943851</v>
      </c>
      <c r="AH122">
        <f t="shared" si="6"/>
        <v>5376183.0677533764</v>
      </c>
      <c r="AI122">
        <f t="shared" si="7"/>
        <v>2.4746818804259298E-2</v>
      </c>
    </row>
    <row r="123" spans="1:35" x14ac:dyDescent="0.45">
      <c r="A123" s="5" t="s">
        <v>130</v>
      </c>
      <c r="B123" s="2">
        <f t="shared" si="4"/>
        <v>916524987.16887176</v>
      </c>
      <c r="C123" s="2">
        <v>685914128.38779521</v>
      </c>
      <c r="D123" s="2">
        <v>5.2016372486496015E-2</v>
      </c>
      <c r="E123" s="5">
        <v>688783052.54435694</v>
      </c>
      <c r="F123" s="5">
        <v>1187487767.6205399</v>
      </c>
      <c r="G123" s="5">
        <v>586020698.54249299</v>
      </c>
      <c r="H123" s="5">
        <v>396133014.74602598</v>
      </c>
      <c r="I123" s="5">
        <v>577723482.05377698</v>
      </c>
      <c r="J123" s="5">
        <v>752350917.52828896</v>
      </c>
      <c r="K123" s="5">
        <v>1228840698.52563</v>
      </c>
      <c r="L123" s="5">
        <v>798939762.94855905</v>
      </c>
      <c r="M123" s="5">
        <v>423515827.828839</v>
      </c>
      <c r="N123" s="5">
        <v>1265130542.68433</v>
      </c>
      <c r="O123" s="5">
        <v>955347022.12281501</v>
      </c>
      <c r="P123" s="5">
        <v>992907276.43184698</v>
      </c>
      <c r="Q123" s="5">
        <v>303655223.25485599</v>
      </c>
      <c r="R123" s="5">
        <v>616725614.58907998</v>
      </c>
      <c r="S123" s="5">
        <v>384977230.03123999</v>
      </c>
      <c r="T123" s="5">
        <v>5823717000.5795002</v>
      </c>
      <c r="U123" s="5">
        <v>463224349.30398899</v>
      </c>
      <c r="V123" s="5">
        <v>763542389.766289</v>
      </c>
      <c r="W123" s="5">
        <v>661798948.91659606</v>
      </c>
      <c r="X123" s="5">
        <v>971264480.08024204</v>
      </c>
      <c r="Y123" s="5">
        <v>388662743.85734999</v>
      </c>
      <c r="Z123" s="5">
        <v>776653840.52976298</v>
      </c>
      <c r="AA123" s="5">
        <v>479598123.19543397</v>
      </c>
      <c r="AB123" s="5">
        <v>509599684.37108201</v>
      </c>
      <c r="AC123" s="5">
        <v>652014659.08268094</v>
      </c>
      <c r="AD123" s="5">
        <v>715050818.92047405</v>
      </c>
      <c r="AE123" s="5">
        <v>658216787.85638404</v>
      </c>
      <c r="AF123" s="5">
        <v>718374247.69164205</v>
      </c>
      <c r="AG123">
        <f t="shared" si="5"/>
        <v>685914128.38779521</v>
      </c>
      <c r="AH123">
        <f t="shared" si="6"/>
        <v>35678764.795969807</v>
      </c>
      <c r="AI123">
        <f t="shared" si="7"/>
        <v>5.2016372486496015E-2</v>
      </c>
    </row>
    <row r="124" spans="1:35" x14ac:dyDescent="0.45">
      <c r="A124" s="5" t="s">
        <v>131</v>
      </c>
      <c r="B124" s="2">
        <f t="shared" si="4"/>
        <v>554083775.0256716</v>
      </c>
      <c r="C124" s="2">
        <v>554291957.95607555</v>
      </c>
      <c r="D124" s="2">
        <v>3.0769787810932092E-2</v>
      </c>
      <c r="E124" s="5">
        <v>572900548.140926</v>
      </c>
      <c r="F124" s="5">
        <v>542915603.33540905</v>
      </c>
      <c r="G124" s="5">
        <v>619569324.44403303</v>
      </c>
      <c r="H124" s="5">
        <v>165570546.33779001</v>
      </c>
      <c r="I124" s="5">
        <v>525259290.13297701</v>
      </c>
      <c r="J124" s="5">
        <v>365792133.83428597</v>
      </c>
      <c r="K124" s="5">
        <v>602782659.49240804</v>
      </c>
      <c r="L124" s="5">
        <v>620240249.72780704</v>
      </c>
      <c r="M124" s="5">
        <v>599498040.98943102</v>
      </c>
      <c r="N124" s="5">
        <v>648064355.32569206</v>
      </c>
      <c r="O124" s="5">
        <v>1273279741.579</v>
      </c>
      <c r="P124" s="5">
        <v>487519652.12452298</v>
      </c>
      <c r="Q124" s="5">
        <v>595473702.98633802</v>
      </c>
      <c r="R124" s="5">
        <v>271955873.87009299</v>
      </c>
      <c r="S124" s="5">
        <v>563841401.77095306</v>
      </c>
      <c r="T124" s="5">
        <v>349030658.38551599</v>
      </c>
      <c r="U124" s="5">
        <v>514870411.59143001</v>
      </c>
      <c r="V124" s="5">
        <v>820850026.30092704</v>
      </c>
      <c r="W124" s="5">
        <v>405142501.308303</v>
      </c>
      <c r="X124" s="5">
        <v>344472125.72955799</v>
      </c>
      <c r="Y124" s="5">
        <v>549899616.53654802</v>
      </c>
      <c r="Z124" s="5">
        <v>560483363.42668903</v>
      </c>
      <c r="AA124" s="5">
        <v>553076112.18334901</v>
      </c>
      <c r="AB124" s="5">
        <v>745522661.06212902</v>
      </c>
      <c r="AC124" s="5">
        <v>532298730.37608302</v>
      </c>
      <c r="AD124" s="5">
        <v>553867849.44123101</v>
      </c>
      <c r="AE124" s="5">
        <v>573792619.17662597</v>
      </c>
      <c r="AF124" s="5">
        <v>557208632.83036196</v>
      </c>
      <c r="AG124">
        <f t="shared" si="5"/>
        <v>554291957.95607555</v>
      </c>
      <c r="AH124">
        <f t="shared" si="6"/>
        <v>17055445.931614537</v>
      </c>
      <c r="AI124">
        <f t="shared" si="7"/>
        <v>3.0769787810932092E-2</v>
      </c>
    </row>
    <row r="125" spans="1:35" x14ac:dyDescent="0.45">
      <c r="A125" s="5" t="s">
        <v>132</v>
      </c>
      <c r="B125" s="2">
        <f t="shared" si="4"/>
        <v>9582736.6573164873</v>
      </c>
      <c r="C125" s="2">
        <v>5494944.2445446672</v>
      </c>
      <c r="D125" s="2">
        <v>5.8601589228806074E-2</v>
      </c>
      <c r="E125" s="5">
        <v>17052665.074355599</v>
      </c>
      <c r="F125" s="5">
        <v>12125876.646126101</v>
      </c>
      <c r="G125" s="5">
        <v>6360680.9664506102</v>
      </c>
      <c r="H125" s="5">
        <v>4418599.0898687597</v>
      </c>
      <c r="I125" s="5">
        <v>1869165.30562318</v>
      </c>
      <c r="J125" s="5">
        <v>2237518.89308056</v>
      </c>
      <c r="K125" s="5">
        <v>5056815.3933963003</v>
      </c>
      <c r="L125" s="5">
        <v>8177841.9249861296</v>
      </c>
      <c r="M125" s="5">
        <v>6651236.9039436802</v>
      </c>
      <c r="N125" s="5">
        <v>8669145.0939606801</v>
      </c>
      <c r="O125" s="5">
        <v>8648208.8988231998</v>
      </c>
      <c r="P125" s="5">
        <v>6726783.0328314202</v>
      </c>
      <c r="Q125" s="5">
        <v>2199195.10393797</v>
      </c>
      <c r="R125" s="5">
        <v>10277648.856321801</v>
      </c>
      <c r="S125" s="5">
        <v>2692024.7478246298</v>
      </c>
      <c r="T125" s="5">
        <v>62590840.817097299</v>
      </c>
      <c r="U125" s="5">
        <v>17884776.582837202</v>
      </c>
      <c r="V125" s="5">
        <v>8551756.7862143796</v>
      </c>
      <c r="W125" s="5">
        <v>10811101.4264476</v>
      </c>
      <c r="X125" s="5">
        <v>9514564.4834449496</v>
      </c>
      <c r="Y125" s="5">
        <v>1579719.6767328801</v>
      </c>
      <c r="Z125" s="5">
        <v>3455892.6166002201</v>
      </c>
      <c r="AA125" s="5">
        <v>1673998.3593614299</v>
      </c>
      <c r="AB125" s="5">
        <v>10759623.0953291</v>
      </c>
      <c r="AC125" s="5">
        <v>5263357.8063189602</v>
      </c>
      <c r="AD125" s="5">
        <v>5866517.9532766901</v>
      </c>
      <c r="AE125" s="5">
        <v>5659021.7164154397</v>
      </c>
      <c r="AF125" s="5">
        <v>5190879.5021675797</v>
      </c>
      <c r="AG125">
        <f t="shared" si="5"/>
        <v>5494944.2445446672</v>
      </c>
      <c r="AH125">
        <f t="shared" si="6"/>
        <v>322012.46545399871</v>
      </c>
      <c r="AI125">
        <f t="shared" si="7"/>
        <v>5.8601589228806074E-2</v>
      </c>
    </row>
    <row r="126" spans="1:35" x14ac:dyDescent="0.45">
      <c r="A126" s="5" t="s">
        <v>133</v>
      </c>
      <c r="B126" s="2">
        <f t="shared" si="4"/>
        <v>44337627.981155977</v>
      </c>
      <c r="C126" s="2">
        <v>26307519.750147875</v>
      </c>
      <c r="D126" s="2">
        <v>6.146533859798485E-2</v>
      </c>
      <c r="E126" s="5">
        <v>73940208.889541894</v>
      </c>
      <c r="F126" s="5">
        <v>57755211.316114701</v>
      </c>
      <c r="G126" s="5">
        <v>32289967.843955599</v>
      </c>
      <c r="H126" s="5">
        <v>23311606.191239599</v>
      </c>
      <c r="I126" s="5">
        <v>29447639.245398499</v>
      </c>
      <c r="J126" s="5">
        <v>12122975.5541395</v>
      </c>
      <c r="K126" s="5">
        <v>24268926.6439703</v>
      </c>
      <c r="L126" s="5">
        <v>39067778.407832801</v>
      </c>
      <c r="M126" s="5">
        <v>30898216.517012801</v>
      </c>
      <c r="N126" s="5">
        <v>36938736.378397398</v>
      </c>
      <c r="O126" s="5">
        <v>49540612.0136071</v>
      </c>
      <c r="P126" s="5">
        <v>31360060.089939501</v>
      </c>
      <c r="Q126" s="5">
        <v>11239788.1436667</v>
      </c>
      <c r="R126" s="5">
        <v>46223085.518877201</v>
      </c>
      <c r="S126" s="5">
        <v>13811445.239982501</v>
      </c>
      <c r="T126" s="5">
        <v>247511688.50434101</v>
      </c>
      <c r="U126" s="5">
        <v>82222085.5704595</v>
      </c>
      <c r="V126" s="5">
        <v>40608189.236602597</v>
      </c>
      <c r="W126" s="5">
        <v>46939085.8587716</v>
      </c>
      <c r="X126" s="5">
        <v>46292018.130322397</v>
      </c>
      <c r="Y126" s="5">
        <v>7605463.7334813401</v>
      </c>
      <c r="Z126" s="5">
        <v>17430922.345239699</v>
      </c>
      <c r="AA126" s="5">
        <v>8365418.5042152796</v>
      </c>
      <c r="AB126" s="5">
        <v>54911941.670634203</v>
      </c>
      <c r="AC126" s="5">
        <v>24504914.379041102</v>
      </c>
      <c r="AD126" s="5">
        <v>27248314.564465601</v>
      </c>
      <c r="AE126" s="5">
        <v>25446482.076017398</v>
      </c>
      <c r="AF126" s="5">
        <v>28030367.9810674</v>
      </c>
      <c r="AG126">
        <f t="shared" si="5"/>
        <v>26307519.750147875</v>
      </c>
      <c r="AH126">
        <f t="shared" si="6"/>
        <v>1617000.6091160129</v>
      </c>
      <c r="AI126">
        <f t="shared" si="7"/>
        <v>6.146533859798485E-2</v>
      </c>
    </row>
    <row r="127" spans="1:35" x14ac:dyDescent="0.45">
      <c r="A127" s="5" t="s">
        <v>134</v>
      </c>
      <c r="B127" s="2">
        <f t="shared" si="4"/>
        <v>32597524.826897904</v>
      </c>
      <c r="C127" s="2">
        <v>28031686.894638423</v>
      </c>
      <c r="D127" s="2">
        <v>2.6909270944717931E-2</v>
      </c>
      <c r="E127" s="5">
        <v>4603973.45223804</v>
      </c>
      <c r="F127" s="5">
        <v>11310974.0727435</v>
      </c>
      <c r="G127" s="5">
        <v>16378734.335274801</v>
      </c>
      <c r="H127" s="5">
        <v>61409693.2751747</v>
      </c>
      <c r="I127" s="5">
        <v>69399966.935259804</v>
      </c>
      <c r="J127" s="5">
        <v>50338728.841735303</v>
      </c>
      <c r="K127" s="5">
        <v>10711585.8114859</v>
      </c>
      <c r="L127" s="5">
        <v>12183320.0200122</v>
      </c>
      <c r="M127" s="5">
        <v>24856670.345773701</v>
      </c>
      <c r="N127" s="5">
        <v>14956121.1457076</v>
      </c>
      <c r="O127" s="5">
        <v>155034347.743393</v>
      </c>
      <c r="P127" s="5">
        <v>14824574.614078799</v>
      </c>
      <c r="Q127" s="5">
        <v>45232669.812297098</v>
      </c>
      <c r="R127" s="5">
        <v>12917739.3063125</v>
      </c>
      <c r="S127" s="5">
        <v>18230628.869509</v>
      </c>
      <c r="T127" s="5">
        <v>89551583.229151607</v>
      </c>
      <c r="U127" s="5">
        <v>20357454.419665601</v>
      </c>
      <c r="V127" s="5">
        <v>15461811.342344699</v>
      </c>
      <c r="W127" s="5">
        <v>16510277.822279301</v>
      </c>
      <c r="X127" s="5">
        <v>33660491.9154329</v>
      </c>
      <c r="Y127" s="5">
        <v>34510905.940413103</v>
      </c>
      <c r="Z127" s="5">
        <v>15585986.975449299</v>
      </c>
      <c r="AA127" s="5">
        <v>25917188.9800472</v>
      </c>
      <c r="AB127" s="5">
        <v>8395166.63976999</v>
      </c>
      <c r="AC127" s="5">
        <v>28930207.7667115</v>
      </c>
      <c r="AD127" s="5">
        <v>28270003.777001999</v>
      </c>
      <c r="AE127" s="5">
        <v>27149718.808876801</v>
      </c>
      <c r="AF127" s="5">
        <v>27776817.225963399</v>
      </c>
      <c r="AG127">
        <f t="shared" si="5"/>
        <v>28031686.894638423</v>
      </c>
      <c r="AH127">
        <f t="shared" si="6"/>
        <v>754312.25768532418</v>
      </c>
      <c r="AI127">
        <f t="shared" si="7"/>
        <v>2.6909270944717931E-2</v>
      </c>
    </row>
    <row r="128" spans="1:35" x14ac:dyDescent="0.45">
      <c r="A128" s="5" t="s">
        <v>291</v>
      </c>
      <c r="B128" s="2">
        <f t="shared" si="4"/>
        <v>100491855.81913431</v>
      </c>
      <c r="C128" s="2">
        <v>75014803.313501</v>
      </c>
      <c r="D128" s="2">
        <v>2.0896587080987978E-2</v>
      </c>
      <c r="E128" s="5">
        <v>51707607.641277902</v>
      </c>
      <c r="F128" s="5">
        <v>51742879.731726997</v>
      </c>
      <c r="G128" s="5">
        <v>68050976.489078104</v>
      </c>
      <c r="H128" s="5">
        <v>49386061.976509102</v>
      </c>
      <c r="I128" s="5">
        <v>78840723.129537001</v>
      </c>
      <c r="J128" s="5">
        <v>77050615.308591202</v>
      </c>
      <c r="K128" s="5">
        <v>79576249.781539902</v>
      </c>
      <c r="L128" s="5">
        <v>70024802.239861906</v>
      </c>
      <c r="M128" s="5">
        <v>82429783.835566804</v>
      </c>
      <c r="N128" s="5">
        <v>73196752.663242802</v>
      </c>
      <c r="O128" s="5">
        <v>365106669.76422203</v>
      </c>
      <c r="P128" s="5">
        <v>78264210.102155194</v>
      </c>
      <c r="Q128" s="5">
        <v>103692213.63026799</v>
      </c>
      <c r="R128" s="5">
        <v>92458254.488005295</v>
      </c>
      <c r="S128" s="5">
        <v>92546394.787280098</v>
      </c>
      <c r="T128" s="5">
        <v>356817590.931476</v>
      </c>
      <c r="U128" s="5">
        <v>70934916.312238395</v>
      </c>
      <c r="V128" s="5">
        <v>81788756.196832895</v>
      </c>
      <c r="W128" s="5">
        <v>137151434.238855</v>
      </c>
      <c r="X128" s="5">
        <v>58831345.2846319</v>
      </c>
      <c r="Y128" s="5">
        <v>62080686.1590598</v>
      </c>
      <c r="Z128" s="5">
        <v>68669750.805998698</v>
      </c>
      <c r="AA128" s="5">
        <v>110126024.488149</v>
      </c>
      <c r="AB128" s="5">
        <v>51329839.673119098</v>
      </c>
      <c r="AC128" s="5">
        <v>74577460.779621497</v>
      </c>
      <c r="AD128" s="5">
        <v>73237107.464207903</v>
      </c>
      <c r="AE128" s="5">
        <v>77007478.468054101</v>
      </c>
      <c r="AF128" s="5">
        <v>75237166.542120501</v>
      </c>
      <c r="AG128">
        <f t="shared" si="5"/>
        <v>75014803.313501</v>
      </c>
      <c r="AH128">
        <f t="shared" si="6"/>
        <v>1567553.3698037593</v>
      </c>
      <c r="AI128">
        <f t="shared" si="7"/>
        <v>2.0896587080987978E-2</v>
      </c>
    </row>
    <row r="129" spans="1:35" x14ac:dyDescent="0.45">
      <c r="A129" s="5" t="s">
        <v>135</v>
      </c>
      <c r="B129" s="2">
        <f t="shared" si="4"/>
        <v>9792834.9483163897</v>
      </c>
      <c r="C129" s="2">
        <v>11213586.192703875</v>
      </c>
      <c r="D129" s="2">
        <v>7.8044334740406646E-2</v>
      </c>
      <c r="E129" s="5">
        <v>20129346.115459099</v>
      </c>
      <c r="F129" s="5">
        <v>3670010.7008867799</v>
      </c>
      <c r="G129" s="5">
        <v>5304752.3619248401</v>
      </c>
      <c r="H129" s="5">
        <v>50274589.732208103</v>
      </c>
      <c r="I129" s="5">
        <v>5154589.3132247198</v>
      </c>
      <c r="J129" s="5">
        <v>4124175.70111633</v>
      </c>
      <c r="K129" s="5">
        <v>4117944.4057274</v>
      </c>
      <c r="L129" s="5">
        <v>4840289.59342534</v>
      </c>
      <c r="M129" s="5">
        <v>9410551.2455712594</v>
      </c>
      <c r="N129" s="5">
        <v>7149972.3001325903</v>
      </c>
      <c r="O129" s="5">
        <v>13968701.017306199</v>
      </c>
      <c r="P129" s="5">
        <v>2300167.8081825902</v>
      </c>
      <c r="Q129" s="5">
        <v>15041104.267035</v>
      </c>
      <c r="R129" s="5">
        <v>3161846.1352993101</v>
      </c>
      <c r="S129" s="5">
        <v>20048355.995803598</v>
      </c>
      <c r="T129" s="5">
        <v>8995961.3205239307</v>
      </c>
      <c r="U129" s="5">
        <v>5240166.91561832</v>
      </c>
      <c r="V129" s="5">
        <v>8513060.2513088305</v>
      </c>
      <c r="W129" s="5">
        <v>6972551.1395298</v>
      </c>
      <c r="X129" s="5">
        <v>4068866.49746519</v>
      </c>
      <c r="Y129" s="5">
        <v>8085820.5166964903</v>
      </c>
      <c r="Z129" s="5">
        <v>11078394.6527714</v>
      </c>
      <c r="AA129" s="5">
        <v>5765625.28115605</v>
      </c>
      <c r="AB129" s="5">
        <v>7611195.4912201697</v>
      </c>
      <c r="AC129" s="5">
        <v>10957355.9852772</v>
      </c>
      <c r="AD129" s="5">
        <v>10087321.046110401</v>
      </c>
      <c r="AE129" s="5">
        <v>11841886.0214947</v>
      </c>
      <c r="AF129" s="5">
        <v>11967781.7179332</v>
      </c>
      <c r="AG129">
        <f t="shared" si="5"/>
        <v>11213586.192703875</v>
      </c>
      <c r="AH129">
        <f t="shared" si="6"/>
        <v>875156.87446378334</v>
      </c>
      <c r="AI129">
        <f t="shared" si="7"/>
        <v>7.8044334740406646E-2</v>
      </c>
    </row>
    <row r="130" spans="1:35" x14ac:dyDescent="0.45">
      <c r="A130" s="5" t="s">
        <v>292</v>
      </c>
      <c r="B130" s="2">
        <f t="shared" ref="B130:B193" si="8">AVERAGE(E130:AB130)</f>
        <v>83257440.274571076</v>
      </c>
      <c r="C130" s="2">
        <v>51572926.597539723</v>
      </c>
      <c r="D130" s="2">
        <v>3.5004424690939014E-2</v>
      </c>
      <c r="E130" s="5">
        <v>4782739.0774009302</v>
      </c>
      <c r="F130" s="5">
        <v>13838528.041893801</v>
      </c>
      <c r="G130" s="5">
        <v>328009308.69440699</v>
      </c>
      <c r="H130" s="5">
        <v>214504659.10986301</v>
      </c>
      <c r="I130" s="5">
        <v>209233708.91771299</v>
      </c>
      <c r="J130" s="5">
        <v>24323936.5284371</v>
      </c>
      <c r="K130" s="5">
        <v>22995767.753222398</v>
      </c>
      <c r="L130" s="5">
        <v>12486072.139316199</v>
      </c>
      <c r="M130" s="5">
        <v>17637088.5549055</v>
      </c>
      <c r="N130" s="5">
        <v>27318193.8545021</v>
      </c>
      <c r="O130" s="5">
        <v>251008750.45039299</v>
      </c>
      <c r="P130" s="5">
        <v>10647101.845811799</v>
      </c>
      <c r="Q130" s="5">
        <v>74152658.960701406</v>
      </c>
      <c r="R130" s="5">
        <v>1456367.92953295</v>
      </c>
      <c r="S130" s="5">
        <v>29964240.3184947</v>
      </c>
      <c r="T130" s="5">
        <v>10520350.710827099</v>
      </c>
      <c r="U130" s="5">
        <v>15635948.0208055</v>
      </c>
      <c r="V130" s="5">
        <v>4635174.0453324197</v>
      </c>
      <c r="W130" s="5">
        <v>302051392.75088</v>
      </c>
      <c r="X130" s="5">
        <v>30496541.579627901</v>
      </c>
      <c r="Y130" s="5">
        <v>343953566.496499</v>
      </c>
      <c r="Z130" s="5">
        <v>13170660.900938001</v>
      </c>
      <c r="AA130" s="5">
        <v>25499227.903216898</v>
      </c>
      <c r="AB130" s="5">
        <v>9856582.0049837306</v>
      </c>
      <c r="AC130" s="5">
        <v>50861744.633195199</v>
      </c>
      <c r="AD130" s="5">
        <v>49839221.939708203</v>
      </c>
      <c r="AE130" s="5">
        <v>51515356.728568196</v>
      </c>
      <c r="AF130" s="5">
        <v>54075383.088687301</v>
      </c>
      <c r="AG130">
        <f t="shared" ref="AG130:AG193" si="9">AVERAGE(AC130:AF130)</f>
        <v>51572926.597539723</v>
      </c>
      <c r="AH130">
        <f t="shared" ref="AH130:AH193" si="10">STDEV(AC130:AF130)</f>
        <v>1805280.6251749049</v>
      </c>
      <c r="AI130">
        <f t="shared" ref="AI130:AI193" si="11">AH130/AG130</f>
        <v>3.5004424690939014E-2</v>
      </c>
    </row>
    <row r="131" spans="1:35" x14ac:dyDescent="0.45">
      <c r="A131" s="5" t="s">
        <v>293</v>
      </c>
      <c r="B131" s="2">
        <f t="shared" si="8"/>
        <v>169321514.18589213</v>
      </c>
      <c r="C131" s="2">
        <v>148993890.93097228</v>
      </c>
      <c r="D131" s="2">
        <v>3.9896913454285511E-2</v>
      </c>
      <c r="E131" s="5">
        <v>224895235.16710499</v>
      </c>
      <c r="F131" s="5">
        <v>77147015.078442499</v>
      </c>
      <c r="G131" s="5">
        <v>202460450.02144399</v>
      </c>
      <c r="H131" s="5">
        <v>213737463.83918101</v>
      </c>
      <c r="I131" s="5">
        <v>289603389.61424297</v>
      </c>
      <c r="J131" s="5">
        <v>103059386.078668</v>
      </c>
      <c r="K131" s="5">
        <v>60238982.839937903</v>
      </c>
      <c r="L131" s="5">
        <v>194065402.39021301</v>
      </c>
      <c r="M131" s="5">
        <v>196481457.25608301</v>
      </c>
      <c r="N131" s="5">
        <v>121503674.71062399</v>
      </c>
      <c r="O131" s="5">
        <v>346356643.87257802</v>
      </c>
      <c r="P131" s="5">
        <v>299148108.46672899</v>
      </c>
      <c r="Q131" s="5">
        <v>187660457.82897401</v>
      </c>
      <c r="R131" s="5">
        <v>149132616.81156701</v>
      </c>
      <c r="S131" s="5">
        <v>51904109.567239001</v>
      </c>
      <c r="T131" s="5">
        <v>134843191.35451099</v>
      </c>
      <c r="U131" s="5">
        <v>213417401.26374599</v>
      </c>
      <c r="V131" s="5">
        <v>94471363.632460296</v>
      </c>
      <c r="W131" s="5">
        <v>189101626.557174</v>
      </c>
      <c r="X131" s="5">
        <v>269175586.71267802</v>
      </c>
      <c r="Y131" s="5">
        <v>254723108.784953</v>
      </c>
      <c r="Z131" s="5">
        <v>147159787.15571699</v>
      </c>
      <c r="AA131" s="5">
        <v>28955433.944042102</v>
      </c>
      <c r="AB131" s="5">
        <v>14474447.513101799</v>
      </c>
      <c r="AC131" s="5">
        <v>149112183.24911201</v>
      </c>
      <c r="AD131" s="5">
        <v>146553940.35724401</v>
      </c>
      <c r="AE131" s="5">
        <v>157131293.152652</v>
      </c>
      <c r="AF131" s="5">
        <v>143178146.964881</v>
      </c>
      <c r="AG131">
        <f t="shared" si="9"/>
        <v>148993890.93097228</v>
      </c>
      <c r="AH131">
        <f t="shared" si="10"/>
        <v>5944396.3716902556</v>
      </c>
      <c r="AI131">
        <f t="shared" si="11"/>
        <v>3.9896913454285511E-2</v>
      </c>
    </row>
    <row r="132" spans="1:35" x14ac:dyDescent="0.45">
      <c r="A132" s="5" t="s">
        <v>294</v>
      </c>
      <c r="B132" s="2">
        <f t="shared" si="8"/>
        <v>124420874.7246363</v>
      </c>
      <c r="C132" s="2">
        <v>91643116.388099104</v>
      </c>
      <c r="D132" s="2">
        <v>4.3934384297421761E-2</v>
      </c>
      <c r="E132" s="5">
        <v>97682741.980752602</v>
      </c>
      <c r="F132" s="5">
        <v>128832302.87337799</v>
      </c>
      <c r="G132" s="5">
        <v>82698692.549549103</v>
      </c>
      <c r="H132" s="5">
        <v>262780833.48532799</v>
      </c>
      <c r="I132" s="5">
        <v>55600602.733478703</v>
      </c>
      <c r="J132" s="5">
        <v>113889274.44581901</v>
      </c>
      <c r="K132" s="5">
        <v>127658019.40283801</v>
      </c>
      <c r="L132" s="5">
        <v>122077693.079623</v>
      </c>
      <c r="M132" s="5">
        <v>144318014.99936199</v>
      </c>
      <c r="N132" s="5">
        <v>161806992.887925</v>
      </c>
      <c r="O132" s="5">
        <v>33635605.707956001</v>
      </c>
      <c r="P132" s="5">
        <v>182190040.56049499</v>
      </c>
      <c r="Q132" s="5">
        <v>172536386.03585899</v>
      </c>
      <c r="R132" s="5">
        <v>160239424.39552599</v>
      </c>
      <c r="S132" s="5">
        <v>111326333.479913</v>
      </c>
      <c r="T132" s="5">
        <v>33788063.076142997</v>
      </c>
      <c r="U132" s="5">
        <v>103996614.99546599</v>
      </c>
      <c r="V132" s="5">
        <v>162490849.43734199</v>
      </c>
      <c r="W132" s="5">
        <v>142900547.31426901</v>
      </c>
      <c r="X132" s="5">
        <v>118863639.880055</v>
      </c>
      <c r="Y132" s="5">
        <v>107052630.062004</v>
      </c>
      <c r="Z132" s="5">
        <v>170325725.35767001</v>
      </c>
      <c r="AA132" s="5">
        <v>98087388.601819903</v>
      </c>
      <c r="AB132" s="5">
        <v>91322576.048699707</v>
      </c>
      <c r="AC132" s="5">
        <v>87031746.3665874</v>
      </c>
      <c r="AD132" s="5">
        <v>94874966.7929371</v>
      </c>
      <c r="AE132" s="5">
        <v>95158805.979254499</v>
      </c>
      <c r="AF132" s="5">
        <v>89506946.413617402</v>
      </c>
      <c r="AG132">
        <f t="shared" si="9"/>
        <v>91643116.388099104</v>
      </c>
      <c r="AH132">
        <f t="shared" si="10"/>
        <v>4026283.8936080961</v>
      </c>
      <c r="AI132">
        <f t="shared" si="11"/>
        <v>4.3934384297421761E-2</v>
      </c>
    </row>
    <row r="133" spans="1:35" x14ac:dyDescent="0.45">
      <c r="A133" s="5" t="s">
        <v>136</v>
      </c>
      <c r="B133" s="2">
        <f t="shared" si="8"/>
        <v>1123986.9627590736</v>
      </c>
      <c r="C133" s="2">
        <v>1075128.8566310899</v>
      </c>
      <c r="D133" s="2">
        <v>5.7375671055234327E-2</v>
      </c>
      <c r="E133" s="5">
        <v>307679.20506482403</v>
      </c>
      <c r="F133" s="5">
        <v>1432294.1421046299</v>
      </c>
      <c r="G133" s="5">
        <v>1423857.3918905701</v>
      </c>
      <c r="H133" s="5">
        <v>1081983.87480052</v>
      </c>
      <c r="I133" s="5">
        <v>1711653.99633195</v>
      </c>
      <c r="J133" s="5">
        <v>2288837.55647302</v>
      </c>
      <c r="K133" s="5">
        <v>294041.844638974</v>
      </c>
      <c r="L133" s="5">
        <v>965298.41850115196</v>
      </c>
      <c r="M133" s="5">
        <v>307458.98314158601</v>
      </c>
      <c r="N133" s="5">
        <v>1957607.4502081601</v>
      </c>
      <c r="O133" s="5">
        <v>948017.05904673203</v>
      </c>
      <c r="P133" s="5">
        <v>452775.13050630101</v>
      </c>
      <c r="Q133" s="5">
        <v>1398800.78279268</v>
      </c>
      <c r="R133" s="5">
        <v>737817.24356397195</v>
      </c>
      <c r="S133" s="5">
        <v>376156.05462018598</v>
      </c>
      <c r="T133" s="5">
        <v>760545.13277377596</v>
      </c>
      <c r="U133" s="5">
        <v>504826.881208651</v>
      </c>
      <c r="V133" s="5">
        <v>2254840.8561289599</v>
      </c>
      <c r="W133" s="5">
        <v>902091.64624508901</v>
      </c>
      <c r="X133" s="5">
        <v>1193628.37357411</v>
      </c>
      <c r="Y133" s="5">
        <v>2073372.8716618</v>
      </c>
      <c r="Z133" s="5">
        <v>1660553.4437595999</v>
      </c>
      <c r="AA133" s="5">
        <v>919903.35687817901</v>
      </c>
      <c r="AB133" s="5">
        <v>1021645.4103023401</v>
      </c>
      <c r="AC133" s="5">
        <v>1024162.7587374999</v>
      </c>
      <c r="AD133" s="5">
        <v>1138880.9057700201</v>
      </c>
      <c r="AE133" s="5">
        <v>1020403.85592746</v>
      </c>
      <c r="AF133" s="5">
        <v>1117067.9060893799</v>
      </c>
      <c r="AG133">
        <f t="shared" si="9"/>
        <v>1075128.8566310899</v>
      </c>
      <c r="AH133">
        <f t="shared" si="10"/>
        <v>61686.239620055603</v>
      </c>
      <c r="AI133">
        <f t="shared" si="11"/>
        <v>5.7375671055234327E-2</v>
      </c>
    </row>
    <row r="134" spans="1:35" x14ac:dyDescent="0.45">
      <c r="A134" s="5" t="s">
        <v>137</v>
      </c>
      <c r="B134" s="2">
        <f t="shared" si="8"/>
        <v>760276927.60660589</v>
      </c>
      <c r="C134" s="2">
        <v>742784784.50411475</v>
      </c>
      <c r="D134" s="2">
        <v>4.1525498274293207E-2</v>
      </c>
      <c r="E134" s="5">
        <v>482063547.58231002</v>
      </c>
      <c r="F134" s="5">
        <v>352938219.02132398</v>
      </c>
      <c r="G134" s="5">
        <v>450958221.91418999</v>
      </c>
      <c r="H134" s="5">
        <v>455082813.21437699</v>
      </c>
      <c r="I134" s="5">
        <v>1018276868.9680001</v>
      </c>
      <c r="J134" s="5">
        <v>878620273.504426</v>
      </c>
      <c r="K134" s="5">
        <v>753234036.39810395</v>
      </c>
      <c r="L134" s="5">
        <v>859468913.271384</v>
      </c>
      <c r="M134" s="5">
        <v>646721536.802037</v>
      </c>
      <c r="N134" s="5">
        <v>554953767.64980805</v>
      </c>
      <c r="O134" s="5">
        <v>1604677384.19045</v>
      </c>
      <c r="P134" s="5">
        <v>528312866.76968002</v>
      </c>
      <c r="Q134" s="5">
        <v>1311917464.1824601</v>
      </c>
      <c r="R134" s="5">
        <v>380802220.30845499</v>
      </c>
      <c r="S134" s="5">
        <v>863011151.33647895</v>
      </c>
      <c r="T134" s="5">
        <v>1011143619.69039</v>
      </c>
      <c r="U134" s="5">
        <v>634004383.11397898</v>
      </c>
      <c r="V134" s="5">
        <v>404282614.44385803</v>
      </c>
      <c r="W134" s="5">
        <v>326016717.73522598</v>
      </c>
      <c r="X134" s="5">
        <v>346450101.36978298</v>
      </c>
      <c r="Y134" s="5">
        <v>1502911308.73369</v>
      </c>
      <c r="Z134" s="5">
        <v>799103258.26261795</v>
      </c>
      <c r="AA134" s="5">
        <v>1180998807.09076</v>
      </c>
      <c r="AB134" s="5">
        <v>900696167.00475502</v>
      </c>
      <c r="AC134" s="5">
        <v>698108995.55173898</v>
      </c>
      <c r="AD134" s="5">
        <v>756998949.01476598</v>
      </c>
      <c r="AE134" s="5">
        <v>748211842.307639</v>
      </c>
      <c r="AF134" s="5">
        <v>767819351.14231503</v>
      </c>
      <c r="AG134">
        <f t="shared" si="9"/>
        <v>742784784.50411475</v>
      </c>
      <c r="AH134">
        <f t="shared" si="10"/>
        <v>30844508.287096869</v>
      </c>
      <c r="AI134">
        <f t="shared" si="11"/>
        <v>4.1525498274293207E-2</v>
      </c>
    </row>
    <row r="135" spans="1:35" x14ac:dyDescent="0.45">
      <c r="A135" s="5" t="s">
        <v>138</v>
      </c>
      <c r="B135" s="2">
        <f t="shared" si="8"/>
        <v>634762283.61009014</v>
      </c>
      <c r="C135" s="2">
        <v>486923176.47754478</v>
      </c>
      <c r="D135" s="2">
        <v>3.4361879266110035E-2</v>
      </c>
      <c r="E135" s="5">
        <v>303982162.96020502</v>
      </c>
      <c r="F135" s="5">
        <v>485657480.00853503</v>
      </c>
      <c r="G135" s="5">
        <v>275358471.14354903</v>
      </c>
      <c r="H135" s="5">
        <v>838672484.90121102</v>
      </c>
      <c r="I135" s="5">
        <v>339945251.543459</v>
      </c>
      <c r="J135" s="5">
        <v>547086580.77913499</v>
      </c>
      <c r="K135" s="5">
        <v>583145784.39357102</v>
      </c>
      <c r="L135" s="5">
        <v>328478353.43479902</v>
      </c>
      <c r="M135" s="5">
        <v>580794657.60903597</v>
      </c>
      <c r="N135" s="5">
        <v>670878730.65313399</v>
      </c>
      <c r="O135" s="5">
        <v>2295586532.1968398</v>
      </c>
      <c r="P135" s="5">
        <v>641654419.27436399</v>
      </c>
      <c r="Q135" s="5">
        <v>339073458.942541</v>
      </c>
      <c r="R135" s="5">
        <v>824843906.22226202</v>
      </c>
      <c r="S135" s="5">
        <v>363045691.16592401</v>
      </c>
      <c r="T135" s="5">
        <v>1793226025.82812</v>
      </c>
      <c r="U135" s="5">
        <v>707244188.79638195</v>
      </c>
      <c r="V135" s="5">
        <v>245085664.95468301</v>
      </c>
      <c r="W135" s="5">
        <v>1068147129.50247</v>
      </c>
      <c r="X135" s="5">
        <v>364527734.15156198</v>
      </c>
      <c r="Y135" s="5">
        <v>261935485.72414801</v>
      </c>
      <c r="Z135" s="5">
        <v>501070613.86088401</v>
      </c>
      <c r="AA135" s="5">
        <v>475855728.08144403</v>
      </c>
      <c r="AB135" s="5">
        <v>398998270.513906</v>
      </c>
      <c r="AC135" s="5">
        <v>471807123.10849398</v>
      </c>
      <c r="AD135" s="5">
        <v>486908283.98887801</v>
      </c>
      <c r="AE135" s="5">
        <v>478726815.73180997</v>
      </c>
      <c r="AF135" s="5">
        <v>510250483.08099699</v>
      </c>
      <c r="AG135">
        <f t="shared" si="9"/>
        <v>486923176.47754478</v>
      </c>
      <c r="AH135">
        <f t="shared" si="10"/>
        <v>16731595.401992185</v>
      </c>
      <c r="AI135">
        <f t="shared" si="11"/>
        <v>3.4361879266110035E-2</v>
      </c>
    </row>
    <row r="136" spans="1:35" x14ac:dyDescent="0.45">
      <c r="A136" s="5" t="s">
        <v>139</v>
      </c>
      <c r="B136" s="2">
        <f t="shared" si="8"/>
        <v>454802890.98447156</v>
      </c>
      <c r="C136" s="2">
        <v>491173976.41557276</v>
      </c>
      <c r="D136" s="2">
        <v>3.4353367911105187E-2</v>
      </c>
      <c r="E136" s="5">
        <v>130288505.942139</v>
      </c>
      <c r="F136" s="5">
        <v>234759282.756845</v>
      </c>
      <c r="G136" s="5">
        <v>329231997.25188297</v>
      </c>
      <c r="H136" s="5">
        <v>470997940.04339498</v>
      </c>
      <c r="I136" s="5">
        <v>935895253.086604</v>
      </c>
      <c r="J136" s="5">
        <v>839433162.654719</v>
      </c>
      <c r="K136" s="5">
        <v>242560868.00203499</v>
      </c>
      <c r="L136" s="5">
        <v>357297039.51975298</v>
      </c>
      <c r="M136" s="5">
        <v>526572497.91244501</v>
      </c>
      <c r="N136" s="5">
        <v>163778345.71489999</v>
      </c>
      <c r="O136" s="5">
        <v>351688840.76891398</v>
      </c>
      <c r="P136" s="5">
        <v>236027284.31462899</v>
      </c>
      <c r="Q136" s="5">
        <v>1052965514.9524</v>
      </c>
      <c r="R136" s="5">
        <v>218643152.94949099</v>
      </c>
      <c r="S136" s="5">
        <v>499859457.744528</v>
      </c>
      <c r="T136" s="5">
        <v>664123894.25983</v>
      </c>
      <c r="U136" s="5">
        <v>384319488.75931197</v>
      </c>
      <c r="V136" s="5">
        <v>347046393.06641501</v>
      </c>
      <c r="W136" s="5">
        <v>221515985.49668601</v>
      </c>
      <c r="X136" s="5">
        <v>573574915.54670596</v>
      </c>
      <c r="Y136" s="5">
        <v>439883355.65970302</v>
      </c>
      <c r="Z136" s="5">
        <v>473846522.10184002</v>
      </c>
      <c r="AA136" s="5">
        <v>958614430.68661201</v>
      </c>
      <c r="AB136" s="5">
        <v>262345254.43553701</v>
      </c>
      <c r="AC136" s="5">
        <v>469402759.84988803</v>
      </c>
      <c r="AD136" s="5">
        <v>486560290.21642601</v>
      </c>
      <c r="AE136" s="5">
        <v>502043768.083781</v>
      </c>
      <c r="AF136" s="5">
        <v>506689087.512196</v>
      </c>
      <c r="AG136">
        <f t="shared" si="9"/>
        <v>491173976.41557276</v>
      </c>
      <c r="AH136">
        <f t="shared" si="10"/>
        <v>16873480.320164673</v>
      </c>
      <c r="AI136">
        <f t="shared" si="11"/>
        <v>3.4353367911105187E-2</v>
      </c>
    </row>
    <row r="137" spans="1:35" x14ac:dyDescent="0.45">
      <c r="A137" s="5" t="s">
        <v>140</v>
      </c>
      <c r="B137" s="2">
        <f t="shared" si="8"/>
        <v>329002985.30148989</v>
      </c>
      <c r="C137" s="2">
        <v>230824607.07679474</v>
      </c>
      <c r="D137" s="2">
        <v>1.2103906672878743E-2</v>
      </c>
      <c r="E137" s="5">
        <v>352885292.930094</v>
      </c>
      <c r="F137" s="5">
        <v>42747960.370261699</v>
      </c>
      <c r="G137" s="5">
        <v>20405559.015999001</v>
      </c>
      <c r="H137" s="5">
        <v>1750884139.86813</v>
      </c>
      <c r="I137" s="5">
        <v>125460861.117954</v>
      </c>
      <c r="J137" s="5">
        <v>32088469.834052298</v>
      </c>
      <c r="K137" s="5">
        <v>12254156.2276897</v>
      </c>
      <c r="L137" s="5">
        <v>23590563.297667298</v>
      </c>
      <c r="M137" s="5">
        <v>243324614.45856699</v>
      </c>
      <c r="N137" s="5">
        <v>35784881.942754</v>
      </c>
      <c r="O137" s="5">
        <v>2324034870.6174102</v>
      </c>
      <c r="P137" s="5">
        <v>938995386.61677396</v>
      </c>
      <c r="Q137" s="5">
        <v>12616493.1965329</v>
      </c>
      <c r="R137" s="5">
        <v>54013984.383683898</v>
      </c>
      <c r="S137" s="5">
        <v>21502186.451354198</v>
      </c>
      <c r="T137" s="5">
        <v>296988782.30767</v>
      </c>
      <c r="U137" s="5">
        <v>509087116.245538</v>
      </c>
      <c r="V137" s="5">
        <v>217324614.566798</v>
      </c>
      <c r="W137" s="5">
        <v>44881292.174303003</v>
      </c>
      <c r="X137" s="5">
        <v>677014559.39933503</v>
      </c>
      <c r="Y137" s="5">
        <v>23475303.214882899</v>
      </c>
      <c r="Z137" s="5">
        <v>102682310.617044</v>
      </c>
      <c r="AA137" s="5">
        <v>26737970.407251202</v>
      </c>
      <c r="AB137" s="5">
        <v>7290277.9740111204</v>
      </c>
      <c r="AC137" s="5">
        <v>226929306.95695901</v>
      </c>
      <c r="AD137" s="5">
        <v>232904176.320099</v>
      </c>
      <c r="AE137" s="5">
        <v>232798042.18511501</v>
      </c>
      <c r="AF137" s="5">
        <v>230666902.84500599</v>
      </c>
      <c r="AG137">
        <f t="shared" si="9"/>
        <v>230824607.07679474</v>
      </c>
      <c r="AH137">
        <f t="shared" si="10"/>
        <v>2793879.5018614298</v>
      </c>
      <c r="AI137">
        <f t="shared" si="11"/>
        <v>1.2103906672878743E-2</v>
      </c>
    </row>
    <row r="138" spans="1:35" x14ac:dyDescent="0.45">
      <c r="A138" s="5" t="s">
        <v>417</v>
      </c>
      <c r="B138" s="2">
        <f t="shared" si="8"/>
        <v>153549025.72799039</v>
      </c>
      <c r="C138" s="2">
        <v>145013819.30298275</v>
      </c>
      <c r="D138" s="2">
        <v>2.5247451183198877E-2</v>
      </c>
      <c r="E138" s="5">
        <v>99098035.133398697</v>
      </c>
      <c r="F138" s="5">
        <v>130631539.869654</v>
      </c>
      <c r="G138" s="5">
        <v>196641513.55434</v>
      </c>
      <c r="H138" s="5">
        <v>201266559.90507701</v>
      </c>
      <c r="I138" s="5">
        <v>242685497.18397999</v>
      </c>
      <c r="J138" s="5">
        <v>116432624.984495</v>
      </c>
      <c r="K138" s="5">
        <v>87406202.449925706</v>
      </c>
      <c r="L138" s="5">
        <v>174538222.71783599</v>
      </c>
      <c r="M138" s="5">
        <v>140376031.010618</v>
      </c>
      <c r="N138" s="5">
        <v>101801921.30065</v>
      </c>
      <c r="O138" s="5">
        <v>45587952.384895101</v>
      </c>
      <c r="P138" s="5">
        <v>129964090.906224</v>
      </c>
      <c r="Q138" s="5">
        <v>280230061.34156799</v>
      </c>
      <c r="R138" s="5">
        <v>52041331.604247302</v>
      </c>
      <c r="S138" s="5">
        <v>209996957.926965</v>
      </c>
      <c r="T138" s="5">
        <v>103905623.657572</v>
      </c>
      <c r="U138" s="5">
        <v>111147984.527301</v>
      </c>
      <c r="V138" s="5">
        <v>233178197.138657</v>
      </c>
      <c r="W138" s="5">
        <v>122314719.609559</v>
      </c>
      <c r="X138" s="5">
        <v>120528784.72448801</v>
      </c>
      <c r="Y138" s="5">
        <v>196016406.822864</v>
      </c>
      <c r="Z138" s="5">
        <v>130777466.51773401</v>
      </c>
      <c r="AA138" s="5">
        <v>265517205.06721401</v>
      </c>
      <c r="AB138" s="5">
        <v>193091687.132507</v>
      </c>
      <c r="AC138" s="5">
        <v>141973848.552403</v>
      </c>
      <c r="AD138" s="5">
        <v>141715104.17745599</v>
      </c>
      <c r="AE138" s="5">
        <v>148209501.57790601</v>
      </c>
      <c r="AF138" s="5">
        <v>148156822.90416601</v>
      </c>
      <c r="AG138">
        <f t="shared" si="9"/>
        <v>145013819.30298275</v>
      </c>
      <c r="AH138">
        <f t="shared" si="10"/>
        <v>3661229.32374128</v>
      </c>
      <c r="AI138">
        <f t="shared" si="11"/>
        <v>2.5247451183198877E-2</v>
      </c>
    </row>
    <row r="139" spans="1:35" x14ac:dyDescent="0.45">
      <c r="A139" s="5" t="s">
        <v>418</v>
      </c>
      <c r="B139" s="2">
        <f t="shared" si="8"/>
        <v>18688623.832234927</v>
      </c>
      <c r="C139" s="2">
        <v>17141514.732876875</v>
      </c>
      <c r="D139" s="2">
        <v>1.9501701769306073E-2</v>
      </c>
      <c r="E139" s="5">
        <v>3651426.5079483101</v>
      </c>
      <c r="F139" s="5">
        <v>6714777.6209054897</v>
      </c>
      <c r="G139" s="5">
        <v>10211050.150782</v>
      </c>
      <c r="H139" s="5">
        <v>30793122.695121299</v>
      </c>
      <c r="I139" s="5">
        <v>42201253.271251</v>
      </c>
      <c r="J139" s="5">
        <v>27275989.408071801</v>
      </c>
      <c r="K139" s="5">
        <v>6982284.6306037903</v>
      </c>
      <c r="L139" s="5">
        <v>7762908.1623307103</v>
      </c>
      <c r="M139" s="5">
        <v>14371101.6014845</v>
      </c>
      <c r="N139" s="5">
        <v>9085013.0688547697</v>
      </c>
      <c r="O139" s="5">
        <v>82930825.430932596</v>
      </c>
      <c r="P139" s="5">
        <v>9934526.1955456696</v>
      </c>
      <c r="Q139" s="5">
        <v>25939501.252133001</v>
      </c>
      <c r="R139" s="5">
        <v>8503135.0915374607</v>
      </c>
      <c r="S139" s="5">
        <v>10143857.5710693</v>
      </c>
      <c r="T139" s="5">
        <v>47668848.551077597</v>
      </c>
      <c r="U139" s="5">
        <v>12875593.615860101</v>
      </c>
      <c r="V139" s="5">
        <v>9438646.2584901303</v>
      </c>
      <c r="W139" s="5">
        <v>9955869.0840974506</v>
      </c>
      <c r="X139" s="5">
        <v>20340111.876613501</v>
      </c>
      <c r="Y139" s="5">
        <v>19603334.520889699</v>
      </c>
      <c r="Z139" s="5">
        <v>10604743.142067101</v>
      </c>
      <c r="AA139" s="5">
        <v>15164826.819551401</v>
      </c>
      <c r="AB139" s="5">
        <v>6374225.4464195203</v>
      </c>
      <c r="AC139" s="5">
        <v>16929768.442761298</v>
      </c>
      <c r="AD139" s="5">
        <v>17634311.199656099</v>
      </c>
      <c r="AE139" s="5">
        <v>17064500.9479893</v>
      </c>
      <c r="AF139" s="5">
        <v>16937478.341100801</v>
      </c>
      <c r="AG139">
        <f t="shared" si="9"/>
        <v>17141514.732876875</v>
      </c>
      <c r="AH139">
        <f t="shared" si="10"/>
        <v>334288.70819473109</v>
      </c>
      <c r="AI139">
        <f t="shared" si="11"/>
        <v>1.9501701769306073E-2</v>
      </c>
    </row>
    <row r="140" spans="1:35" x14ac:dyDescent="0.45">
      <c r="A140" s="5" t="s">
        <v>141</v>
      </c>
      <c r="B140" s="2">
        <f t="shared" si="8"/>
        <v>19698162.123662278</v>
      </c>
      <c r="C140" s="2">
        <v>17574465.813833099</v>
      </c>
      <c r="D140" s="2">
        <v>3.7711221251678917E-2</v>
      </c>
      <c r="E140" s="5">
        <v>22736243.640152998</v>
      </c>
      <c r="F140" s="5">
        <v>13268074.322351901</v>
      </c>
      <c r="G140" s="5">
        <v>12587940.2997836</v>
      </c>
      <c r="H140" s="5">
        <v>28610098.1073476</v>
      </c>
      <c r="I140" s="5">
        <v>16859145.793031901</v>
      </c>
      <c r="J140" s="5">
        <v>24061198.572143301</v>
      </c>
      <c r="K140" s="5">
        <v>22133930.005064201</v>
      </c>
      <c r="L140" s="5">
        <v>26364581.314472601</v>
      </c>
      <c r="M140" s="5">
        <v>24560227.328954998</v>
      </c>
      <c r="N140" s="5">
        <v>13839915.3557657</v>
      </c>
      <c r="O140" s="5">
        <v>14224263.3804555</v>
      </c>
      <c r="P140" s="5">
        <v>14310944.5513076</v>
      </c>
      <c r="Q140" s="5">
        <v>23936557.865901601</v>
      </c>
      <c r="R140" s="5">
        <v>16772314.1791749</v>
      </c>
      <c r="S140" s="5">
        <v>28277108.730959199</v>
      </c>
      <c r="T140" s="5">
        <v>13666234.897907199</v>
      </c>
      <c r="U140" s="5">
        <v>14393868.8306731</v>
      </c>
      <c r="V140" s="5">
        <v>13494663.982416499</v>
      </c>
      <c r="W140" s="5">
        <v>11711630.1779308</v>
      </c>
      <c r="X140" s="5">
        <v>15656036.083764501</v>
      </c>
      <c r="Y140" s="5">
        <v>22260943.233238202</v>
      </c>
      <c r="Z140" s="5">
        <v>19517712.049968001</v>
      </c>
      <c r="AA140" s="5">
        <v>34150510.785696097</v>
      </c>
      <c r="AB140" s="5">
        <v>25361747.479432698</v>
      </c>
      <c r="AC140" s="5">
        <v>16599896.537257301</v>
      </c>
      <c r="AD140" s="5">
        <v>18071141.518066399</v>
      </c>
      <c r="AE140" s="5">
        <v>17872858.7591585</v>
      </c>
      <c r="AF140" s="5">
        <v>17753966.440850198</v>
      </c>
      <c r="AG140">
        <f t="shared" si="9"/>
        <v>17574465.813833099</v>
      </c>
      <c r="AH140">
        <f t="shared" si="10"/>
        <v>662754.56868552743</v>
      </c>
      <c r="AI140">
        <f t="shared" si="11"/>
        <v>3.7711221251678917E-2</v>
      </c>
    </row>
    <row r="141" spans="1:35" x14ac:dyDescent="0.45">
      <c r="A141" s="5" t="s">
        <v>142</v>
      </c>
      <c r="B141" s="2">
        <f t="shared" si="8"/>
        <v>1018910.0998749185</v>
      </c>
      <c r="C141" s="2">
        <v>657374.99929667544</v>
      </c>
      <c r="D141" s="2">
        <v>6.1270714692551069E-2</v>
      </c>
      <c r="E141" s="5">
        <v>822831.23376082</v>
      </c>
      <c r="F141" s="5">
        <v>773100.38976389798</v>
      </c>
      <c r="G141" s="5">
        <v>570763.29684200895</v>
      </c>
      <c r="H141" s="5">
        <v>328766.18629686499</v>
      </c>
      <c r="I141" s="5">
        <v>707357.16560361197</v>
      </c>
      <c r="J141" s="5">
        <v>559634.85628698801</v>
      </c>
      <c r="K141" s="5">
        <v>1154126.9057392699</v>
      </c>
      <c r="L141" s="5">
        <v>493050.74717726599</v>
      </c>
      <c r="M141" s="5">
        <v>928288.11719956598</v>
      </c>
      <c r="N141" s="5">
        <v>637082.922469054</v>
      </c>
      <c r="O141" s="5">
        <v>446266.77443766501</v>
      </c>
      <c r="P141" s="5">
        <v>934523.70247273694</v>
      </c>
      <c r="Q141" s="5">
        <v>604580.84015262395</v>
      </c>
      <c r="R141" s="5">
        <v>432340.70824560203</v>
      </c>
      <c r="S141" s="5">
        <v>654803.97090476996</v>
      </c>
      <c r="T141" s="5">
        <v>515111.39374693198</v>
      </c>
      <c r="U141" s="5">
        <v>1089552.75991931</v>
      </c>
      <c r="V141" s="5">
        <v>8977635.7773640398</v>
      </c>
      <c r="W141" s="5">
        <v>832759.27319766302</v>
      </c>
      <c r="X141" s="5">
        <v>679018.07722297695</v>
      </c>
      <c r="Y141" s="5">
        <v>342509.11814098799</v>
      </c>
      <c r="Z141" s="5">
        <v>764984.98266308603</v>
      </c>
      <c r="AA141" s="5">
        <v>607895.82120091305</v>
      </c>
      <c r="AB141" s="5">
        <v>596857.37618939194</v>
      </c>
      <c r="AC141" s="5">
        <v>703151.07889542298</v>
      </c>
      <c r="AD141" s="5">
        <v>629516.02925222903</v>
      </c>
      <c r="AE141" s="5">
        <v>678705.29678003502</v>
      </c>
      <c r="AF141" s="5">
        <v>618127.59225901496</v>
      </c>
      <c r="AG141">
        <f t="shared" si="9"/>
        <v>657374.99929667544</v>
      </c>
      <c r="AH141">
        <f t="shared" si="10"/>
        <v>40277.83602792256</v>
      </c>
      <c r="AI141">
        <f t="shared" si="11"/>
        <v>6.1270714692551069E-2</v>
      </c>
    </row>
    <row r="142" spans="1:35" x14ac:dyDescent="0.45">
      <c r="A142" s="5" t="s">
        <v>143</v>
      </c>
      <c r="B142" s="2">
        <f t="shared" si="8"/>
        <v>549277057.80597353</v>
      </c>
      <c r="C142" s="2">
        <v>434405810.23167121</v>
      </c>
      <c r="D142" s="2">
        <v>7.4921734282337782E-2</v>
      </c>
      <c r="E142" s="5">
        <v>563972774.383986</v>
      </c>
      <c r="F142" s="5">
        <v>533878782.10492003</v>
      </c>
      <c r="G142" s="5">
        <v>718118619.01076198</v>
      </c>
      <c r="H142" s="5">
        <v>1086705330.2762401</v>
      </c>
      <c r="I142" s="5">
        <v>320755978.129839</v>
      </c>
      <c r="J142" s="5">
        <v>334146701.668957</v>
      </c>
      <c r="K142" s="5">
        <v>609228199.78293002</v>
      </c>
      <c r="L142" s="5">
        <v>579852686.52534294</v>
      </c>
      <c r="M142" s="5">
        <v>274758336.30135298</v>
      </c>
      <c r="N142" s="5">
        <v>621147043.07551396</v>
      </c>
      <c r="O142" s="5">
        <v>971346109.85345995</v>
      </c>
      <c r="P142" s="5">
        <v>485704803.631504</v>
      </c>
      <c r="Q142" s="5">
        <v>324051306.80780399</v>
      </c>
      <c r="R142" s="5">
        <v>996188710.032354</v>
      </c>
      <c r="S142" s="5">
        <v>569210407.44093394</v>
      </c>
      <c r="T142" s="5">
        <v>674296739.65254498</v>
      </c>
      <c r="U142" s="5">
        <v>405591281.09263402</v>
      </c>
      <c r="V142" s="5">
        <v>383898825.78765601</v>
      </c>
      <c r="W142" s="5">
        <v>753399228.99687505</v>
      </c>
      <c r="X142" s="5">
        <v>398713083.11229098</v>
      </c>
      <c r="Y142" s="5">
        <v>306793897.70089</v>
      </c>
      <c r="Z142" s="5">
        <v>513568817.38941902</v>
      </c>
      <c r="AA142" s="5">
        <v>348287454.52475399</v>
      </c>
      <c r="AB142" s="5">
        <v>409034270.06040001</v>
      </c>
      <c r="AC142" s="5">
        <v>388158611.87122101</v>
      </c>
      <c r="AD142" s="5">
        <v>461887709.14171398</v>
      </c>
      <c r="AE142" s="5">
        <v>451126213.939686</v>
      </c>
      <c r="AF142" s="5">
        <v>436450705.97406399</v>
      </c>
      <c r="AG142">
        <f t="shared" si="9"/>
        <v>434405810.23167121</v>
      </c>
      <c r="AH142">
        <f t="shared" si="10"/>
        <v>32546436.684880923</v>
      </c>
      <c r="AI142">
        <f t="shared" si="11"/>
        <v>7.4921734282337782E-2</v>
      </c>
    </row>
    <row r="143" spans="1:35" x14ac:dyDescent="0.45">
      <c r="A143" s="5" t="s">
        <v>295</v>
      </c>
      <c r="B143" s="2">
        <f t="shared" si="8"/>
        <v>13617000.708695179</v>
      </c>
      <c r="C143" s="2">
        <v>11194418.795714948</v>
      </c>
      <c r="D143" s="2">
        <v>5.3627359194383155E-2</v>
      </c>
      <c r="E143" s="5">
        <v>10705168.4760659</v>
      </c>
      <c r="F143" s="5">
        <v>5157702.1932512699</v>
      </c>
      <c r="G143" s="5">
        <v>8913766.6114677805</v>
      </c>
      <c r="H143" s="5">
        <v>1754726.2437634</v>
      </c>
      <c r="I143" s="5">
        <v>11980070.5722731</v>
      </c>
      <c r="J143" s="5">
        <v>11599592.079423601</v>
      </c>
      <c r="K143" s="5">
        <v>16090026.808521001</v>
      </c>
      <c r="L143" s="5">
        <v>9160846.1024739407</v>
      </c>
      <c r="M143" s="5">
        <v>13814865.9028387</v>
      </c>
      <c r="N143" s="5">
        <v>7068625.4070445597</v>
      </c>
      <c r="O143" s="5">
        <v>14862456.057673199</v>
      </c>
      <c r="P143" s="5">
        <v>12211101.4085782</v>
      </c>
      <c r="Q143" s="5">
        <v>36860092.1026977</v>
      </c>
      <c r="R143" s="5">
        <v>8943187.2142200805</v>
      </c>
      <c r="S143" s="5">
        <v>14382284.7970453</v>
      </c>
      <c r="T143" s="5">
        <v>40232270.028068297</v>
      </c>
      <c r="U143" s="5">
        <v>15512753.5041734</v>
      </c>
      <c r="V143" s="5">
        <v>6463092.2655680403</v>
      </c>
      <c r="W143" s="5">
        <v>11617809.3441552</v>
      </c>
      <c r="X143" s="5">
        <v>6455006.4913368197</v>
      </c>
      <c r="Y143" s="5">
        <v>28020261.361487601</v>
      </c>
      <c r="Z143" s="5">
        <v>10677098.0585934</v>
      </c>
      <c r="AA143" s="5">
        <v>13685886.1494096</v>
      </c>
      <c r="AB143" s="5">
        <v>10639327.8285542</v>
      </c>
      <c r="AC143" s="5">
        <v>10521503.1741721</v>
      </c>
      <c r="AD143" s="5">
        <v>11166687.134146599</v>
      </c>
      <c r="AE143" s="5">
        <v>11981858.073236199</v>
      </c>
      <c r="AF143" s="5">
        <v>11107626.801304899</v>
      </c>
      <c r="AG143">
        <f t="shared" si="9"/>
        <v>11194418.795714948</v>
      </c>
      <c r="AH143">
        <f t="shared" si="10"/>
        <v>600327.11773015966</v>
      </c>
      <c r="AI143">
        <f t="shared" si="11"/>
        <v>5.3627359194383155E-2</v>
      </c>
    </row>
    <row r="144" spans="1:35" x14ac:dyDescent="0.45">
      <c r="A144" s="5" t="s">
        <v>296</v>
      </c>
      <c r="B144" s="2">
        <f t="shared" si="8"/>
        <v>38352937.276361704</v>
      </c>
      <c r="C144" s="2">
        <v>46264465.21742332</v>
      </c>
      <c r="D144" s="2">
        <v>2.6161796637160596E-2</v>
      </c>
      <c r="E144" s="5">
        <v>1678017.20783796</v>
      </c>
      <c r="F144" s="5">
        <v>2672989.2960120998</v>
      </c>
      <c r="G144" s="5">
        <v>58100961.260083601</v>
      </c>
      <c r="H144" s="5">
        <v>1970086.67793574</v>
      </c>
      <c r="I144" s="5">
        <v>95036267.195663497</v>
      </c>
      <c r="J144" s="5">
        <v>234896428.238666</v>
      </c>
      <c r="K144" s="5">
        <v>3538301.7623364599</v>
      </c>
      <c r="L144" s="5">
        <v>15126900.064441301</v>
      </c>
      <c r="M144" s="5">
        <v>129775370.366373</v>
      </c>
      <c r="N144" s="5">
        <v>846061.47223787801</v>
      </c>
      <c r="O144" s="5">
        <v>315199.66014186898</v>
      </c>
      <c r="P144" s="5">
        <v>2362718.4425925598</v>
      </c>
      <c r="Q144" s="5">
        <v>55944616.5780674</v>
      </c>
      <c r="R144" s="5">
        <v>1039156.6109228</v>
      </c>
      <c r="S144" s="5">
        <v>24490572.162699901</v>
      </c>
      <c r="T144" s="5">
        <v>262878.51002977102</v>
      </c>
      <c r="U144" s="5">
        <v>11646327.601542</v>
      </c>
      <c r="V144" s="5">
        <v>46602826.1632898</v>
      </c>
      <c r="W144" s="5">
        <v>1843972.9851738799</v>
      </c>
      <c r="X144" s="5">
        <v>127628412.635693</v>
      </c>
      <c r="Y144" s="5">
        <v>12137370.498501001</v>
      </c>
      <c r="Z144" s="5">
        <v>36184997.582300499</v>
      </c>
      <c r="AA144" s="5">
        <v>47065569.4831357</v>
      </c>
      <c r="AB144" s="5">
        <v>9304492.1770033706</v>
      </c>
      <c r="AC144" s="5">
        <v>44759783.359259002</v>
      </c>
      <c r="AD144" s="5">
        <v>45908083.876737103</v>
      </c>
      <c r="AE144" s="5">
        <v>47563827.289108701</v>
      </c>
      <c r="AF144" s="5">
        <v>46826166.344588503</v>
      </c>
      <c r="AG144">
        <f t="shared" si="9"/>
        <v>46264465.21742332</v>
      </c>
      <c r="AH144">
        <f t="shared" si="10"/>
        <v>1210361.5305452188</v>
      </c>
      <c r="AI144">
        <f t="shared" si="11"/>
        <v>2.6161796637160596E-2</v>
      </c>
    </row>
    <row r="145" spans="1:35" x14ac:dyDescent="0.45">
      <c r="A145" s="5" t="s">
        <v>144</v>
      </c>
      <c r="B145" s="2">
        <f t="shared" si="8"/>
        <v>29829922.458494712</v>
      </c>
      <c r="C145" s="2">
        <v>28501990.101458602</v>
      </c>
      <c r="D145" s="2">
        <v>0.11570372186319808</v>
      </c>
      <c r="E145" s="5">
        <v>28868641.980753399</v>
      </c>
      <c r="F145" s="5">
        <v>27373748.571954999</v>
      </c>
      <c r="G145" s="5">
        <v>30427413.6843987</v>
      </c>
      <c r="H145" s="5">
        <v>26251134.0413507</v>
      </c>
      <c r="I145" s="5">
        <v>23841081.935638599</v>
      </c>
      <c r="J145" s="5">
        <v>34813117.280148603</v>
      </c>
      <c r="K145" s="5">
        <v>28498240.7501394</v>
      </c>
      <c r="L145" s="5">
        <v>31799639.799024001</v>
      </c>
      <c r="M145" s="5">
        <v>34390105.946778402</v>
      </c>
      <c r="N145" s="5">
        <v>26351426.466715701</v>
      </c>
      <c r="O145" s="5">
        <v>30299463.471740801</v>
      </c>
      <c r="P145" s="5">
        <v>27746682.192047901</v>
      </c>
      <c r="Q145" s="5">
        <v>29125138.1853774</v>
      </c>
      <c r="R145" s="5">
        <v>27551070.704559501</v>
      </c>
      <c r="S145" s="5">
        <v>34986926.077781901</v>
      </c>
      <c r="T145" s="5">
        <v>28544050.176762599</v>
      </c>
      <c r="U145" s="5">
        <v>28301624.849452302</v>
      </c>
      <c r="V145" s="5">
        <v>30310422.522622898</v>
      </c>
      <c r="W145" s="5">
        <v>29705352.551348198</v>
      </c>
      <c r="X145" s="5">
        <v>31106103.3388457</v>
      </c>
      <c r="Y145" s="5">
        <v>29354457.785712302</v>
      </c>
      <c r="Z145" s="5">
        <v>27852648.153642099</v>
      </c>
      <c r="AA145" s="5">
        <v>34536679.3877756</v>
      </c>
      <c r="AB145" s="5">
        <v>33882969.149301499</v>
      </c>
      <c r="AC145" s="5">
        <v>30986031.955830202</v>
      </c>
      <c r="AD145" s="5">
        <v>23758785.549599599</v>
      </c>
      <c r="AE145" s="5">
        <v>30469969.546847399</v>
      </c>
      <c r="AF145" s="5">
        <v>28793173.353557199</v>
      </c>
      <c r="AG145">
        <f t="shared" si="9"/>
        <v>28501990.101458602</v>
      </c>
      <c r="AH145">
        <f t="shared" si="10"/>
        <v>3297786.3352467907</v>
      </c>
      <c r="AI145">
        <f t="shared" si="11"/>
        <v>0.11570372186319808</v>
      </c>
    </row>
    <row r="146" spans="1:35" x14ac:dyDescent="0.45">
      <c r="A146" s="5" t="s">
        <v>145</v>
      </c>
      <c r="B146" s="2">
        <f t="shared" si="8"/>
        <v>157060178.21004391</v>
      </c>
      <c r="C146" s="2">
        <v>123305323.12200475</v>
      </c>
      <c r="D146" s="2">
        <v>8.9514587604765966E-2</v>
      </c>
      <c r="E146" s="5">
        <v>118840716.557235</v>
      </c>
      <c r="F146" s="5">
        <v>94579608.423080504</v>
      </c>
      <c r="G146" s="5">
        <v>285749335.42331803</v>
      </c>
      <c r="H146" s="5">
        <v>96405829.121834204</v>
      </c>
      <c r="I146" s="5">
        <v>245610619.67609</v>
      </c>
      <c r="J146" s="5">
        <v>124220723.137008</v>
      </c>
      <c r="K146" s="5">
        <v>77606307.323508605</v>
      </c>
      <c r="L146" s="5">
        <v>114207144.311611</v>
      </c>
      <c r="M146" s="5">
        <v>130539973.308926</v>
      </c>
      <c r="N146" s="5">
        <v>145576117.86860999</v>
      </c>
      <c r="O146" s="5">
        <v>365272319.38226497</v>
      </c>
      <c r="P146" s="5">
        <v>83407756.666849196</v>
      </c>
      <c r="Q146" s="5">
        <v>215449621.77443799</v>
      </c>
      <c r="R146" s="5">
        <v>202870352.57228401</v>
      </c>
      <c r="S146" s="5">
        <v>191559701.357474</v>
      </c>
      <c r="T146" s="5">
        <v>119094066.613297</v>
      </c>
      <c r="U146" s="5">
        <v>97436720.534614295</v>
      </c>
      <c r="V146" s="5">
        <v>58910747.999785103</v>
      </c>
      <c r="W146" s="5">
        <v>329262043.55458599</v>
      </c>
      <c r="X146" s="5">
        <v>119795299.258926</v>
      </c>
      <c r="Y146" s="5">
        <v>180546717.215159</v>
      </c>
      <c r="Z146" s="5">
        <v>151703403.30447099</v>
      </c>
      <c r="AA146" s="5">
        <v>140464727.294168</v>
      </c>
      <c r="AB146" s="5">
        <v>80334424.361516297</v>
      </c>
      <c r="AC146" s="5">
        <v>123256497.042989</v>
      </c>
      <c r="AD146" s="5">
        <v>127622631.85678799</v>
      </c>
      <c r="AE146" s="5">
        <v>134166003.80203401</v>
      </c>
      <c r="AF146" s="5">
        <v>108176159.786208</v>
      </c>
      <c r="AG146">
        <f t="shared" si="9"/>
        <v>123305323.12200475</v>
      </c>
      <c r="AH146">
        <f t="shared" si="10"/>
        <v>11037625.148738669</v>
      </c>
      <c r="AI146">
        <f t="shared" si="11"/>
        <v>8.9514587604765966E-2</v>
      </c>
    </row>
    <row r="147" spans="1:35" x14ac:dyDescent="0.45">
      <c r="A147" s="5" t="s">
        <v>146</v>
      </c>
      <c r="B147" s="2">
        <f t="shared" si="8"/>
        <v>6912552.2499701725</v>
      </c>
      <c r="C147" s="2">
        <v>5688918.0914649051</v>
      </c>
      <c r="D147" s="2">
        <v>0.15091700430504496</v>
      </c>
      <c r="E147" s="5">
        <v>6491509.4719912298</v>
      </c>
      <c r="F147" s="5">
        <v>5481073.9894190896</v>
      </c>
      <c r="G147" s="5">
        <v>5523734.3933278099</v>
      </c>
      <c r="H147" s="5">
        <v>10335703.2545285</v>
      </c>
      <c r="I147" s="5">
        <v>6350920.7662885301</v>
      </c>
      <c r="J147" s="5">
        <v>4871707.85261478</v>
      </c>
      <c r="K147" s="5">
        <v>6076647.3220108403</v>
      </c>
      <c r="L147" s="5">
        <v>6108078.4972352497</v>
      </c>
      <c r="M147" s="5">
        <v>5603574.9773984998</v>
      </c>
      <c r="N147" s="5">
        <v>2426260.2394092302</v>
      </c>
      <c r="O147" s="5">
        <v>7679927.8799987296</v>
      </c>
      <c r="P147" s="5">
        <v>4133920.0780935502</v>
      </c>
      <c r="Q147" s="5">
        <v>5306876.1548369601</v>
      </c>
      <c r="R147" s="5">
        <v>6099298.7467978597</v>
      </c>
      <c r="S147" s="5">
        <v>7076869.5797462398</v>
      </c>
      <c r="T147" s="5">
        <v>16635324.7684674</v>
      </c>
      <c r="U147" s="5">
        <v>6768607.5995824402</v>
      </c>
      <c r="V147" s="5">
        <v>11421670.214942001</v>
      </c>
      <c r="W147" s="5">
        <v>6856134.6661606301</v>
      </c>
      <c r="X147" s="5">
        <v>7411105.8358843699</v>
      </c>
      <c r="Y147" s="5">
        <v>6690212.8197833197</v>
      </c>
      <c r="Z147" s="5">
        <v>8267882.6088602999</v>
      </c>
      <c r="AA147" s="5">
        <v>6991405.5280925501</v>
      </c>
      <c r="AB147" s="5">
        <v>5292806.7538139699</v>
      </c>
      <c r="AC147" s="5">
        <v>5559156.4950270196</v>
      </c>
      <c r="AD147" s="5">
        <v>6333532.2874869304</v>
      </c>
      <c r="AE147" s="5">
        <v>4524175.6306724604</v>
      </c>
      <c r="AF147" s="5">
        <v>6338807.9526732098</v>
      </c>
      <c r="AG147">
        <f t="shared" si="9"/>
        <v>5688918.0914649051</v>
      </c>
      <c r="AH147">
        <f t="shared" si="10"/>
        <v>858554.47610065725</v>
      </c>
      <c r="AI147">
        <f t="shared" si="11"/>
        <v>0.15091700430504496</v>
      </c>
    </row>
    <row r="148" spans="1:35" x14ac:dyDescent="0.45">
      <c r="A148" s="5" t="s">
        <v>419</v>
      </c>
      <c r="B148" s="2">
        <f t="shared" si="8"/>
        <v>1815959301.2268791</v>
      </c>
      <c r="C148" s="2">
        <v>1832690764.4537101</v>
      </c>
      <c r="D148" s="2">
        <v>1.5805191763429153E-2</v>
      </c>
      <c r="E148" s="5">
        <v>187051558.917447</v>
      </c>
      <c r="F148" s="5">
        <v>1370227922.5850501</v>
      </c>
      <c r="G148" s="5">
        <v>2205497970.3493299</v>
      </c>
      <c r="H148" s="5">
        <v>147556990.161899</v>
      </c>
      <c r="I148" s="5">
        <v>2593924622.1939502</v>
      </c>
      <c r="J148" s="5">
        <v>1912875045.5678699</v>
      </c>
      <c r="K148" s="5">
        <v>346243813.14264399</v>
      </c>
      <c r="L148" s="5">
        <v>264966296.338936</v>
      </c>
      <c r="M148" s="5">
        <v>1515266880.4154501</v>
      </c>
      <c r="N148" s="5">
        <v>845103367.03894901</v>
      </c>
      <c r="O148" s="5">
        <v>6701753777.1187601</v>
      </c>
      <c r="P148" s="5">
        <v>2629031179.77946</v>
      </c>
      <c r="Q148" s="5">
        <v>2800605513.70155</v>
      </c>
      <c r="R148" s="5">
        <v>452898340.67804497</v>
      </c>
      <c r="S148" s="5">
        <v>219959714.24070999</v>
      </c>
      <c r="T148" s="5">
        <v>3658772937.8090601</v>
      </c>
      <c r="U148" s="5">
        <v>2691751383.1387801</v>
      </c>
      <c r="V148" s="5">
        <v>1476703360.3822801</v>
      </c>
      <c r="W148" s="5">
        <v>2936018493.42241</v>
      </c>
      <c r="X148" s="5">
        <v>1744860130.2212901</v>
      </c>
      <c r="Y148" s="5">
        <v>2982150554.0817399</v>
      </c>
      <c r="Z148" s="5">
        <v>3276430472.90412</v>
      </c>
      <c r="AA148" s="5">
        <v>264843143.39647201</v>
      </c>
      <c r="AB148" s="5">
        <v>358529761.858899</v>
      </c>
      <c r="AC148" s="5">
        <v>1806967977.5801599</v>
      </c>
      <c r="AD148" s="5">
        <v>1865008123.9900401</v>
      </c>
      <c r="AE148" s="5">
        <v>1849258960.96998</v>
      </c>
      <c r="AF148" s="5">
        <v>1809527995.2746601</v>
      </c>
      <c r="AG148">
        <f t="shared" si="9"/>
        <v>1832690764.4537101</v>
      </c>
      <c r="AH148">
        <f t="shared" si="10"/>
        <v>28966028.975256458</v>
      </c>
      <c r="AI148">
        <f t="shared" si="11"/>
        <v>1.5805191763429153E-2</v>
      </c>
    </row>
    <row r="149" spans="1:35" x14ac:dyDescent="0.45">
      <c r="A149" s="5" t="s">
        <v>147</v>
      </c>
      <c r="B149" s="2">
        <f t="shared" si="8"/>
        <v>161527935.28135449</v>
      </c>
      <c r="C149" s="2">
        <v>134709235.27157524</v>
      </c>
      <c r="D149" s="2">
        <v>7.38759310960653E-2</v>
      </c>
      <c r="E149" s="5">
        <v>142866888.32497701</v>
      </c>
      <c r="F149" s="5">
        <v>142482575.54634601</v>
      </c>
      <c r="G149" s="5">
        <v>139954860.19932601</v>
      </c>
      <c r="H149" s="5">
        <v>261885273.20580801</v>
      </c>
      <c r="I149" s="5">
        <v>129568135.558928</v>
      </c>
      <c r="J149" s="5">
        <v>125377617.39835</v>
      </c>
      <c r="K149" s="5">
        <v>132846822.598922</v>
      </c>
      <c r="L149" s="5">
        <v>108426065.14800601</v>
      </c>
      <c r="M149" s="5">
        <v>116886688.179134</v>
      </c>
      <c r="N149" s="5">
        <v>559672161.54516196</v>
      </c>
      <c r="O149" s="5">
        <v>177376071.73438099</v>
      </c>
      <c r="P149" s="5">
        <v>146402818.14855099</v>
      </c>
      <c r="Q149" s="5">
        <v>112201991.780825</v>
      </c>
      <c r="R149" s="5">
        <v>204433586.70877901</v>
      </c>
      <c r="S149" s="5">
        <v>122281464.35230599</v>
      </c>
      <c r="T149" s="5">
        <v>112584197.053895</v>
      </c>
      <c r="U149" s="5">
        <v>129505348.59595799</v>
      </c>
      <c r="V149" s="5">
        <v>122586591.047537</v>
      </c>
      <c r="W149" s="5">
        <v>142458107.630005</v>
      </c>
      <c r="X149" s="5">
        <v>155117188.236853</v>
      </c>
      <c r="Y149" s="5">
        <v>157986497.743173</v>
      </c>
      <c r="Z149" s="5">
        <v>150628132.54553199</v>
      </c>
      <c r="AA149" s="5">
        <v>132371435.493118</v>
      </c>
      <c r="AB149" s="5">
        <v>150769927.97663599</v>
      </c>
      <c r="AC149" s="5">
        <v>142170978.68593401</v>
      </c>
      <c r="AD149" s="5">
        <v>144380283.99859399</v>
      </c>
      <c r="AE149" s="5">
        <v>125387820.068865</v>
      </c>
      <c r="AF149" s="5">
        <v>126897858.332908</v>
      </c>
      <c r="AG149">
        <f t="shared" si="9"/>
        <v>134709235.27157524</v>
      </c>
      <c r="AH149">
        <f t="shared" si="10"/>
        <v>9951770.1829265412</v>
      </c>
      <c r="AI149">
        <f t="shared" si="11"/>
        <v>7.38759310960653E-2</v>
      </c>
    </row>
    <row r="150" spans="1:35" x14ac:dyDescent="0.45">
      <c r="A150" s="5" t="s">
        <v>148</v>
      </c>
      <c r="B150" s="2">
        <f t="shared" si="8"/>
        <v>163651945.56948867</v>
      </c>
      <c r="C150" s="2">
        <v>139079040.88687801</v>
      </c>
      <c r="D150" s="2">
        <v>3.2719571330037896E-2</v>
      </c>
      <c r="E150" s="5">
        <v>87713632.465111002</v>
      </c>
      <c r="F150" s="5">
        <v>102531223.77101</v>
      </c>
      <c r="G150" s="5">
        <v>120882161.46141399</v>
      </c>
      <c r="H150" s="5">
        <v>91597709.479604393</v>
      </c>
      <c r="I150" s="5">
        <v>145331685.193095</v>
      </c>
      <c r="J150" s="5">
        <v>136947291.039217</v>
      </c>
      <c r="K150" s="5">
        <v>154178240.21829101</v>
      </c>
      <c r="L150" s="5">
        <v>116834968.051082</v>
      </c>
      <c r="M150" s="5">
        <v>143802022.821421</v>
      </c>
      <c r="N150" s="5">
        <v>135068405.64563</v>
      </c>
      <c r="O150" s="5">
        <v>475356433.86919302</v>
      </c>
      <c r="P150" s="5">
        <v>154940685.93630999</v>
      </c>
      <c r="Q150" s="5">
        <v>161993358.384415</v>
      </c>
      <c r="R150" s="5">
        <v>159896454.81121799</v>
      </c>
      <c r="S150" s="5">
        <v>150551512.98328799</v>
      </c>
      <c r="T150" s="5">
        <v>452952393.88281298</v>
      </c>
      <c r="U150" s="5">
        <v>128275486.500516</v>
      </c>
      <c r="V150" s="5">
        <v>158521457.06931901</v>
      </c>
      <c r="W150" s="5">
        <v>225171570.542045</v>
      </c>
      <c r="X150" s="5">
        <v>112625348.942835</v>
      </c>
      <c r="Y150" s="5">
        <v>110533324.262023</v>
      </c>
      <c r="Z150" s="5">
        <v>122566806.02265701</v>
      </c>
      <c r="AA150" s="5">
        <v>184974275.93514901</v>
      </c>
      <c r="AB150" s="5">
        <v>94400244.380072594</v>
      </c>
      <c r="AC150" s="5">
        <v>141676673.89165801</v>
      </c>
      <c r="AD150" s="5">
        <v>142838043.74661499</v>
      </c>
      <c r="AE150" s="5">
        <v>139144397.704604</v>
      </c>
      <c r="AF150" s="5">
        <v>132657048.20463499</v>
      </c>
      <c r="AG150">
        <f t="shared" si="9"/>
        <v>139079040.88687801</v>
      </c>
      <c r="AH150">
        <f t="shared" si="10"/>
        <v>4550606.5988114625</v>
      </c>
      <c r="AI150">
        <f t="shared" si="11"/>
        <v>3.2719571330037896E-2</v>
      </c>
    </row>
    <row r="151" spans="1:35" x14ac:dyDescent="0.45">
      <c r="A151" s="5" t="s">
        <v>149</v>
      </c>
      <c r="B151" s="2">
        <f t="shared" si="8"/>
        <v>99181767.314816341</v>
      </c>
      <c r="C151" s="2">
        <v>82855247.607157603</v>
      </c>
      <c r="D151" s="2">
        <v>2.8212415525522779E-2</v>
      </c>
      <c r="E151" s="5">
        <v>44183585.783792801</v>
      </c>
      <c r="F151" s="5">
        <v>72250703.400853604</v>
      </c>
      <c r="G151" s="5">
        <v>58793166.274506703</v>
      </c>
      <c r="H151" s="5">
        <v>91282294.693994805</v>
      </c>
      <c r="I151" s="5">
        <v>90311562.294778794</v>
      </c>
      <c r="J151" s="5">
        <v>65955796.147042103</v>
      </c>
      <c r="K151" s="5">
        <v>92385548.112818107</v>
      </c>
      <c r="L151" s="5">
        <v>54397856.017367199</v>
      </c>
      <c r="M151" s="5">
        <v>89105370.784192994</v>
      </c>
      <c r="N151" s="5">
        <v>106103099.7916</v>
      </c>
      <c r="O151" s="5">
        <v>281852949.07457298</v>
      </c>
      <c r="P151" s="5">
        <v>77804125.911222294</v>
      </c>
      <c r="Q151" s="5">
        <v>162328953.59955299</v>
      </c>
      <c r="R151" s="5">
        <v>86750325.691111505</v>
      </c>
      <c r="S151" s="5">
        <v>102918160.337769</v>
      </c>
      <c r="T151" s="5">
        <v>195368151.271092</v>
      </c>
      <c r="U151" s="5">
        <v>79290103.227504894</v>
      </c>
      <c r="V151" s="5">
        <v>88752301.999673799</v>
      </c>
      <c r="W151" s="5">
        <v>156201293.30298501</v>
      </c>
      <c r="X151" s="5">
        <v>51111671.932467103</v>
      </c>
      <c r="Y151" s="5">
        <v>95724828.821781501</v>
      </c>
      <c r="Z151" s="5">
        <v>69929053.714067295</v>
      </c>
      <c r="AA151" s="5">
        <v>106736180.869564</v>
      </c>
      <c r="AB151" s="5">
        <v>60825332.5012808</v>
      </c>
      <c r="AC151" s="5">
        <v>85065850.364353105</v>
      </c>
      <c r="AD151" s="5">
        <v>84683089.808751598</v>
      </c>
      <c r="AE151" s="5">
        <v>80907028.128526196</v>
      </c>
      <c r="AF151" s="5">
        <v>80765022.126999497</v>
      </c>
      <c r="AG151">
        <f t="shared" si="9"/>
        <v>82855247.607157603</v>
      </c>
      <c r="AH151">
        <f t="shared" si="10"/>
        <v>2337546.6739632073</v>
      </c>
      <c r="AI151">
        <f t="shared" si="11"/>
        <v>2.8212415525522779E-2</v>
      </c>
    </row>
    <row r="152" spans="1:35" x14ac:dyDescent="0.45">
      <c r="A152" s="5" t="s">
        <v>420</v>
      </c>
      <c r="B152" s="2">
        <f t="shared" si="8"/>
        <v>26531585.224127352</v>
      </c>
      <c r="C152" s="2">
        <v>20628057.412151024</v>
      </c>
      <c r="D152" s="2">
        <v>9.5722115835765471E-3</v>
      </c>
      <c r="E152" s="5">
        <v>6627740.04763145</v>
      </c>
      <c r="F152" s="5">
        <v>8667036.1700085793</v>
      </c>
      <c r="G152" s="5">
        <v>2312101.91509492</v>
      </c>
      <c r="H152" s="5">
        <v>122315992.37484799</v>
      </c>
      <c r="I152" s="5">
        <v>13190255.378641101</v>
      </c>
      <c r="J152" s="5">
        <v>10931186.006582201</v>
      </c>
      <c r="K152" s="5">
        <v>9753293.4207446706</v>
      </c>
      <c r="L152" s="5">
        <v>80412966.1981062</v>
      </c>
      <c r="M152" s="5">
        <v>13195362.680424601</v>
      </c>
      <c r="N152" s="5">
        <v>6668670.0809650002</v>
      </c>
      <c r="O152" s="5">
        <v>101938173.929149</v>
      </c>
      <c r="P152" s="5">
        <v>6921005.7907715105</v>
      </c>
      <c r="Q152" s="5">
        <v>12623560.3930762</v>
      </c>
      <c r="R152" s="5">
        <v>5495028.0848669596</v>
      </c>
      <c r="S152" s="5">
        <v>3386469.92791432</v>
      </c>
      <c r="T152" s="5">
        <v>60505189.371210501</v>
      </c>
      <c r="U152" s="5">
        <v>9681753.9757252205</v>
      </c>
      <c r="V152" s="5">
        <v>9396601.3885436505</v>
      </c>
      <c r="W152" s="5">
        <v>8531887.1520527992</v>
      </c>
      <c r="X152" s="5">
        <v>2957948.38256709</v>
      </c>
      <c r="Y152" s="5">
        <v>13303009.946518101</v>
      </c>
      <c r="Z152" s="5">
        <v>7964020.4019047599</v>
      </c>
      <c r="AA152" s="5">
        <v>14137169.438929699</v>
      </c>
      <c r="AB152" s="5">
        <v>105841622.92278001</v>
      </c>
      <c r="AC152" s="5">
        <v>20781120.8604283</v>
      </c>
      <c r="AD152" s="5">
        <v>20813718.0889671</v>
      </c>
      <c r="AE152" s="5">
        <v>20487862.5175879</v>
      </c>
      <c r="AF152" s="5">
        <v>20429528.181620799</v>
      </c>
      <c r="AG152">
        <f t="shared" si="9"/>
        <v>20628057.412151024</v>
      </c>
      <c r="AH152">
        <f t="shared" si="10"/>
        <v>197456.13010727408</v>
      </c>
      <c r="AI152">
        <f t="shared" si="11"/>
        <v>9.5722115835765471E-3</v>
      </c>
    </row>
    <row r="153" spans="1:35" x14ac:dyDescent="0.45">
      <c r="A153" s="5" t="s">
        <v>150</v>
      </c>
      <c r="B153" s="2">
        <f t="shared" si="8"/>
        <v>699907351.2513026</v>
      </c>
      <c r="C153" s="2">
        <v>683171546.23120677</v>
      </c>
      <c r="D153" s="2">
        <v>1.1063061279025893E-2</v>
      </c>
      <c r="E153" s="5">
        <v>462435572.65715301</v>
      </c>
      <c r="F153" s="5">
        <v>327804883.371014</v>
      </c>
      <c r="G153" s="5">
        <v>413979564.41811901</v>
      </c>
      <c r="H153" s="5">
        <v>413589424.51646298</v>
      </c>
      <c r="I153" s="5">
        <v>943823243.68318999</v>
      </c>
      <c r="J153" s="5">
        <v>799191230.18570101</v>
      </c>
      <c r="K153" s="5">
        <v>682630241.56377101</v>
      </c>
      <c r="L153" s="5">
        <v>778578222.50192702</v>
      </c>
      <c r="M153" s="5">
        <v>621692051.25061798</v>
      </c>
      <c r="N153" s="5">
        <v>521989977.37494802</v>
      </c>
      <c r="O153" s="5">
        <v>1526500616.14779</v>
      </c>
      <c r="P153" s="5">
        <v>478001270.89084601</v>
      </c>
      <c r="Q153" s="5">
        <v>1224886124.5063601</v>
      </c>
      <c r="R153" s="5">
        <v>340154014.94546902</v>
      </c>
      <c r="S153" s="5">
        <v>787339261.44296098</v>
      </c>
      <c r="T153" s="5">
        <v>893904450.61026299</v>
      </c>
      <c r="U153" s="5">
        <v>601292999.54223001</v>
      </c>
      <c r="V153" s="5">
        <v>371910353.614263</v>
      </c>
      <c r="W153" s="5">
        <v>297960222.55345398</v>
      </c>
      <c r="X153" s="5">
        <v>302532107.28814298</v>
      </c>
      <c r="Y153" s="5">
        <v>1402888518.9952199</v>
      </c>
      <c r="Z153" s="5">
        <v>718004455.50193799</v>
      </c>
      <c r="AA153" s="5">
        <v>1079175653.3661301</v>
      </c>
      <c r="AB153" s="5">
        <v>807511969.10328901</v>
      </c>
      <c r="AC153" s="5">
        <v>686435612.89103198</v>
      </c>
      <c r="AD153" s="5">
        <v>691759002.81324804</v>
      </c>
      <c r="AE153" s="5">
        <v>674352617.79681098</v>
      </c>
      <c r="AF153" s="5">
        <v>680138951.42373598</v>
      </c>
      <c r="AG153">
        <f t="shared" si="9"/>
        <v>683171546.23120677</v>
      </c>
      <c r="AH153">
        <f t="shared" si="10"/>
        <v>7557968.680042712</v>
      </c>
      <c r="AI153">
        <f t="shared" si="11"/>
        <v>1.1063061279025893E-2</v>
      </c>
    </row>
    <row r="154" spans="1:35" x14ac:dyDescent="0.45">
      <c r="A154" s="5" t="s">
        <v>297</v>
      </c>
      <c r="B154" s="2">
        <f t="shared" si="8"/>
        <v>11391425.13965915</v>
      </c>
      <c r="C154" s="2">
        <v>9945817.2146077119</v>
      </c>
      <c r="D154" s="2">
        <v>3.5375258771941531E-2</v>
      </c>
      <c r="E154" s="5">
        <v>5103075.9072499499</v>
      </c>
      <c r="F154" s="5">
        <v>6824191.54382513</v>
      </c>
      <c r="G154" s="5">
        <v>7587827.2669688398</v>
      </c>
      <c r="H154" s="5">
        <v>8556975.2327196393</v>
      </c>
      <c r="I154" s="5">
        <v>47636821.761894703</v>
      </c>
      <c r="J154" s="5">
        <v>16718288.2036412</v>
      </c>
      <c r="K154" s="5">
        <v>5289682.2165175602</v>
      </c>
      <c r="L154" s="5">
        <v>3849719.30533366</v>
      </c>
      <c r="M154" s="5">
        <v>13391323.1709162</v>
      </c>
      <c r="N154" s="5">
        <v>11533957.140298501</v>
      </c>
      <c r="O154" s="5">
        <v>28245591.7538331</v>
      </c>
      <c r="P154" s="5">
        <v>9878608.1431461796</v>
      </c>
      <c r="Q154" s="5">
        <v>15319189.584402701</v>
      </c>
      <c r="R154" s="5">
        <v>6541738.4785803296</v>
      </c>
      <c r="S154" s="5">
        <v>2820769.0436625401</v>
      </c>
      <c r="T154" s="5">
        <v>15595727.859009299</v>
      </c>
      <c r="U154" s="5">
        <v>10837123.6743326</v>
      </c>
      <c r="V154" s="5">
        <v>20771204.825869199</v>
      </c>
      <c r="W154" s="5">
        <v>8953985.0500716697</v>
      </c>
      <c r="X154" s="5">
        <v>3033639.3560771402</v>
      </c>
      <c r="Y154" s="5">
        <v>6712928.5543493098</v>
      </c>
      <c r="Z154" s="5">
        <v>12215847.3553224</v>
      </c>
      <c r="AA154" s="5">
        <v>2460120.67439534</v>
      </c>
      <c r="AB154" s="5">
        <v>3515867.2494024001</v>
      </c>
      <c r="AC154" s="5">
        <v>10453802.815835601</v>
      </c>
      <c r="AD154" s="5">
        <v>9641787.0088535193</v>
      </c>
      <c r="AE154" s="5">
        <v>9837406.2642035205</v>
      </c>
      <c r="AF154" s="5">
        <v>9850272.7695382107</v>
      </c>
      <c r="AG154">
        <f t="shared" si="9"/>
        <v>9945817.2146077119</v>
      </c>
      <c r="AH154">
        <f t="shared" si="10"/>
        <v>351835.85766517854</v>
      </c>
      <c r="AI154">
        <f t="shared" si="11"/>
        <v>3.5375258771941531E-2</v>
      </c>
    </row>
    <row r="155" spans="1:35" x14ac:dyDescent="0.45">
      <c r="A155" s="5" t="s">
        <v>151</v>
      </c>
      <c r="B155" s="2">
        <f t="shared" si="8"/>
        <v>56565214.375112265</v>
      </c>
      <c r="C155" s="2">
        <v>46096006.118386731</v>
      </c>
      <c r="D155" s="2">
        <v>2.5842305047929559E-2</v>
      </c>
      <c r="E155" s="5">
        <v>23965513.843332302</v>
      </c>
      <c r="F155" s="5">
        <v>47608599.168683298</v>
      </c>
      <c r="G155" s="5">
        <v>27699729.9153786</v>
      </c>
      <c r="H155" s="5">
        <v>63895205.758762203</v>
      </c>
      <c r="I155" s="5">
        <v>43028828.3335585</v>
      </c>
      <c r="J155" s="5">
        <v>53611901.1941434</v>
      </c>
      <c r="K155" s="5">
        <v>44848171.868053503</v>
      </c>
      <c r="L155" s="5">
        <v>28910323.427659702</v>
      </c>
      <c r="M155" s="5">
        <v>41987833.1882497</v>
      </c>
      <c r="N155" s="5">
        <v>46717898.676456802</v>
      </c>
      <c r="O155" s="5">
        <v>188595584.980986</v>
      </c>
      <c r="P155" s="5">
        <v>51836021.049262099</v>
      </c>
      <c r="Q155" s="5">
        <v>52561957.101051398</v>
      </c>
      <c r="R155" s="5">
        <v>58865249.8420626</v>
      </c>
      <c r="S155" s="5">
        <v>24399571.026256301</v>
      </c>
      <c r="T155" s="5">
        <v>197140335.62103999</v>
      </c>
      <c r="U155" s="5">
        <v>64248772.470946901</v>
      </c>
      <c r="V155" s="5">
        <v>35867308.632490002</v>
      </c>
      <c r="W155" s="5">
        <v>73539869.333382294</v>
      </c>
      <c r="X155" s="5">
        <v>45818873.280593097</v>
      </c>
      <c r="Y155" s="5">
        <v>34648218.914248601</v>
      </c>
      <c r="Z155" s="5">
        <v>43242829.348669797</v>
      </c>
      <c r="AA155" s="5">
        <v>33820725.002037898</v>
      </c>
      <c r="AB155" s="5">
        <v>30705823.025389299</v>
      </c>
      <c r="AC155" s="5">
        <v>47207109.709956601</v>
      </c>
      <c r="AD155" s="5">
        <v>47042665.889741398</v>
      </c>
      <c r="AE155" s="5">
        <v>44999468.237610303</v>
      </c>
      <c r="AF155" s="5">
        <v>45134780.636238597</v>
      </c>
      <c r="AG155">
        <f t="shared" si="9"/>
        <v>46096006.118386731</v>
      </c>
      <c r="AH155">
        <f t="shared" si="10"/>
        <v>1191227.0516025773</v>
      </c>
      <c r="AI155">
        <f t="shared" si="11"/>
        <v>2.5842305047929559E-2</v>
      </c>
    </row>
    <row r="156" spans="1:35" x14ac:dyDescent="0.45">
      <c r="A156" s="5" t="s">
        <v>152</v>
      </c>
      <c r="B156" s="2">
        <f t="shared" si="8"/>
        <v>766234886.54378045</v>
      </c>
      <c r="C156" s="2">
        <v>438536001.35404849</v>
      </c>
      <c r="D156" s="2">
        <v>5.4963791568212794E-2</v>
      </c>
      <c r="E156" s="5">
        <v>126430520.24762499</v>
      </c>
      <c r="F156" s="5">
        <v>224820320.325571</v>
      </c>
      <c r="G156" s="5">
        <v>170599124.95657399</v>
      </c>
      <c r="H156" s="5">
        <v>446453685.68670499</v>
      </c>
      <c r="I156" s="5">
        <v>144033029.05278</v>
      </c>
      <c r="J156" s="5">
        <v>445398593.85688698</v>
      </c>
      <c r="K156" s="5">
        <v>204473777.55213201</v>
      </c>
      <c r="L156" s="5">
        <v>133904821.458928</v>
      </c>
      <c r="M156" s="5">
        <v>85111299.723097801</v>
      </c>
      <c r="N156" s="5">
        <v>179302581.54195201</v>
      </c>
      <c r="O156" s="5">
        <v>688597614.04757202</v>
      </c>
      <c r="P156" s="5">
        <v>570783675.78626597</v>
      </c>
      <c r="Q156" s="5">
        <v>68820467.938351497</v>
      </c>
      <c r="R156" s="5">
        <v>299307808.79783201</v>
      </c>
      <c r="S156" s="5">
        <v>133991245.02143499</v>
      </c>
      <c r="T156" s="5">
        <v>13057207181.755501</v>
      </c>
      <c r="U156" s="5">
        <v>239670709.56117699</v>
      </c>
      <c r="V156" s="5">
        <v>274268888.47691202</v>
      </c>
      <c r="W156" s="5">
        <v>176383118.641251</v>
      </c>
      <c r="X156" s="5">
        <v>152507167.766864</v>
      </c>
      <c r="Y156" s="5">
        <v>120225460.369386</v>
      </c>
      <c r="Z156" s="5">
        <v>155944009.623833</v>
      </c>
      <c r="AA156" s="5">
        <v>137115046.89460599</v>
      </c>
      <c r="AB156" s="5">
        <v>154287127.967493</v>
      </c>
      <c r="AC156" s="5">
        <v>404951163.70476103</v>
      </c>
      <c r="AD156" s="5">
        <v>452918195.210931</v>
      </c>
      <c r="AE156" s="5">
        <v>437559251.28144199</v>
      </c>
      <c r="AF156" s="5">
        <v>458715395.21906</v>
      </c>
      <c r="AG156">
        <f t="shared" si="9"/>
        <v>438536001.35404849</v>
      </c>
      <c r="AH156">
        <f t="shared" si="10"/>
        <v>24103601.373581406</v>
      </c>
      <c r="AI156">
        <f t="shared" si="11"/>
        <v>5.4963791568212794E-2</v>
      </c>
    </row>
    <row r="157" spans="1:35" x14ac:dyDescent="0.45">
      <c r="A157" s="5" t="s">
        <v>153</v>
      </c>
      <c r="B157" s="2">
        <f t="shared" si="8"/>
        <v>59195071.389454097</v>
      </c>
      <c r="C157" s="2">
        <v>32942947.154504102</v>
      </c>
      <c r="D157" s="2">
        <v>3.8695870196246547E-2</v>
      </c>
      <c r="E157" s="5">
        <v>21299404.494963899</v>
      </c>
      <c r="F157" s="5">
        <v>26092612.028003599</v>
      </c>
      <c r="G157" s="5">
        <v>17900682.217519801</v>
      </c>
      <c r="H157" s="5">
        <v>129056224.204248</v>
      </c>
      <c r="I157" s="5">
        <v>28573973.031166099</v>
      </c>
      <c r="J157" s="5">
        <v>15700766.651892001</v>
      </c>
      <c r="K157" s="5">
        <v>30208907.331948198</v>
      </c>
      <c r="L157" s="5">
        <v>22096063.649773002</v>
      </c>
      <c r="M157" s="5">
        <v>18508261.816643301</v>
      </c>
      <c r="N157" s="5">
        <v>53258791.401432797</v>
      </c>
      <c r="O157" s="5">
        <v>468252886.60444897</v>
      </c>
      <c r="P157" s="5">
        <v>58165558.382093698</v>
      </c>
      <c r="Q157" s="5">
        <v>38660580.335234798</v>
      </c>
      <c r="R157" s="5">
        <v>40294552.810890801</v>
      </c>
      <c r="S157" s="5">
        <v>17624944.3567895</v>
      </c>
      <c r="T157" s="5">
        <v>201019735.27862599</v>
      </c>
      <c r="U157" s="5">
        <v>31320626.806967799</v>
      </c>
      <c r="V157" s="5">
        <v>19481234.574390501</v>
      </c>
      <c r="W157" s="5">
        <v>56059123.405146196</v>
      </c>
      <c r="X157" s="5">
        <v>18618919.521948099</v>
      </c>
      <c r="Y157" s="5">
        <v>39778546.105101801</v>
      </c>
      <c r="Z157" s="5">
        <v>17010321.255630199</v>
      </c>
      <c r="AA157" s="5">
        <v>20197979.301456802</v>
      </c>
      <c r="AB157" s="5">
        <v>31501017.7805827</v>
      </c>
      <c r="AC157" s="5">
        <v>32871188.765377998</v>
      </c>
      <c r="AD157" s="5">
        <v>34319178.426995099</v>
      </c>
      <c r="AE157" s="5">
        <v>31259928.946775101</v>
      </c>
      <c r="AF157" s="5">
        <v>33321492.478868201</v>
      </c>
      <c r="AG157">
        <f t="shared" si="9"/>
        <v>32942947.154504102</v>
      </c>
      <c r="AH157">
        <f t="shared" si="10"/>
        <v>1274756.0069725004</v>
      </c>
      <c r="AI157">
        <f t="shared" si="11"/>
        <v>3.8695870196246547E-2</v>
      </c>
    </row>
    <row r="158" spans="1:35" x14ac:dyDescent="0.45">
      <c r="A158" s="5" t="s">
        <v>154</v>
      </c>
      <c r="B158" s="2">
        <f t="shared" si="8"/>
        <v>123576584.2237314</v>
      </c>
      <c r="C158" s="2">
        <v>93485962.808168679</v>
      </c>
      <c r="D158" s="2">
        <v>3.4895803156492169E-2</v>
      </c>
      <c r="E158" s="5">
        <v>94258287.626168102</v>
      </c>
      <c r="F158" s="5">
        <v>84127044.597795606</v>
      </c>
      <c r="G158" s="5">
        <v>83018416.841554195</v>
      </c>
      <c r="H158" s="5">
        <v>397187445.853625</v>
      </c>
      <c r="I158" s="5">
        <v>66613135.536649004</v>
      </c>
      <c r="J158" s="5">
        <v>162950338.682547</v>
      </c>
      <c r="K158" s="5">
        <v>80132602.4842439</v>
      </c>
      <c r="L158" s="5">
        <v>95073280.505669206</v>
      </c>
      <c r="M158" s="5">
        <v>99979794.197904497</v>
      </c>
      <c r="N158" s="5">
        <v>512317684.72862399</v>
      </c>
      <c r="O158" s="5">
        <v>138939650.80507699</v>
      </c>
      <c r="P158" s="5">
        <v>73015756.110063195</v>
      </c>
      <c r="Q158" s="5">
        <v>105908124.16636001</v>
      </c>
      <c r="R158" s="5">
        <v>128385904.661992</v>
      </c>
      <c r="S158" s="5">
        <v>66199434.529382199</v>
      </c>
      <c r="T158" s="5">
        <v>71766663.091087997</v>
      </c>
      <c r="U158" s="5">
        <v>149750988.920091</v>
      </c>
      <c r="V158" s="5">
        <v>77280695.050330803</v>
      </c>
      <c r="W158" s="5">
        <v>69526757.624575794</v>
      </c>
      <c r="X158" s="5">
        <v>84303662.3623835</v>
      </c>
      <c r="Y158" s="5">
        <v>67716235.527245507</v>
      </c>
      <c r="Z158" s="5">
        <v>89941648.393560499</v>
      </c>
      <c r="AA158" s="5">
        <v>68454517.730714202</v>
      </c>
      <c r="AB158" s="5">
        <v>98989951.341910005</v>
      </c>
      <c r="AC158" s="5">
        <v>88945317.777421206</v>
      </c>
      <c r="AD158" s="5">
        <v>96340479.405305907</v>
      </c>
      <c r="AE158" s="5">
        <v>93396306.302953303</v>
      </c>
      <c r="AF158" s="5">
        <v>95261747.746994302</v>
      </c>
      <c r="AG158">
        <f t="shared" si="9"/>
        <v>93485962.808168679</v>
      </c>
      <c r="AH158">
        <f t="shared" si="10"/>
        <v>3262267.7560490021</v>
      </c>
      <c r="AI158">
        <f t="shared" si="11"/>
        <v>3.4895803156492169E-2</v>
      </c>
    </row>
    <row r="159" spans="1:35" x14ac:dyDescent="0.45">
      <c r="A159" s="5" t="s">
        <v>298</v>
      </c>
      <c r="B159" s="2">
        <f t="shared" si="8"/>
        <v>85243941.81590651</v>
      </c>
      <c r="C159" s="2">
        <v>51863241.206680574</v>
      </c>
      <c r="D159" s="2">
        <v>0.18692623595425997</v>
      </c>
      <c r="E159" s="5">
        <v>70367015.654218301</v>
      </c>
      <c r="F159" s="5">
        <v>32964311.3025386</v>
      </c>
      <c r="G159" s="5">
        <v>27768439.828659602</v>
      </c>
      <c r="H159" s="5">
        <v>193483586.281396</v>
      </c>
      <c r="I159" s="5">
        <v>8892833.2909677308</v>
      </c>
      <c r="J159" s="5">
        <v>13449804.3992109</v>
      </c>
      <c r="K159" s="5">
        <v>57785007.547415197</v>
      </c>
      <c r="L159" s="5">
        <v>48539049.7515698</v>
      </c>
      <c r="M159" s="5">
        <v>13378849.0507733</v>
      </c>
      <c r="N159" s="5">
        <v>68767360.783430398</v>
      </c>
      <c r="O159" s="5">
        <v>969872141.64631999</v>
      </c>
      <c r="P159" s="5">
        <v>54081749.121740296</v>
      </c>
      <c r="Q159" s="5">
        <v>21193354.429879598</v>
      </c>
      <c r="R159" s="5">
        <v>37310352.217709497</v>
      </c>
      <c r="S159" s="5">
        <v>79289849.867262706</v>
      </c>
      <c r="T159" s="5">
        <v>100403629.62026601</v>
      </c>
      <c r="U159" s="5">
        <v>31976430.9327797</v>
      </c>
      <c r="V159" s="5">
        <v>20583381.1447367</v>
      </c>
      <c r="W159" s="5">
        <v>76881635.170230493</v>
      </c>
      <c r="X159" s="5">
        <v>30059893.343353398</v>
      </c>
      <c r="Y159" s="5">
        <v>19952706.7181678</v>
      </c>
      <c r="Z159" s="5">
        <v>21026383.1350406</v>
      </c>
      <c r="AA159" s="5">
        <v>23165401.289356198</v>
      </c>
      <c r="AB159" s="5">
        <v>24661437.054733202</v>
      </c>
      <c r="AC159" s="5">
        <v>56380815.339395598</v>
      </c>
      <c r="AD159" s="5">
        <v>55668938.226163998</v>
      </c>
      <c r="AE159" s="5">
        <v>58007565.247116096</v>
      </c>
      <c r="AF159" s="5">
        <v>37395646.014046602</v>
      </c>
      <c r="AG159">
        <f t="shared" si="9"/>
        <v>51863241.206680574</v>
      </c>
      <c r="AH159">
        <f t="shared" si="10"/>
        <v>9694600.4631526712</v>
      </c>
      <c r="AI159">
        <f t="shared" si="11"/>
        <v>0.18692623595425997</v>
      </c>
    </row>
    <row r="160" spans="1:35" x14ac:dyDescent="0.45">
      <c r="A160" s="5" t="s">
        <v>155</v>
      </c>
      <c r="B160" s="2">
        <f t="shared" si="8"/>
        <v>159495520.59943491</v>
      </c>
      <c r="C160" s="2">
        <v>117256599.34761676</v>
      </c>
      <c r="D160" s="2">
        <v>2.3769341234657595E-2</v>
      </c>
      <c r="E160" s="5">
        <v>111385336.257972</v>
      </c>
      <c r="F160" s="5">
        <v>112805896.259369</v>
      </c>
      <c r="G160" s="5">
        <v>149754245.78094199</v>
      </c>
      <c r="H160" s="5">
        <v>209759349.725041</v>
      </c>
      <c r="I160" s="5">
        <v>61442372.714818798</v>
      </c>
      <c r="J160" s="5">
        <v>89797065.504074201</v>
      </c>
      <c r="K160" s="5">
        <v>114354147.726483</v>
      </c>
      <c r="L160" s="5">
        <v>170048705.82894599</v>
      </c>
      <c r="M160" s="5">
        <v>115956640.24201</v>
      </c>
      <c r="N160" s="5">
        <v>114791720.808651</v>
      </c>
      <c r="O160" s="5">
        <v>388082723.61628997</v>
      </c>
      <c r="P160" s="5">
        <v>142424240.369822</v>
      </c>
      <c r="Q160" s="5">
        <v>139299503.80837199</v>
      </c>
      <c r="R160" s="5">
        <v>223818773.10325801</v>
      </c>
      <c r="S160" s="5">
        <v>173931614.909399</v>
      </c>
      <c r="T160" s="5">
        <v>518229077.95553797</v>
      </c>
      <c r="U160" s="5">
        <v>85150807.758019596</v>
      </c>
      <c r="V160" s="5">
        <v>92544986.208505496</v>
      </c>
      <c r="W160" s="5">
        <v>150086201.00674999</v>
      </c>
      <c r="X160" s="5">
        <v>146852267.036338</v>
      </c>
      <c r="Y160" s="5">
        <v>116095197.545407</v>
      </c>
      <c r="Z160" s="5">
        <v>135280373.49764699</v>
      </c>
      <c r="AA160" s="5">
        <v>138498310.86944899</v>
      </c>
      <c r="AB160" s="5">
        <v>127502935.85333601</v>
      </c>
      <c r="AC160" s="5">
        <v>114916823.482713</v>
      </c>
      <c r="AD160" s="5">
        <v>114799070.558943</v>
      </c>
      <c r="AE160" s="5">
        <v>120031361.44927999</v>
      </c>
      <c r="AF160" s="5">
        <v>119279141.89953101</v>
      </c>
      <c r="AG160">
        <f t="shared" si="9"/>
        <v>117256599.34761676</v>
      </c>
      <c r="AH160">
        <f t="shared" si="10"/>
        <v>2787112.1219090321</v>
      </c>
      <c r="AI160">
        <f t="shared" si="11"/>
        <v>2.3769341234657595E-2</v>
      </c>
    </row>
    <row r="161" spans="1:35" x14ac:dyDescent="0.45">
      <c r="A161" s="5" t="s">
        <v>156</v>
      </c>
      <c r="B161" s="2">
        <f t="shared" si="8"/>
        <v>4139595.7562692142</v>
      </c>
      <c r="C161" s="2">
        <v>3669966.00862141</v>
      </c>
      <c r="D161" s="2">
        <v>1.702095943606706E-2</v>
      </c>
      <c r="E161" s="5">
        <v>5130489.3304026704</v>
      </c>
      <c r="F161" s="5">
        <v>1415054.55122637</v>
      </c>
      <c r="G161" s="5">
        <v>1189080.1288014499</v>
      </c>
      <c r="H161" s="5">
        <v>3788336.6728816</v>
      </c>
      <c r="I161" s="5">
        <v>1743253.04889714</v>
      </c>
      <c r="J161" s="5">
        <v>1613785.0451545899</v>
      </c>
      <c r="K161" s="5">
        <v>7374353.36391572</v>
      </c>
      <c r="L161" s="5">
        <v>10249762.932553099</v>
      </c>
      <c r="M161" s="5">
        <v>2881594.0871265</v>
      </c>
      <c r="N161" s="5">
        <v>2606844.29793463</v>
      </c>
      <c r="O161" s="5">
        <v>2047776.5101636001</v>
      </c>
      <c r="P161" s="5">
        <v>1451597.0384080401</v>
      </c>
      <c r="Q161" s="5">
        <v>4419662.5938024698</v>
      </c>
      <c r="R161" s="5">
        <v>2337783.6585098198</v>
      </c>
      <c r="S161" s="5">
        <v>12829992.8183084</v>
      </c>
      <c r="T161" s="5">
        <v>4234972.2634910997</v>
      </c>
      <c r="U161" s="5">
        <v>926072.00688396394</v>
      </c>
      <c r="V161" s="5">
        <v>2052487.8449879501</v>
      </c>
      <c r="W161" s="5">
        <v>672058.26190769195</v>
      </c>
      <c r="X161" s="5">
        <v>952481.14751417201</v>
      </c>
      <c r="Y161" s="5">
        <v>2976511.8382938202</v>
      </c>
      <c r="Z161" s="5">
        <v>1049667.3459014101</v>
      </c>
      <c r="AA161" s="5">
        <v>16616322.566574199</v>
      </c>
      <c r="AB161" s="5">
        <v>8790358.7968207095</v>
      </c>
      <c r="AC161" s="5">
        <v>3725279.8776160702</v>
      </c>
      <c r="AD161" s="5">
        <v>3620282.7807576102</v>
      </c>
      <c r="AE161" s="5">
        <v>3611642.8842521198</v>
      </c>
      <c r="AF161" s="5">
        <v>3722658.4918598402</v>
      </c>
      <c r="AG161">
        <f t="shared" si="9"/>
        <v>3669966.00862141</v>
      </c>
      <c r="AH161">
        <f t="shared" si="10"/>
        <v>62466.342564489947</v>
      </c>
      <c r="AI161">
        <f t="shared" si="11"/>
        <v>1.702095943606706E-2</v>
      </c>
    </row>
    <row r="162" spans="1:35" x14ac:dyDescent="0.45">
      <c r="A162" s="5" t="s">
        <v>432</v>
      </c>
      <c r="B162" s="2">
        <f t="shared" si="8"/>
        <v>7562058.7598710125</v>
      </c>
      <c r="C162" s="2">
        <v>9142883.8155271579</v>
      </c>
      <c r="D162" s="2">
        <v>2.2721356122753365E-2</v>
      </c>
      <c r="E162" s="5">
        <v>114319.058285202</v>
      </c>
      <c r="F162" s="5">
        <v>275229.36752825201</v>
      </c>
      <c r="G162" s="5">
        <v>9565398.3890263103</v>
      </c>
      <c r="H162" s="5">
        <v>358181.78412646003</v>
      </c>
      <c r="I162" s="5">
        <v>23327840.998943999</v>
      </c>
      <c r="J162" s="5">
        <v>44478824.927307203</v>
      </c>
      <c r="K162" s="5">
        <v>351625.60720313998</v>
      </c>
      <c r="L162" s="5">
        <v>3021314.5713790599</v>
      </c>
      <c r="M162" s="5">
        <v>22879256.3322885</v>
      </c>
      <c r="N162" s="5">
        <v>73790.6747704265</v>
      </c>
      <c r="O162" s="5">
        <v>153543.21098820001</v>
      </c>
      <c r="P162" s="5">
        <v>174044.08620047299</v>
      </c>
      <c r="Q162" s="5">
        <v>15209017.9727249</v>
      </c>
      <c r="R162" s="5">
        <v>81098.640377666394</v>
      </c>
      <c r="S162" s="5">
        <v>6175633.6257402403</v>
      </c>
      <c r="T162" s="5">
        <v>138739.86813590801</v>
      </c>
      <c r="U162" s="5">
        <v>1659224.62708593</v>
      </c>
      <c r="V162" s="5">
        <v>8207267.0693665203</v>
      </c>
      <c r="W162" s="5">
        <v>85498.782784082097</v>
      </c>
      <c r="X162" s="5">
        <v>23953551.485709898</v>
      </c>
      <c r="Y162" s="5">
        <v>2027819.9851156699</v>
      </c>
      <c r="Z162" s="5">
        <v>6706107.5194054497</v>
      </c>
      <c r="AA162" s="5">
        <v>10764358.629491299</v>
      </c>
      <c r="AB162" s="5">
        <v>1707723.02291948</v>
      </c>
      <c r="AC162" s="5">
        <v>9130797.7447983399</v>
      </c>
      <c r="AD162" s="5">
        <v>8865802.4992952999</v>
      </c>
      <c r="AE162" s="5">
        <v>9214197.0901286192</v>
      </c>
      <c r="AF162" s="5">
        <v>9360737.9278863706</v>
      </c>
      <c r="AG162">
        <f t="shared" si="9"/>
        <v>9142883.8155271579</v>
      </c>
      <c r="AH162">
        <f t="shared" si="10"/>
        <v>207738.71916155063</v>
      </c>
      <c r="AI162">
        <f t="shared" si="11"/>
        <v>2.2721356122753365E-2</v>
      </c>
    </row>
    <row r="163" spans="1:35" x14ac:dyDescent="0.45">
      <c r="A163" s="5" t="s">
        <v>299</v>
      </c>
      <c r="B163" s="2">
        <f t="shared" si="8"/>
        <v>258730654.669058</v>
      </c>
      <c r="C163" s="2">
        <v>276126401.92767477</v>
      </c>
      <c r="D163" s="2">
        <v>3.1712588506084216E-2</v>
      </c>
      <c r="E163" s="5">
        <v>106701226.88316301</v>
      </c>
      <c r="F163" s="5">
        <v>94059921.715687096</v>
      </c>
      <c r="G163" s="5">
        <v>224495515.380624</v>
      </c>
      <c r="H163" s="5">
        <v>84115750.199458495</v>
      </c>
      <c r="I163" s="5">
        <v>246610405.51157501</v>
      </c>
      <c r="J163" s="5">
        <v>599809177.03420401</v>
      </c>
      <c r="K163" s="5">
        <v>77622871.113451704</v>
      </c>
      <c r="L163" s="5">
        <v>185820540.96911201</v>
      </c>
      <c r="M163" s="5">
        <v>376180619.03927702</v>
      </c>
      <c r="N163" s="5">
        <v>99971417.985643998</v>
      </c>
      <c r="O163" s="5">
        <v>72241197.738151103</v>
      </c>
      <c r="P163" s="5">
        <v>41479289.822878197</v>
      </c>
      <c r="Q163" s="5">
        <v>773499585.53151596</v>
      </c>
      <c r="R163" s="5">
        <v>73365135.058835402</v>
      </c>
      <c r="S163" s="5">
        <v>316871185.29827601</v>
      </c>
      <c r="T163" s="5">
        <v>618636281.81357098</v>
      </c>
      <c r="U163" s="5">
        <v>189192645.106924</v>
      </c>
      <c r="V163" s="5">
        <v>151565010.528483</v>
      </c>
      <c r="W163" s="5">
        <v>43975615.227279097</v>
      </c>
      <c r="X163" s="5">
        <v>743408766.58459401</v>
      </c>
      <c r="Y163" s="5">
        <v>106458037.207718</v>
      </c>
      <c r="Z163" s="5">
        <v>336442997.81894797</v>
      </c>
      <c r="AA163" s="5">
        <v>559782456.36326694</v>
      </c>
      <c r="AB163" s="5">
        <v>87230062.124756098</v>
      </c>
      <c r="AC163" s="5">
        <v>263082122.67020199</v>
      </c>
      <c r="AD163" s="5">
        <v>281533924.67399299</v>
      </c>
      <c r="AE163" s="5">
        <v>279083403.15153402</v>
      </c>
      <c r="AF163" s="5">
        <v>280806157.21496999</v>
      </c>
      <c r="AG163">
        <f t="shared" si="9"/>
        <v>276126401.92767477</v>
      </c>
      <c r="AH163">
        <f t="shared" si="10"/>
        <v>8756682.9599979687</v>
      </c>
      <c r="AI163">
        <f t="shared" si="11"/>
        <v>3.1712588506084216E-2</v>
      </c>
    </row>
    <row r="164" spans="1:35" x14ac:dyDescent="0.45">
      <c r="A164" s="5" t="s">
        <v>300</v>
      </c>
      <c r="B164" s="2">
        <f t="shared" si="8"/>
        <v>95896680.448267415</v>
      </c>
      <c r="C164" s="2">
        <v>72415919.333798274</v>
      </c>
      <c r="D164" s="2">
        <v>1.0003359029452468E-2</v>
      </c>
      <c r="E164" s="5">
        <v>3809423.1259321999</v>
      </c>
      <c r="F164" s="5">
        <v>190294036.87788999</v>
      </c>
      <c r="G164" s="5">
        <v>147813132.83189601</v>
      </c>
      <c r="H164" s="5">
        <v>4821618.6123129698</v>
      </c>
      <c r="I164" s="5">
        <v>75559441.408052906</v>
      </c>
      <c r="J164" s="5">
        <v>89718337.595692903</v>
      </c>
      <c r="K164" s="5">
        <v>161401529.41004899</v>
      </c>
      <c r="L164" s="5">
        <v>147792894.86549401</v>
      </c>
      <c r="M164" s="5">
        <v>2780454.8825531998</v>
      </c>
      <c r="N164" s="5">
        <v>123080526.933696</v>
      </c>
      <c r="O164" s="5">
        <v>10902662.3513826</v>
      </c>
      <c r="P164" s="5">
        <v>5237006.6203792701</v>
      </c>
      <c r="Q164" s="5">
        <v>104680949.742182</v>
      </c>
      <c r="R164" s="5">
        <v>174613761.518549</v>
      </c>
      <c r="S164" s="5">
        <v>162597987.13019499</v>
      </c>
      <c r="T164" s="5">
        <v>315110355.34034997</v>
      </c>
      <c r="U164" s="5">
        <v>3210586.1436117301</v>
      </c>
      <c r="V164" s="5">
        <v>3208353.6357055702</v>
      </c>
      <c r="W164" s="5">
        <v>234979375.96636999</v>
      </c>
      <c r="X164" s="5">
        <v>3368873.2043213402</v>
      </c>
      <c r="Y164" s="5">
        <v>29967736.686545402</v>
      </c>
      <c r="Z164" s="5">
        <v>160510760.63377199</v>
      </c>
      <c r="AA164" s="5">
        <v>53201345.563851103</v>
      </c>
      <c r="AB164" s="5">
        <v>92859179.677634105</v>
      </c>
      <c r="AC164" s="5">
        <v>71861699.475061402</v>
      </c>
      <c r="AD164" s="5">
        <v>71724777.087720394</v>
      </c>
      <c r="AE164" s="5">
        <v>73122194.780190706</v>
      </c>
      <c r="AF164" s="5">
        <v>72955005.992220595</v>
      </c>
      <c r="AG164">
        <f t="shared" si="9"/>
        <v>72415919.333798274</v>
      </c>
      <c r="AH164">
        <f t="shared" si="10"/>
        <v>724402.44054385251</v>
      </c>
      <c r="AI164">
        <f t="shared" si="11"/>
        <v>1.0003359029452468E-2</v>
      </c>
    </row>
    <row r="165" spans="1:35" x14ac:dyDescent="0.45">
      <c r="A165" s="5" t="s">
        <v>421</v>
      </c>
      <c r="B165" s="2">
        <f t="shared" si="8"/>
        <v>4800606.4363932079</v>
      </c>
      <c r="C165" s="2">
        <v>4071584.0525087574</v>
      </c>
      <c r="D165" s="2">
        <v>1.8251989651480539E-2</v>
      </c>
      <c r="E165" s="5">
        <v>6919349.0062267203</v>
      </c>
      <c r="F165" s="5">
        <v>222174.53980788399</v>
      </c>
      <c r="G165" s="5">
        <v>5616999.8084549103</v>
      </c>
      <c r="H165" s="5">
        <v>231060.465116509</v>
      </c>
      <c r="I165" s="5">
        <v>8077749.3306494802</v>
      </c>
      <c r="J165" s="5">
        <v>205741.30265812701</v>
      </c>
      <c r="K165" s="5">
        <v>6877973.0511318399</v>
      </c>
      <c r="L165" s="5">
        <v>7084868.2276572296</v>
      </c>
      <c r="M165" s="5">
        <v>3656927.2776865</v>
      </c>
      <c r="N165" s="5">
        <v>354510.24255611002</v>
      </c>
      <c r="O165" s="5">
        <v>10136457.357891999</v>
      </c>
      <c r="P165" s="5">
        <v>7131709.5638113096</v>
      </c>
      <c r="Q165" s="5">
        <v>5503369.2381302603</v>
      </c>
      <c r="R165" s="5">
        <v>193935.88625802301</v>
      </c>
      <c r="S165" s="5">
        <v>1128450.75660462</v>
      </c>
      <c r="T165" s="5">
        <v>7253721.2718449403</v>
      </c>
      <c r="U165" s="5">
        <v>6436702.6003649402</v>
      </c>
      <c r="V165" s="5">
        <v>382598.478720101</v>
      </c>
      <c r="W165" s="5">
        <v>11107690.900197599</v>
      </c>
      <c r="X165" s="5">
        <v>3956202.8962089098</v>
      </c>
      <c r="Y165" s="5">
        <v>5797595.6676907903</v>
      </c>
      <c r="Z165" s="5">
        <v>2359399.7458651899</v>
      </c>
      <c r="AA165" s="5">
        <v>6465986.94941804</v>
      </c>
      <c r="AB165" s="5">
        <v>8113379.9084849497</v>
      </c>
      <c r="AC165" s="5">
        <v>3961434.5743068</v>
      </c>
      <c r="AD165" s="5">
        <v>4118272.0864023999</v>
      </c>
      <c r="AE165" s="5">
        <v>4114305.26309552</v>
      </c>
      <c r="AF165" s="5">
        <v>4092324.2862303099</v>
      </c>
      <c r="AG165">
        <f t="shared" si="9"/>
        <v>4071584.0525087574</v>
      </c>
      <c r="AH165">
        <f t="shared" si="10"/>
        <v>74314.509991523038</v>
      </c>
      <c r="AI165">
        <f t="shared" si="11"/>
        <v>1.8251989651480539E-2</v>
      </c>
    </row>
    <row r="166" spans="1:35" x14ac:dyDescent="0.45">
      <c r="A166" s="5" t="s">
        <v>157</v>
      </c>
      <c r="B166" s="2">
        <f t="shared" si="8"/>
        <v>2024593.9261565171</v>
      </c>
      <c r="C166" s="2">
        <v>2371427.1621729075</v>
      </c>
      <c r="D166" s="2">
        <v>0.12807518732365761</v>
      </c>
      <c r="E166" s="5">
        <v>365209.22512598999</v>
      </c>
      <c r="F166" s="5">
        <v>1136797.68712862</v>
      </c>
      <c r="G166" s="5">
        <v>1132460.8545641699</v>
      </c>
      <c r="H166" s="5">
        <v>8421298.2894819602</v>
      </c>
      <c r="I166" s="5">
        <v>6678124.5601538597</v>
      </c>
      <c r="J166" s="5">
        <v>977266.12829022796</v>
      </c>
      <c r="K166" s="5">
        <v>330758.708853252</v>
      </c>
      <c r="L166" s="5">
        <v>618717.7980217</v>
      </c>
      <c r="M166" s="5">
        <v>609442.47205493599</v>
      </c>
      <c r="N166" s="5">
        <v>1364448.68569619</v>
      </c>
      <c r="O166" s="5">
        <v>5344862.5877796104</v>
      </c>
      <c r="P166" s="5">
        <v>1097356.0646586099</v>
      </c>
      <c r="Q166" s="5">
        <v>5029444.3844832899</v>
      </c>
      <c r="R166" s="5">
        <v>2204860.0751227401</v>
      </c>
      <c r="S166" s="5">
        <v>1389692.6549893799</v>
      </c>
      <c r="T166" s="5">
        <v>2551244.5068129702</v>
      </c>
      <c r="U166" s="5">
        <v>898518.337935791</v>
      </c>
      <c r="V166" s="5">
        <v>1003405.97677048</v>
      </c>
      <c r="W166" s="5">
        <v>1116623.46383354</v>
      </c>
      <c r="X166" s="5">
        <v>1135829.6432010999</v>
      </c>
      <c r="Y166" s="5">
        <v>924153.11957957398</v>
      </c>
      <c r="Z166" s="5">
        <v>2046401.78518109</v>
      </c>
      <c r="AA166" s="5">
        <v>1494690.43059435</v>
      </c>
      <c r="AB166" s="5">
        <v>718646.78744297905</v>
      </c>
      <c r="AC166" s="5">
        <v>2210953.3694967702</v>
      </c>
      <c r="AD166" s="5">
        <v>2437211.6541851298</v>
      </c>
      <c r="AE166" s="5">
        <v>2070794.20682279</v>
      </c>
      <c r="AF166" s="5">
        <v>2766749.4181869398</v>
      </c>
      <c r="AG166">
        <f t="shared" si="9"/>
        <v>2371427.1621729075</v>
      </c>
      <c r="AH166">
        <f t="shared" si="10"/>
        <v>303720.97801970493</v>
      </c>
      <c r="AI166">
        <f t="shared" si="11"/>
        <v>0.12807518732365761</v>
      </c>
    </row>
    <row r="167" spans="1:35" x14ac:dyDescent="0.45">
      <c r="A167" s="5" t="s">
        <v>301</v>
      </c>
      <c r="B167" s="2">
        <f t="shared" si="8"/>
        <v>2138258991.5007803</v>
      </c>
      <c r="C167" s="2">
        <v>1712712758.2386327</v>
      </c>
      <c r="D167" s="2">
        <v>5.0425972183733334E-2</v>
      </c>
      <c r="E167" s="5">
        <v>2451990618.03687</v>
      </c>
      <c r="F167" s="5">
        <v>1723433587.1475101</v>
      </c>
      <c r="G167" s="5">
        <v>2287392792.3871198</v>
      </c>
      <c r="H167" s="5">
        <v>2310397155.3317199</v>
      </c>
      <c r="I167" s="5">
        <v>960920524.85677397</v>
      </c>
      <c r="J167" s="5">
        <v>1291442850.2642701</v>
      </c>
      <c r="K167" s="5">
        <v>2288663970.23278</v>
      </c>
      <c r="L167" s="5">
        <v>993450977.35400796</v>
      </c>
      <c r="M167" s="5">
        <v>1894325909.5174699</v>
      </c>
      <c r="N167" s="5">
        <v>2057848405.3525901</v>
      </c>
      <c r="O167" s="5">
        <v>4600991152.2298803</v>
      </c>
      <c r="P167" s="5">
        <v>2729842426.65411</v>
      </c>
      <c r="Q167" s="5">
        <v>1762567788.7558401</v>
      </c>
      <c r="R167" s="5">
        <v>2055286919.65851</v>
      </c>
      <c r="S167" s="5">
        <v>2791571129.0799899</v>
      </c>
      <c r="T167" s="5">
        <v>3563394258.9503798</v>
      </c>
      <c r="U167" s="5">
        <v>1875309362.0452399</v>
      </c>
      <c r="V167" s="5">
        <v>1764872189.9246399</v>
      </c>
      <c r="W167" s="5">
        <v>3000086973.9067302</v>
      </c>
      <c r="X167" s="5">
        <v>2025714305.46138</v>
      </c>
      <c r="Y167" s="5">
        <v>1409543698.3234401</v>
      </c>
      <c r="Z167" s="5">
        <v>2027229903.7987399</v>
      </c>
      <c r="AA167" s="5">
        <v>1723084294.57739</v>
      </c>
      <c r="AB167" s="5">
        <v>1728854602.17135</v>
      </c>
      <c r="AC167" s="5">
        <v>1614783716.2688701</v>
      </c>
      <c r="AD167" s="5">
        <v>1670905919.80439</v>
      </c>
      <c r="AE167" s="5">
        <v>1757323231.85884</v>
      </c>
      <c r="AF167" s="5">
        <v>1807838165.0224299</v>
      </c>
      <c r="AG167">
        <f t="shared" si="9"/>
        <v>1712712758.2386327</v>
      </c>
      <c r="AH167">
        <f t="shared" si="10"/>
        <v>86365205.905666485</v>
      </c>
      <c r="AI167">
        <f t="shared" si="11"/>
        <v>5.0425972183733334E-2</v>
      </c>
    </row>
    <row r="168" spans="1:35" x14ac:dyDescent="0.45">
      <c r="A168" s="5" t="s">
        <v>302</v>
      </c>
      <c r="B168" s="2">
        <f t="shared" si="8"/>
        <v>104734642.56149749</v>
      </c>
      <c r="C168" s="2">
        <v>96911821.976068392</v>
      </c>
      <c r="D168" s="2">
        <v>5.4474095967469188E-2</v>
      </c>
      <c r="E168" s="5">
        <v>94578588.339965895</v>
      </c>
      <c r="F168" s="5">
        <v>171913212.81560701</v>
      </c>
      <c r="G168" s="5">
        <v>138340889.494122</v>
      </c>
      <c r="H168" s="5">
        <v>238415048.56484801</v>
      </c>
      <c r="I168" s="5">
        <v>29602689.823694199</v>
      </c>
      <c r="J168" s="5">
        <v>65502279.693009898</v>
      </c>
      <c r="K168" s="5">
        <v>55377962.997670099</v>
      </c>
      <c r="L168" s="5">
        <v>91855307.730006203</v>
      </c>
      <c r="M168" s="5">
        <v>53802926.7375113</v>
      </c>
      <c r="N168" s="5">
        <v>159857193.71643299</v>
      </c>
      <c r="O168" s="5">
        <v>123157544.03667501</v>
      </c>
      <c r="P168" s="5">
        <v>89527559.691554099</v>
      </c>
      <c r="Q168" s="5">
        <v>22350109.521690499</v>
      </c>
      <c r="R168" s="5">
        <v>237693399.898386</v>
      </c>
      <c r="S168" s="5">
        <v>54291064.181815401</v>
      </c>
      <c r="T168" s="5">
        <v>292538514.17513001</v>
      </c>
      <c r="U168" s="5">
        <v>85631895.708868399</v>
      </c>
      <c r="V168" s="5">
        <v>125956105.979488</v>
      </c>
      <c r="W168" s="5">
        <v>90967673.499359399</v>
      </c>
      <c r="X168" s="5">
        <v>47895018.220411301</v>
      </c>
      <c r="Y168" s="5">
        <v>28053100.606192</v>
      </c>
      <c r="Z168" s="5">
        <v>172928548.55035099</v>
      </c>
      <c r="AA168" s="5">
        <v>17658173.197411198</v>
      </c>
      <c r="AB168" s="5">
        <v>25736614.295739599</v>
      </c>
      <c r="AC168" s="5">
        <v>91386209.311955601</v>
      </c>
      <c r="AD168" s="5">
        <v>93716726.853951499</v>
      </c>
      <c r="AE168" s="5">
        <v>102828284.373772</v>
      </c>
      <c r="AF168" s="5">
        <v>99716067.364594504</v>
      </c>
      <c r="AG168">
        <f t="shared" si="9"/>
        <v>96911821.976068392</v>
      </c>
      <c r="AH168">
        <f t="shared" si="10"/>
        <v>5279183.8907066388</v>
      </c>
      <c r="AI168">
        <f t="shared" si="11"/>
        <v>5.4474095967469188E-2</v>
      </c>
    </row>
    <row r="169" spans="1:35" x14ac:dyDescent="0.45">
      <c r="A169" s="5" t="s">
        <v>158</v>
      </c>
      <c r="B169" s="2">
        <f t="shared" si="8"/>
        <v>434271710.5541997</v>
      </c>
      <c r="C169" s="2">
        <v>397767673.56142199</v>
      </c>
      <c r="D169" s="2">
        <v>2.0325026119316296E-2</v>
      </c>
      <c r="E169" s="5">
        <v>143653445.67126301</v>
      </c>
      <c r="F169" s="5">
        <v>123816917.36600199</v>
      </c>
      <c r="G169" s="5">
        <v>537204854.72363806</v>
      </c>
      <c r="H169" s="5">
        <v>77148814.628401101</v>
      </c>
      <c r="I169" s="5">
        <v>432590069.10554898</v>
      </c>
      <c r="J169" s="5">
        <v>501127817.093548</v>
      </c>
      <c r="K169" s="5">
        <v>149917000.74838901</v>
      </c>
      <c r="L169" s="5">
        <v>796282006.26871395</v>
      </c>
      <c r="M169" s="5">
        <v>374677393.22797</v>
      </c>
      <c r="N169" s="5">
        <v>1108206426.4821</v>
      </c>
      <c r="O169" s="5">
        <v>421703668.62183601</v>
      </c>
      <c r="P169" s="5">
        <v>185760175.56955001</v>
      </c>
      <c r="Q169" s="5">
        <v>430873778.50981402</v>
      </c>
      <c r="R169" s="5">
        <v>900954857.54124904</v>
      </c>
      <c r="S169" s="5">
        <v>295109901.25659001</v>
      </c>
      <c r="T169" s="5">
        <v>102257289.76386701</v>
      </c>
      <c r="U169" s="5">
        <v>116845150.90026499</v>
      </c>
      <c r="V169" s="5">
        <v>1082417072.09497</v>
      </c>
      <c r="W169" s="5">
        <v>183574206.05712801</v>
      </c>
      <c r="X169" s="5">
        <v>384989896.84358698</v>
      </c>
      <c r="Y169" s="5">
        <v>325343654.41052097</v>
      </c>
      <c r="Z169" s="5">
        <v>801700616.75952601</v>
      </c>
      <c r="AA169" s="5">
        <v>310403339.63001198</v>
      </c>
      <c r="AB169" s="5">
        <v>635962700.02630496</v>
      </c>
      <c r="AC169" s="5">
        <v>407623621.99184698</v>
      </c>
      <c r="AD169" s="5">
        <v>394603454.598041</v>
      </c>
      <c r="AE169" s="5">
        <v>388653684.816127</v>
      </c>
      <c r="AF169" s="5">
        <v>400189932.83967298</v>
      </c>
      <c r="AG169">
        <f t="shared" si="9"/>
        <v>397767673.56142199</v>
      </c>
      <c r="AH169">
        <f t="shared" si="10"/>
        <v>8084638.3545555798</v>
      </c>
      <c r="AI169">
        <f t="shared" si="11"/>
        <v>2.0325026119316296E-2</v>
      </c>
    </row>
    <row r="170" spans="1:35" x14ac:dyDescent="0.45">
      <c r="A170" s="5" t="s">
        <v>159</v>
      </c>
      <c r="B170" s="2">
        <f t="shared" si="8"/>
        <v>113080987.49919362</v>
      </c>
      <c r="C170" s="2">
        <v>91682100.53285113</v>
      </c>
      <c r="D170" s="2">
        <v>1.8125570965020862E-2</v>
      </c>
      <c r="E170" s="5">
        <v>29169400.828855701</v>
      </c>
      <c r="F170" s="5">
        <v>63824507.826416299</v>
      </c>
      <c r="G170" s="5">
        <v>79387541.212408096</v>
      </c>
      <c r="H170" s="5">
        <v>105470139.215535</v>
      </c>
      <c r="I170" s="5">
        <v>76137095.847542003</v>
      </c>
      <c r="J170" s="5">
        <v>76742743.531216696</v>
      </c>
      <c r="K170" s="5">
        <v>14554728.059767099</v>
      </c>
      <c r="L170" s="5">
        <v>57654111.1136868</v>
      </c>
      <c r="M170" s="5">
        <v>30177600.8956782</v>
      </c>
      <c r="N170" s="5">
        <v>46277492.465689003</v>
      </c>
      <c r="O170" s="5">
        <v>883911974.336887</v>
      </c>
      <c r="P170" s="5">
        <v>49464715.0842098</v>
      </c>
      <c r="Q170" s="5">
        <v>113921038.74304</v>
      </c>
      <c r="R170" s="5">
        <v>29876417.421340801</v>
      </c>
      <c r="S170" s="5">
        <v>19213248.262128301</v>
      </c>
      <c r="T170" s="5">
        <v>566567445.57707405</v>
      </c>
      <c r="U170" s="5">
        <v>37692661.7582701</v>
      </c>
      <c r="V170" s="5">
        <v>94453164.566613898</v>
      </c>
      <c r="W170" s="5">
        <v>47203332.714318797</v>
      </c>
      <c r="X170" s="5">
        <v>58259791.385156803</v>
      </c>
      <c r="Y170" s="5">
        <v>78289220.705428407</v>
      </c>
      <c r="Z170" s="5">
        <v>61676441.316948302</v>
      </c>
      <c r="AA170" s="5">
        <v>27903031.0717628</v>
      </c>
      <c r="AB170" s="5">
        <v>66115856.040672101</v>
      </c>
      <c r="AC170" s="5">
        <v>91336676.966865003</v>
      </c>
      <c r="AD170" s="5">
        <v>93855421.563721403</v>
      </c>
      <c r="AE170" s="5">
        <v>89827036.536452204</v>
      </c>
      <c r="AF170" s="5">
        <v>91709267.064365894</v>
      </c>
      <c r="AG170">
        <f t="shared" si="9"/>
        <v>91682100.53285113</v>
      </c>
      <c r="AH170">
        <f t="shared" si="10"/>
        <v>1661790.4194303702</v>
      </c>
      <c r="AI170">
        <f t="shared" si="11"/>
        <v>1.8125570965020862E-2</v>
      </c>
    </row>
    <row r="171" spans="1:35" x14ac:dyDescent="0.45">
      <c r="A171" s="5" t="s">
        <v>160</v>
      </c>
      <c r="B171" s="2">
        <f t="shared" si="8"/>
        <v>90154935.396202251</v>
      </c>
      <c r="C171" s="2">
        <v>66358813.359588683</v>
      </c>
      <c r="D171" s="2">
        <v>1.926078931187284E-2</v>
      </c>
      <c r="E171" s="5">
        <v>4172327.0472266502</v>
      </c>
      <c r="F171" s="5">
        <v>2566672.3720950601</v>
      </c>
      <c r="G171" s="5">
        <v>3907285.51155979</v>
      </c>
      <c r="H171" s="5">
        <v>561497521.06348097</v>
      </c>
      <c r="I171" s="5">
        <v>24116333.896161899</v>
      </c>
      <c r="J171" s="5">
        <v>40927029.868926503</v>
      </c>
      <c r="K171" s="5">
        <v>7323916.4823440602</v>
      </c>
      <c r="L171" s="5">
        <v>439825690.81707698</v>
      </c>
      <c r="M171" s="5">
        <v>15068831.969387701</v>
      </c>
      <c r="N171" s="5">
        <v>9297593.4186210297</v>
      </c>
      <c r="O171" s="5">
        <v>353166586.72839302</v>
      </c>
      <c r="P171" s="5">
        <v>16317220.6068724</v>
      </c>
      <c r="Q171" s="5">
        <v>24080572.3093188</v>
      </c>
      <c r="R171" s="5">
        <v>15008114.8393162</v>
      </c>
      <c r="S171" s="5">
        <v>9324301.8435953092</v>
      </c>
      <c r="T171" s="5">
        <v>30658888.747025698</v>
      </c>
      <c r="U171" s="5">
        <v>13746510.891649</v>
      </c>
      <c r="V171" s="5">
        <v>3077903.05849603</v>
      </c>
      <c r="W171" s="5">
        <v>9932533.9762620796</v>
      </c>
      <c r="X171" s="5">
        <v>15165938.3211309</v>
      </c>
      <c r="Y171" s="5">
        <v>4930845.02722596</v>
      </c>
      <c r="Z171" s="5">
        <v>16320006.3143549</v>
      </c>
      <c r="AA171" s="5">
        <v>12268041.2370867</v>
      </c>
      <c r="AB171" s="5">
        <v>531017783.161246</v>
      </c>
      <c r="AC171" s="5">
        <v>66833040.0505784</v>
      </c>
      <c r="AD171" s="5">
        <v>64504092.560980603</v>
      </c>
      <c r="AE171" s="5">
        <v>66672872.981639698</v>
      </c>
      <c r="AF171" s="5">
        <v>67425247.845155999</v>
      </c>
      <c r="AG171">
        <f t="shared" si="9"/>
        <v>66358813.359588683</v>
      </c>
      <c r="AH171">
        <f t="shared" si="10"/>
        <v>1278123.1231049304</v>
      </c>
      <c r="AI171">
        <f t="shared" si="11"/>
        <v>1.926078931187284E-2</v>
      </c>
    </row>
    <row r="172" spans="1:35" x14ac:dyDescent="0.45">
      <c r="A172" s="5" t="s">
        <v>161</v>
      </c>
      <c r="B172" s="2">
        <f t="shared" si="8"/>
        <v>20448590.621584531</v>
      </c>
      <c r="C172" s="2">
        <v>11045182.738623625</v>
      </c>
      <c r="D172" s="2">
        <v>3.6040401656373969E-2</v>
      </c>
      <c r="E172" s="5">
        <v>6099486.8295192504</v>
      </c>
      <c r="F172" s="5">
        <v>12618836.580674799</v>
      </c>
      <c r="G172" s="5">
        <v>59865548.955149896</v>
      </c>
      <c r="H172" s="5">
        <v>4790205.48111213</v>
      </c>
      <c r="I172" s="5">
        <v>11811378.3842477</v>
      </c>
      <c r="J172" s="5">
        <v>22780633.117740098</v>
      </c>
      <c r="K172" s="5">
        <v>7025783.7186874896</v>
      </c>
      <c r="L172" s="5">
        <v>5517445.8400419904</v>
      </c>
      <c r="M172" s="5">
        <v>8579929.4566822406</v>
      </c>
      <c r="N172" s="5">
        <v>10767169.8115998</v>
      </c>
      <c r="O172" s="5">
        <v>70555243.860593498</v>
      </c>
      <c r="P172" s="5">
        <v>4101448.6544214101</v>
      </c>
      <c r="Q172" s="5">
        <v>8726070.7553752605</v>
      </c>
      <c r="R172" s="5">
        <v>49550743.2374494</v>
      </c>
      <c r="S172" s="5">
        <v>7578128.0319704302</v>
      </c>
      <c r="T172" s="5">
        <v>97491235.301427498</v>
      </c>
      <c r="U172" s="5">
        <v>6813274.5859824196</v>
      </c>
      <c r="V172" s="5">
        <v>7977470.99241322</v>
      </c>
      <c r="W172" s="5">
        <v>1336867.5978586599</v>
      </c>
      <c r="X172" s="5">
        <v>5604112.0686295703</v>
      </c>
      <c r="Y172" s="5">
        <v>11805708.8699053</v>
      </c>
      <c r="Z172" s="5">
        <v>64472179.626172997</v>
      </c>
      <c r="AA172" s="5">
        <v>1803123.85220924</v>
      </c>
      <c r="AB172" s="5">
        <v>3094149.3081644201</v>
      </c>
      <c r="AC172" s="5">
        <v>10901865.310183199</v>
      </c>
      <c r="AD172" s="5">
        <v>11312617.687618</v>
      </c>
      <c r="AE172" s="5">
        <v>10549752.314071801</v>
      </c>
      <c r="AF172" s="5">
        <v>11416495.6426215</v>
      </c>
      <c r="AG172">
        <f t="shared" si="9"/>
        <v>11045182.738623625</v>
      </c>
      <c r="AH172">
        <f t="shared" si="10"/>
        <v>398072.82226804405</v>
      </c>
      <c r="AI172">
        <f t="shared" si="11"/>
        <v>3.6040401656373969E-2</v>
      </c>
    </row>
    <row r="173" spans="1:35" x14ac:dyDescent="0.45">
      <c r="A173" s="5" t="s">
        <v>162</v>
      </c>
      <c r="B173" s="2">
        <f t="shared" si="8"/>
        <v>407213853.03856254</v>
      </c>
      <c r="C173" s="2">
        <v>267676611.32265401</v>
      </c>
      <c r="D173" s="2">
        <v>1.5533543378446276E-2</v>
      </c>
      <c r="E173" s="5">
        <v>97690414.275743499</v>
      </c>
      <c r="F173" s="5">
        <v>89270423.180948406</v>
      </c>
      <c r="G173" s="5">
        <v>346000748.65098298</v>
      </c>
      <c r="H173" s="5">
        <v>1486452722.37672</v>
      </c>
      <c r="I173" s="5">
        <v>56242995.050843</v>
      </c>
      <c r="J173" s="5">
        <v>68773166.122052103</v>
      </c>
      <c r="K173" s="5">
        <v>28484886.580816701</v>
      </c>
      <c r="L173" s="5">
        <v>34555731.8141964</v>
      </c>
      <c r="M173" s="5">
        <v>76168502.024618506</v>
      </c>
      <c r="N173" s="5">
        <v>72240626.997402996</v>
      </c>
      <c r="O173" s="5">
        <v>2250836104.9179502</v>
      </c>
      <c r="P173" s="5">
        <v>1880711743.22925</v>
      </c>
      <c r="Q173" s="5">
        <v>225076072.48459199</v>
      </c>
      <c r="R173" s="5">
        <v>109927608.08922</v>
      </c>
      <c r="S173" s="5">
        <v>29408377.262931801</v>
      </c>
      <c r="T173" s="5">
        <v>408854108.23367703</v>
      </c>
      <c r="U173" s="5">
        <v>160445882.601585</v>
      </c>
      <c r="V173" s="5">
        <v>97708631.4261612</v>
      </c>
      <c r="W173" s="5">
        <v>556516037.63009202</v>
      </c>
      <c r="X173" s="5">
        <v>1206823314.2383201</v>
      </c>
      <c r="Y173" s="5">
        <v>121861428.238066</v>
      </c>
      <c r="Z173" s="5">
        <v>337236746.92815298</v>
      </c>
      <c r="AA173" s="5">
        <v>7593693.31811391</v>
      </c>
      <c r="AB173" s="5">
        <v>24252507.253065199</v>
      </c>
      <c r="AC173" s="5">
        <v>269425918.35375601</v>
      </c>
      <c r="AD173" s="5">
        <v>261935957.54201201</v>
      </c>
      <c r="AE173" s="5">
        <v>267686655.73701301</v>
      </c>
      <c r="AF173" s="5">
        <v>271657913.65783501</v>
      </c>
      <c r="AG173">
        <f t="shared" si="9"/>
        <v>267676611.32265401</v>
      </c>
      <c r="AH173">
        <f t="shared" si="10"/>
        <v>4157966.2533759498</v>
      </c>
      <c r="AI173">
        <f t="shared" si="11"/>
        <v>1.5533543378446276E-2</v>
      </c>
    </row>
    <row r="174" spans="1:35" x14ac:dyDescent="0.45">
      <c r="A174" s="5" t="s">
        <v>163</v>
      </c>
      <c r="B174" s="2">
        <f t="shared" si="8"/>
        <v>9512513.826384142</v>
      </c>
      <c r="C174" s="2">
        <v>11130761.516227175</v>
      </c>
      <c r="D174" s="2">
        <v>5.9701059986573143E-2</v>
      </c>
      <c r="E174" s="5">
        <v>8368795.7435516603</v>
      </c>
      <c r="F174" s="5">
        <v>10950922.2128218</v>
      </c>
      <c r="G174" s="5">
        <v>11531938.284267001</v>
      </c>
      <c r="H174" s="5">
        <v>3896738.6327172099</v>
      </c>
      <c r="I174" s="5">
        <v>9904352.97664221</v>
      </c>
      <c r="J174" s="5">
        <v>11013303.662230499</v>
      </c>
      <c r="K174" s="5">
        <v>14657980.692975501</v>
      </c>
      <c r="L174" s="5">
        <v>9687540.8864301201</v>
      </c>
      <c r="M174" s="5">
        <v>10093216.5548917</v>
      </c>
      <c r="N174" s="5">
        <v>12439201.0343512</v>
      </c>
      <c r="O174" s="5">
        <v>4225201.0045399005</v>
      </c>
      <c r="P174" s="5">
        <v>12912025.1830339</v>
      </c>
      <c r="Q174" s="5">
        <v>7114591.5787006002</v>
      </c>
      <c r="R174" s="5">
        <v>6395694.9724395499</v>
      </c>
      <c r="S174" s="5">
        <v>7452923.6085952502</v>
      </c>
      <c r="T174" s="5">
        <v>13583182.6083668</v>
      </c>
      <c r="U174" s="5">
        <v>5407254.2591290604</v>
      </c>
      <c r="V174" s="5">
        <v>13271504.504594</v>
      </c>
      <c r="W174" s="5">
        <v>7959895.0851014899</v>
      </c>
      <c r="X174" s="5">
        <v>10880541.4582808</v>
      </c>
      <c r="Y174" s="5">
        <v>6765162.3127646102</v>
      </c>
      <c r="Z174" s="5">
        <v>12319311.119025899</v>
      </c>
      <c r="AA174" s="5">
        <v>9280782.9431039393</v>
      </c>
      <c r="AB174" s="5">
        <v>8188270.5146647301</v>
      </c>
      <c r="AC174" s="5">
        <v>10168066.3555244</v>
      </c>
      <c r="AD174" s="5">
        <v>11218009.269606501</v>
      </c>
      <c r="AE174" s="5">
        <v>11508671.6214818</v>
      </c>
      <c r="AF174" s="5">
        <v>11628298.818296</v>
      </c>
      <c r="AG174">
        <f t="shared" si="9"/>
        <v>11130761.516227175</v>
      </c>
      <c r="AH174">
        <f t="shared" si="10"/>
        <v>664518.26097651839</v>
      </c>
      <c r="AI174">
        <f t="shared" si="11"/>
        <v>5.9701059986573143E-2</v>
      </c>
    </row>
    <row r="175" spans="1:35" x14ac:dyDescent="0.45">
      <c r="A175" s="5" t="s">
        <v>164</v>
      </c>
      <c r="B175" s="2">
        <f t="shared" si="8"/>
        <v>32047437.853953544</v>
      </c>
      <c r="C175" s="2">
        <v>33757474.119385153</v>
      </c>
      <c r="D175" s="2">
        <v>1.7888526310275911E-2</v>
      </c>
      <c r="E175" s="5">
        <v>30407282.618069101</v>
      </c>
      <c r="F175" s="5">
        <v>23524541.631284401</v>
      </c>
      <c r="G175" s="5">
        <v>21668802.145936001</v>
      </c>
      <c r="H175" s="5">
        <v>8618065.2728543896</v>
      </c>
      <c r="I175" s="5">
        <v>42971265.497865401</v>
      </c>
      <c r="J175" s="5">
        <v>39299418.375505701</v>
      </c>
      <c r="K175" s="5">
        <v>24752415.103830799</v>
      </c>
      <c r="L175" s="5">
        <v>36563067.129654497</v>
      </c>
      <c r="M175" s="5">
        <v>55716042.020910203</v>
      </c>
      <c r="N175" s="5">
        <v>22267062.1829211</v>
      </c>
      <c r="O175" s="5">
        <v>5634533.2848068597</v>
      </c>
      <c r="P175" s="5">
        <v>14082911.752382999</v>
      </c>
      <c r="Q175" s="5">
        <v>96904455.040275604</v>
      </c>
      <c r="R175" s="5">
        <v>14155481.824445499</v>
      </c>
      <c r="S175" s="5">
        <v>38556696.658779301</v>
      </c>
      <c r="T175" s="5">
        <v>15566583.003115401</v>
      </c>
      <c r="U175" s="5">
        <v>35618394.913225599</v>
      </c>
      <c r="V175" s="5">
        <v>32395829.7953071</v>
      </c>
      <c r="W175" s="5">
        <v>21370567.065714799</v>
      </c>
      <c r="X175" s="5">
        <v>20296812.173290901</v>
      </c>
      <c r="Y175" s="5">
        <v>52634604.859099798</v>
      </c>
      <c r="Z175" s="5">
        <v>28151347.113702599</v>
      </c>
      <c r="AA175" s="5">
        <v>52005529.655014597</v>
      </c>
      <c r="AB175" s="5">
        <v>35976799.3768925</v>
      </c>
      <c r="AC175" s="5">
        <v>34564449.725120798</v>
      </c>
      <c r="AD175" s="5">
        <v>33292661.449818801</v>
      </c>
      <c r="AE175" s="5">
        <v>33876378.902220003</v>
      </c>
      <c r="AF175" s="5">
        <v>33296406.400380999</v>
      </c>
      <c r="AG175">
        <f t="shared" si="9"/>
        <v>33757474.119385153</v>
      </c>
      <c r="AH175">
        <f t="shared" si="10"/>
        <v>603871.46395307942</v>
      </c>
      <c r="AI175">
        <f t="shared" si="11"/>
        <v>1.7888526310275911E-2</v>
      </c>
    </row>
    <row r="176" spans="1:35" x14ac:dyDescent="0.45">
      <c r="A176" s="5" t="s">
        <v>303</v>
      </c>
      <c r="B176" s="2">
        <f t="shared" si="8"/>
        <v>297674002.22184896</v>
      </c>
      <c r="C176" s="2">
        <v>229760717.81690574</v>
      </c>
      <c r="D176" s="2">
        <v>2.7136718936940789E-2</v>
      </c>
      <c r="E176" s="5">
        <v>32886200.2968277</v>
      </c>
      <c r="F176" s="5">
        <v>113877929.13604701</v>
      </c>
      <c r="G176" s="5">
        <v>20111864.473609701</v>
      </c>
      <c r="H176" s="5">
        <v>2859890614.6259599</v>
      </c>
      <c r="I176" s="5">
        <v>198329321.43146199</v>
      </c>
      <c r="J176" s="5">
        <v>189288011.58672899</v>
      </c>
      <c r="K176" s="5">
        <v>49687463.237017699</v>
      </c>
      <c r="L176" s="5">
        <v>61979572.591660403</v>
      </c>
      <c r="M176" s="5">
        <v>140927542.65369499</v>
      </c>
      <c r="N176" s="5">
        <v>31257763.119198099</v>
      </c>
      <c r="O176" s="5">
        <v>1484422132.8132</v>
      </c>
      <c r="P176" s="5">
        <v>88915318.344445094</v>
      </c>
      <c r="Q176" s="5">
        <v>326423973.77891499</v>
      </c>
      <c r="R176" s="5">
        <v>71884140.686262503</v>
      </c>
      <c r="S176" s="5">
        <v>34744884.377998002</v>
      </c>
      <c r="T176" s="5">
        <v>746237623.27300596</v>
      </c>
      <c r="U176" s="5">
        <v>50800679.317159802</v>
      </c>
      <c r="V176" s="5">
        <v>206341122.270863</v>
      </c>
      <c r="W176" s="5">
        <v>17624515.915739801</v>
      </c>
      <c r="X176" s="5">
        <v>200274024.113731</v>
      </c>
      <c r="Y176" s="5">
        <v>52045399.058920197</v>
      </c>
      <c r="Z176" s="5">
        <v>129105621.17337701</v>
      </c>
      <c r="AA176" s="5">
        <v>22380567.579616498</v>
      </c>
      <c r="AB176" s="5">
        <v>14739767.468935199</v>
      </c>
      <c r="AC176" s="5">
        <v>225005231.77827501</v>
      </c>
      <c r="AD176" s="5">
        <v>225212233.71487501</v>
      </c>
      <c r="AE176" s="5">
        <v>238288176.72124901</v>
      </c>
      <c r="AF176" s="5">
        <v>230537229.053224</v>
      </c>
      <c r="AG176">
        <f t="shared" si="9"/>
        <v>229760717.81690574</v>
      </c>
      <c r="AH176">
        <f t="shared" si="10"/>
        <v>6234952.0221471349</v>
      </c>
      <c r="AI176">
        <f t="shared" si="11"/>
        <v>2.7136718936940789E-2</v>
      </c>
    </row>
    <row r="177" spans="1:35" x14ac:dyDescent="0.45">
      <c r="A177" s="5" t="s">
        <v>422</v>
      </c>
      <c r="B177" s="2">
        <f t="shared" si="8"/>
        <v>11230177.920357028</v>
      </c>
      <c r="C177" s="2">
        <v>11900523.99831</v>
      </c>
      <c r="D177" s="2">
        <v>0.10417244067069847</v>
      </c>
      <c r="E177" s="5">
        <v>4095532.7867823602</v>
      </c>
      <c r="F177" s="5">
        <v>8759992.9321022406</v>
      </c>
      <c r="G177" s="5">
        <v>19311057.209111001</v>
      </c>
      <c r="H177" s="5">
        <v>8859363.4922087006</v>
      </c>
      <c r="I177" s="5">
        <v>19422744.572251201</v>
      </c>
      <c r="J177" s="5">
        <v>15165895.351131</v>
      </c>
      <c r="K177" s="5">
        <v>4862493.0840678001</v>
      </c>
      <c r="L177" s="5">
        <v>6783147.6719338698</v>
      </c>
      <c r="M177" s="5">
        <v>19006533.750686999</v>
      </c>
      <c r="N177" s="5">
        <v>5565457.6235826202</v>
      </c>
      <c r="O177" s="5">
        <v>14682668.570252599</v>
      </c>
      <c r="P177" s="5">
        <v>6864898.9650800796</v>
      </c>
      <c r="Q177" s="5">
        <v>20232905.187661499</v>
      </c>
      <c r="R177" s="5">
        <v>8281091.1964535499</v>
      </c>
      <c r="S177" s="5">
        <v>7746392.6739130802</v>
      </c>
      <c r="T177" s="5">
        <v>11202523.3611132</v>
      </c>
      <c r="U177" s="5">
        <v>12283764.560276801</v>
      </c>
      <c r="V177" s="5">
        <v>11546891.846594401</v>
      </c>
      <c r="W177" s="5">
        <v>7410438.6384140104</v>
      </c>
      <c r="X177" s="5">
        <v>5927468.1142358696</v>
      </c>
      <c r="Y177" s="5">
        <v>13020647.6152294</v>
      </c>
      <c r="Z177" s="5">
        <v>13953536.252717201</v>
      </c>
      <c r="AA177" s="5">
        <v>11471178.816630101</v>
      </c>
      <c r="AB177" s="5">
        <v>13067645.8161391</v>
      </c>
      <c r="AC177" s="5">
        <v>11434132.413247099</v>
      </c>
      <c r="AD177" s="5">
        <v>12705822.4745022</v>
      </c>
      <c r="AE177" s="5">
        <v>13088855.863429001</v>
      </c>
      <c r="AF177" s="5">
        <v>10373285.242061701</v>
      </c>
      <c r="AG177">
        <f t="shared" si="9"/>
        <v>11900523.99831</v>
      </c>
      <c r="AH177">
        <f t="shared" si="10"/>
        <v>1239706.6301641718</v>
      </c>
      <c r="AI177">
        <f t="shared" si="11"/>
        <v>0.10417244067069847</v>
      </c>
    </row>
    <row r="178" spans="1:35" x14ac:dyDescent="0.45">
      <c r="A178" s="5" t="s">
        <v>433</v>
      </c>
      <c r="B178" s="2">
        <f t="shared" si="8"/>
        <v>42067147.76567515</v>
      </c>
      <c r="C178" s="2">
        <v>28221404.246568572</v>
      </c>
      <c r="D178" s="2">
        <v>1.3783897064677314E-2</v>
      </c>
      <c r="E178" s="5">
        <v>320824.79851559701</v>
      </c>
      <c r="F178" s="5">
        <v>342449.434193769</v>
      </c>
      <c r="G178" s="5">
        <v>415229.334763386</v>
      </c>
      <c r="H178" s="5">
        <v>989783999.31022203</v>
      </c>
      <c r="I178" s="5">
        <v>3704903.85008475</v>
      </c>
      <c r="J178" s="5">
        <v>434946.74966677802</v>
      </c>
      <c r="K178" s="5">
        <v>284730.66877283499</v>
      </c>
      <c r="L178" s="5">
        <v>126454.634746789</v>
      </c>
      <c r="M178" s="5">
        <v>322449.45024360297</v>
      </c>
      <c r="N178" s="5">
        <v>337323.22087243898</v>
      </c>
      <c r="O178" s="5">
        <v>3520774.04408364</v>
      </c>
      <c r="P178" s="5">
        <v>395631.90349250397</v>
      </c>
      <c r="Q178" s="5">
        <v>1555265.10506959</v>
      </c>
      <c r="R178" s="5">
        <v>2004631.2450343</v>
      </c>
      <c r="S178" s="5">
        <v>427139.41505609301</v>
      </c>
      <c r="T178" s="5">
        <v>187998.059226079</v>
      </c>
      <c r="U178" s="5">
        <v>403108.902938844</v>
      </c>
      <c r="V178" s="5">
        <v>454001.70806927601</v>
      </c>
      <c r="W178" s="5">
        <v>1237385.2939128401</v>
      </c>
      <c r="X178" s="5">
        <v>274909.363545259</v>
      </c>
      <c r="Y178" s="5">
        <v>1731415.96893066</v>
      </c>
      <c r="Z178" s="5">
        <v>505712.03725386597</v>
      </c>
      <c r="AA178" s="5">
        <v>751479.55166394997</v>
      </c>
      <c r="AB178" s="5">
        <v>88782.325844744206</v>
      </c>
      <c r="AC178" s="5">
        <v>27945755.176037598</v>
      </c>
      <c r="AD178" s="5">
        <v>27887768.843734</v>
      </c>
      <c r="AE178" s="5">
        <v>28727362.648111299</v>
      </c>
      <c r="AF178" s="5">
        <v>28324730.318391401</v>
      </c>
      <c r="AG178">
        <f t="shared" si="9"/>
        <v>28221404.246568572</v>
      </c>
      <c r="AH178">
        <f t="shared" si="10"/>
        <v>389000.93115534843</v>
      </c>
      <c r="AI178">
        <f t="shared" si="11"/>
        <v>1.3783897064677314E-2</v>
      </c>
    </row>
    <row r="179" spans="1:35" x14ac:dyDescent="0.45">
      <c r="A179" s="5" t="s">
        <v>165</v>
      </c>
      <c r="B179" s="2">
        <f t="shared" si="8"/>
        <v>30409680.330273416</v>
      </c>
      <c r="C179" s="2">
        <v>22526460.282868825</v>
      </c>
      <c r="D179" s="2">
        <v>2.3638004867357367E-2</v>
      </c>
      <c r="E179" s="5">
        <v>12492689.100815499</v>
      </c>
      <c r="F179" s="5">
        <v>21705301.629996601</v>
      </c>
      <c r="G179" s="5">
        <v>21065930.5403433</v>
      </c>
      <c r="H179" s="5">
        <v>47848383.524616197</v>
      </c>
      <c r="I179" s="5">
        <v>17379452.247772198</v>
      </c>
      <c r="J179" s="5">
        <v>37204606.321722798</v>
      </c>
      <c r="K179" s="5">
        <v>18393401.941838201</v>
      </c>
      <c r="L179" s="5">
        <v>18792475.721812099</v>
      </c>
      <c r="M179" s="5">
        <v>11962813.5442804</v>
      </c>
      <c r="N179" s="5">
        <v>22766281.7454357</v>
      </c>
      <c r="O179" s="5">
        <v>146077033.974406</v>
      </c>
      <c r="P179" s="5">
        <v>19761245.066358201</v>
      </c>
      <c r="Q179" s="5">
        <v>24079735.698618598</v>
      </c>
      <c r="R179" s="5">
        <v>26990096.8575298</v>
      </c>
      <c r="S179" s="5">
        <v>19077471.6206838</v>
      </c>
      <c r="T179" s="5">
        <v>37522327.479195103</v>
      </c>
      <c r="U179" s="5">
        <v>23141702.1101625</v>
      </c>
      <c r="V179" s="5">
        <v>33841416.326469399</v>
      </c>
      <c r="W179" s="5">
        <v>49407461.394237898</v>
      </c>
      <c r="X179" s="5">
        <v>21441638.9340754</v>
      </c>
      <c r="Y179" s="5">
        <v>11780519.3165776</v>
      </c>
      <c r="Z179" s="5">
        <v>58798153.306709997</v>
      </c>
      <c r="AA179" s="5">
        <v>13457199.654392101</v>
      </c>
      <c r="AB179" s="5">
        <v>14844989.868512601</v>
      </c>
      <c r="AC179" s="5">
        <v>21903493.0723533</v>
      </c>
      <c r="AD179" s="5">
        <v>22620307.5897674</v>
      </c>
      <c r="AE179" s="5">
        <v>22394960.075960401</v>
      </c>
      <c r="AF179" s="5">
        <v>23187080.393394198</v>
      </c>
      <c r="AG179">
        <f t="shared" si="9"/>
        <v>22526460.282868825</v>
      </c>
      <c r="AH179">
        <f t="shared" si="10"/>
        <v>532480.57781078573</v>
      </c>
      <c r="AI179">
        <f t="shared" si="11"/>
        <v>2.3638004867357367E-2</v>
      </c>
    </row>
    <row r="180" spans="1:35" x14ac:dyDescent="0.45">
      <c r="A180" s="5" t="s">
        <v>166</v>
      </c>
      <c r="B180" s="2">
        <f t="shared" si="8"/>
        <v>7271448.4879316846</v>
      </c>
      <c r="C180" s="2">
        <v>5246609.1258371426</v>
      </c>
      <c r="D180" s="2">
        <v>2.1938685577298445E-2</v>
      </c>
      <c r="E180" s="5">
        <v>2177456.83510117</v>
      </c>
      <c r="F180" s="5">
        <v>4644948.1959801801</v>
      </c>
      <c r="G180" s="5">
        <v>2135591.0773061099</v>
      </c>
      <c r="H180" s="5">
        <v>6938317.4371891096</v>
      </c>
      <c r="I180" s="5">
        <v>5503080.1452780999</v>
      </c>
      <c r="J180" s="5">
        <v>4972236.9496522201</v>
      </c>
      <c r="K180" s="5">
        <v>5051108.15517049</v>
      </c>
      <c r="L180" s="5">
        <v>4034964.0231139301</v>
      </c>
      <c r="M180" s="5">
        <v>4037484.9825172499</v>
      </c>
      <c r="N180" s="5">
        <v>6954939.8331924602</v>
      </c>
      <c r="O180" s="5">
        <v>37242145.109934501</v>
      </c>
      <c r="P180" s="5">
        <v>4253528.9444939196</v>
      </c>
      <c r="Q180" s="5">
        <v>6713696.6631533597</v>
      </c>
      <c r="R180" s="5">
        <v>5394250.8900120696</v>
      </c>
      <c r="S180" s="5">
        <v>3889071.7190446001</v>
      </c>
      <c r="T180" s="5">
        <v>33904010.214464203</v>
      </c>
      <c r="U180" s="5">
        <v>5367939.1951014204</v>
      </c>
      <c r="V180" s="5">
        <v>3973035.4949193499</v>
      </c>
      <c r="W180" s="5">
        <v>7201881.3883020803</v>
      </c>
      <c r="X180" s="5">
        <v>3722788.0160436099</v>
      </c>
      <c r="Y180" s="5">
        <v>3728108.4113910799</v>
      </c>
      <c r="Z180" s="5">
        <v>4169213.3681007</v>
      </c>
      <c r="AA180" s="5">
        <v>5291193.8196405796</v>
      </c>
      <c r="AB180" s="5">
        <v>3213772.84125794</v>
      </c>
      <c r="AC180" s="5">
        <v>5384179.7015790502</v>
      </c>
      <c r="AD180" s="5">
        <v>5201372.8430250501</v>
      </c>
      <c r="AE180" s="5">
        <v>5115260.42227358</v>
      </c>
      <c r="AF180" s="5">
        <v>5285623.53647089</v>
      </c>
      <c r="AG180">
        <f t="shared" si="9"/>
        <v>5246609.1258371426</v>
      </c>
      <c r="AH180">
        <f t="shared" si="10"/>
        <v>115103.70795872572</v>
      </c>
      <c r="AI180">
        <f t="shared" si="11"/>
        <v>2.1938685577298445E-2</v>
      </c>
    </row>
    <row r="181" spans="1:35" x14ac:dyDescent="0.45">
      <c r="A181" s="5" t="s">
        <v>423</v>
      </c>
      <c r="B181" s="2">
        <f t="shared" si="8"/>
        <v>136633944.48296031</v>
      </c>
      <c r="C181" s="2">
        <v>111944311.52034625</v>
      </c>
      <c r="D181" s="2">
        <v>2.1035353636189403E-2</v>
      </c>
      <c r="E181" s="5">
        <v>86571783.153269902</v>
      </c>
      <c r="F181" s="5">
        <v>71046060.919455394</v>
      </c>
      <c r="G181" s="5">
        <v>94992528.971627593</v>
      </c>
      <c r="H181" s="5">
        <v>398157128.35132003</v>
      </c>
      <c r="I181" s="5">
        <v>54972816.412448399</v>
      </c>
      <c r="J181" s="5">
        <v>62459344.428300999</v>
      </c>
      <c r="K181" s="5">
        <v>93944725.804527</v>
      </c>
      <c r="L181" s="5">
        <v>291935361.54845899</v>
      </c>
      <c r="M181" s="5">
        <v>68823512.889792204</v>
      </c>
      <c r="N181" s="5">
        <v>38673866.864638001</v>
      </c>
      <c r="O181" s="5">
        <v>290576643.652008</v>
      </c>
      <c r="P181" s="5">
        <v>107769106.87953</v>
      </c>
      <c r="Q181" s="5">
        <v>106201483.775911</v>
      </c>
      <c r="R181" s="5">
        <v>116983444.80773599</v>
      </c>
      <c r="S181" s="5">
        <v>127759122.19904</v>
      </c>
      <c r="T181" s="5">
        <v>266844365.12914199</v>
      </c>
      <c r="U181" s="5">
        <v>132589351.709672</v>
      </c>
      <c r="V181" s="5">
        <v>76679258.133842394</v>
      </c>
      <c r="W181" s="5">
        <v>101604315.85691699</v>
      </c>
      <c r="X181" s="5">
        <v>75058116.795382395</v>
      </c>
      <c r="Y181" s="5">
        <v>99999119.608503103</v>
      </c>
      <c r="Z181" s="5">
        <v>28515258.7518287</v>
      </c>
      <c r="AA181" s="5">
        <v>108743634.368127</v>
      </c>
      <c r="AB181" s="5">
        <v>378314316.57957</v>
      </c>
      <c r="AC181" s="5">
        <v>113038764.493255</v>
      </c>
      <c r="AD181" s="5">
        <v>113004590.34772199</v>
      </c>
      <c r="AE181" s="5">
        <v>108418310.382337</v>
      </c>
      <c r="AF181" s="5">
        <v>113315580.858071</v>
      </c>
      <c r="AG181">
        <f t="shared" si="9"/>
        <v>111944311.52034625</v>
      </c>
      <c r="AH181">
        <f t="shared" si="10"/>
        <v>2354788.180390235</v>
      </c>
      <c r="AI181">
        <f t="shared" si="11"/>
        <v>2.1035353636189403E-2</v>
      </c>
    </row>
    <row r="182" spans="1:35" x14ac:dyDescent="0.45">
      <c r="A182" s="5" t="s">
        <v>167</v>
      </c>
      <c r="B182" s="2">
        <f t="shared" si="8"/>
        <v>2051720.4794820466</v>
      </c>
      <c r="C182" s="2">
        <v>1351908.3667770175</v>
      </c>
      <c r="D182" s="2">
        <v>6.8101674506384949E-2</v>
      </c>
      <c r="E182" s="5">
        <v>2129374.8152499502</v>
      </c>
      <c r="F182" s="5">
        <v>2111625.5602055602</v>
      </c>
      <c r="G182" s="5">
        <v>1881681.9515748101</v>
      </c>
      <c r="H182" s="5">
        <v>1464487.9794723501</v>
      </c>
      <c r="I182" s="5">
        <v>961856.43985823495</v>
      </c>
      <c r="J182" s="5">
        <v>776231.79220118094</v>
      </c>
      <c r="K182" s="5">
        <v>3356866.0212426102</v>
      </c>
      <c r="L182" s="5">
        <v>2637817.2901372402</v>
      </c>
      <c r="M182" s="5">
        <v>1164938.6963555999</v>
      </c>
      <c r="N182" s="5">
        <v>4689936.5691149402</v>
      </c>
      <c r="O182" s="5">
        <v>674247.689414097</v>
      </c>
      <c r="P182" s="5">
        <v>2696441.4084896399</v>
      </c>
      <c r="Q182" s="5">
        <v>2646333.0339754601</v>
      </c>
      <c r="R182" s="5">
        <v>2011741.91738299</v>
      </c>
      <c r="S182" s="5">
        <v>2213857.9659303701</v>
      </c>
      <c r="T182" s="5">
        <v>514745.32659530401</v>
      </c>
      <c r="U182" s="5">
        <v>1442646.9150771501</v>
      </c>
      <c r="V182" s="5">
        <v>2070051.1652274299</v>
      </c>
      <c r="W182" s="5">
        <v>3235215.84825138</v>
      </c>
      <c r="X182" s="5">
        <v>880617.98653830495</v>
      </c>
      <c r="Y182" s="5">
        <v>3443975.5909713199</v>
      </c>
      <c r="Z182" s="5">
        <v>1359740.47545754</v>
      </c>
      <c r="AA182" s="5">
        <v>1709226.0370011099</v>
      </c>
      <c r="AB182" s="5">
        <v>3167633.0318445498</v>
      </c>
      <c r="AC182" s="5">
        <v>1351948.1343077901</v>
      </c>
      <c r="AD182" s="5">
        <v>1234623.54488698</v>
      </c>
      <c r="AE182" s="5">
        <v>1459521.6509789401</v>
      </c>
      <c r="AF182" s="5">
        <v>1361540.13693436</v>
      </c>
      <c r="AG182">
        <f t="shared" si="9"/>
        <v>1351908.3667770175</v>
      </c>
      <c r="AH182">
        <f t="shared" si="10"/>
        <v>92067.223556706929</v>
      </c>
      <c r="AI182">
        <f t="shared" si="11"/>
        <v>6.8101674506384949E-2</v>
      </c>
    </row>
    <row r="183" spans="1:35" x14ac:dyDescent="0.45">
      <c r="A183" s="5" t="s">
        <v>168</v>
      </c>
      <c r="B183" s="2">
        <f t="shared" si="8"/>
        <v>43087713.537238508</v>
      </c>
      <c r="C183" s="2">
        <v>21344881.179000251</v>
      </c>
      <c r="D183" s="2">
        <v>7.0583658756782131E-2</v>
      </c>
      <c r="E183" s="5">
        <v>30853845.8559229</v>
      </c>
      <c r="F183" s="5">
        <v>13419860.1074064</v>
      </c>
      <c r="G183" s="5">
        <v>10409856.1157948</v>
      </c>
      <c r="H183" s="5">
        <v>7335230.8630456496</v>
      </c>
      <c r="I183" s="5">
        <v>11761231.909106901</v>
      </c>
      <c r="J183" s="5">
        <v>14462944.8089082</v>
      </c>
      <c r="K183" s="5">
        <v>49616610.024516501</v>
      </c>
      <c r="L183" s="5">
        <v>12643318.144193299</v>
      </c>
      <c r="M183" s="5">
        <v>20607137.888405599</v>
      </c>
      <c r="N183" s="5">
        <v>22908218.195962001</v>
      </c>
      <c r="O183" s="5">
        <v>40661664.287160903</v>
      </c>
      <c r="P183" s="5">
        <v>51714667.579223603</v>
      </c>
      <c r="Q183" s="5">
        <v>27979813.1758755</v>
      </c>
      <c r="R183" s="5">
        <v>47868649.725997299</v>
      </c>
      <c r="S183" s="5">
        <v>30813433.880477499</v>
      </c>
      <c r="T183" s="5">
        <v>469593377.25070202</v>
      </c>
      <c r="U183" s="5">
        <v>48495662.328351103</v>
      </c>
      <c r="V183" s="5">
        <v>9122463.8911301903</v>
      </c>
      <c r="W183" s="5">
        <v>39527628.750542</v>
      </c>
      <c r="X183" s="5">
        <v>9653446.7239559107</v>
      </c>
      <c r="Y183" s="5">
        <v>12923553.9342154</v>
      </c>
      <c r="Z183" s="5">
        <v>16762326.5348638</v>
      </c>
      <c r="AA183" s="5">
        <v>10166440.942105699</v>
      </c>
      <c r="AB183" s="5">
        <v>24803741.975860901</v>
      </c>
      <c r="AC183" s="5">
        <v>19206512.198249701</v>
      </c>
      <c r="AD183" s="5">
        <v>22121761.583333299</v>
      </c>
      <c r="AE183" s="5">
        <v>21431260.9644823</v>
      </c>
      <c r="AF183" s="5">
        <v>22619989.9699357</v>
      </c>
      <c r="AG183">
        <f t="shared" si="9"/>
        <v>21344881.179000251</v>
      </c>
      <c r="AH183">
        <f t="shared" si="10"/>
        <v>1506599.8093426151</v>
      </c>
      <c r="AI183">
        <f t="shared" si="11"/>
        <v>7.0583658756782131E-2</v>
      </c>
    </row>
    <row r="184" spans="1:35" x14ac:dyDescent="0.45">
      <c r="A184" s="5" t="s">
        <v>169</v>
      </c>
      <c r="B184" s="2">
        <f t="shared" si="8"/>
        <v>14625284.229130117</v>
      </c>
      <c r="C184" s="2">
        <v>11972945.070477501</v>
      </c>
      <c r="D184" s="2">
        <v>1.9660765147219639E-2</v>
      </c>
      <c r="E184" s="5">
        <v>20679284.192714602</v>
      </c>
      <c r="F184" s="5">
        <v>10913326.9889293</v>
      </c>
      <c r="G184" s="5">
        <v>2659220.7112040799</v>
      </c>
      <c r="H184" s="5">
        <v>2092330.6007044499</v>
      </c>
      <c r="I184" s="5">
        <v>11782380.075720301</v>
      </c>
      <c r="J184" s="5">
        <v>8868946.9025848508</v>
      </c>
      <c r="K184" s="5">
        <v>5772295.3901084596</v>
      </c>
      <c r="L184" s="5">
        <v>9676132.9821387008</v>
      </c>
      <c r="M184" s="5">
        <v>32833971.518968601</v>
      </c>
      <c r="N184" s="5">
        <v>5415221.8748743199</v>
      </c>
      <c r="O184" s="5">
        <v>37739809.279578499</v>
      </c>
      <c r="P184" s="5">
        <v>7572657.5015781103</v>
      </c>
      <c r="Q184" s="5">
        <v>16402143.489168899</v>
      </c>
      <c r="R184" s="5">
        <v>6836124.1116083497</v>
      </c>
      <c r="S184" s="5">
        <v>14594714.332154199</v>
      </c>
      <c r="T184" s="5">
        <v>40360083.3968537</v>
      </c>
      <c r="U184" s="5">
        <v>24970846.467298899</v>
      </c>
      <c r="V184" s="5">
        <v>10641644.8737128</v>
      </c>
      <c r="W184" s="5">
        <v>14548948.1424469</v>
      </c>
      <c r="X184" s="5">
        <v>16810531.5478299</v>
      </c>
      <c r="Y184" s="5">
        <v>217999.751007332</v>
      </c>
      <c r="Z184" s="5">
        <v>7488620.7356506996</v>
      </c>
      <c r="AA184" s="5">
        <v>11665773.959282201</v>
      </c>
      <c r="AB184" s="5">
        <v>30463812.673004601</v>
      </c>
      <c r="AC184" s="5">
        <v>11773599.1390603</v>
      </c>
      <c r="AD184" s="5">
        <v>12028993.4560582</v>
      </c>
      <c r="AE184" s="5">
        <v>11806803.708558001</v>
      </c>
      <c r="AF184" s="5">
        <v>12282383.978233499</v>
      </c>
      <c r="AG184">
        <f t="shared" si="9"/>
        <v>11972945.070477501</v>
      </c>
      <c r="AH184">
        <f t="shared" si="10"/>
        <v>235397.26115121925</v>
      </c>
      <c r="AI184">
        <f t="shared" si="11"/>
        <v>1.9660765147219639E-2</v>
      </c>
    </row>
    <row r="185" spans="1:35" x14ac:dyDescent="0.45">
      <c r="A185" s="5" t="s">
        <v>170</v>
      </c>
      <c r="B185" s="2">
        <f t="shared" si="8"/>
        <v>8583828.9624382854</v>
      </c>
      <c r="C185" s="2">
        <v>8280356.5022264272</v>
      </c>
      <c r="D185" s="2">
        <v>0.10762835672112224</v>
      </c>
      <c r="E185" s="5">
        <v>5771765.9443567302</v>
      </c>
      <c r="F185" s="5">
        <v>5833347.5574326301</v>
      </c>
      <c r="G185" s="5">
        <v>8285626.9896672498</v>
      </c>
      <c r="H185" s="5">
        <v>5592746.9208164504</v>
      </c>
      <c r="I185" s="5">
        <v>10169588.363641599</v>
      </c>
      <c r="J185" s="5">
        <v>11023335.1907019</v>
      </c>
      <c r="K185" s="5">
        <v>7826803.3100954099</v>
      </c>
      <c r="L185" s="5">
        <v>7064968.6650168197</v>
      </c>
      <c r="M185" s="5">
        <v>7326626.9684977997</v>
      </c>
      <c r="N185" s="5">
        <v>5017123.2566516101</v>
      </c>
      <c r="O185" s="5">
        <v>13222915.9331383</v>
      </c>
      <c r="P185" s="5">
        <v>6835029.4619837701</v>
      </c>
      <c r="Q185" s="5">
        <v>8537906.6131246891</v>
      </c>
      <c r="R185" s="5">
        <v>6437432.2297488004</v>
      </c>
      <c r="S185" s="5">
        <v>8662807.9555931408</v>
      </c>
      <c r="T185" s="5">
        <v>19993496.0282842</v>
      </c>
      <c r="U185" s="5">
        <v>7811147.5701676803</v>
      </c>
      <c r="V185" s="5">
        <v>7598837.6353698904</v>
      </c>
      <c r="W185" s="5">
        <v>5839314.9965487896</v>
      </c>
      <c r="X185" s="5">
        <v>10406166.7525458</v>
      </c>
      <c r="Y185" s="5">
        <v>7613121.6026274096</v>
      </c>
      <c r="Z185" s="5">
        <v>11015588.9075929</v>
      </c>
      <c r="AA185" s="5">
        <v>9210975.0546786692</v>
      </c>
      <c r="AB185" s="5">
        <v>8915221.1902366094</v>
      </c>
      <c r="AC185" s="5">
        <v>7332942.3145129699</v>
      </c>
      <c r="AD185" s="5">
        <v>7769386.8158320403</v>
      </c>
      <c r="AE185" s="5">
        <v>8726181.9669240993</v>
      </c>
      <c r="AF185" s="5">
        <v>9292914.9116366003</v>
      </c>
      <c r="AG185">
        <f t="shared" si="9"/>
        <v>8280356.5022264272</v>
      </c>
      <c r="AH185">
        <f t="shared" si="10"/>
        <v>891201.16339968995</v>
      </c>
      <c r="AI185">
        <f t="shared" si="11"/>
        <v>0.10762835672112224</v>
      </c>
    </row>
    <row r="186" spans="1:35" x14ac:dyDescent="0.45">
      <c r="A186" s="5" t="s">
        <v>171</v>
      </c>
      <c r="B186" s="2">
        <f t="shared" si="8"/>
        <v>6935182.8049893146</v>
      </c>
      <c r="C186" s="2">
        <v>4563418.3185874727</v>
      </c>
      <c r="D186" s="2">
        <v>5.348670749631939E-2</v>
      </c>
      <c r="E186" s="5">
        <v>401250.98888450803</v>
      </c>
      <c r="F186" s="5">
        <v>424616.76873597002</v>
      </c>
      <c r="G186" s="5">
        <v>341834.42303698498</v>
      </c>
      <c r="H186" s="5">
        <v>10460645.279717401</v>
      </c>
      <c r="I186" s="5">
        <v>7430495.1483946098</v>
      </c>
      <c r="J186" s="5">
        <v>5252593.7652917104</v>
      </c>
      <c r="K186" s="5">
        <v>6252870.7210143898</v>
      </c>
      <c r="L186" s="5">
        <v>6733024.2282570703</v>
      </c>
      <c r="M186" s="5">
        <v>6464817.7668789597</v>
      </c>
      <c r="N186" s="5">
        <v>476932.46107712301</v>
      </c>
      <c r="O186" s="5">
        <v>10574160.6621866</v>
      </c>
      <c r="P186" s="5">
        <v>10174015.526924999</v>
      </c>
      <c r="Q186" s="5">
        <v>441928.00457452401</v>
      </c>
      <c r="R186" s="5">
        <v>9806744.9796678908</v>
      </c>
      <c r="S186" s="5">
        <v>510336.28969033703</v>
      </c>
      <c r="T186" s="5">
        <v>20753942.6091027</v>
      </c>
      <c r="U186" s="5">
        <v>367038.43462583597</v>
      </c>
      <c r="V186" s="5">
        <v>9496205.1202559192</v>
      </c>
      <c r="W186" s="5">
        <v>10073506.887035999</v>
      </c>
      <c r="X186" s="5">
        <v>23726645.234377101</v>
      </c>
      <c r="Y186" s="5">
        <v>424251.51784478303</v>
      </c>
      <c r="Z186" s="5">
        <v>17657883.159590099</v>
      </c>
      <c r="AA186" s="5">
        <v>7735052.7837760802</v>
      </c>
      <c r="AB186" s="5">
        <v>463594.55880197103</v>
      </c>
      <c r="AC186" s="5">
        <v>4302934.0564971203</v>
      </c>
      <c r="AD186" s="5">
        <v>4731773.5879121404</v>
      </c>
      <c r="AE186" s="5">
        <v>4411633.1645326</v>
      </c>
      <c r="AF186" s="5">
        <v>4807332.46540803</v>
      </c>
      <c r="AG186">
        <f t="shared" si="9"/>
        <v>4563418.3185874727</v>
      </c>
      <c r="AH186">
        <f t="shared" si="10"/>
        <v>244082.22078963381</v>
      </c>
      <c r="AI186">
        <f t="shared" si="11"/>
        <v>5.348670749631939E-2</v>
      </c>
    </row>
    <row r="187" spans="1:35" x14ac:dyDescent="0.45">
      <c r="A187" s="5" t="s">
        <v>172</v>
      </c>
      <c r="B187" s="2">
        <f t="shared" si="8"/>
        <v>28854407.834406998</v>
      </c>
      <c r="C187" s="2">
        <v>23147934.041064024</v>
      </c>
      <c r="D187" s="2">
        <v>4.9103341669107604E-2</v>
      </c>
      <c r="E187" s="5">
        <v>25999771.763894901</v>
      </c>
      <c r="F187" s="5">
        <v>22701950.109373499</v>
      </c>
      <c r="G187" s="5">
        <v>39470712.840618096</v>
      </c>
      <c r="H187" s="5">
        <v>5127212.3444894599</v>
      </c>
      <c r="I187" s="5">
        <v>17820953.3925297</v>
      </c>
      <c r="J187" s="5">
        <v>13921738.068336699</v>
      </c>
      <c r="K187" s="5">
        <v>34416917.105985299</v>
      </c>
      <c r="L187" s="5">
        <v>32585886.0681764</v>
      </c>
      <c r="M187" s="5">
        <v>29862099.338031199</v>
      </c>
      <c r="N187" s="5">
        <v>36262586.4526987</v>
      </c>
      <c r="O187" s="5">
        <v>11576453.939317301</v>
      </c>
      <c r="P187" s="5">
        <v>41926077.488882698</v>
      </c>
      <c r="Q187" s="5">
        <v>22655421.309901401</v>
      </c>
      <c r="R187" s="5">
        <v>46575713.713698</v>
      </c>
      <c r="S187" s="5">
        <v>27720254.958115399</v>
      </c>
      <c r="T187" s="5">
        <v>50465083.412576102</v>
      </c>
      <c r="U187" s="5">
        <v>29981082.8997862</v>
      </c>
      <c r="V187" s="5">
        <v>34920539.815233998</v>
      </c>
      <c r="W187" s="5">
        <v>30547403.993739299</v>
      </c>
      <c r="X187" s="5">
        <v>23038197.1188282</v>
      </c>
      <c r="Y187" s="5">
        <v>30013917.267948799</v>
      </c>
      <c r="Z187" s="5">
        <v>27589118.096545201</v>
      </c>
      <c r="AA187" s="5">
        <v>20567874.609118499</v>
      </c>
      <c r="AB187" s="5">
        <v>36758821.917943001</v>
      </c>
      <c r="AC187" s="5">
        <v>23996947.0466871</v>
      </c>
      <c r="AD187" s="5">
        <v>23830544.082988501</v>
      </c>
      <c r="AE187" s="5">
        <v>23252795.696569499</v>
      </c>
      <c r="AF187" s="5">
        <v>21511449.338011</v>
      </c>
      <c r="AG187">
        <f t="shared" si="9"/>
        <v>23147934.041064024</v>
      </c>
      <c r="AH187">
        <f t="shared" si="10"/>
        <v>1136640.9141523335</v>
      </c>
      <c r="AI187">
        <f t="shared" si="11"/>
        <v>4.9103341669107604E-2</v>
      </c>
    </row>
    <row r="188" spans="1:35" x14ac:dyDescent="0.45">
      <c r="A188" s="5" t="s">
        <v>173</v>
      </c>
      <c r="B188" s="2">
        <f t="shared" si="8"/>
        <v>11938673.463541241</v>
      </c>
      <c r="C188" s="2">
        <v>10772693.73183105</v>
      </c>
      <c r="D188" s="2">
        <v>1.6990395509675703E-2</v>
      </c>
      <c r="E188" s="5">
        <v>13294310.8540307</v>
      </c>
      <c r="F188" s="5">
        <v>18817042.4547516</v>
      </c>
      <c r="G188" s="5">
        <v>18536562.686797202</v>
      </c>
      <c r="H188" s="5">
        <v>6281894.8246651096</v>
      </c>
      <c r="I188" s="5">
        <v>9260994.8876764905</v>
      </c>
      <c r="J188" s="5">
        <v>10948665.304740099</v>
      </c>
      <c r="K188" s="5">
        <v>5381683.5702230204</v>
      </c>
      <c r="L188" s="5">
        <v>12395730.171596199</v>
      </c>
      <c r="M188" s="5">
        <v>16712817.5352473</v>
      </c>
      <c r="N188" s="5">
        <v>1525835.0811159399</v>
      </c>
      <c r="O188" s="5">
        <v>14912468.5585707</v>
      </c>
      <c r="P188" s="5">
        <v>32695377.565226801</v>
      </c>
      <c r="Q188" s="5">
        <v>6317975.31194916</v>
      </c>
      <c r="R188" s="5">
        <v>27196386.240040701</v>
      </c>
      <c r="S188" s="5">
        <v>2361578.5161425099</v>
      </c>
      <c r="T188" s="5">
        <v>8126589.0190642299</v>
      </c>
      <c r="U188" s="5">
        <v>11096274.287915999</v>
      </c>
      <c r="V188" s="5">
        <v>24098994.7707715</v>
      </c>
      <c r="W188" s="5">
        <v>15564069.6996533</v>
      </c>
      <c r="X188" s="5">
        <v>10940003.317888699</v>
      </c>
      <c r="Y188" s="5">
        <v>12395346.233134201</v>
      </c>
      <c r="Z188" s="5">
        <v>2424572.1731289299</v>
      </c>
      <c r="AA188" s="5">
        <v>2868299.0409707101</v>
      </c>
      <c r="AB188" s="5">
        <v>2374691.0196888</v>
      </c>
      <c r="AC188" s="5">
        <v>10632604.644792199</v>
      </c>
      <c r="AD188" s="5">
        <v>11021683.4617217</v>
      </c>
      <c r="AE188" s="5">
        <v>10798716.963529199</v>
      </c>
      <c r="AF188" s="5">
        <v>10637769.8572811</v>
      </c>
      <c r="AG188">
        <f t="shared" si="9"/>
        <v>10772693.73183105</v>
      </c>
      <c r="AH188">
        <f t="shared" si="10"/>
        <v>183032.32720841386</v>
      </c>
      <c r="AI188">
        <f t="shared" si="11"/>
        <v>1.6990395509675703E-2</v>
      </c>
    </row>
    <row r="189" spans="1:35" x14ac:dyDescent="0.45">
      <c r="A189" s="5" t="s">
        <v>304</v>
      </c>
      <c r="B189" s="2">
        <f t="shared" si="8"/>
        <v>1152983130.4074094</v>
      </c>
      <c r="C189" s="2">
        <v>1308813839.4696224</v>
      </c>
      <c r="D189" s="2">
        <v>8.06592233896304E-2</v>
      </c>
      <c r="E189" s="5">
        <v>2044847515.52527</v>
      </c>
      <c r="F189" s="5">
        <v>2214812401.5571499</v>
      </c>
      <c r="G189" s="5">
        <v>1536174115.0950799</v>
      </c>
      <c r="H189" s="5">
        <v>42788371.432041697</v>
      </c>
      <c r="I189" s="5">
        <v>2215753622.8147602</v>
      </c>
      <c r="J189" s="5">
        <v>2333874224.7789602</v>
      </c>
      <c r="K189" s="5">
        <v>704240206.98884904</v>
      </c>
      <c r="L189" s="5">
        <v>1401117036.6444099</v>
      </c>
      <c r="M189" s="5">
        <v>1403410270.5594101</v>
      </c>
      <c r="N189" s="5">
        <v>301389496.57490599</v>
      </c>
      <c r="O189" s="5">
        <v>148214741.50761801</v>
      </c>
      <c r="P189" s="5">
        <v>363267658.467291</v>
      </c>
      <c r="Q189" s="5">
        <v>767425612.04080105</v>
      </c>
      <c r="R189" s="5">
        <v>525949344.40762198</v>
      </c>
      <c r="S189" s="5">
        <v>1130007418.1029999</v>
      </c>
      <c r="T189" s="5">
        <v>444112266.48849899</v>
      </c>
      <c r="U189" s="5">
        <v>1102600627.5560901</v>
      </c>
      <c r="V189" s="5">
        <v>1440061366.1746099</v>
      </c>
      <c r="W189" s="5">
        <v>535214325.07543898</v>
      </c>
      <c r="X189" s="5">
        <v>1191474397.5790901</v>
      </c>
      <c r="Y189" s="5">
        <v>1039866551.6984299</v>
      </c>
      <c r="Z189" s="5">
        <v>1886701509.8929701</v>
      </c>
      <c r="AA189" s="5">
        <v>1627622921.0256</v>
      </c>
      <c r="AB189" s="5">
        <v>1270669127.7899301</v>
      </c>
      <c r="AC189" s="5">
        <v>1173278796.74227</v>
      </c>
      <c r="AD189" s="5">
        <v>1277230785.06107</v>
      </c>
      <c r="AE189" s="5">
        <v>1399524222.7897799</v>
      </c>
      <c r="AF189" s="5">
        <v>1385221553.2853701</v>
      </c>
      <c r="AG189">
        <f t="shared" si="9"/>
        <v>1308813839.4696224</v>
      </c>
      <c r="AH189">
        <f t="shared" si="10"/>
        <v>105567907.85322013</v>
      </c>
      <c r="AI189">
        <f t="shared" si="11"/>
        <v>8.06592233896304E-2</v>
      </c>
    </row>
    <row r="190" spans="1:35" x14ac:dyDescent="0.45">
      <c r="A190" s="5" t="s">
        <v>174</v>
      </c>
      <c r="B190" s="2">
        <f t="shared" si="8"/>
        <v>542570167.64310014</v>
      </c>
      <c r="C190" s="2">
        <v>505951525.17840552</v>
      </c>
      <c r="D190" s="2">
        <v>7.9079932319411197E-2</v>
      </c>
      <c r="E190" s="5">
        <v>179919366.11814201</v>
      </c>
      <c r="F190" s="5">
        <v>232157893.33527499</v>
      </c>
      <c r="G190" s="5">
        <v>255449488.28267801</v>
      </c>
      <c r="H190" s="5">
        <v>93744640.082957193</v>
      </c>
      <c r="I190" s="5">
        <v>821134193.21936798</v>
      </c>
      <c r="J190" s="5">
        <v>618376483.34819102</v>
      </c>
      <c r="K190" s="5">
        <v>223701176.844145</v>
      </c>
      <c r="L190" s="5">
        <v>464154431.26591003</v>
      </c>
      <c r="M190" s="5">
        <v>700106693.82126296</v>
      </c>
      <c r="N190" s="5">
        <v>179396400.70142299</v>
      </c>
      <c r="O190" s="5">
        <v>921373702.19090796</v>
      </c>
      <c r="P190" s="5">
        <v>227103383.49316299</v>
      </c>
      <c r="Q190" s="5">
        <v>1046906571.52495</v>
      </c>
      <c r="R190" s="5">
        <v>226804738.354247</v>
      </c>
      <c r="S190" s="5">
        <v>1106887794.86555</v>
      </c>
      <c r="T190" s="5">
        <v>1302503627.23281</v>
      </c>
      <c r="U190" s="5">
        <v>233258902.10196501</v>
      </c>
      <c r="V190" s="5">
        <v>660051059.12202799</v>
      </c>
      <c r="W190" s="5">
        <v>286646877.57031</v>
      </c>
      <c r="X190" s="5">
        <v>659606488.18506503</v>
      </c>
      <c r="Y190" s="5">
        <v>40743009.083940499</v>
      </c>
      <c r="Z190" s="5">
        <v>517440728.80715799</v>
      </c>
      <c r="AA190" s="5">
        <v>1362193934.93712</v>
      </c>
      <c r="AB190" s="5">
        <v>662022438.94583702</v>
      </c>
      <c r="AC190" s="5">
        <v>451478057.73459703</v>
      </c>
      <c r="AD190" s="5">
        <v>527061036.077833</v>
      </c>
      <c r="AE190" s="5">
        <v>502225166.89078099</v>
      </c>
      <c r="AF190" s="5">
        <v>543041840.01041102</v>
      </c>
      <c r="AG190">
        <f t="shared" si="9"/>
        <v>505951525.17840552</v>
      </c>
      <c r="AH190">
        <f t="shared" si="10"/>
        <v>40010612.368011177</v>
      </c>
      <c r="AI190">
        <f t="shared" si="11"/>
        <v>7.9079932319411197E-2</v>
      </c>
    </row>
    <row r="191" spans="1:35" x14ac:dyDescent="0.45">
      <c r="A191" s="5" t="s">
        <v>424</v>
      </c>
      <c r="B191" s="2">
        <f t="shared" si="8"/>
        <v>11240936.128428331</v>
      </c>
      <c r="C191" s="2">
        <v>6301366.9752827073</v>
      </c>
      <c r="D191" s="2">
        <v>0.11726950140120099</v>
      </c>
      <c r="E191" s="5">
        <v>4311288.9616965596</v>
      </c>
      <c r="F191" s="5">
        <v>3438802.31514091</v>
      </c>
      <c r="G191" s="5">
        <v>4477240.2865014402</v>
      </c>
      <c r="H191" s="5">
        <v>8616953.3335019797</v>
      </c>
      <c r="I191" s="5">
        <v>5536739.9017698197</v>
      </c>
      <c r="J191" s="5">
        <v>3703816.3377084401</v>
      </c>
      <c r="K191" s="5">
        <v>4076732.2368165501</v>
      </c>
      <c r="L191" s="5">
        <v>5331781.6833977504</v>
      </c>
      <c r="M191" s="5">
        <v>3654058.2875294499</v>
      </c>
      <c r="N191" s="5">
        <v>4415824.39132227</v>
      </c>
      <c r="O191" s="5">
        <v>100751805.529318</v>
      </c>
      <c r="P191" s="5">
        <v>5058458.1252448997</v>
      </c>
      <c r="Q191" s="5">
        <v>5164778.5538095301</v>
      </c>
      <c r="R191" s="5">
        <v>8095154.1372481501</v>
      </c>
      <c r="S191" s="5">
        <v>5918559.3815410696</v>
      </c>
      <c r="T191" s="5">
        <v>36528005.611094996</v>
      </c>
      <c r="U191" s="5">
        <v>5765762.0706764301</v>
      </c>
      <c r="V191" s="5">
        <v>5384437.1757036</v>
      </c>
      <c r="W191" s="5">
        <v>19108811.086879499</v>
      </c>
      <c r="X191" s="5">
        <v>7598125.8011634098</v>
      </c>
      <c r="Y191" s="5">
        <v>4898506.5366697898</v>
      </c>
      <c r="Z191" s="5">
        <v>5324035.7360791303</v>
      </c>
      <c r="AA191" s="5">
        <v>7032466.9171115896</v>
      </c>
      <c r="AB191" s="5">
        <v>5590322.6843547197</v>
      </c>
      <c r="AC191" s="5">
        <v>6450585.93938288</v>
      </c>
      <c r="AD191" s="5">
        <v>6130540.6624138402</v>
      </c>
      <c r="AE191" s="5">
        <v>5421525.9016577797</v>
      </c>
      <c r="AF191" s="5">
        <v>7202815.3976763301</v>
      </c>
      <c r="AG191">
        <f t="shared" si="9"/>
        <v>6301366.9752827073</v>
      </c>
      <c r="AH191">
        <f t="shared" si="10"/>
        <v>738958.16333739704</v>
      </c>
      <c r="AI191">
        <f t="shared" si="11"/>
        <v>0.11726950140120099</v>
      </c>
    </row>
    <row r="192" spans="1:35" x14ac:dyDescent="0.45">
      <c r="A192" s="5" t="s">
        <v>305</v>
      </c>
      <c r="B192" s="2">
        <f t="shared" si="8"/>
        <v>28778146.270118307</v>
      </c>
      <c r="C192" s="2">
        <v>24184160.185223673</v>
      </c>
      <c r="D192" s="2">
        <v>8.0084325382996341E-2</v>
      </c>
      <c r="E192" s="5">
        <v>28902160.867570199</v>
      </c>
      <c r="F192" s="5">
        <v>23421239.670262098</v>
      </c>
      <c r="G192" s="5">
        <v>21522235.225709401</v>
      </c>
      <c r="H192" s="5">
        <v>9790174.6833980195</v>
      </c>
      <c r="I192" s="5">
        <v>31946982.2475533</v>
      </c>
      <c r="J192" s="5">
        <v>24971466.0880371</v>
      </c>
      <c r="K192" s="5">
        <v>21704963.651297301</v>
      </c>
      <c r="L192" s="5">
        <v>23785027.7602816</v>
      </c>
      <c r="M192" s="5">
        <v>50615588.447263502</v>
      </c>
      <c r="N192" s="5">
        <v>19064643.871200901</v>
      </c>
      <c r="O192" s="5">
        <v>44644962.986677699</v>
      </c>
      <c r="P192" s="5">
        <v>21706726.9152296</v>
      </c>
      <c r="Q192" s="5">
        <v>29122588.134809699</v>
      </c>
      <c r="R192" s="5">
        <v>21574902.243172102</v>
      </c>
      <c r="S192" s="5">
        <v>24069079.223424301</v>
      </c>
      <c r="T192" s="5">
        <v>87477597.416941896</v>
      </c>
      <c r="U192" s="5">
        <v>22738244.231657799</v>
      </c>
      <c r="V192" s="5">
        <v>22318680.019010302</v>
      </c>
      <c r="W192" s="5">
        <v>23496707.145184301</v>
      </c>
      <c r="X192" s="5">
        <v>26618211.9109639</v>
      </c>
      <c r="Y192" s="5">
        <v>33157491.0265444</v>
      </c>
      <c r="Z192" s="5">
        <v>21958098.752324399</v>
      </c>
      <c r="AA192" s="5">
        <v>28925332.085202102</v>
      </c>
      <c r="AB192" s="5">
        <v>27142405.879123401</v>
      </c>
      <c r="AC192" s="5">
        <v>23200618.572057899</v>
      </c>
      <c r="AD192" s="5">
        <v>22363637.059397601</v>
      </c>
      <c r="AE192" s="5">
        <v>24353266.961731099</v>
      </c>
      <c r="AF192" s="5">
        <v>26819118.147708099</v>
      </c>
      <c r="AG192">
        <f t="shared" si="9"/>
        <v>24184160.185223673</v>
      </c>
      <c r="AH192">
        <f t="shared" si="10"/>
        <v>1936772.1533879575</v>
      </c>
      <c r="AI192">
        <f t="shared" si="11"/>
        <v>8.0084325382996341E-2</v>
      </c>
    </row>
    <row r="193" spans="1:35" x14ac:dyDescent="0.45">
      <c r="A193" s="5" t="s">
        <v>306</v>
      </c>
      <c r="B193" s="2">
        <f t="shared" si="8"/>
        <v>81516564.330682933</v>
      </c>
      <c r="C193" s="2">
        <v>68106613.03534466</v>
      </c>
      <c r="D193" s="2">
        <v>0.14025453465055668</v>
      </c>
      <c r="E193" s="5">
        <v>78779513.509389907</v>
      </c>
      <c r="F193" s="5">
        <v>108629264.04133099</v>
      </c>
      <c r="G193" s="5">
        <v>95438930.747119203</v>
      </c>
      <c r="H193" s="5">
        <v>86941389.021073595</v>
      </c>
      <c r="I193" s="5">
        <v>70393318.481443599</v>
      </c>
      <c r="J193" s="5">
        <v>73800038.087161005</v>
      </c>
      <c r="K193" s="5">
        <v>105434324.758552</v>
      </c>
      <c r="L193" s="5">
        <v>102058559.686207</v>
      </c>
      <c r="M193" s="5">
        <v>54945296.710041203</v>
      </c>
      <c r="N193" s="5">
        <v>84754350.804235294</v>
      </c>
      <c r="O193" s="5">
        <v>48558067.828576602</v>
      </c>
      <c r="P193" s="5">
        <v>84195474.965137899</v>
      </c>
      <c r="Q193" s="5">
        <v>64802457.195379503</v>
      </c>
      <c r="R193" s="5">
        <v>85095730.843743205</v>
      </c>
      <c r="S193" s="5">
        <v>105606875.78119899</v>
      </c>
      <c r="T193" s="5">
        <v>113322732.728825</v>
      </c>
      <c r="U193" s="5">
        <v>69713466.252969697</v>
      </c>
      <c r="V193" s="5">
        <v>9372560.1780888792</v>
      </c>
      <c r="W193" s="5">
        <v>85543969.497720107</v>
      </c>
      <c r="X193" s="5">
        <v>69061516.447361007</v>
      </c>
      <c r="Y193" s="5">
        <v>70984168.799246505</v>
      </c>
      <c r="Z193" s="5">
        <v>85680609.662466794</v>
      </c>
      <c r="AA193" s="5">
        <v>94552291.257179394</v>
      </c>
      <c r="AB193" s="5">
        <v>108732636.651943</v>
      </c>
      <c r="AC193" s="5">
        <v>55266747.849698901</v>
      </c>
      <c r="AD193" s="5">
        <v>67846618.686277404</v>
      </c>
      <c r="AE193" s="5">
        <v>78048016.9581763</v>
      </c>
      <c r="AF193" s="5">
        <v>71265068.647226006</v>
      </c>
      <c r="AG193">
        <f t="shared" si="9"/>
        <v>68106613.03534466</v>
      </c>
      <c r="AH193">
        <f t="shared" si="10"/>
        <v>9552261.3178978022</v>
      </c>
      <c r="AI193">
        <f t="shared" si="11"/>
        <v>0.14025453465055668</v>
      </c>
    </row>
    <row r="194" spans="1:35" x14ac:dyDescent="0.45">
      <c r="A194" s="5" t="s">
        <v>425</v>
      </c>
      <c r="B194" s="2">
        <f t="shared" ref="B194:B257" si="12">AVERAGE(E194:AB194)</f>
        <v>143380141.97946557</v>
      </c>
      <c r="C194" s="2">
        <v>131951129.39880526</v>
      </c>
      <c r="D194" s="2">
        <v>1.9400026757867488E-2</v>
      </c>
      <c r="E194" s="5">
        <v>48277478.157013401</v>
      </c>
      <c r="F194" s="5">
        <v>58547150.209049299</v>
      </c>
      <c r="G194" s="5">
        <v>61331364.459324002</v>
      </c>
      <c r="H194" s="5">
        <v>20428486.430169601</v>
      </c>
      <c r="I194" s="5">
        <v>226812477.76185101</v>
      </c>
      <c r="J194" s="5">
        <v>175667155.75616199</v>
      </c>
      <c r="K194" s="5">
        <v>50013541.821530797</v>
      </c>
      <c r="L194" s="5">
        <v>111824548.209767</v>
      </c>
      <c r="M194" s="5">
        <v>222804645.42307901</v>
      </c>
      <c r="N194" s="5">
        <v>43877879.646314502</v>
      </c>
      <c r="O194" s="5">
        <v>359347907.66532099</v>
      </c>
      <c r="P194" s="5">
        <v>46666922.802053504</v>
      </c>
      <c r="Q194" s="5">
        <v>333699744.379421</v>
      </c>
      <c r="R194" s="5">
        <v>44620066.399643503</v>
      </c>
      <c r="S194" s="5">
        <v>289430046.81229502</v>
      </c>
      <c r="T194" s="5">
        <v>188857135.480782</v>
      </c>
      <c r="U194" s="5">
        <v>65668139.07124</v>
      </c>
      <c r="V194" s="5">
        <v>182964871.96367601</v>
      </c>
      <c r="W194" s="5">
        <v>62237602.133234903</v>
      </c>
      <c r="X194" s="5">
        <v>168772100.006006</v>
      </c>
      <c r="Y194" s="5">
        <v>12364550.4573997</v>
      </c>
      <c r="Z194" s="5">
        <v>146489761.754742</v>
      </c>
      <c r="AA194" s="5">
        <v>367069268.96639001</v>
      </c>
      <c r="AB194" s="5">
        <v>153350561.74070799</v>
      </c>
      <c r="AC194" s="5">
        <v>130071694.89666601</v>
      </c>
      <c r="AD194" s="5">
        <v>129438050.77073801</v>
      </c>
      <c r="AE194" s="5">
        <v>133861330.375523</v>
      </c>
      <c r="AF194" s="5">
        <v>134433441.55229399</v>
      </c>
      <c r="AG194">
        <f t="shared" ref="AG194:AG257" si="13">AVERAGE(AC194:AF194)</f>
        <v>131951129.39880526</v>
      </c>
      <c r="AH194">
        <f t="shared" ref="AH194:AH257" si="14">STDEV(AC194:AF194)</f>
        <v>2559855.4410676574</v>
      </c>
      <c r="AI194">
        <f t="shared" ref="AI194:AI257" si="15">AH194/AG194</f>
        <v>1.9400026757867488E-2</v>
      </c>
    </row>
    <row r="195" spans="1:35" x14ac:dyDescent="0.45">
      <c r="A195" s="5" t="s">
        <v>307</v>
      </c>
      <c r="B195" s="2">
        <f t="shared" si="12"/>
        <v>18416375.43980632</v>
      </c>
      <c r="C195" s="2">
        <v>8046772.3471122421</v>
      </c>
      <c r="D195" s="2">
        <v>7.9653343554876146E-2</v>
      </c>
      <c r="E195" s="5">
        <v>3766074.0389926801</v>
      </c>
      <c r="F195" s="5">
        <v>5695926.6083714897</v>
      </c>
      <c r="G195" s="5">
        <v>13095689.371122001</v>
      </c>
      <c r="H195" s="5">
        <v>27909094.058666602</v>
      </c>
      <c r="I195" s="5">
        <v>8533543.5164050702</v>
      </c>
      <c r="J195" s="5">
        <v>2666038.2905991799</v>
      </c>
      <c r="K195" s="5">
        <v>6785153.8799008504</v>
      </c>
      <c r="L195" s="5">
        <v>10305203.6190784</v>
      </c>
      <c r="M195" s="5">
        <v>4932139.9810538804</v>
      </c>
      <c r="N195" s="5">
        <v>5668680.0449409904</v>
      </c>
      <c r="O195" s="5">
        <v>12227168.5982391</v>
      </c>
      <c r="P195" s="5">
        <v>17263305.6186237</v>
      </c>
      <c r="Q195" s="5">
        <v>10689008.50172</v>
      </c>
      <c r="R195" s="5">
        <v>5800402.7145546796</v>
      </c>
      <c r="S195" s="5">
        <v>5750987.6149920104</v>
      </c>
      <c r="T195" s="5">
        <v>224796706.710471</v>
      </c>
      <c r="U195" s="5">
        <v>5340740.3450170504</v>
      </c>
      <c r="V195" s="5">
        <v>5625840.4532597698</v>
      </c>
      <c r="W195" s="5">
        <v>11101519.752019599</v>
      </c>
      <c r="X195" s="5">
        <v>17410651.498626102</v>
      </c>
      <c r="Y195" s="5">
        <v>11289897.4468241</v>
      </c>
      <c r="Z195" s="5">
        <v>2690147.57863008</v>
      </c>
      <c r="AA195" s="5">
        <v>5479465.6360427402</v>
      </c>
      <c r="AB195" s="5">
        <v>17169624.677200601</v>
      </c>
      <c r="AC195" s="5">
        <v>7467228.7867183201</v>
      </c>
      <c r="AD195" s="5">
        <v>7904044.3162984597</v>
      </c>
      <c r="AE195" s="5">
        <v>7853210.2594623901</v>
      </c>
      <c r="AF195" s="5">
        <v>8962606.0259697996</v>
      </c>
      <c r="AG195">
        <f t="shared" si="13"/>
        <v>8046772.3471122421</v>
      </c>
      <c r="AH195">
        <f t="shared" si="14"/>
        <v>640952.32227240852</v>
      </c>
      <c r="AI195">
        <f t="shared" si="15"/>
        <v>7.9653343554876146E-2</v>
      </c>
    </row>
    <row r="196" spans="1:35" x14ac:dyDescent="0.45">
      <c r="A196" s="5" t="s">
        <v>175</v>
      </c>
      <c r="B196" s="2">
        <f t="shared" si="12"/>
        <v>44338306.549494922</v>
      </c>
      <c r="C196" s="2">
        <v>26357876.153067827</v>
      </c>
      <c r="D196" s="2">
        <v>3.0281337015501304E-2</v>
      </c>
      <c r="E196" s="5">
        <v>12281056.8425992</v>
      </c>
      <c r="F196" s="5">
        <v>13182144.485037901</v>
      </c>
      <c r="G196" s="5">
        <v>59215341.118159801</v>
      </c>
      <c r="H196" s="5">
        <v>135241948.85846099</v>
      </c>
      <c r="I196" s="5">
        <v>27042850.407362599</v>
      </c>
      <c r="J196" s="5">
        <v>17974538.366494998</v>
      </c>
      <c r="K196" s="5">
        <v>61674514.739670902</v>
      </c>
      <c r="L196" s="5">
        <v>26307391.012701102</v>
      </c>
      <c r="M196" s="5">
        <v>1605114.94357943</v>
      </c>
      <c r="N196" s="5">
        <v>15379939.9945536</v>
      </c>
      <c r="O196" s="5">
        <v>174698217.61693099</v>
      </c>
      <c r="P196" s="5">
        <v>21689210.9567587</v>
      </c>
      <c r="Q196" s="5">
        <v>12758237.456131199</v>
      </c>
      <c r="R196" s="5">
        <v>126318347.641875</v>
      </c>
      <c r="S196" s="5">
        <v>60101928.676213101</v>
      </c>
      <c r="T196" s="5">
        <v>79202665.477125898</v>
      </c>
      <c r="U196" s="5">
        <v>13216758.807893099</v>
      </c>
      <c r="V196" s="5">
        <v>22657651.143859301</v>
      </c>
      <c r="W196" s="5">
        <v>66153587.490661502</v>
      </c>
      <c r="X196" s="5">
        <v>25053164.308059201</v>
      </c>
      <c r="Y196" s="5">
        <v>30220319.8544758</v>
      </c>
      <c r="Z196" s="5">
        <v>56151533.579249002</v>
      </c>
      <c r="AA196" s="5">
        <v>2819995.89264079</v>
      </c>
      <c r="AB196" s="5">
        <v>3172897.5173837501</v>
      </c>
      <c r="AC196" s="5">
        <v>26053006.539044399</v>
      </c>
      <c r="AD196" s="5">
        <v>26477379.62855</v>
      </c>
      <c r="AE196" s="5">
        <v>25505378.897932101</v>
      </c>
      <c r="AF196" s="5">
        <v>27395739.546744801</v>
      </c>
      <c r="AG196">
        <f t="shared" si="13"/>
        <v>26357876.153067827</v>
      </c>
      <c r="AH196">
        <f t="shared" si="14"/>
        <v>798151.7308038919</v>
      </c>
      <c r="AI196">
        <f t="shared" si="15"/>
        <v>3.0281337015501304E-2</v>
      </c>
    </row>
    <row r="197" spans="1:35" x14ac:dyDescent="0.45">
      <c r="A197" s="5" t="s">
        <v>176</v>
      </c>
      <c r="B197" s="2">
        <f t="shared" si="12"/>
        <v>7049647.4446956003</v>
      </c>
      <c r="C197" s="2">
        <v>5618836.1574086025</v>
      </c>
      <c r="D197" s="2">
        <v>7.5286554425991595E-2</v>
      </c>
      <c r="E197" s="5">
        <v>4720024.1133698998</v>
      </c>
      <c r="F197" s="5">
        <v>4038553.7139676102</v>
      </c>
      <c r="G197" s="5">
        <v>2982384.07713942</v>
      </c>
      <c r="H197" s="5">
        <v>13097066.3669455</v>
      </c>
      <c r="I197" s="5">
        <v>2974633.93655458</v>
      </c>
      <c r="J197" s="5">
        <v>7022804.7979768096</v>
      </c>
      <c r="K197" s="5">
        <v>6607294.0867914101</v>
      </c>
      <c r="L197" s="5">
        <v>5356151.5624987297</v>
      </c>
      <c r="M197" s="5">
        <v>3596618.6473876</v>
      </c>
      <c r="N197" s="5">
        <v>8056689.2493004799</v>
      </c>
      <c r="O197" s="5">
        <v>14241328.844831301</v>
      </c>
      <c r="P197" s="5">
        <v>13194465.0329214</v>
      </c>
      <c r="Q197" s="5">
        <v>3366465.18489228</v>
      </c>
      <c r="R197" s="5">
        <v>6778257.0030025998</v>
      </c>
      <c r="S197" s="5">
        <v>3145639.1256243298</v>
      </c>
      <c r="T197" s="5">
        <v>22113060.1938252</v>
      </c>
      <c r="U197" s="5">
        <v>11228533.218709299</v>
      </c>
      <c r="V197" s="5">
        <v>2544599.4104837398</v>
      </c>
      <c r="W197" s="5">
        <v>7626721.9925543005</v>
      </c>
      <c r="X197" s="5">
        <v>5309702.9731366504</v>
      </c>
      <c r="Y197" s="5">
        <v>5528179.0705726296</v>
      </c>
      <c r="Z197" s="5">
        <v>7596537.9342742702</v>
      </c>
      <c r="AA197" s="5">
        <v>3814302.74208734</v>
      </c>
      <c r="AB197" s="5">
        <v>4251525.3938470604</v>
      </c>
      <c r="AC197" s="5">
        <v>5009050.6934749102</v>
      </c>
      <c r="AD197" s="5">
        <v>5722868.5980873602</v>
      </c>
      <c r="AE197" s="5">
        <v>5986366.0225296495</v>
      </c>
      <c r="AF197" s="5">
        <v>5757059.3155424902</v>
      </c>
      <c r="AG197">
        <f t="shared" si="13"/>
        <v>5618836.1574086025</v>
      </c>
      <c r="AH197">
        <f t="shared" si="14"/>
        <v>423022.81417547225</v>
      </c>
      <c r="AI197">
        <f t="shared" si="15"/>
        <v>7.5286554425991595E-2</v>
      </c>
    </row>
    <row r="198" spans="1:35" x14ac:dyDescent="0.45">
      <c r="A198" s="5" t="s">
        <v>177</v>
      </c>
      <c r="B198" s="2">
        <f t="shared" si="12"/>
        <v>6218230.0030279383</v>
      </c>
      <c r="C198" s="2">
        <v>5235710.0415932434</v>
      </c>
      <c r="D198" s="2">
        <v>9.8006625767283972E-2</v>
      </c>
      <c r="E198" s="5">
        <v>6401331.3916467801</v>
      </c>
      <c r="F198" s="5">
        <v>9849641.6337797996</v>
      </c>
      <c r="G198" s="5">
        <v>6508287.1446658801</v>
      </c>
      <c r="H198" s="5">
        <v>6625662.8981637601</v>
      </c>
      <c r="I198" s="5">
        <v>603914.25820307794</v>
      </c>
      <c r="J198" s="5">
        <v>5934947.7707985304</v>
      </c>
      <c r="K198" s="5">
        <v>9589547.5545529593</v>
      </c>
      <c r="L198" s="5">
        <v>7474824.0152229099</v>
      </c>
      <c r="M198" s="5">
        <v>4639770.84851244</v>
      </c>
      <c r="N198" s="5">
        <v>9553276.9021854997</v>
      </c>
      <c r="O198" s="5">
        <v>6824579.7155116098</v>
      </c>
      <c r="P198" s="5">
        <v>6649525.1713939896</v>
      </c>
      <c r="Q198" s="5">
        <v>1145731.77357285</v>
      </c>
      <c r="R198" s="5">
        <v>7753437.8834491698</v>
      </c>
      <c r="S198" s="5">
        <v>8496666.3966736607</v>
      </c>
      <c r="T198" s="5">
        <v>5591701.9787296802</v>
      </c>
      <c r="U198" s="5">
        <v>7162491.5719584301</v>
      </c>
      <c r="V198" s="5">
        <v>7465505.6385201504</v>
      </c>
      <c r="W198" s="5">
        <v>6212178.82040051</v>
      </c>
      <c r="X198" s="5">
        <v>190048.65028480301</v>
      </c>
      <c r="Y198" s="5">
        <v>1518529.42430728</v>
      </c>
      <c r="Z198" s="5">
        <v>8037917.5165531496</v>
      </c>
      <c r="AA198" s="5">
        <v>6754038.5296302196</v>
      </c>
      <c r="AB198" s="5">
        <v>8253962.5839533703</v>
      </c>
      <c r="AC198" s="5">
        <v>4604474.8193835104</v>
      </c>
      <c r="AD198" s="5">
        <v>5815309.0047899801</v>
      </c>
      <c r="AE198" s="5">
        <v>5096915.9965628898</v>
      </c>
      <c r="AF198" s="5">
        <v>5426140.3456365904</v>
      </c>
      <c r="AG198">
        <f t="shared" si="13"/>
        <v>5235710.0415932434</v>
      </c>
      <c r="AH198">
        <f t="shared" si="14"/>
        <v>513134.27467243979</v>
      </c>
      <c r="AI198">
        <f t="shared" si="15"/>
        <v>9.8006625767283972E-2</v>
      </c>
    </row>
    <row r="199" spans="1:35" x14ac:dyDescent="0.45">
      <c r="A199" s="5" t="s">
        <v>178</v>
      </c>
      <c r="B199" s="2">
        <f t="shared" si="12"/>
        <v>160671076.64595303</v>
      </c>
      <c r="C199" s="2">
        <v>152136027.365789</v>
      </c>
      <c r="D199" s="2">
        <v>0.15282279873493715</v>
      </c>
      <c r="E199" s="5">
        <v>184369808.266379</v>
      </c>
      <c r="F199" s="5">
        <v>168141345.717767</v>
      </c>
      <c r="G199" s="5">
        <v>163570342.13882899</v>
      </c>
      <c r="H199" s="5">
        <v>200000213.49884501</v>
      </c>
      <c r="I199" s="5">
        <v>191025776.89340699</v>
      </c>
      <c r="J199" s="5">
        <v>137815410.31477401</v>
      </c>
      <c r="K199" s="5">
        <v>177512611.34185001</v>
      </c>
      <c r="L199" s="5">
        <v>184954593.825142</v>
      </c>
      <c r="M199" s="5">
        <v>140549231.664343</v>
      </c>
      <c r="N199" s="5">
        <v>153110725.84553599</v>
      </c>
      <c r="O199" s="5">
        <v>80573123.818982303</v>
      </c>
      <c r="P199" s="5">
        <v>161297100.26858699</v>
      </c>
      <c r="Q199" s="5">
        <v>138199029.13833299</v>
      </c>
      <c r="R199" s="5">
        <v>178070005.61118701</v>
      </c>
      <c r="S199" s="5">
        <v>175056967.27597001</v>
      </c>
      <c r="T199" s="5">
        <v>180971707.17431101</v>
      </c>
      <c r="U199" s="5">
        <v>161385578.04469401</v>
      </c>
      <c r="V199" s="5">
        <v>157641959.85435599</v>
      </c>
      <c r="W199" s="5">
        <v>134021497.252232</v>
      </c>
      <c r="X199" s="5">
        <v>147199191.75323901</v>
      </c>
      <c r="Y199" s="5">
        <v>137342279.283858</v>
      </c>
      <c r="Z199" s="5">
        <v>155906709.20197999</v>
      </c>
      <c r="AA199" s="5">
        <v>182296905.20875999</v>
      </c>
      <c r="AB199" s="5">
        <v>165093726.10951099</v>
      </c>
      <c r="AC199" s="5">
        <v>130108294.966195</v>
      </c>
      <c r="AD199" s="5">
        <v>175368026.11746699</v>
      </c>
      <c r="AE199" s="5">
        <v>134271287.599296</v>
      </c>
      <c r="AF199" s="5">
        <v>168796500.78019801</v>
      </c>
      <c r="AG199">
        <f t="shared" si="13"/>
        <v>152136027.365789</v>
      </c>
      <c r="AH199">
        <f t="shared" si="14"/>
        <v>23249853.49045486</v>
      </c>
      <c r="AI199">
        <f t="shared" si="15"/>
        <v>0.15282279873493715</v>
      </c>
    </row>
    <row r="200" spans="1:35" x14ac:dyDescent="0.45">
      <c r="A200" s="5" t="s">
        <v>179</v>
      </c>
      <c r="B200" s="2">
        <f t="shared" si="12"/>
        <v>281730789.15899402</v>
      </c>
      <c r="C200" s="2">
        <v>167911123.9579685</v>
      </c>
      <c r="D200" s="2">
        <v>6.1251207878715637E-2</v>
      </c>
      <c r="E200" s="5">
        <v>37339363.947604202</v>
      </c>
      <c r="F200" s="5">
        <v>182959270.26921299</v>
      </c>
      <c r="G200" s="5">
        <v>244900607.47908199</v>
      </c>
      <c r="H200" s="5">
        <v>599935414.28696299</v>
      </c>
      <c r="I200" s="5">
        <v>97388879.142001003</v>
      </c>
      <c r="J200" s="5">
        <v>122338809.640203</v>
      </c>
      <c r="K200" s="5">
        <v>100970395.05945399</v>
      </c>
      <c r="L200" s="5">
        <v>1004949514.7595299</v>
      </c>
      <c r="M200" s="5">
        <v>26487414.4372756</v>
      </c>
      <c r="N200" s="5">
        <v>503443401.05376601</v>
      </c>
      <c r="O200" s="5">
        <v>68420724.472064093</v>
      </c>
      <c r="P200" s="5">
        <v>111594888.320841</v>
      </c>
      <c r="Q200" s="5">
        <v>330347024.85457402</v>
      </c>
      <c r="R200" s="5">
        <v>874786029.24198198</v>
      </c>
      <c r="S200" s="5">
        <v>108336591.64435799</v>
      </c>
      <c r="T200" s="5">
        <v>202312843.65443099</v>
      </c>
      <c r="U200" s="5">
        <v>36383712.527579397</v>
      </c>
      <c r="V200" s="5">
        <v>205380366.489638</v>
      </c>
      <c r="W200" s="5">
        <v>388608856.732234</v>
      </c>
      <c r="X200" s="5">
        <v>14378700.0994562</v>
      </c>
      <c r="Y200" s="5">
        <v>735355564.10392499</v>
      </c>
      <c r="Z200" s="5">
        <v>220920054.11088201</v>
      </c>
      <c r="AA200" s="5">
        <v>24715122.539662998</v>
      </c>
      <c r="AB200" s="5">
        <v>519285390.94913799</v>
      </c>
      <c r="AC200" s="5">
        <v>158978282.02827299</v>
      </c>
      <c r="AD200" s="5">
        <v>161997538.10324499</v>
      </c>
      <c r="AE200" s="5">
        <v>182129720.152749</v>
      </c>
      <c r="AF200" s="5">
        <v>168538955.547607</v>
      </c>
      <c r="AG200">
        <f t="shared" si="13"/>
        <v>167911123.9579685</v>
      </c>
      <c r="AH200">
        <f t="shared" si="14"/>
        <v>10284759.158698319</v>
      </c>
      <c r="AI200">
        <f t="shared" si="15"/>
        <v>6.1251207878715637E-2</v>
      </c>
    </row>
    <row r="201" spans="1:35" x14ac:dyDescent="0.45">
      <c r="A201" s="5" t="s">
        <v>180</v>
      </c>
      <c r="B201" s="2">
        <f t="shared" si="12"/>
        <v>212279725.66568682</v>
      </c>
      <c r="C201" s="2">
        <v>167887479.66235575</v>
      </c>
      <c r="D201" s="2">
        <v>3.3974836149021227E-2</v>
      </c>
      <c r="E201" s="5">
        <v>176023297.65068999</v>
      </c>
      <c r="F201" s="5">
        <v>156615793.31432801</v>
      </c>
      <c r="G201" s="5">
        <v>105066444.552435</v>
      </c>
      <c r="H201" s="5">
        <v>281405163.65261298</v>
      </c>
      <c r="I201" s="5">
        <v>174319248.62543601</v>
      </c>
      <c r="J201" s="5">
        <v>109137249.761437</v>
      </c>
      <c r="K201" s="5">
        <v>192249775.128719</v>
      </c>
      <c r="L201" s="5">
        <v>212025283.363215</v>
      </c>
      <c r="M201" s="5">
        <v>116266320.939825</v>
      </c>
      <c r="N201" s="5">
        <v>239445148.98258501</v>
      </c>
      <c r="O201" s="5">
        <v>552139303.249717</v>
      </c>
      <c r="P201" s="5">
        <v>188101821.609781</v>
      </c>
      <c r="Q201" s="5">
        <v>194974898.79150301</v>
      </c>
      <c r="R201" s="5">
        <v>187358421.82186499</v>
      </c>
      <c r="S201" s="5">
        <v>163627719.04119501</v>
      </c>
      <c r="T201" s="5">
        <v>526470399.90677297</v>
      </c>
      <c r="U201" s="5">
        <v>302186677.54075402</v>
      </c>
      <c r="V201" s="5">
        <v>90829328.940070793</v>
      </c>
      <c r="W201" s="5">
        <v>243150590.37656301</v>
      </c>
      <c r="X201" s="5">
        <v>121833564.609787</v>
      </c>
      <c r="Y201" s="5">
        <v>350904527.296655</v>
      </c>
      <c r="Z201" s="5">
        <v>82118241.884687498</v>
      </c>
      <c r="AA201" s="5">
        <v>177916267.92938799</v>
      </c>
      <c r="AB201" s="5">
        <v>150547927.00646201</v>
      </c>
      <c r="AC201" s="5">
        <v>167769986.65490499</v>
      </c>
      <c r="AD201" s="5">
        <v>175960544.12236401</v>
      </c>
      <c r="AE201" s="5">
        <v>163288650.21284601</v>
      </c>
      <c r="AF201" s="5">
        <v>164530737.65930799</v>
      </c>
      <c r="AG201">
        <f t="shared" si="13"/>
        <v>167887479.66235575</v>
      </c>
      <c r="AH201">
        <f t="shared" si="14"/>
        <v>5703949.6130006704</v>
      </c>
      <c r="AI201">
        <f t="shared" si="15"/>
        <v>3.3974836149021227E-2</v>
      </c>
    </row>
    <row r="202" spans="1:35" x14ac:dyDescent="0.45">
      <c r="A202" s="5" t="s">
        <v>426</v>
      </c>
      <c r="B202" s="2">
        <f t="shared" si="12"/>
        <v>12554793.329092823</v>
      </c>
      <c r="C202" s="2">
        <v>12179350.448552702</v>
      </c>
      <c r="D202" s="2">
        <v>0.11764543050396978</v>
      </c>
      <c r="E202" s="5">
        <v>14125488.1862376</v>
      </c>
      <c r="F202" s="5">
        <v>13546132.1619827</v>
      </c>
      <c r="G202" s="5">
        <v>12871282.926879</v>
      </c>
      <c r="H202" s="5">
        <v>11381789.1053335</v>
      </c>
      <c r="I202" s="5">
        <v>9427671.8139707204</v>
      </c>
      <c r="J202" s="5">
        <v>9715145.6810133196</v>
      </c>
      <c r="K202" s="5">
        <v>19089248.853939801</v>
      </c>
      <c r="L202" s="5">
        <v>9364892.1872260291</v>
      </c>
      <c r="M202" s="5">
        <v>9748352.3134140596</v>
      </c>
      <c r="N202" s="5">
        <v>12137621.7678195</v>
      </c>
      <c r="O202" s="5">
        <v>33952269.8225739</v>
      </c>
      <c r="P202" s="5">
        <v>9188500.0880106091</v>
      </c>
      <c r="Q202" s="5">
        <v>13302618.4954808</v>
      </c>
      <c r="R202" s="5">
        <v>9029985.5651940592</v>
      </c>
      <c r="S202" s="5">
        <v>8482006.7070999201</v>
      </c>
      <c r="T202" s="5">
        <v>6972897.8264017496</v>
      </c>
      <c r="U202" s="5">
        <v>21217085.6050715</v>
      </c>
      <c r="V202" s="5">
        <v>12607680.706887299</v>
      </c>
      <c r="W202" s="5">
        <v>6625645.3699156698</v>
      </c>
      <c r="X202" s="5">
        <v>9915408.1501245592</v>
      </c>
      <c r="Y202" s="5">
        <v>13788580.931095799</v>
      </c>
      <c r="Z202" s="5">
        <v>12994605.508127499</v>
      </c>
      <c r="AA202" s="5">
        <v>13970573.7271623</v>
      </c>
      <c r="AB202" s="5">
        <v>7859556.3972658599</v>
      </c>
      <c r="AC202" s="5">
        <v>10547464.1183086</v>
      </c>
      <c r="AD202" s="5">
        <v>14036303.5463241</v>
      </c>
      <c r="AE202" s="5">
        <v>12172832.2181956</v>
      </c>
      <c r="AF202" s="5">
        <v>11960801.9113825</v>
      </c>
      <c r="AG202">
        <f t="shared" si="13"/>
        <v>12179350.448552702</v>
      </c>
      <c r="AH202">
        <f t="shared" si="14"/>
        <v>1432844.9267787</v>
      </c>
      <c r="AI202">
        <f t="shared" si="15"/>
        <v>0.11764543050396978</v>
      </c>
    </row>
    <row r="203" spans="1:35" x14ac:dyDescent="0.45">
      <c r="A203" s="5" t="s">
        <v>181</v>
      </c>
      <c r="B203" s="2">
        <f t="shared" si="12"/>
        <v>13941155.193263082</v>
      </c>
      <c r="C203" s="2">
        <v>12990187.347821649</v>
      </c>
      <c r="D203" s="2">
        <v>0.16773777925694988</v>
      </c>
      <c r="E203" s="5">
        <v>11185555.7084253</v>
      </c>
      <c r="F203" s="5">
        <v>11971324.1075645</v>
      </c>
      <c r="G203" s="5">
        <v>13190820.3060007</v>
      </c>
      <c r="H203" s="5">
        <v>9377315.7809981108</v>
      </c>
      <c r="I203" s="5">
        <v>13289700.624722101</v>
      </c>
      <c r="J203" s="5">
        <v>16153432.0708843</v>
      </c>
      <c r="K203" s="5">
        <v>13784927.7514529</v>
      </c>
      <c r="L203" s="5">
        <v>11020991.452374499</v>
      </c>
      <c r="M203" s="5">
        <v>14314656.9639524</v>
      </c>
      <c r="N203" s="5">
        <v>11575865.454937899</v>
      </c>
      <c r="O203" s="5">
        <v>28719687.241691399</v>
      </c>
      <c r="P203" s="5">
        <v>9293699.0390593205</v>
      </c>
      <c r="Q203" s="5">
        <v>14714830.5161024</v>
      </c>
      <c r="R203" s="5">
        <v>11089241.7594577</v>
      </c>
      <c r="S203" s="5">
        <v>14350548.1084489</v>
      </c>
      <c r="T203" s="5">
        <v>22927671.685682099</v>
      </c>
      <c r="U203" s="5">
        <v>12592297.5389309</v>
      </c>
      <c r="V203" s="5">
        <v>9710846.8759271707</v>
      </c>
      <c r="W203" s="5">
        <v>7295643.1757274996</v>
      </c>
      <c r="X203" s="5">
        <v>14024786.058918601</v>
      </c>
      <c r="Y203" s="5">
        <v>14431820.804863101</v>
      </c>
      <c r="Z203" s="5">
        <v>18941316.5084657</v>
      </c>
      <c r="AA203" s="5">
        <v>15775180.2329807</v>
      </c>
      <c r="AB203" s="5">
        <v>14855564.8707457</v>
      </c>
      <c r="AC203" s="5">
        <v>12012004.165247399</v>
      </c>
      <c r="AD203" s="5">
        <v>16160488.159103099</v>
      </c>
      <c r="AE203" s="5">
        <v>12539522.5381542</v>
      </c>
      <c r="AF203" s="5">
        <v>11248734.5287819</v>
      </c>
      <c r="AG203">
        <f t="shared" si="13"/>
        <v>12990187.347821649</v>
      </c>
      <c r="AH203">
        <f t="shared" si="14"/>
        <v>2178945.177855331</v>
      </c>
      <c r="AI203">
        <f t="shared" si="15"/>
        <v>0.16773777925694988</v>
      </c>
    </row>
    <row r="204" spans="1:35" x14ac:dyDescent="0.45">
      <c r="A204" s="5" t="s">
        <v>182</v>
      </c>
      <c r="B204" s="2">
        <f t="shared" si="12"/>
        <v>7593283.1610776922</v>
      </c>
      <c r="C204" s="2">
        <v>6776925.7043819278</v>
      </c>
      <c r="D204" s="2">
        <v>7.5620024533718383E-2</v>
      </c>
      <c r="E204" s="5">
        <v>2309925.1624753801</v>
      </c>
      <c r="F204" s="5">
        <v>4247322.0741981501</v>
      </c>
      <c r="G204" s="5">
        <v>3572872.9686733698</v>
      </c>
      <c r="H204" s="5">
        <v>19340650.078596398</v>
      </c>
      <c r="I204" s="5">
        <v>12981573.0487663</v>
      </c>
      <c r="J204" s="5">
        <v>13215271.3161676</v>
      </c>
      <c r="K204" s="5">
        <v>5925669.5593192503</v>
      </c>
      <c r="L204" s="5">
        <v>6215314.1929534897</v>
      </c>
      <c r="M204" s="5">
        <v>4631739.9419452604</v>
      </c>
      <c r="N204" s="5">
        <v>3946683.6897107102</v>
      </c>
      <c r="O204" s="5">
        <v>14498150.4433355</v>
      </c>
      <c r="P204" s="5">
        <v>4338288.9196693497</v>
      </c>
      <c r="Q204" s="5">
        <v>9160911.5721042808</v>
      </c>
      <c r="R204" s="5">
        <v>5620959.46085604</v>
      </c>
      <c r="S204" s="5">
        <v>8031711.9123432804</v>
      </c>
      <c r="T204" s="5">
        <v>7390014.5062698796</v>
      </c>
      <c r="U204" s="5">
        <v>3421929.46356097</v>
      </c>
      <c r="V204" s="5">
        <v>4105732.03637172</v>
      </c>
      <c r="W204" s="5">
        <v>4659581.7419931497</v>
      </c>
      <c r="X204" s="5">
        <v>12392770.9024671</v>
      </c>
      <c r="Y204" s="5">
        <v>8285109.5359672103</v>
      </c>
      <c r="Z204" s="5">
        <v>6047969.4061002899</v>
      </c>
      <c r="AA204" s="5">
        <v>10041787.835242501</v>
      </c>
      <c r="AB204" s="5">
        <v>7856856.0967774298</v>
      </c>
      <c r="AC204" s="5">
        <v>7269839.2383377198</v>
      </c>
      <c r="AD204" s="5">
        <v>7153262.4286003103</v>
      </c>
      <c r="AE204" s="5">
        <v>6229408.2027872801</v>
      </c>
      <c r="AF204" s="5">
        <v>6455192.9478024002</v>
      </c>
      <c r="AG204">
        <f t="shared" si="13"/>
        <v>6776925.7043819278</v>
      </c>
      <c r="AH204">
        <f t="shared" si="14"/>
        <v>512471.28802854812</v>
      </c>
      <c r="AI204">
        <f t="shared" si="15"/>
        <v>7.5620024533718383E-2</v>
      </c>
    </row>
    <row r="205" spans="1:35" x14ac:dyDescent="0.45">
      <c r="A205" s="5" t="s">
        <v>183</v>
      </c>
      <c r="B205" s="2">
        <f t="shared" si="12"/>
        <v>9278315.3881652709</v>
      </c>
      <c r="C205" s="2">
        <v>7291980.6888477951</v>
      </c>
      <c r="D205" s="2">
        <v>6.3056052849722766E-2</v>
      </c>
      <c r="E205" s="5">
        <v>9984171.3404925708</v>
      </c>
      <c r="F205" s="5">
        <v>7561589.9354100097</v>
      </c>
      <c r="G205" s="5">
        <v>4030104.80264941</v>
      </c>
      <c r="H205" s="5">
        <v>9827831.7954328097</v>
      </c>
      <c r="I205" s="5">
        <v>7366521.3732154602</v>
      </c>
      <c r="J205" s="5">
        <v>6377089.2209749697</v>
      </c>
      <c r="K205" s="5">
        <v>7792586.8501319299</v>
      </c>
      <c r="L205" s="5">
        <v>7351239.6901959497</v>
      </c>
      <c r="M205" s="5">
        <v>9904541.9107803293</v>
      </c>
      <c r="N205" s="5">
        <v>8773753.3665305208</v>
      </c>
      <c r="O205" s="5">
        <v>10968980.213648699</v>
      </c>
      <c r="P205" s="5">
        <v>10380514.4223853</v>
      </c>
      <c r="Q205" s="5">
        <v>10920627.5631187</v>
      </c>
      <c r="R205" s="5">
        <v>8203446.5338559505</v>
      </c>
      <c r="S205" s="5">
        <v>9269348.3631131593</v>
      </c>
      <c r="T205" s="5">
        <v>26368039.0343257</v>
      </c>
      <c r="U205" s="5">
        <v>16312131.346988801</v>
      </c>
      <c r="V205" s="5">
        <v>6811350.2437957004</v>
      </c>
      <c r="W205" s="5">
        <v>9263772.4007600509</v>
      </c>
      <c r="X205" s="5">
        <v>4535043.2325711204</v>
      </c>
      <c r="Y205" s="5">
        <v>7895877.5453230897</v>
      </c>
      <c r="Z205" s="5">
        <v>6738903.9204838201</v>
      </c>
      <c r="AA205" s="5">
        <v>8222061.5063386504</v>
      </c>
      <c r="AB205" s="5">
        <v>7820042.7034438001</v>
      </c>
      <c r="AC205" s="5">
        <v>7137077.2123165103</v>
      </c>
      <c r="AD205" s="5">
        <v>7156642.4418433104</v>
      </c>
      <c r="AE205" s="5">
        <v>6912780.0018558102</v>
      </c>
      <c r="AF205" s="5">
        <v>7961423.0993755497</v>
      </c>
      <c r="AG205">
        <f t="shared" si="13"/>
        <v>7291980.6888477951</v>
      </c>
      <c r="AH205">
        <f t="shared" si="14"/>
        <v>459803.51969514444</v>
      </c>
      <c r="AI205">
        <f t="shared" si="15"/>
        <v>6.3056052849722766E-2</v>
      </c>
    </row>
    <row r="206" spans="1:35" x14ac:dyDescent="0.45">
      <c r="A206" s="5" t="s">
        <v>427</v>
      </c>
      <c r="B206" s="2">
        <f t="shared" si="12"/>
        <v>272496531.21384192</v>
      </c>
      <c r="C206" s="2">
        <v>272366290.20696545</v>
      </c>
      <c r="D206" s="2">
        <v>6.6623636148099047E-2</v>
      </c>
      <c r="E206" s="5">
        <v>328487360.29253101</v>
      </c>
      <c r="F206" s="5">
        <v>299312348.13581097</v>
      </c>
      <c r="G206" s="5">
        <v>227066098.73264399</v>
      </c>
      <c r="H206" s="5">
        <v>223710401.24110299</v>
      </c>
      <c r="I206" s="5">
        <v>380523210.97552502</v>
      </c>
      <c r="J206" s="5">
        <v>300170489.41392499</v>
      </c>
      <c r="K206" s="5">
        <v>292383607.31648898</v>
      </c>
      <c r="L206" s="5">
        <v>285120533.49181902</v>
      </c>
      <c r="M206" s="5">
        <v>273675316.09137797</v>
      </c>
      <c r="N206" s="5">
        <v>237658408.439022</v>
      </c>
      <c r="O206" s="5">
        <v>162201089.024427</v>
      </c>
      <c r="P206" s="5">
        <v>198103546.06313401</v>
      </c>
      <c r="Q206" s="5">
        <v>220908809.86629099</v>
      </c>
      <c r="R206" s="5">
        <v>297390296.26336801</v>
      </c>
      <c r="S206" s="5">
        <v>231803238.459645</v>
      </c>
      <c r="T206" s="5">
        <v>218447773.52703401</v>
      </c>
      <c r="U206" s="5">
        <v>355573392.63473803</v>
      </c>
      <c r="V206" s="5">
        <v>274208906.31970203</v>
      </c>
      <c r="W206" s="5">
        <v>196826111.61688101</v>
      </c>
      <c r="X206" s="5">
        <v>310710936.100604</v>
      </c>
      <c r="Y206" s="5">
        <v>273888205.97475898</v>
      </c>
      <c r="Z206" s="5">
        <v>311144294.55644</v>
      </c>
      <c r="AA206" s="5">
        <v>281019563.57055801</v>
      </c>
      <c r="AB206" s="5">
        <v>359582811.02437699</v>
      </c>
      <c r="AC206" s="5">
        <v>250573895.006394</v>
      </c>
      <c r="AD206" s="5">
        <v>267098990.95792001</v>
      </c>
      <c r="AE206" s="5">
        <v>278180275.92822701</v>
      </c>
      <c r="AF206" s="5">
        <v>293611998.93532097</v>
      </c>
      <c r="AG206">
        <f t="shared" si="13"/>
        <v>272366290.20696545</v>
      </c>
      <c r="AH206">
        <f t="shared" si="14"/>
        <v>18146032.617756419</v>
      </c>
      <c r="AI206">
        <f t="shared" si="15"/>
        <v>6.6623636148099047E-2</v>
      </c>
    </row>
    <row r="207" spans="1:35" x14ac:dyDescent="0.45">
      <c r="A207" s="5" t="s">
        <v>184</v>
      </c>
      <c r="B207" s="2">
        <f t="shared" si="12"/>
        <v>28140901.137264084</v>
      </c>
      <c r="C207" s="2">
        <v>29529419.809645552</v>
      </c>
      <c r="D207" s="2">
        <v>3.5565578536888222E-2</v>
      </c>
      <c r="E207" s="5">
        <v>20497406.032534499</v>
      </c>
      <c r="F207" s="5">
        <v>25597559.8715427</v>
      </c>
      <c r="G207" s="5">
        <v>35468437.453663401</v>
      </c>
      <c r="H207" s="5">
        <v>50184378.268601</v>
      </c>
      <c r="I207" s="5">
        <v>16008092.1064907</v>
      </c>
      <c r="J207" s="5">
        <v>13233437.5020607</v>
      </c>
      <c r="K207" s="5">
        <v>26317218.036764499</v>
      </c>
      <c r="L207" s="5">
        <v>37780110.3968606</v>
      </c>
      <c r="M207" s="5">
        <v>22233500.4859652</v>
      </c>
      <c r="N207" s="5">
        <v>23484559.589975901</v>
      </c>
      <c r="O207" s="5">
        <v>35698388.878414601</v>
      </c>
      <c r="P207" s="5">
        <v>24576561.602704801</v>
      </c>
      <c r="Q207" s="5">
        <v>42811090.148209803</v>
      </c>
      <c r="R207" s="5">
        <v>34303276.853438899</v>
      </c>
      <c r="S207" s="5">
        <v>38508796.913174599</v>
      </c>
      <c r="T207" s="5">
        <v>26432585.377848901</v>
      </c>
      <c r="U207" s="5">
        <v>10632221.5825029</v>
      </c>
      <c r="V207" s="5">
        <v>22964061.139694098</v>
      </c>
      <c r="W207" s="5">
        <v>30330890.247103099</v>
      </c>
      <c r="X207" s="5">
        <v>23232652.053429</v>
      </c>
      <c r="Y207" s="5">
        <v>26204011.1651727</v>
      </c>
      <c r="Z207" s="5">
        <v>30993885.8822948</v>
      </c>
      <c r="AA207" s="5">
        <v>28112928.520666301</v>
      </c>
      <c r="AB207" s="5">
        <v>29775577.185224298</v>
      </c>
      <c r="AC207" s="5">
        <v>30730674.488453899</v>
      </c>
      <c r="AD207" s="5">
        <v>30077839.322422799</v>
      </c>
      <c r="AE207" s="5">
        <v>28523246.937332802</v>
      </c>
      <c r="AF207" s="5">
        <v>28785918.490372699</v>
      </c>
      <c r="AG207">
        <f t="shared" si="13"/>
        <v>29529419.809645552</v>
      </c>
      <c r="AH207">
        <f t="shared" si="14"/>
        <v>1050230.8993886916</v>
      </c>
      <c r="AI207">
        <f t="shared" si="15"/>
        <v>3.5565578536888222E-2</v>
      </c>
    </row>
    <row r="208" spans="1:35" x14ac:dyDescent="0.45">
      <c r="A208" s="5" t="s">
        <v>185</v>
      </c>
      <c r="B208" s="2">
        <f t="shared" si="12"/>
        <v>200306764.22128102</v>
      </c>
      <c r="C208" s="2">
        <v>172549344.19036776</v>
      </c>
      <c r="D208" s="2">
        <v>5.8866937209267819E-2</v>
      </c>
      <c r="E208" s="5">
        <v>295561164.31976199</v>
      </c>
      <c r="F208" s="5">
        <v>70739865.692690194</v>
      </c>
      <c r="G208" s="5">
        <v>49381034.955426797</v>
      </c>
      <c r="H208" s="5">
        <v>131779671.444979</v>
      </c>
      <c r="I208" s="5">
        <v>4724858.8170086397</v>
      </c>
      <c r="J208" s="5">
        <v>80499966.86789</v>
      </c>
      <c r="K208" s="5">
        <v>390164148.14298999</v>
      </c>
      <c r="L208" s="5">
        <v>519869934.37479901</v>
      </c>
      <c r="M208" s="5">
        <v>141555063.26015899</v>
      </c>
      <c r="N208" s="5">
        <v>133544508.33299001</v>
      </c>
      <c r="O208" s="5">
        <v>150524179.32552099</v>
      </c>
      <c r="P208" s="5">
        <v>48754840.477978997</v>
      </c>
      <c r="Q208" s="5">
        <v>188235945.25595599</v>
      </c>
      <c r="R208" s="5">
        <v>166754370.93567801</v>
      </c>
      <c r="S208" s="5">
        <v>620170825.84641898</v>
      </c>
      <c r="T208" s="5">
        <v>246646769.897701</v>
      </c>
      <c r="U208" s="5">
        <v>48175059.743766502</v>
      </c>
      <c r="V208" s="5">
        <v>51007873.943259902</v>
      </c>
      <c r="W208" s="5">
        <v>46801784.993076302</v>
      </c>
      <c r="X208" s="5">
        <v>41517950.442316703</v>
      </c>
      <c r="Y208" s="5">
        <v>108288211.642197</v>
      </c>
      <c r="Z208" s="5">
        <v>60270772.0997587</v>
      </c>
      <c r="AA208" s="5">
        <v>800050200.44407201</v>
      </c>
      <c r="AB208" s="5">
        <v>412343340.05434901</v>
      </c>
      <c r="AC208" s="5">
        <v>187081479.97429699</v>
      </c>
      <c r="AD208" s="5">
        <v>171966063.396063</v>
      </c>
      <c r="AE208" s="5">
        <v>164977843.52230701</v>
      </c>
      <c r="AF208" s="5">
        <v>166171989.86880401</v>
      </c>
      <c r="AG208">
        <f t="shared" si="13"/>
        <v>172549344.19036776</v>
      </c>
      <c r="AH208">
        <f t="shared" si="14"/>
        <v>10157451.409954719</v>
      </c>
      <c r="AI208">
        <f t="shared" si="15"/>
        <v>5.8866937209267819E-2</v>
      </c>
    </row>
    <row r="209" spans="1:35" x14ac:dyDescent="0.45">
      <c r="A209" s="5" t="s">
        <v>186</v>
      </c>
      <c r="B209" s="2">
        <f t="shared" si="12"/>
        <v>17891812.171092525</v>
      </c>
      <c r="C209" s="2">
        <v>14179906.493887424</v>
      </c>
      <c r="D209" s="2">
        <v>5.2722928402340184E-2</v>
      </c>
      <c r="E209" s="5">
        <v>8111690.3233710602</v>
      </c>
      <c r="F209" s="5">
        <v>17914517.537662201</v>
      </c>
      <c r="G209" s="5">
        <v>13040277.652202301</v>
      </c>
      <c r="H209" s="5">
        <v>26726062.472732399</v>
      </c>
      <c r="I209" s="5">
        <v>28354314.5532998</v>
      </c>
      <c r="J209" s="5">
        <v>25348166.943673901</v>
      </c>
      <c r="K209" s="5">
        <v>10242655.8932206</v>
      </c>
      <c r="L209" s="5">
        <v>13976326.6569447</v>
      </c>
      <c r="M209" s="5">
        <v>21157506.428015798</v>
      </c>
      <c r="N209" s="5">
        <v>17822408.690489698</v>
      </c>
      <c r="O209" s="5">
        <v>14286191.3020628</v>
      </c>
      <c r="P209" s="5">
        <v>19737069.810501501</v>
      </c>
      <c r="Q209" s="5">
        <v>21041550.958324801</v>
      </c>
      <c r="R209" s="5">
        <v>9314426.5524307601</v>
      </c>
      <c r="S209" s="5">
        <v>11720728.2350103</v>
      </c>
      <c r="T209" s="5">
        <v>13683034.864075201</v>
      </c>
      <c r="U209" s="5">
        <v>15477150.716851201</v>
      </c>
      <c r="V209" s="5">
        <v>21883031.974864401</v>
      </c>
      <c r="W209" s="5">
        <v>15062396.7733173</v>
      </c>
      <c r="X209" s="5">
        <v>16501921.136943201</v>
      </c>
      <c r="Y209" s="5">
        <v>37842207.308837801</v>
      </c>
      <c r="Z209" s="5">
        <v>18019559.627218898</v>
      </c>
      <c r="AA209" s="5">
        <v>15917734.6719092</v>
      </c>
      <c r="AB209" s="5">
        <v>16222561.022260699</v>
      </c>
      <c r="AC209" s="5">
        <v>13674661.9015911</v>
      </c>
      <c r="AD209" s="5">
        <v>15113463.908454699</v>
      </c>
      <c r="AE209" s="5">
        <v>13487096.9795334</v>
      </c>
      <c r="AF209" s="5">
        <v>14444403.1859705</v>
      </c>
      <c r="AG209">
        <f t="shared" si="13"/>
        <v>14179906.493887424</v>
      </c>
      <c r="AH209">
        <f t="shared" si="14"/>
        <v>747606.19482910528</v>
      </c>
      <c r="AI209">
        <f t="shared" si="15"/>
        <v>5.2722928402340184E-2</v>
      </c>
    </row>
    <row r="210" spans="1:35" x14ac:dyDescent="0.45">
      <c r="A210" s="5" t="s">
        <v>187</v>
      </c>
      <c r="B210" s="2">
        <f t="shared" si="12"/>
        <v>30467547.564778503</v>
      </c>
      <c r="C210" s="2">
        <v>22357284.090945899</v>
      </c>
      <c r="D210" s="2">
        <v>4.885449350878493E-2</v>
      </c>
      <c r="E210" s="5">
        <v>26266545.0187327</v>
      </c>
      <c r="F210" s="5">
        <v>27968242.586716801</v>
      </c>
      <c r="G210" s="5">
        <v>18202590.456617098</v>
      </c>
      <c r="H210" s="5">
        <v>21869718.1838172</v>
      </c>
      <c r="I210" s="5">
        <v>4477422.8904043101</v>
      </c>
      <c r="J210" s="5">
        <v>4048314.65114123</v>
      </c>
      <c r="K210" s="5">
        <v>27789363.1397052</v>
      </c>
      <c r="L210" s="5">
        <v>8444557.1808985099</v>
      </c>
      <c r="M210" s="5">
        <v>12156761.6848075</v>
      </c>
      <c r="N210" s="5">
        <v>46344948.636983797</v>
      </c>
      <c r="O210" s="5">
        <v>38915290.567065001</v>
      </c>
      <c r="P210" s="5">
        <v>31645786.858437501</v>
      </c>
      <c r="Q210" s="5">
        <v>9796457.8582376298</v>
      </c>
      <c r="R210" s="5">
        <v>16427870.404381899</v>
      </c>
      <c r="S210" s="5">
        <v>18207686.6694226</v>
      </c>
      <c r="T210" s="5">
        <v>252351587.133165</v>
      </c>
      <c r="U210" s="5">
        <v>6790475.2726996597</v>
      </c>
      <c r="V210" s="5">
        <v>18396076.426036</v>
      </c>
      <c r="W210" s="5">
        <v>40957598.8557714</v>
      </c>
      <c r="X210" s="5">
        <v>13311696.10715</v>
      </c>
      <c r="Y210" s="5">
        <v>32980637.559603602</v>
      </c>
      <c r="Z210" s="5">
        <v>18853917.346201699</v>
      </c>
      <c r="AA210" s="5">
        <v>14168712.748119</v>
      </c>
      <c r="AB210" s="5">
        <v>20848883.318568699</v>
      </c>
      <c r="AC210" s="5">
        <v>23674569.9375985</v>
      </c>
      <c r="AD210" s="5">
        <v>21172239.6395455</v>
      </c>
      <c r="AE210" s="5">
        <v>22755242.471526299</v>
      </c>
      <c r="AF210" s="5">
        <v>21827084.315113299</v>
      </c>
      <c r="AG210">
        <f t="shared" si="13"/>
        <v>22357284.090945899</v>
      </c>
      <c r="AH210">
        <f t="shared" si="14"/>
        <v>1092253.790495177</v>
      </c>
      <c r="AI210">
        <f t="shared" si="15"/>
        <v>4.885449350878493E-2</v>
      </c>
    </row>
    <row r="211" spans="1:35" x14ac:dyDescent="0.45">
      <c r="A211" s="5" t="s">
        <v>188</v>
      </c>
      <c r="B211" s="2">
        <f t="shared" si="12"/>
        <v>5782758.4428813756</v>
      </c>
      <c r="C211" s="2">
        <v>4797599.1283298321</v>
      </c>
      <c r="D211" s="2">
        <v>8.5383680027050199E-2</v>
      </c>
      <c r="E211" s="5">
        <v>8034515.2605463304</v>
      </c>
      <c r="F211" s="5">
        <v>6460197.60029539</v>
      </c>
      <c r="G211" s="5">
        <v>5938666.3688752502</v>
      </c>
      <c r="H211" s="5">
        <v>5191253.8098071003</v>
      </c>
      <c r="I211" s="5">
        <v>5035160.1909483699</v>
      </c>
      <c r="J211" s="5">
        <v>3621551.0447955499</v>
      </c>
      <c r="K211" s="5">
        <v>6395109.3559388202</v>
      </c>
      <c r="L211" s="5">
        <v>4932560.0784156201</v>
      </c>
      <c r="M211" s="5">
        <v>5067321.0803842098</v>
      </c>
      <c r="N211" s="5">
        <v>8155830.3469519401</v>
      </c>
      <c r="O211" s="5">
        <v>3446804.23904069</v>
      </c>
      <c r="P211" s="5">
        <v>8529668.1406154893</v>
      </c>
      <c r="Q211" s="5">
        <v>4425978.6877689902</v>
      </c>
      <c r="R211" s="5">
        <v>6402375.5409218296</v>
      </c>
      <c r="S211" s="5">
        <v>6339688.5833318997</v>
      </c>
      <c r="T211" s="5">
        <v>2748112.2985852701</v>
      </c>
      <c r="U211" s="5">
        <v>6313517.0450387597</v>
      </c>
      <c r="V211" s="5">
        <v>4972160.2137668896</v>
      </c>
      <c r="W211" s="5">
        <v>8382079.2154680397</v>
      </c>
      <c r="X211" s="5">
        <v>4769760.5769154998</v>
      </c>
      <c r="Y211" s="5">
        <v>6625852.2663134104</v>
      </c>
      <c r="Z211" s="5">
        <v>5198569.8168572001</v>
      </c>
      <c r="AA211" s="5">
        <v>4807459.96853997</v>
      </c>
      <c r="AB211" s="5">
        <v>6992010.8990305196</v>
      </c>
      <c r="AC211" s="5">
        <v>4861842.4612844298</v>
      </c>
      <c r="AD211" s="5">
        <v>5315619.6532340599</v>
      </c>
      <c r="AE211" s="5">
        <v>4681707.7930375803</v>
      </c>
      <c r="AF211" s="5">
        <v>4331226.6057632603</v>
      </c>
      <c r="AG211">
        <f t="shared" si="13"/>
        <v>4797599.1283298321</v>
      </c>
      <c r="AH211">
        <f t="shared" si="14"/>
        <v>409636.66887136933</v>
      </c>
      <c r="AI211">
        <f t="shared" si="15"/>
        <v>8.5383680027050199E-2</v>
      </c>
    </row>
    <row r="212" spans="1:35" x14ac:dyDescent="0.45">
      <c r="A212" s="5" t="s">
        <v>189</v>
      </c>
      <c r="B212" s="2">
        <f t="shared" si="12"/>
        <v>2206078.9219726403</v>
      </c>
      <c r="C212" s="2">
        <v>2103494.1255621049</v>
      </c>
      <c r="D212" s="2">
        <v>0.13024608223866599</v>
      </c>
      <c r="E212" s="5">
        <v>2231599.84193544</v>
      </c>
      <c r="F212" s="5">
        <v>2096397.4281001401</v>
      </c>
      <c r="G212" s="5">
        <v>1954789.9140312499</v>
      </c>
      <c r="H212" s="5">
        <v>2494116.6534146699</v>
      </c>
      <c r="I212" s="5">
        <v>2975877.0310728098</v>
      </c>
      <c r="J212" s="5">
        <v>2524911.4151124801</v>
      </c>
      <c r="K212" s="5">
        <v>1801389.2340134</v>
      </c>
      <c r="L212" s="5">
        <v>1783144.8889781099</v>
      </c>
      <c r="M212" s="5">
        <v>1793292.6402110001</v>
      </c>
      <c r="N212" s="5">
        <v>2266525.1766511998</v>
      </c>
      <c r="O212" s="5">
        <v>1262462.07493072</v>
      </c>
      <c r="P212" s="5">
        <v>2351092.3632599399</v>
      </c>
      <c r="Q212" s="5">
        <v>2874880.9645434301</v>
      </c>
      <c r="R212" s="5">
        <v>2826631.1552319401</v>
      </c>
      <c r="S212" s="5">
        <v>1886784.6218306101</v>
      </c>
      <c r="T212" s="5">
        <v>2063928.6572143901</v>
      </c>
      <c r="U212" s="5">
        <v>2480536.8228807799</v>
      </c>
      <c r="V212" s="5">
        <v>2847015.6934642498</v>
      </c>
      <c r="W212" s="5">
        <v>1595195.07322939</v>
      </c>
      <c r="X212" s="5">
        <v>1736670.0175263199</v>
      </c>
      <c r="Y212" s="5">
        <v>2277558.9539486002</v>
      </c>
      <c r="Z212" s="5">
        <v>2928617.1541520301</v>
      </c>
      <c r="AA212" s="5">
        <v>1946145.10299949</v>
      </c>
      <c r="AB212" s="5">
        <v>1946331.2486109701</v>
      </c>
      <c r="AC212" s="5">
        <v>2105033.47965384</v>
      </c>
      <c r="AD212" s="5">
        <v>1883292.6258042301</v>
      </c>
      <c r="AE212" s="5">
        <v>2489216.3322167299</v>
      </c>
      <c r="AF212" s="5">
        <v>1936434.06457362</v>
      </c>
      <c r="AG212">
        <f t="shared" si="13"/>
        <v>2103494.1255621049</v>
      </c>
      <c r="AH212">
        <f t="shared" si="14"/>
        <v>273971.86886651273</v>
      </c>
      <c r="AI212">
        <f t="shared" si="15"/>
        <v>0.13024608223866599</v>
      </c>
    </row>
    <row r="213" spans="1:35" x14ac:dyDescent="0.45">
      <c r="A213" s="5" t="s">
        <v>428</v>
      </c>
      <c r="B213" s="2">
        <f t="shared" si="12"/>
        <v>34516891.421539955</v>
      </c>
      <c r="C213" s="2">
        <v>30378927.510484874</v>
      </c>
      <c r="D213" s="2">
        <v>1.1010036654892291E-2</v>
      </c>
      <c r="E213" s="5">
        <v>14629686.6573328</v>
      </c>
      <c r="F213" s="5">
        <v>16025944.305081701</v>
      </c>
      <c r="G213" s="5">
        <v>2283870.2684746799</v>
      </c>
      <c r="H213" s="5">
        <v>35635452.286671802</v>
      </c>
      <c r="I213" s="5">
        <v>19343092.907636002</v>
      </c>
      <c r="J213" s="5">
        <v>18951297.5543021</v>
      </c>
      <c r="K213" s="5">
        <v>185226528.82021099</v>
      </c>
      <c r="L213" s="5">
        <v>21140818.194928799</v>
      </c>
      <c r="M213" s="5">
        <v>27999924.6628801</v>
      </c>
      <c r="N213" s="5">
        <v>78708605.577350795</v>
      </c>
      <c r="O213" s="5">
        <v>42978023.385100797</v>
      </c>
      <c r="P213" s="5">
        <v>8720248.4571074396</v>
      </c>
      <c r="Q213" s="5">
        <v>22002915.000976101</v>
      </c>
      <c r="R213" s="5">
        <v>41803255.320510402</v>
      </c>
      <c r="S213" s="5">
        <v>107778565.059567</v>
      </c>
      <c r="T213" s="5">
        <v>46186424.363662899</v>
      </c>
      <c r="U213" s="5">
        <v>6001265.2066372596</v>
      </c>
      <c r="V213" s="5">
        <v>15134174.6659372</v>
      </c>
      <c r="W213" s="5">
        <v>1982192.61713664</v>
      </c>
      <c r="X213" s="5">
        <v>5144941.8093622401</v>
      </c>
      <c r="Y213" s="5">
        <v>14023688.661454899</v>
      </c>
      <c r="Z213" s="5">
        <v>6284598.0273217699</v>
      </c>
      <c r="AA213" s="5">
        <v>65701425.810663201</v>
      </c>
      <c r="AB213" s="5">
        <v>24718454.496651199</v>
      </c>
      <c r="AC213" s="5">
        <v>29991299.982140802</v>
      </c>
      <c r="AD213" s="5">
        <v>30644994.158264998</v>
      </c>
      <c r="AE213" s="5">
        <v>30208210.986285001</v>
      </c>
      <c r="AF213" s="5">
        <v>30671204.915248699</v>
      </c>
      <c r="AG213">
        <f t="shared" si="13"/>
        <v>30378927.510484874</v>
      </c>
      <c r="AH213">
        <f t="shared" si="14"/>
        <v>334473.10542675428</v>
      </c>
      <c r="AI213">
        <f t="shared" si="15"/>
        <v>1.1010036654892291E-2</v>
      </c>
    </row>
    <row r="214" spans="1:35" x14ac:dyDescent="0.45">
      <c r="A214" s="5" t="s">
        <v>190</v>
      </c>
      <c r="B214" s="2">
        <f t="shared" si="12"/>
        <v>71669014.228138074</v>
      </c>
      <c r="C214" s="2">
        <v>78438259.192520231</v>
      </c>
      <c r="D214" s="2">
        <v>6.1013978565917823E-2</v>
      </c>
      <c r="E214" s="5">
        <v>37159042.374290504</v>
      </c>
      <c r="F214" s="5">
        <v>44195847.393281199</v>
      </c>
      <c r="G214" s="5">
        <v>69221717.614495099</v>
      </c>
      <c r="H214" s="5">
        <v>157365778.85244</v>
      </c>
      <c r="I214" s="5">
        <v>138823247.12863201</v>
      </c>
      <c r="J214" s="5">
        <v>93902364.168285906</v>
      </c>
      <c r="K214" s="5">
        <v>49162129.434619501</v>
      </c>
      <c r="L214" s="5">
        <v>36214090.814046502</v>
      </c>
      <c r="M214" s="5">
        <v>97944862.069568694</v>
      </c>
      <c r="N214" s="5">
        <v>49159720.295849703</v>
      </c>
      <c r="O214" s="5">
        <v>52432562.371240199</v>
      </c>
      <c r="P214" s="5">
        <v>76042311.361110806</v>
      </c>
      <c r="Q214" s="5">
        <v>81787101.198053598</v>
      </c>
      <c r="R214" s="5">
        <v>37460074.522212699</v>
      </c>
      <c r="S214" s="5">
        <v>50056406.408660598</v>
      </c>
      <c r="T214" s="5">
        <v>80077011.826123998</v>
      </c>
      <c r="U214" s="5">
        <v>49236799.147445098</v>
      </c>
      <c r="V214" s="5">
        <v>68798710.1970644</v>
      </c>
      <c r="W214" s="5">
        <v>36176057.905993097</v>
      </c>
      <c r="X214" s="5">
        <v>90831522.045466796</v>
      </c>
      <c r="Y214" s="5">
        <v>104079726.848812</v>
      </c>
      <c r="Z214" s="5">
        <v>94037322.233350903</v>
      </c>
      <c r="AA214" s="5">
        <v>51672498.4124415</v>
      </c>
      <c r="AB214" s="5">
        <v>74219436.851828396</v>
      </c>
      <c r="AC214" s="5">
        <v>74840649.300541803</v>
      </c>
      <c r="AD214" s="5">
        <v>74667558.015144303</v>
      </c>
      <c r="AE214" s="5">
        <v>84806211.074567601</v>
      </c>
      <c r="AF214" s="5">
        <v>79438618.379827201</v>
      </c>
      <c r="AG214">
        <f t="shared" si="13"/>
        <v>78438259.192520231</v>
      </c>
      <c r="AH214">
        <f t="shared" si="14"/>
        <v>4785830.2651203359</v>
      </c>
      <c r="AI214">
        <f t="shared" si="15"/>
        <v>6.1013978565917823E-2</v>
      </c>
    </row>
    <row r="215" spans="1:35" x14ac:dyDescent="0.45">
      <c r="A215" s="5" t="s">
        <v>308</v>
      </c>
      <c r="B215" s="2">
        <f t="shared" si="12"/>
        <v>102376429.16820307</v>
      </c>
      <c r="C215" s="2">
        <v>89705684.254246891</v>
      </c>
      <c r="D215" s="2">
        <v>2.987238307620263E-2</v>
      </c>
      <c r="E215" s="5">
        <v>26899768.892090902</v>
      </c>
      <c r="F215" s="5">
        <v>38114306.704362698</v>
      </c>
      <c r="G215" s="5">
        <v>54768203.351768903</v>
      </c>
      <c r="H215" s="5">
        <v>155772677.36123499</v>
      </c>
      <c r="I215" s="5">
        <v>189107573.10385799</v>
      </c>
      <c r="J215" s="5">
        <v>129774484.763172</v>
      </c>
      <c r="K215" s="5">
        <v>46804840.516477503</v>
      </c>
      <c r="L215" s="5">
        <v>56939099.049799003</v>
      </c>
      <c r="M215" s="5">
        <v>89210188.898777798</v>
      </c>
      <c r="N215" s="5">
        <v>56859912.525573097</v>
      </c>
      <c r="O215" s="5">
        <v>433151720.905536</v>
      </c>
      <c r="P215" s="5">
        <v>45393282.236923598</v>
      </c>
      <c r="Q215" s="5">
        <v>168307278.74213701</v>
      </c>
      <c r="R215" s="5">
        <v>55714954.808815002</v>
      </c>
      <c r="S215" s="5">
        <v>72558775.4468638</v>
      </c>
      <c r="T215" s="5">
        <v>221673819.20947099</v>
      </c>
      <c r="U215" s="5">
        <v>73354497.152584195</v>
      </c>
      <c r="V215" s="5">
        <v>57049363.205602199</v>
      </c>
      <c r="W215" s="5">
        <v>70709590.602269202</v>
      </c>
      <c r="X215" s="5">
        <v>85242432.3620231</v>
      </c>
      <c r="Y215" s="5">
        <v>132653503.78138199</v>
      </c>
      <c r="Z215" s="5">
        <v>58540940.603177398</v>
      </c>
      <c r="AA215" s="5">
        <v>98906898.626752198</v>
      </c>
      <c r="AB215" s="5">
        <v>39526187.186221898</v>
      </c>
      <c r="AC215" s="5">
        <v>88067295.603287295</v>
      </c>
      <c r="AD215" s="5">
        <v>87196485.400928497</v>
      </c>
      <c r="AE215" s="5">
        <v>93186798.466094196</v>
      </c>
      <c r="AF215" s="5">
        <v>90372157.546677604</v>
      </c>
      <c r="AG215">
        <f t="shared" si="13"/>
        <v>89705684.254246891</v>
      </c>
      <c r="AH215">
        <f t="shared" si="14"/>
        <v>2679722.5641557416</v>
      </c>
      <c r="AI215">
        <f t="shared" si="15"/>
        <v>2.987238307620263E-2</v>
      </c>
    </row>
    <row r="216" spans="1:35" x14ac:dyDescent="0.45">
      <c r="A216" s="5" t="s">
        <v>191</v>
      </c>
      <c r="B216" s="2">
        <f t="shared" si="12"/>
        <v>80140065.080086172</v>
      </c>
      <c r="C216" s="2">
        <v>68916381.962154076</v>
      </c>
      <c r="D216" s="2">
        <v>3.2455442051693505E-2</v>
      </c>
      <c r="E216" s="5">
        <v>72100326.921058401</v>
      </c>
      <c r="F216" s="5">
        <v>78888653.520569906</v>
      </c>
      <c r="G216" s="5">
        <v>132678826.532318</v>
      </c>
      <c r="H216" s="5">
        <v>15660743.9388276</v>
      </c>
      <c r="I216" s="5">
        <v>57150271.830191799</v>
      </c>
      <c r="J216" s="5">
        <v>97855926.415913805</v>
      </c>
      <c r="K216" s="5">
        <v>111315078.581551</v>
      </c>
      <c r="L216" s="5">
        <v>86237664.732292905</v>
      </c>
      <c r="M216" s="5">
        <v>79538716.208763897</v>
      </c>
      <c r="N216" s="5">
        <v>51757908.5438632</v>
      </c>
      <c r="O216" s="5">
        <v>67791715.482562199</v>
      </c>
      <c r="P216" s="5">
        <v>89978675.611684203</v>
      </c>
      <c r="Q216" s="5">
        <v>67340931.458890304</v>
      </c>
      <c r="R216" s="5">
        <v>127999870.33628701</v>
      </c>
      <c r="S216" s="5">
        <v>49827119.8649735</v>
      </c>
      <c r="T216" s="5">
        <v>99933448.075700104</v>
      </c>
      <c r="U216" s="5">
        <v>74688969.408802003</v>
      </c>
      <c r="V216" s="5">
        <v>82501379.301945999</v>
      </c>
      <c r="W216" s="5">
        <v>85262740.734000102</v>
      </c>
      <c r="X216" s="5">
        <v>119311235.14487199</v>
      </c>
      <c r="Y216" s="5">
        <v>35127380.230389804</v>
      </c>
      <c r="Z216" s="5">
        <v>103279921.964322</v>
      </c>
      <c r="AA216" s="5">
        <v>90625126.519131497</v>
      </c>
      <c r="AB216" s="5">
        <v>46508930.563156903</v>
      </c>
      <c r="AC216" s="5">
        <v>65791716.463796698</v>
      </c>
      <c r="AD216" s="5">
        <v>68995920.181273505</v>
      </c>
      <c r="AE216" s="5">
        <v>69890139.6164134</v>
      </c>
      <c r="AF216" s="5">
        <v>70987751.587132707</v>
      </c>
      <c r="AG216">
        <f t="shared" si="13"/>
        <v>68916381.962154076</v>
      </c>
      <c r="AH216">
        <f t="shared" si="14"/>
        <v>2236711.6411850671</v>
      </c>
      <c r="AI216">
        <f t="shared" si="15"/>
        <v>3.2455442051693505E-2</v>
      </c>
    </row>
    <row r="217" spans="1:35" x14ac:dyDescent="0.45">
      <c r="A217" s="5" t="s">
        <v>309</v>
      </c>
      <c r="B217" s="2">
        <f t="shared" si="12"/>
        <v>34126512.651715331</v>
      </c>
      <c r="C217" s="2">
        <v>23493357.760314878</v>
      </c>
      <c r="D217" s="2">
        <v>8.6506111877190428E-2</v>
      </c>
      <c r="E217" s="5">
        <v>47342385.243031502</v>
      </c>
      <c r="F217" s="5">
        <v>43164754.350737199</v>
      </c>
      <c r="G217" s="5">
        <v>28768743.673026901</v>
      </c>
      <c r="H217" s="5">
        <v>40856433.847437099</v>
      </c>
      <c r="I217" s="5">
        <v>26711117.3993669</v>
      </c>
      <c r="J217" s="5">
        <v>28033039.020802502</v>
      </c>
      <c r="K217" s="5">
        <v>34212130.146452896</v>
      </c>
      <c r="L217" s="5">
        <v>37424779.949604303</v>
      </c>
      <c r="M217" s="5">
        <v>25338213.163157798</v>
      </c>
      <c r="N217" s="5">
        <v>30318358.735732399</v>
      </c>
      <c r="O217" s="5">
        <v>47013983.444481596</v>
      </c>
      <c r="P217" s="5">
        <v>22978249.552131299</v>
      </c>
      <c r="Q217" s="5">
        <v>23398216.424784999</v>
      </c>
      <c r="R217" s="5">
        <v>26085339.179583602</v>
      </c>
      <c r="S217" s="5">
        <v>16710173.552059799</v>
      </c>
      <c r="T217" s="5">
        <v>99319286.837889999</v>
      </c>
      <c r="U217" s="5">
        <v>19663937.2560849</v>
      </c>
      <c r="V217" s="5">
        <v>30334293.165100101</v>
      </c>
      <c r="W217" s="5">
        <v>31808766.103233501</v>
      </c>
      <c r="X217" s="5">
        <v>28448087.6324131</v>
      </c>
      <c r="Y217" s="5">
        <v>30553439.635260701</v>
      </c>
      <c r="Z217" s="5">
        <v>30498656.9981994</v>
      </c>
      <c r="AA217" s="5">
        <v>29069490.669303101</v>
      </c>
      <c r="AB217" s="5">
        <v>40984427.661292396</v>
      </c>
      <c r="AC217" s="5">
        <v>21134490.708883502</v>
      </c>
      <c r="AD217" s="5">
        <v>22470589.281769101</v>
      </c>
      <c r="AE217" s="5">
        <v>25361550.018406101</v>
      </c>
      <c r="AF217" s="5">
        <v>25006801.032200798</v>
      </c>
      <c r="AG217">
        <f t="shared" si="13"/>
        <v>23493357.760314878</v>
      </c>
      <c r="AH217">
        <f t="shared" si="14"/>
        <v>2032319.0347846588</v>
      </c>
      <c r="AI217">
        <f t="shared" si="15"/>
        <v>8.6506111877190428E-2</v>
      </c>
    </row>
    <row r="218" spans="1:35" x14ac:dyDescent="0.45">
      <c r="A218" s="5" t="s">
        <v>192</v>
      </c>
      <c r="B218" s="2">
        <f t="shared" si="12"/>
        <v>172359428.49300432</v>
      </c>
      <c r="C218" s="2">
        <v>146952836.13789448</v>
      </c>
      <c r="D218" s="2">
        <v>3.270798662885252E-2</v>
      </c>
      <c r="E218" s="5">
        <v>195409905.096302</v>
      </c>
      <c r="F218" s="5">
        <v>228720677.99093899</v>
      </c>
      <c r="G218" s="5">
        <v>152908805.462928</v>
      </c>
      <c r="H218" s="5">
        <v>207943202.60781601</v>
      </c>
      <c r="I218" s="5">
        <v>189029709.58415499</v>
      </c>
      <c r="J218" s="5">
        <v>106413181.84417599</v>
      </c>
      <c r="K218" s="5">
        <v>201122962.84268799</v>
      </c>
      <c r="L218" s="5">
        <v>174547602.33497</v>
      </c>
      <c r="M218" s="5">
        <v>109619179.182256</v>
      </c>
      <c r="N218" s="5">
        <v>209718944.053729</v>
      </c>
      <c r="O218" s="5">
        <v>140558175.126436</v>
      </c>
      <c r="P218" s="5">
        <v>162659763.46844199</v>
      </c>
      <c r="Q218" s="5">
        <v>191155150.05446199</v>
      </c>
      <c r="R218" s="5">
        <v>224559344.142221</v>
      </c>
      <c r="S218" s="5">
        <v>193695960.91310501</v>
      </c>
      <c r="T218" s="5">
        <v>66436487.450291798</v>
      </c>
      <c r="U218" s="5">
        <v>165538873.56452301</v>
      </c>
      <c r="V218" s="5">
        <v>159556360.195759</v>
      </c>
      <c r="W218" s="5">
        <v>168839867.30197799</v>
      </c>
      <c r="X218" s="5">
        <v>174141131.692112</v>
      </c>
      <c r="Y218" s="5">
        <v>214456579.176763</v>
      </c>
      <c r="Z218" s="5">
        <v>140777139.26870599</v>
      </c>
      <c r="AA218" s="5">
        <v>168542812.554607</v>
      </c>
      <c r="AB218" s="5">
        <v>190274467.922739</v>
      </c>
      <c r="AC218" s="5">
        <v>141596251.033122</v>
      </c>
      <c r="AD218" s="5">
        <v>150548990.34525999</v>
      </c>
      <c r="AE218" s="5">
        <v>144218266.341097</v>
      </c>
      <c r="AF218" s="5">
        <v>151447836.83209899</v>
      </c>
      <c r="AG218">
        <f t="shared" si="13"/>
        <v>146952836.13789448</v>
      </c>
      <c r="AH218">
        <f t="shared" si="14"/>
        <v>4806531.3994702082</v>
      </c>
      <c r="AI218">
        <f t="shared" si="15"/>
        <v>3.270798662885252E-2</v>
      </c>
    </row>
    <row r="219" spans="1:35" x14ac:dyDescent="0.45">
      <c r="A219" s="5" t="s">
        <v>193</v>
      </c>
      <c r="B219" s="2">
        <f t="shared" si="12"/>
        <v>17143204.593182545</v>
      </c>
      <c r="C219" s="2">
        <v>14313771.6660535</v>
      </c>
      <c r="D219" s="2">
        <v>3.8245466206529993E-2</v>
      </c>
      <c r="E219" s="5">
        <v>16127792.885465</v>
      </c>
      <c r="F219" s="5">
        <v>19854080.496965699</v>
      </c>
      <c r="G219" s="5">
        <v>16764733.894367101</v>
      </c>
      <c r="H219" s="5">
        <v>24920961.534260198</v>
      </c>
      <c r="I219" s="5">
        <v>17049135.616902798</v>
      </c>
      <c r="J219" s="5">
        <v>10786957.9226145</v>
      </c>
      <c r="K219" s="5">
        <v>20935153.332268301</v>
      </c>
      <c r="L219" s="5">
        <v>18205567.505229</v>
      </c>
      <c r="M219" s="5">
        <v>10560106.603828199</v>
      </c>
      <c r="N219" s="5">
        <v>20175910.498609301</v>
      </c>
      <c r="O219" s="5">
        <v>15307073.595685</v>
      </c>
      <c r="P219" s="5">
        <v>16734462.2607545</v>
      </c>
      <c r="Q219" s="5">
        <v>14072676.0722262</v>
      </c>
      <c r="R219" s="5">
        <v>23469134.220622402</v>
      </c>
      <c r="S219" s="5">
        <v>21184078.905081902</v>
      </c>
      <c r="T219" s="5">
        <v>9957880.1021133997</v>
      </c>
      <c r="U219" s="5">
        <v>14114997.0310349</v>
      </c>
      <c r="V219" s="5">
        <v>15533125.7607008</v>
      </c>
      <c r="W219" s="5">
        <v>18229612.559081499</v>
      </c>
      <c r="X219" s="5">
        <v>17758316.157820001</v>
      </c>
      <c r="Y219" s="5">
        <v>18893926.1751667</v>
      </c>
      <c r="Z219" s="5">
        <v>13063214.704597199</v>
      </c>
      <c r="AA219" s="5">
        <v>17461946.677544899</v>
      </c>
      <c r="AB219" s="5">
        <v>20276065.723441601</v>
      </c>
      <c r="AC219" s="5">
        <v>13547367.431168601</v>
      </c>
      <c r="AD219" s="5">
        <v>14294975.676446799</v>
      </c>
      <c r="AE219" s="5">
        <v>14667237.746172899</v>
      </c>
      <c r="AF219" s="5">
        <v>14745505.810425701</v>
      </c>
      <c r="AG219">
        <f t="shared" si="13"/>
        <v>14313771.6660535</v>
      </c>
      <c r="AH219">
        <f t="shared" si="14"/>
        <v>547436.87054203567</v>
      </c>
      <c r="AI219">
        <f t="shared" si="15"/>
        <v>3.8245466206529993E-2</v>
      </c>
    </row>
    <row r="220" spans="1:35" x14ac:dyDescent="0.45">
      <c r="A220" s="5" t="s">
        <v>310</v>
      </c>
      <c r="B220" s="2">
        <f t="shared" si="12"/>
        <v>39671139.656284191</v>
      </c>
      <c r="C220" s="2">
        <v>36657991.652971722</v>
      </c>
      <c r="D220" s="2">
        <v>1.7476241215701113E-2</v>
      </c>
      <c r="E220" s="5">
        <v>57147832.688796997</v>
      </c>
      <c r="F220" s="5">
        <v>46003334.330472201</v>
      </c>
      <c r="G220" s="5">
        <v>16488334.869826799</v>
      </c>
      <c r="H220" s="5">
        <v>29941195.524545699</v>
      </c>
      <c r="I220" s="5">
        <v>13264319.0781992</v>
      </c>
      <c r="J220" s="5">
        <v>14184228.4771732</v>
      </c>
      <c r="K220" s="5">
        <v>46116343.223401099</v>
      </c>
      <c r="L220" s="5">
        <v>26744704.6519127</v>
      </c>
      <c r="M220" s="5">
        <v>34697463.220349804</v>
      </c>
      <c r="N220" s="5">
        <v>48695490.5991427</v>
      </c>
      <c r="O220" s="5">
        <v>46277460.665263802</v>
      </c>
      <c r="P220" s="5">
        <v>51983752.859848797</v>
      </c>
      <c r="Q220" s="5">
        <v>26151560.124223299</v>
      </c>
      <c r="R220" s="5">
        <v>61398376.407896601</v>
      </c>
      <c r="S220" s="5">
        <v>19844893.645846099</v>
      </c>
      <c r="T220" s="5">
        <v>91527865.095997304</v>
      </c>
      <c r="U220" s="5">
        <v>79031528.688745707</v>
      </c>
      <c r="V220" s="5">
        <v>37003907.189394102</v>
      </c>
      <c r="W220" s="5">
        <v>66556161.691037901</v>
      </c>
      <c r="X220" s="5">
        <v>19901018.697271202</v>
      </c>
      <c r="Y220" s="5">
        <v>41318894.173501499</v>
      </c>
      <c r="Z220" s="5">
        <v>30696896.6138325</v>
      </c>
      <c r="AA220" s="5">
        <v>16779973.241978999</v>
      </c>
      <c r="AB220" s="5">
        <v>30351815.9921625</v>
      </c>
      <c r="AC220" s="5">
        <v>35949016.564343899</v>
      </c>
      <c r="AD220" s="5">
        <v>36435585.010361798</v>
      </c>
      <c r="AE220" s="5">
        <v>37473987.729749501</v>
      </c>
      <c r="AF220" s="5">
        <v>36773377.307431698</v>
      </c>
      <c r="AG220">
        <f t="shared" si="13"/>
        <v>36657991.652971722</v>
      </c>
      <c r="AH220">
        <f t="shared" si="14"/>
        <v>640643.90461049182</v>
      </c>
      <c r="AI220">
        <f t="shared" si="15"/>
        <v>1.7476241215701113E-2</v>
      </c>
    </row>
    <row r="221" spans="1:35" x14ac:dyDescent="0.45">
      <c r="A221" s="5" t="s">
        <v>194</v>
      </c>
      <c r="B221" s="2">
        <f t="shared" si="12"/>
        <v>3123982.1552213263</v>
      </c>
      <c r="C221" s="2">
        <v>3180096.0086145299</v>
      </c>
      <c r="D221" s="2">
        <v>5.1492840834979119E-2</v>
      </c>
      <c r="E221" s="5">
        <v>6116642.08334048</v>
      </c>
      <c r="F221" s="5">
        <v>4904075.2330302903</v>
      </c>
      <c r="G221" s="5">
        <v>8159111.6870305296</v>
      </c>
      <c r="H221" s="5">
        <v>1429598.6854233099</v>
      </c>
      <c r="I221" s="5">
        <v>6892243.4510985604</v>
      </c>
      <c r="J221" s="5">
        <v>796812.29476468498</v>
      </c>
      <c r="K221" s="5">
        <v>841027.83123963501</v>
      </c>
      <c r="L221" s="5">
        <v>960898.27091417497</v>
      </c>
      <c r="M221" s="5">
        <v>6022485.0790539701</v>
      </c>
      <c r="N221" s="5">
        <v>2603457.7747379802</v>
      </c>
      <c r="O221" s="5">
        <v>1675495.6355852601</v>
      </c>
      <c r="P221" s="5">
        <v>1352931.4854051101</v>
      </c>
      <c r="Q221" s="5">
        <v>1616976.1283782399</v>
      </c>
      <c r="R221" s="5">
        <v>1237302.7050904101</v>
      </c>
      <c r="S221" s="5">
        <v>768052.39890833199</v>
      </c>
      <c r="T221" s="5">
        <v>401633.06983710802</v>
      </c>
      <c r="U221" s="5">
        <v>7334026.2956736302</v>
      </c>
      <c r="V221" s="5">
        <v>5344140.1788189402</v>
      </c>
      <c r="W221" s="5">
        <v>2167050.76542866</v>
      </c>
      <c r="X221" s="5">
        <v>4277123.8867404703</v>
      </c>
      <c r="Y221" s="5">
        <v>7523466.02576885</v>
      </c>
      <c r="Z221" s="5">
        <v>659641.93371332204</v>
      </c>
      <c r="AA221" s="5">
        <v>382639.22391816101</v>
      </c>
      <c r="AB221" s="5">
        <v>1508739.6014117301</v>
      </c>
      <c r="AC221" s="5">
        <v>3209337.2707909299</v>
      </c>
      <c r="AD221" s="5">
        <v>3267560.7381415898</v>
      </c>
      <c r="AE221" s="5">
        <v>2941286.5741925598</v>
      </c>
      <c r="AF221" s="5">
        <v>3302199.4513330399</v>
      </c>
      <c r="AG221">
        <f t="shared" si="13"/>
        <v>3180096.0086145299</v>
      </c>
      <c r="AH221">
        <f t="shared" si="14"/>
        <v>163752.17761154036</v>
      </c>
      <c r="AI221">
        <f t="shared" si="15"/>
        <v>5.1492840834979119E-2</v>
      </c>
    </row>
    <row r="222" spans="1:35" x14ac:dyDescent="0.45">
      <c r="A222" s="5" t="s">
        <v>195</v>
      </c>
      <c r="B222" s="2">
        <f t="shared" si="12"/>
        <v>897822710.08631694</v>
      </c>
      <c r="C222" s="2">
        <v>886898863.59311712</v>
      </c>
      <c r="D222" s="2">
        <v>1.6248860903352657E-2</v>
      </c>
      <c r="E222" s="5">
        <v>286540102.85854501</v>
      </c>
      <c r="F222" s="5">
        <v>390208484.59838802</v>
      </c>
      <c r="G222" s="5">
        <v>653748158.35858905</v>
      </c>
      <c r="H222" s="5">
        <v>722603914.19437003</v>
      </c>
      <c r="I222" s="5">
        <v>2073477961.6156299</v>
      </c>
      <c r="J222" s="5">
        <v>1668678833.5962901</v>
      </c>
      <c r="K222" s="5">
        <v>441183695.31429797</v>
      </c>
      <c r="L222" s="5">
        <v>745756644.42683697</v>
      </c>
      <c r="M222" s="5">
        <v>1106559457.3058701</v>
      </c>
      <c r="N222" s="5">
        <v>285241962.30868399</v>
      </c>
      <c r="O222" s="5">
        <v>724932073.12158704</v>
      </c>
      <c r="P222" s="5">
        <v>360628090.93322402</v>
      </c>
      <c r="Q222" s="5">
        <v>2377250735.1670198</v>
      </c>
      <c r="R222" s="5">
        <v>421957930.38087797</v>
      </c>
      <c r="S222" s="5">
        <v>949186583.55809498</v>
      </c>
      <c r="T222" s="5">
        <v>1128223073.9699199</v>
      </c>
      <c r="U222" s="5">
        <v>745511660.48489702</v>
      </c>
      <c r="V222" s="5">
        <v>615447904.18868899</v>
      </c>
      <c r="W222" s="5">
        <v>449194626.846044</v>
      </c>
      <c r="X222" s="5">
        <v>1019338106.6660399</v>
      </c>
      <c r="Y222" s="5">
        <v>904327463.92640698</v>
      </c>
      <c r="Z222" s="5">
        <v>983281223.09215701</v>
      </c>
      <c r="AA222" s="5">
        <v>2008231344.1487501</v>
      </c>
      <c r="AB222" s="5">
        <v>486235011.01039702</v>
      </c>
      <c r="AC222" s="5">
        <v>870219399.38962197</v>
      </c>
      <c r="AD222" s="5">
        <v>880412558.72922695</v>
      </c>
      <c r="AE222" s="5">
        <v>894332291.41819596</v>
      </c>
      <c r="AF222" s="5">
        <v>902631204.83542395</v>
      </c>
      <c r="AG222">
        <f t="shared" si="13"/>
        <v>886898863.59311712</v>
      </c>
      <c r="AH222">
        <f t="shared" si="14"/>
        <v>14411096.269866101</v>
      </c>
      <c r="AI222">
        <f t="shared" si="15"/>
        <v>1.6248860903352657E-2</v>
      </c>
    </row>
    <row r="223" spans="1:35" x14ac:dyDescent="0.45">
      <c r="A223" s="5" t="s">
        <v>196</v>
      </c>
      <c r="B223" s="2">
        <f t="shared" si="12"/>
        <v>394814709.74319315</v>
      </c>
      <c r="C223" s="2">
        <v>264179679.1018005</v>
      </c>
      <c r="D223" s="2">
        <v>2.2323764286442546E-2</v>
      </c>
      <c r="E223" s="5">
        <v>100832491.856902</v>
      </c>
      <c r="F223" s="5">
        <v>152896989.02526399</v>
      </c>
      <c r="G223" s="5">
        <v>165641917.44839799</v>
      </c>
      <c r="H223" s="5">
        <v>320502014.13588202</v>
      </c>
      <c r="I223" s="5">
        <v>255094220.903254</v>
      </c>
      <c r="J223" s="5">
        <v>146926484.205634</v>
      </c>
      <c r="K223" s="5">
        <v>152431385.85892299</v>
      </c>
      <c r="L223" s="5">
        <v>158596935.50338599</v>
      </c>
      <c r="M223" s="5">
        <v>177137745.088624</v>
      </c>
      <c r="N223" s="5">
        <v>233513935.089178</v>
      </c>
      <c r="O223" s="5">
        <v>3186327805.6374202</v>
      </c>
      <c r="P223" s="5">
        <v>207226710.033014</v>
      </c>
      <c r="Q223" s="5">
        <v>322200447.86929798</v>
      </c>
      <c r="R223" s="5">
        <v>252047994.587522</v>
      </c>
      <c r="S223" s="5">
        <v>232114422.03844899</v>
      </c>
      <c r="T223" s="5">
        <v>1336177538.64853</v>
      </c>
      <c r="U223" s="5">
        <v>220318753.44200301</v>
      </c>
      <c r="V223" s="5">
        <v>189573696.45427001</v>
      </c>
      <c r="W223" s="5">
        <v>649595275.82204497</v>
      </c>
      <c r="X223" s="5">
        <v>153685217.58555299</v>
      </c>
      <c r="Y223" s="5">
        <v>211549449.694204</v>
      </c>
      <c r="Z223" s="5">
        <v>179218121.458453</v>
      </c>
      <c r="AA223" s="5">
        <v>320897333.34973103</v>
      </c>
      <c r="AB223" s="5">
        <v>151046148.10069901</v>
      </c>
      <c r="AC223" s="5">
        <v>257730248.76266599</v>
      </c>
      <c r="AD223" s="5">
        <v>263511751.60451701</v>
      </c>
      <c r="AE223" s="5">
        <v>263438863.06137699</v>
      </c>
      <c r="AF223" s="5">
        <v>272037852.97864199</v>
      </c>
      <c r="AG223">
        <f t="shared" si="13"/>
        <v>264179679.1018005</v>
      </c>
      <c r="AH223">
        <f t="shared" si="14"/>
        <v>5897484.885536626</v>
      </c>
      <c r="AI223">
        <f t="shared" si="15"/>
        <v>2.2323764286442546E-2</v>
      </c>
    </row>
    <row r="224" spans="1:35" x14ac:dyDescent="0.45">
      <c r="A224" s="5" t="s">
        <v>197</v>
      </c>
      <c r="B224" s="2">
        <f t="shared" si="12"/>
        <v>336405.84300857602</v>
      </c>
      <c r="C224" s="2">
        <v>232802.71222338651</v>
      </c>
      <c r="D224" s="2">
        <v>0.17963792359162226</v>
      </c>
      <c r="E224" s="5">
        <v>236214.21541223201</v>
      </c>
      <c r="F224" s="5">
        <v>284151.47888433299</v>
      </c>
      <c r="G224" s="5">
        <v>385069.41555042902</v>
      </c>
      <c r="H224" s="5">
        <v>611461.448925882</v>
      </c>
      <c r="I224" s="5">
        <v>193594.95036985099</v>
      </c>
      <c r="J224" s="5">
        <v>234180.31022999401</v>
      </c>
      <c r="K224" s="5">
        <v>398119.24305752403</v>
      </c>
      <c r="L224" s="5">
        <v>450494.45505997603</v>
      </c>
      <c r="M224" s="5">
        <v>231181.74863878699</v>
      </c>
      <c r="N224" s="5">
        <v>287459.99068405799</v>
      </c>
      <c r="O224" s="5">
        <v>747394.11049753195</v>
      </c>
      <c r="P224" s="5">
        <v>325342.72436311498</v>
      </c>
      <c r="Q224" s="5">
        <v>291134.49512261298</v>
      </c>
      <c r="R224" s="5">
        <v>242799.484113304</v>
      </c>
      <c r="S224" s="5">
        <v>260251.36476968101</v>
      </c>
      <c r="T224" s="5">
        <v>421362.72984052403</v>
      </c>
      <c r="U224" s="5">
        <v>213979.661957648</v>
      </c>
      <c r="V224" s="5">
        <v>236262.901606895</v>
      </c>
      <c r="W224" s="5">
        <v>431007.03511324601</v>
      </c>
      <c r="X224" s="5">
        <v>305017.31229262601</v>
      </c>
      <c r="Y224" s="5">
        <v>323462.93046092498</v>
      </c>
      <c r="Z224" s="5">
        <v>295240.60831464001</v>
      </c>
      <c r="AA224" s="5">
        <v>354093.54922853602</v>
      </c>
      <c r="AB224" s="5">
        <v>314464.06771147298</v>
      </c>
      <c r="AC224" s="5">
        <v>170907.83472158099</v>
      </c>
      <c r="AD224" s="5">
        <v>244049.633750284</v>
      </c>
      <c r="AE224" s="5">
        <v>256295.09106775199</v>
      </c>
      <c r="AF224" s="5">
        <v>259958.28935392899</v>
      </c>
      <c r="AG224">
        <f t="shared" si="13"/>
        <v>232802.71222338651</v>
      </c>
      <c r="AH224">
        <f t="shared" si="14"/>
        <v>41820.19583030713</v>
      </c>
      <c r="AI224">
        <f t="shared" si="15"/>
        <v>0.17963792359162226</v>
      </c>
    </row>
    <row r="225" spans="1:35" x14ac:dyDescent="0.45">
      <c r="A225" s="5" t="s">
        <v>311</v>
      </c>
      <c r="B225" s="2">
        <f t="shared" si="12"/>
        <v>9310115715.4937229</v>
      </c>
      <c r="C225" s="2">
        <v>8257285168.93612</v>
      </c>
      <c r="D225" s="2">
        <v>3.4911829210670361E-2</v>
      </c>
      <c r="E225" s="5">
        <v>13188546484.8078</v>
      </c>
      <c r="F225" s="5">
        <v>10074458703.5937</v>
      </c>
      <c r="G225" s="5">
        <v>6930808261.8034201</v>
      </c>
      <c r="H225" s="5">
        <v>11539505343.122999</v>
      </c>
      <c r="I225" s="5">
        <v>2641333679.7243299</v>
      </c>
      <c r="J225" s="5">
        <v>2193714695.5961299</v>
      </c>
      <c r="K225" s="5">
        <v>11658757407.7442</v>
      </c>
      <c r="L225" s="5">
        <v>4785878047.4102802</v>
      </c>
      <c r="M225" s="5">
        <v>5004764491.9974499</v>
      </c>
      <c r="N225" s="5">
        <v>12153770791.550301</v>
      </c>
      <c r="O225" s="5">
        <v>29628612684.416</v>
      </c>
      <c r="P225" s="5">
        <v>6553035619.9090004</v>
      </c>
      <c r="Q225" s="5">
        <v>6741556548.8283501</v>
      </c>
      <c r="R225" s="5">
        <v>7081411601.2082796</v>
      </c>
      <c r="S225" s="5">
        <v>8650304230.4061394</v>
      </c>
      <c r="T225" s="5">
        <v>19928396686.019001</v>
      </c>
      <c r="U225" s="5">
        <v>6047500484.3877697</v>
      </c>
      <c r="V225" s="5">
        <v>10426758523.139299</v>
      </c>
      <c r="W225" s="5">
        <v>16891199623.892799</v>
      </c>
      <c r="X225" s="5">
        <v>9161401021.5672798</v>
      </c>
      <c r="Y225" s="5">
        <v>5258286305.0643702</v>
      </c>
      <c r="Z225" s="5">
        <v>6901959050.7220898</v>
      </c>
      <c r="AA225" s="5">
        <v>6290067829.3985901</v>
      </c>
      <c r="AB225" s="5">
        <v>3710749055.5397601</v>
      </c>
      <c r="AC225" s="5">
        <v>8199661127.62076</v>
      </c>
      <c r="AD225" s="5">
        <v>7939002560.1314497</v>
      </c>
      <c r="AE225" s="5">
        <v>8252841105.3115301</v>
      </c>
      <c r="AF225" s="5">
        <v>8637635882.6807404</v>
      </c>
      <c r="AG225">
        <f t="shared" si="13"/>
        <v>8257285168.93612</v>
      </c>
      <c r="AH225">
        <f t="shared" si="14"/>
        <v>288276929.56169921</v>
      </c>
      <c r="AI225">
        <f t="shared" si="15"/>
        <v>3.4911829210670361E-2</v>
      </c>
    </row>
    <row r="226" spans="1:35" x14ac:dyDescent="0.45">
      <c r="A226" s="5" t="s">
        <v>198</v>
      </c>
      <c r="B226" s="2">
        <f t="shared" si="12"/>
        <v>60908934.824406147</v>
      </c>
      <c r="C226" s="2">
        <v>47741250.189822771</v>
      </c>
      <c r="D226" s="2">
        <v>0.12971317805899632</v>
      </c>
      <c r="E226" s="5">
        <v>62286697.297245197</v>
      </c>
      <c r="F226" s="5">
        <v>43844771.898810901</v>
      </c>
      <c r="G226" s="5">
        <v>92803391.248107195</v>
      </c>
      <c r="H226" s="5">
        <v>37985442.158073202</v>
      </c>
      <c r="I226" s="5">
        <v>41788200.924963802</v>
      </c>
      <c r="J226" s="5">
        <v>14383374.0360738</v>
      </c>
      <c r="K226" s="5">
        <v>62227693.934168696</v>
      </c>
      <c r="L226" s="5">
        <v>27320054.9999809</v>
      </c>
      <c r="M226" s="5">
        <v>13266834.977717601</v>
      </c>
      <c r="N226" s="5">
        <v>83294070.116317198</v>
      </c>
      <c r="O226" s="5">
        <v>236082762.07398301</v>
      </c>
      <c r="P226" s="5">
        <v>60650865.237940498</v>
      </c>
      <c r="Q226" s="5">
        <v>27121727.8127882</v>
      </c>
      <c r="R226" s="5">
        <v>22967968.161988702</v>
      </c>
      <c r="S226" s="5">
        <v>88754251.844063997</v>
      </c>
      <c r="T226" s="5">
        <v>76210025.090474501</v>
      </c>
      <c r="U226" s="5">
        <v>51640961.214261301</v>
      </c>
      <c r="V226" s="5">
        <v>55971338.404662602</v>
      </c>
      <c r="W226" s="5">
        <v>166666321.584611</v>
      </c>
      <c r="X226" s="5">
        <v>34957558.143111803</v>
      </c>
      <c r="Y226" s="5">
        <v>17892650.359592699</v>
      </c>
      <c r="Z226" s="5">
        <v>54610371.788978897</v>
      </c>
      <c r="AA226" s="5">
        <v>39715297.901584499</v>
      </c>
      <c r="AB226" s="5">
        <v>49371804.576247603</v>
      </c>
      <c r="AC226" s="5">
        <v>51439188.860462599</v>
      </c>
      <c r="AD226" s="5">
        <v>38485987.800400801</v>
      </c>
      <c r="AE226" s="5">
        <v>50151874.745238401</v>
      </c>
      <c r="AF226" s="5">
        <v>50887949.353189297</v>
      </c>
      <c r="AG226">
        <f t="shared" si="13"/>
        <v>47741250.189822771</v>
      </c>
      <c r="AH226">
        <f t="shared" si="14"/>
        <v>6192669.286631573</v>
      </c>
      <c r="AI226">
        <f t="shared" si="15"/>
        <v>0.12971317805899632</v>
      </c>
    </row>
    <row r="227" spans="1:35" x14ac:dyDescent="0.45">
      <c r="A227" s="5" t="s">
        <v>199</v>
      </c>
      <c r="B227" s="2">
        <f t="shared" si="12"/>
        <v>1339218135.5060134</v>
      </c>
      <c r="C227" s="2">
        <v>1040420464.7696226</v>
      </c>
      <c r="D227" s="2">
        <v>2.925238316268124E-2</v>
      </c>
      <c r="E227" s="5">
        <v>664947978.43935001</v>
      </c>
      <c r="F227" s="5">
        <v>1125268664.22772</v>
      </c>
      <c r="G227" s="5">
        <v>739023658.364972</v>
      </c>
      <c r="H227" s="5">
        <v>1365559286.07883</v>
      </c>
      <c r="I227" s="5">
        <v>860324118.98116803</v>
      </c>
      <c r="J227" s="5">
        <v>526048598.79106098</v>
      </c>
      <c r="K227" s="5">
        <v>1050809698.39697</v>
      </c>
      <c r="L227" s="5">
        <v>1247104353.5999401</v>
      </c>
      <c r="M227" s="5">
        <v>405835358.01275897</v>
      </c>
      <c r="N227" s="5">
        <v>1434341744.08763</v>
      </c>
      <c r="O227" s="5">
        <v>3795782498.58815</v>
      </c>
      <c r="P227" s="5">
        <v>1563000718.1986899</v>
      </c>
      <c r="Q227" s="5">
        <v>1524528716.0371301</v>
      </c>
      <c r="R227" s="5">
        <v>1864701271.68959</v>
      </c>
      <c r="S227" s="5">
        <v>752440187.37482297</v>
      </c>
      <c r="T227" s="5">
        <v>3610153993.7079501</v>
      </c>
      <c r="U227" s="5">
        <v>1230544834.05198</v>
      </c>
      <c r="V227" s="5">
        <v>736264850.14517498</v>
      </c>
      <c r="W227" s="5">
        <v>2158197532.6511998</v>
      </c>
      <c r="X227" s="5">
        <v>493861321.77799302</v>
      </c>
      <c r="Y227" s="5">
        <v>2602205857.9920702</v>
      </c>
      <c r="Z227" s="5">
        <v>805743383.10537601</v>
      </c>
      <c r="AA227" s="5">
        <v>727714144.78704405</v>
      </c>
      <c r="AB227" s="5">
        <v>856832483.05674696</v>
      </c>
      <c r="AC227" s="5">
        <v>1030993391.15185</v>
      </c>
      <c r="AD227" s="5">
        <v>1065830309.35707</v>
      </c>
      <c r="AE227" s="5">
        <v>1001472878.3833801</v>
      </c>
      <c r="AF227" s="5">
        <v>1063385280.18619</v>
      </c>
      <c r="AG227">
        <f t="shared" si="13"/>
        <v>1040420464.7696226</v>
      </c>
      <c r="AH227">
        <f t="shared" si="14"/>
        <v>30434778.085735898</v>
      </c>
      <c r="AI227">
        <f t="shared" si="15"/>
        <v>2.925238316268124E-2</v>
      </c>
    </row>
    <row r="228" spans="1:35" x14ac:dyDescent="0.45">
      <c r="A228" s="5" t="s">
        <v>312</v>
      </c>
      <c r="B228" s="2">
        <f t="shared" si="12"/>
        <v>11735254.0627758</v>
      </c>
      <c r="C228" s="2">
        <v>10723213.037032224</v>
      </c>
      <c r="D228" s="2">
        <v>5.1704938065154429E-2</v>
      </c>
      <c r="E228" s="5">
        <v>1390041.5571556699</v>
      </c>
      <c r="F228" s="5">
        <v>29748988.1888544</v>
      </c>
      <c r="G228" s="5">
        <v>1074923.46995689</v>
      </c>
      <c r="H228" s="5">
        <v>1226237.5400877499</v>
      </c>
      <c r="I228" s="5">
        <v>585787.99785810395</v>
      </c>
      <c r="J228" s="5">
        <v>16917510.430521999</v>
      </c>
      <c r="K228" s="5">
        <v>19496065.031116799</v>
      </c>
      <c r="L228" s="5">
        <v>1143778.1630527501</v>
      </c>
      <c r="M228" s="5">
        <v>928999.57807164302</v>
      </c>
      <c r="N228" s="5">
        <v>4561145.9339651801</v>
      </c>
      <c r="O228" s="5">
        <v>3183568.36622938</v>
      </c>
      <c r="P228" s="5">
        <v>1710742.5777187401</v>
      </c>
      <c r="Q228" s="5">
        <v>986084.65221984999</v>
      </c>
      <c r="R228" s="5">
        <v>4347534.5899706399</v>
      </c>
      <c r="S228" s="5">
        <v>54939922.382022299</v>
      </c>
      <c r="T228" s="5">
        <v>6446783.4509918196</v>
      </c>
      <c r="U228" s="5">
        <v>997227.26045757404</v>
      </c>
      <c r="V228" s="5">
        <v>7142990.7240119204</v>
      </c>
      <c r="W228" s="5">
        <v>1699681.9318736701</v>
      </c>
      <c r="X228" s="5">
        <v>1013055.93207311</v>
      </c>
      <c r="Y228" s="5">
        <v>711071.00193452602</v>
      </c>
      <c r="Z228" s="5">
        <v>28080287.6807772</v>
      </c>
      <c r="AA228" s="5">
        <v>49681115.554269701</v>
      </c>
      <c r="AB228" s="5">
        <v>43632553.511427604</v>
      </c>
      <c r="AC228" s="5">
        <v>11492465.547762999</v>
      </c>
      <c r="AD228" s="5">
        <v>10642228.832803501</v>
      </c>
      <c r="AE228" s="5">
        <v>10170444.2238653</v>
      </c>
      <c r="AF228" s="5">
        <v>10587713.5436971</v>
      </c>
      <c r="AG228">
        <f t="shared" si="13"/>
        <v>10723213.037032224</v>
      </c>
      <c r="AH228">
        <f t="shared" si="14"/>
        <v>554443.06593920768</v>
      </c>
      <c r="AI228">
        <f t="shared" si="15"/>
        <v>5.1704938065154429E-2</v>
      </c>
    </row>
    <row r="229" spans="1:35" x14ac:dyDescent="0.45">
      <c r="A229" s="5" t="s">
        <v>200</v>
      </c>
      <c r="B229" s="2">
        <f t="shared" si="12"/>
        <v>46845170.894577764</v>
      </c>
      <c r="C229" s="2">
        <v>37310964.68291533</v>
      </c>
      <c r="D229" s="2">
        <v>6.6262462802258162E-3</v>
      </c>
      <c r="E229" s="5">
        <v>35697066.748887599</v>
      </c>
      <c r="F229" s="5">
        <v>29162902.252014998</v>
      </c>
      <c r="G229" s="5">
        <v>20724437.106083099</v>
      </c>
      <c r="H229" s="5">
        <v>85925210.345264494</v>
      </c>
      <c r="I229" s="5">
        <v>21348537.0872459</v>
      </c>
      <c r="J229" s="5">
        <v>49346446.073017798</v>
      </c>
      <c r="K229" s="5">
        <v>41531226.103080504</v>
      </c>
      <c r="L229" s="5">
        <v>34854004.091274202</v>
      </c>
      <c r="M229" s="5">
        <v>27262370.650591198</v>
      </c>
      <c r="N229" s="5">
        <v>56225401.305799402</v>
      </c>
      <c r="O229" s="5">
        <v>95205535.888285205</v>
      </c>
      <c r="P229" s="5">
        <v>84263580.644773602</v>
      </c>
      <c r="Q229" s="5">
        <v>23303586.067220401</v>
      </c>
      <c r="R229" s="5">
        <v>40299417.847184099</v>
      </c>
      <c r="S229" s="5">
        <v>19601695.5458855</v>
      </c>
      <c r="T229" s="5">
        <v>132168563.939505</v>
      </c>
      <c r="U229" s="5">
        <v>84009580.105487093</v>
      </c>
      <c r="V229" s="5">
        <v>19014957.163115799</v>
      </c>
      <c r="W229" s="5">
        <v>52536172.9600925</v>
      </c>
      <c r="X229" s="5">
        <v>34378730.913372204</v>
      </c>
      <c r="Y229" s="5">
        <v>37196990.365456402</v>
      </c>
      <c r="Z229" s="5">
        <v>48243624.970203899</v>
      </c>
      <c r="AA229" s="5">
        <v>24490144.9081196</v>
      </c>
      <c r="AB229" s="5">
        <v>27493918.387905601</v>
      </c>
      <c r="AC229" s="5">
        <v>36982059.943721697</v>
      </c>
      <c r="AD229" s="5">
        <v>37580650.003905602</v>
      </c>
      <c r="AE229" s="5">
        <v>37359395.700161003</v>
      </c>
      <c r="AF229" s="5">
        <v>37321753.083873004</v>
      </c>
      <c r="AG229">
        <f t="shared" si="13"/>
        <v>37310964.68291533</v>
      </c>
      <c r="AH229">
        <f t="shared" si="14"/>
        <v>247231.64094180451</v>
      </c>
      <c r="AI229">
        <f t="shared" si="15"/>
        <v>6.6262462802258162E-3</v>
      </c>
    </row>
    <row r="230" spans="1:35" x14ac:dyDescent="0.45">
      <c r="A230" s="5" t="s">
        <v>201</v>
      </c>
      <c r="B230" s="2">
        <f t="shared" si="12"/>
        <v>10756195.572139082</v>
      </c>
      <c r="C230" s="2">
        <v>10526164.423154186</v>
      </c>
      <c r="D230" s="2">
        <v>7.0061583591418772E-2</v>
      </c>
      <c r="E230" s="5">
        <v>8909415.3496602103</v>
      </c>
      <c r="F230" s="5">
        <v>9265804.1526857503</v>
      </c>
      <c r="G230" s="5">
        <v>8733987.7876182999</v>
      </c>
      <c r="H230" s="5">
        <v>4364471.9167913496</v>
      </c>
      <c r="I230" s="5">
        <v>11080912.631861299</v>
      </c>
      <c r="J230" s="5">
        <v>23451101.347291499</v>
      </c>
      <c r="K230" s="5">
        <v>13583251.7443267</v>
      </c>
      <c r="L230" s="5">
        <v>10363468.295053201</v>
      </c>
      <c r="M230" s="5">
        <v>18597249.2765259</v>
      </c>
      <c r="N230" s="5">
        <v>7847464.65200039</v>
      </c>
      <c r="O230" s="5">
        <v>5613226.5979571203</v>
      </c>
      <c r="P230" s="5">
        <v>7630934.2338912897</v>
      </c>
      <c r="Q230" s="5">
        <v>18493005.226516999</v>
      </c>
      <c r="R230" s="5">
        <v>5823762.05344343</v>
      </c>
      <c r="S230" s="5">
        <v>11628769.3487275</v>
      </c>
      <c r="T230" s="5">
        <v>8599115.3878326695</v>
      </c>
      <c r="U230" s="5">
        <v>9581060.31327831</v>
      </c>
      <c r="V230" s="5">
        <v>10600541.038102999</v>
      </c>
      <c r="W230" s="5">
        <v>7850391.4846730698</v>
      </c>
      <c r="X230" s="5">
        <v>9174985.5067614093</v>
      </c>
      <c r="Y230" s="5">
        <v>10401555.1756882</v>
      </c>
      <c r="Z230" s="5">
        <v>9677636.9859504309</v>
      </c>
      <c r="AA230" s="5">
        <v>16180733.533507099</v>
      </c>
      <c r="AB230" s="5">
        <v>10695849.6911928</v>
      </c>
      <c r="AC230" s="5">
        <v>11281002.029929399</v>
      </c>
      <c r="AD230" s="5">
        <v>10861957.0050832</v>
      </c>
      <c r="AE230" s="5">
        <v>9559924.4162700493</v>
      </c>
      <c r="AF230" s="5">
        <v>10401774.241334099</v>
      </c>
      <c r="AG230">
        <f t="shared" si="13"/>
        <v>10526164.423154186</v>
      </c>
      <c r="AH230">
        <f t="shared" si="14"/>
        <v>737479.74862983543</v>
      </c>
      <c r="AI230">
        <f t="shared" si="15"/>
        <v>7.0061583591418772E-2</v>
      </c>
    </row>
    <row r="231" spans="1:35" x14ac:dyDescent="0.45">
      <c r="A231" s="5" t="s">
        <v>202</v>
      </c>
      <c r="B231" s="2">
        <f t="shared" si="12"/>
        <v>657099137.81361711</v>
      </c>
      <c r="C231" s="2">
        <v>512375819.39657724</v>
      </c>
      <c r="D231" s="2">
        <v>1.6532474129312576E-2</v>
      </c>
      <c r="E231" s="5">
        <v>474898771.96548498</v>
      </c>
      <c r="F231" s="5">
        <v>593385292.967803</v>
      </c>
      <c r="G231" s="5">
        <v>251694493.53660601</v>
      </c>
      <c r="H231" s="5">
        <v>689240458.13864994</v>
      </c>
      <c r="I231" s="5">
        <v>317881490.11160499</v>
      </c>
      <c r="J231" s="5">
        <v>392086971.93076098</v>
      </c>
      <c r="K231" s="5">
        <v>919986095.99613595</v>
      </c>
      <c r="L231" s="5">
        <v>570802705.80470204</v>
      </c>
      <c r="M231" s="5">
        <v>341748497.59010297</v>
      </c>
      <c r="N231" s="5">
        <v>767369043.67204404</v>
      </c>
      <c r="O231" s="5">
        <v>1054050293.71991</v>
      </c>
      <c r="P231" s="5">
        <v>792204120.60487795</v>
      </c>
      <c r="Q231" s="5">
        <v>725649372.02306998</v>
      </c>
      <c r="R231" s="5">
        <v>1015462912.7279201</v>
      </c>
      <c r="S231" s="5">
        <v>679796651.82148898</v>
      </c>
      <c r="T231" s="5">
        <v>1022355027.2366199</v>
      </c>
      <c r="U231" s="5">
        <v>739226386.529405</v>
      </c>
      <c r="V231" s="5">
        <v>404057732.48083401</v>
      </c>
      <c r="W231" s="5">
        <v>1005474348.9592201</v>
      </c>
      <c r="X231" s="5">
        <v>352333048.43942499</v>
      </c>
      <c r="Y231" s="5">
        <v>768343667.36440003</v>
      </c>
      <c r="Z231" s="5">
        <v>680662567.04089499</v>
      </c>
      <c r="AA231" s="5">
        <v>604223692.25599802</v>
      </c>
      <c r="AB231" s="5">
        <v>607445664.60885096</v>
      </c>
      <c r="AC231" s="5">
        <v>505792700.51501298</v>
      </c>
      <c r="AD231" s="5">
        <v>509783036.89044797</v>
      </c>
      <c r="AE231" s="5">
        <v>524809368.58132702</v>
      </c>
      <c r="AF231" s="5">
        <v>509118171.59952098</v>
      </c>
      <c r="AG231">
        <f t="shared" si="13"/>
        <v>512375819.39657724</v>
      </c>
      <c r="AH231">
        <f t="shared" si="14"/>
        <v>8470839.9786592461</v>
      </c>
      <c r="AI231">
        <f t="shared" si="15"/>
        <v>1.6532474129312576E-2</v>
      </c>
    </row>
    <row r="232" spans="1:35" x14ac:dyDescent="0.45">
      <c r="A232" s="5" t="s">
        <v>203</v>
      </c>
      <c r="B232" s="2">
        <f t="shared" si="12"/>
        <v>563641865.43947721</v>
      </c>
      <c r="C232" s="2">
        <v>537579361.27879274</v>
      </c>
      <c r="D232" s="2">
        <v>2.3816671280214776E-2</v>
      </c>
      <c r="E232" s="5">
        <v>633401838.816535</v>
      </c>
      <c r="F232" s="5">
        <v>538155233.63519299</v>
      </c>
      <c r="G232" s="5">
        <v>551911800.790856</v>
      </c>
      <c r="H232" s="5">
        <v>490514362.87331599</v>
      </c>
      <c r="I232" s="5">
        <v>646239976.88529503</v>
      </c>
      <c r="J232" s="5">
        <v>548174986.00331199</v>
      </c>
      <c r="K232" s="5">
        <v>619775051.14354205</v>
      </c>
      <c r="L232" s="5">
        <v>635454504.22258496</v>
      </c>
      <c r="M232" s="5">
        <v>509882054.26643002</v>
      </c>
      <c r="N232" s="5">
        <v>600903797.656739</v>
      </c>
      <c r="O232" s="5">
        <v>654082993.91616905</v>
      </c>
      <c r="P232" s="5">
        <v>542733445.88903797</v>
      </c>
      <c r="Q232" s="5">
        <v>513613882.94540799</v>
      </c>
      <c r="R232" s="5">
        <v>496829239.48918402</v>
      </c>
      <c r="S232" s="5">
        <v>584162282.36580002</v>
      </c>
      <c r="T232" s="5">
        <v>420025500.06060803</v>
      </c>
      <c r="U232" s="5">
        <v>553093299.85715199</v>
      </c>
      <c r="V232" s="5">
        <v>574724000.60861301</v>
      </c>
      <c r="W232" s="5">
        <v>469841285.00121099</v>
      </c>
      <c r="X232" s="5">
        <v>560624674.31130302</v>
      </c>
      <c r="Y232" s="5">
        <v>630048062.13548398</v>
      </c>
      <c r="Z232" s="5">
        <v>583797179.05097103</v>
      </c>
      <c r="AA232" s="5">
        <v>518988937.10693401</v>
      </c>
      <c r="AB232" s="5">
        <v>650426381.51577497</v>
      </c>
      <c r="AC232" s="5">
        <v>552918458.56231105</v>
      </c>
      <c r="AD232" s="5">
        <v>543273607.98483002</v>
      </c>
      <c r="AE232" s="5">
        <v>528259404.52792197</v>
      </c>
      <c r="AF232" s="5">
        <v>525865974.04010803</v>
      </c>
      <c r="AG232">
        <f t="shared" si="13"/>
        <v>537579361.27879274</v>
      </c>
      <c r="AH232">
        <f t="shared" si="14"/>
        <v>12803350.934604825</v>
      </c>
      <c r="AI232">
        <f t="shared" si="15"/>
        <v>2.3816671280214776E-2</v>
      </c>
    </row>
    <row r="233" spans="1:35" x14ac:dyDescent="0.45">
      <c r="A233" s="5" t="s">
        <v>313</v>
      </c>
      <c r="B233" s="2">
        <f t="shared" si="12"/>
        <v>56419370.487588607</v>
      </c>
      <c r="C233" s="2">
        <v>40239842.215807877</v>
      </c>
      <c r="D233" s="2">
        <v>4.2814580456445823E-2</v>
      </c>
      <c r="E233" s="5">
        <v>29360433.5516489</v>
      </c>
      <c r="F233" s="5">
        <v>23500125.392800599</v>
      </c>
      <c r="G233" s="5">
        <v>22114681.182217199</v>
      </c>
      <c r="H233" s="5">
        <v>109334858.265965</v>
      </c>
      <c r="I233" s="5">
        <v>4742826.7453273702</v>
      </c>
      <c r="J233" s="5">
        <v>59072234.748084202</v>
      </c>
      <c r="K233" s="5">
        <v>23859832.755183101</v>
      </c>
      <c r="L233" s="5">
        <v>24623471.265046101</v>
      </c>
      <c r="M233" s="5">
        <v>47904603.966590598</v>
      </c>
      <c r="N233" s="5">
        <v>22724255.631493799</v>
      </c>
      <c r="O233" s="5">
        <v>145620061.54918301</v>
      </c>
      <c r="P233" s="5">
        <v>54060800.822990403</v>
      </c>
      <c r="Q233" s="5">
        <v>20302252.413059499</v>
      </c>
      <c r="R233" s="5">
        <v>42577800.618979</v>
      </c>
      <c r="S233" s="5">
        <v>23633052.553926598</v>
      </c>
      <c r="T233" s="5">
        <v>457719338.34311497</v>
      </c>
      <c r="U233" s="5">
        <v>46947924.8249759</v>
      </c>
      <c r="V233" s="5">
        <v>24060881.2066103</v>
      </c>
      <c r="W233" s="5">
        <v>21601188.330180101</v>
      </c>
      <c r="X233" s="5">
        <v>42382912.938854001</v>
      </c>
      <c r="Y233" s="5">
        <v>12999298.0692745</v>
      </c>
      <c r="Z233" s="5">
        <v>50280296.268151499</v>
      </c>
      <c r="AA233" s="5">
        <v>23747269.522622399</v>
      </c>
      <c r="AB233" s="5">
        <v>20894490.7358476</v>
      </c>
      <c r="AC233" s="5">
        <v>39009516.715947099</v>
      </c>
      <c r="AD233" s="5">
        <v>38535549.880132101</v>
      </c>
      <c r="AE233" s="5">
        <v>41406857.503444701</v>
      </c>
      <c r="AF233" s="5">
        <v>42007444.763707601</v>
      </c>
      <c r="AG233">
        <f t="shared" si="13"/>
        <v>40239842.215807877</v>
      </c>
      <c r="AH233">
        <f t="shared" si="14"/>
        <v>1722851.9621033915</v>
      </c>
      <c r="AI233">
        <f t="shared" si="15"/>
        <v>4.2814580456445823E-2</v>
      </c>
    </row>
    <row r="234" spans="1:35" x14ac:dyDescent="0.45">
      <c r="A234" s="5" t="s">
        <v>204</v>
      </c>
      <c r="B234" s="2">
        <f t="shared" si="12"/>
        <v>457738834.24592048</v>
      </c>
      <c r="C234" s="2">
        <v>375406308.27913249</v>
      </c>
      <c r="D234" s="2">
        <v>2.3476765035408218E-2</v>
      </c>
      <c r="E234" s="5">
        <v>330295190.77289099</v>
      </c>
      <c r="F234" s="5">
        <v>306570891.22738397</v>
      </c>
      <c r="G234" s="5">
        <v>328180588.75646299</v>
      </c>
      <c r="H234" s="5">
        <v>194859191.826621</v>
      </c>
      <c r="I234" s="5">
        <v>378116868.615982</v>
      </c>
      <c r="J234" s="5">
        <v>230092136.34457201</v>
      </c>
      <c r="K234" s="5">
        <v>518823215.56877702</v>
      </c>
      <c r="L234" s="5">
        <v>446587430.37665898</v>
      </c>
      <c r="M234" s="5">
        <v>247547804.564634</v>
      </c>
      <c r="N234" s="5">
        <v>328506139.99653298</v>
      </c>
      <c r="O234" s="5">
        <v>1262801696.57781</v>
      </c>
      <c r="P234" s="5">
        <v>419688564.24807698</v>
      </c>
      <c r="Q234" s="5">
        <v>625232998.92089605</v>
      </c>
      <c r="R234" s="5">
        <v>459422982.75596601</v>
      </c>
      <c r="S234" s="5">
        <v>382206084.88303697</v>
      </c>
      <c r="T234" s="5">
        <v>789145613.24369597</v>
      </c>
      <c r="U234" s="5">
        <v>473542882.29224002</v>
      </c>
      <c r="V234" s="5">
        <v>244750410.34977099</v>
      </c>
      <c r="W234" s="5">
        <v>682363044.83611703</v>
      </c>
      <c r="X234" s="5">
        <v>182353293.81919399</v>
      </c>
      <c r="Y234" s="5">
        <v>699689933.67678595</v>
      </c>
      <c r="Z234" s="5">
        <v>472869455.33134103</v>
      </c>
      <c r="AA234" s="5">
        <v>523560753.09720403</v>
      </c>
      <c r="AB234" s="5">
        <v>458524849.81944102</v>
      </c>
      <c r="AC234" s="5">
        <v>367376384.30462801</v>
      </c>
      <c r="AD234" s="5">
        <v>369334238.19528598</v>
      </c>
      <c r="AE234" s="5">
        <v>386472358.04296899</v>
      </c>
      <c r="AF234" s="5">
        <v>378442252.57364702</v>
      </c>
      <c r="AG234">
        <f t="shared" si="13"/>
        <v>375406308.27913249</v>
      </c>
      <c r="AH234">
        <f t="shared" si="14"/>
        <v>8813325.6922792159</v>
      </c>
      <c r="AI234">
        <f t="shared" si="15"/>
        <v>2.3476765035408218E-2</v>
      </c>
    </row>
    <row r="235" spans="1:35" x14ac:dyDescent="0.45">
      <c r="A235" s="5" t="s">
        <v>205</v>
      </c>
      <c r="B235" s="2">
        <f t="shared" si="12"/>
        <v>1152392708.7939737</v>
      </c>
      <c r="C235" s="2">
        <v>1030025284.0383205</v>
      </c>
      <c r="D235" s="2">
        <v>3.6481171612837072E-2</v>
      </c>
      <c r="E235" s="5">
        <v>410776344.258964</v>
      </c>
      <c r="F235" s="5">
        <v>729037541.80488396</v>
      </c>
      <c r="G235" s="5">
        <v>713413908.20195496</v>
      </c>
      <c r="H235" s="5">
        <v>1668975262.33988</v>
      </c>
      <c r="I235" s="5">
        <v>855517857.65337205</v>
      </c>
      <c r="J235" s="5">
        <v>1611559582.46698</v>
      </c>
      <c r="K235" s="5">
        <v>609548420.84476101</v>
      </c>
      <c r="L235" s="5">
        <v>714492445.66720295</v>
      </c>
      <c r="M235" s="5">
        <v>1076425132.7044101</v>
      </c>
      <c r="N235" s="5">
        <v>652182828.37081003</v>
      </c>
      <c r="O235" s="5">
        <v>2716240624.2409902</v>
      </c>
      <c r="P235" s="5">
        <v>2350519965.1125398</v>
      </c>
      <c r="Q235" s="5">
        <v>970153477.18989098</v>
      </c>
      <c r="R235" s="5">
        <v>1741882685.2286</v>
      </c>
      <c r="S235" s="5">
        <v>493508879.515939</v>
      </c>
      <c r="T235" s="5">
        <v>2665990673.5538201</v>
      </c>
      <c r="U235" s="5">
        <v>1351307569.0669701</v>
      </c>
      <c r="V235" s="5">
        <v>755257503.88906705</v>
      </c>
      <c r="W235" s="5">
        <v>1165116400.3108399</v>
      </c>
      <c r="X235" s="5">
        <v>902705379.29503095</v>
      </c>
      <c r="Y235" s="5">
        <v>1158433875.31371</v>
      </c>
      <c r="Z235" s="5">
        <v>1284999214.0009401</v>
      </c>
      <c r="AA235" s="5">
        <v>339974609.37639499</v>
      </c>
      <c r="AB235" s="5">
        <v>719404830.64741397</v>
      </c>
      <c r="AC235" s="5">
        <v>979028724.58681202</v>
      </c>
      <c r="AD235" s="5">
        <v>1062356021.6221499</v>
      </c>
      <c r="AE235" s="5">
        <v>1024938512.10712</v>
      </c>
      <c r="AF235" s="5">
        <v>1053777877.8372</v>
      </c>
      <c r="AG235">
        <f t="shared" si="13"/>
        <v>1030025284.0383205</v>
      </c>
      <c r="AH235">
        <f t="shared" si="14"/>
        <v>37576529.152563222</v>
      </c>
      <c r="AI235">
        <f t="shared" si="15"/>
        <v>3.6481171612837072E-2</v>
      </c>
    </row>
    <row r="236" spans="1:35" x14ac:dyDescent="0.45">
      <c r="A236" s="5" t="s">
        <v>314</v>
      </c>
      <c r="B236" s="2">
        <f t="shared" si="12"/>
        <v>33385288.985730913</v>
      </c>
      <c r="C236" s="2">
        <v>28830264.980095051</v>
      </c>
      <c r="D236" s="2">
        <v>1.8624885706397101E-2</v>
      </c>
      <c r="E236" s="5">
        <v>32685519.150919601</v>
      </c>
      <c r="F236" s="5">
        <v>12432664.7234751</v>
      </c>
      <c r="G236" s="5">
        <v>30722793.016857699</v>
      </c>
      <c r="H236" s="5">
        <v>27406229.821169998</v>
      </c>
      <c r="I236" s="5">
        <v>22731847.746535301</v>
      </c>
      <c r="J236" s="5">
        <v>33299915.840741701</v>
      </c>
      <c r="K236" s="5">
        <v>22483490.6677293</v>
      </c>
      <c r="L236" s="5">
        <v>46975787.275463901</v>
      </c>
      <c r="M236" s="5">
        <v>26636452.785986699</v>
      </c>
      <c r="N236" s="5">
        <v>27009702.813507099</v>
      </c>
      <c r="O236" s="5">
        <v>28158573.856420599</v>
      </c>
      <c r="P236" s="5">
        <v>13775261.909779999</v>
      </c>
      <c r="Q236" s="5">
        <v>45940958.173991799</v>
      </c>
      <c r="R236" s="5">
        <v>41657341.0431711</v>
      </c>
      <c r="S236" s="5">
        <v>87482799.144021496</v>
      </c>
      <c r="T236" s="5">
        <v>47231479.552852899</v>
      </c>
      <c r="U236" s="5">
        <v>21667022.0542394</v>
      </c>
      <c r="V236" s="5">
        <v>20384884.1847407</v>
      </c>
      <c r="W236" s="5">
        <v>41682764.022016004</v>
      </c>
      <c r="X236" s="5">
        <v>19343542.847095098</v>
      </c>
      <c r="Y236" s="5">
        <v>46557382.581150398</v>
      </c>
      <c r="Z236" s="5">
        <v>35033695.204069398</v>
      </c>
      <c r="AA236" s="5">
        <v>42834531.580275498</v>
      </c>
      <c r="AB236" s="5">
        <v>27112295.661331099</v>
      </c>
      <c r="AC236" s="5">
        <v>28038978.847261</v>
      </c>
      <c r="AD236" s="5">
        <v>29025136.8733995</v>
      </c>
      <c r="AE236" s="5">
        <v>29235746.538482599</v>
      </c>
      <c r="AF236" s="5">
        <v>29021197.661237098</v>
      </c>
      <c r="AG236">
        <f t="shared" si="13"/>
        <v>28830264.980095051</v>
      </c>
      <c r="AH236">
        <f t="shared" si="14"/>
        <v>536960.39013941318</v>
      </c>
      <c r="AI236">
        <f t="shared" si="15"/>
        <v>1.8624885706397101E-2</v>
      </c>
    </row>
    <row r="237" spans="1:35" x14ac:dyDescent="0.45">
      <c r="A237" s="5" t="s">
        <v>206</v>
      </c>
      <c r="B237" s="2">
        <f t="shared" si="12"/>
        <v>16249496.227802167</v>
      </c>
      <c r="C237" s="2">
        <v>10675233.369876675</v>
      </c>
      <c r="D237" s="2">
        <v>8.217877418966052E-2</v>
      </c>
      <c r="E237" s="5">
        <v>5461759.9155721599</v>
      </c>
      <c r="F237" s="5">
        <v>28896645.553800799</v>
      </c>
      <c r="G237" s="5">
        <v>21488697.372905198</v>
      </c>
      <c r="H237" s="5">
        <v>36749207.135685802</v>
      </c>
      <c r="I237" s="5">
        <v>5377801.8893616498</v>
      </c>
      <c r="J237" s="5">
        <v>12318725.0191743</v>
      </c>
      <c r="K237" s="5">
        <v>3941528.2064239602</v>
      </c>
      <c r="L237" s="5">
        <v>13224579.6865495</v>
      </c>
      <c r="M237" s="5">
        <v>2300751.63259592</v>
      </c>
      <c r="N237" s="5">
        <v>26344887.208077502</v>
      </c>
      <c r="O237" s="5">
        <v>15878754.1720828</v>
      </c>
      <c r="P237" s="5">
        <v>12334628.491743799</v>
      </c>
      <c r="Q237" s="5">
        <v>20416439.2628479</v>
      </c>
      <c r="R237" s="5">
        <v>39844729.197681598</v>
      </c>
      <c r="S237" s="5">
        <v>10073166.4550447</v>
      </c>
      <c r="T237" s="5">
        <v>16811252.478984401</v>
      </c>
      <c r="U237" s="5">
        <v>13769328.458690301</v>
      </c>
      <c r="V237" s="5">
        <v>20249491.987608299</v>
      </c>
      <c r="W237" s="5">
        <v>20057639.896968201</v>
      </c>
      <c r="X237" s="5">
        <v>22168452.8957428</v>
      </c>
      <c r="Y237" s="5">
        <v>10110483.4129944</v>
      </c>
      <c r="Z237" s="5">
        <v>17358356.458643399</v>
      </c>
      <c r="AA237" s="5">
        <v>7530503.1671140203</v>
      </c>
      <c r="AB237" s="5">
        <v>7280099.51095868</v>
      </c>
      <c r="AC237" s="5">
        <v>9854207.7266623992</v>
      </c>
      <c r="AD237" s="5">
        <v>11218118.290777201</v>
      </c>
      <c r="AE237" s="5">
        <v>10007656.4573822</v>
      </c>
      <c r="AF237" s="5">
        <v>11620951.004684901</v>
      </c>
      <c r="AG237">
        <f t="shared" si="13"/>
        <v>10675233.369876675</v>
      </c>
      <c r="AH237">
        <f t="shared" si="14"/>
        <v>877277.59252502397</v>
      </c>
      <c r="AI237">
        <f t="shared" si="15"/>
        <v>8.217877418966052E-2</v>
      </c>
    </row>
    <row r="238" spans="1:35" x14ac:dyDescent="0.45">
      <c r="A238" s="5" t="s">
        <v>315</v>
      </c>
      <c r="B238" s="2">
        <f t="shared" si="12"/>
        <v>379293699.7730903</v>
      </c>
      <c r="C238" s="2">
        <v>327826383.23716325</v>
      </c>
      <c r="D238" s="2">
        <v>2.1054245056088928E-2</v>
      </c>
      <c r="E238" s="5">
        <v>124112033.967492</v>
      </c>
      <c r="F238" s="5">
        <v>242146383.09159699</v>
      </c>
      <c r="G238" s="5">
        <v>506647097.69419998</v>
      </c>
      <c r="H238" s="5">
        <v>639623744.26242197</v>
      </c>
      <c r="I238" s="5">
        <v>427585770.823075</v>
      </c>
      <c r="J238" s="5">
        <v>421807931.48276198</v>
      </c>
      <c r="K238" s="5">
        <v>426546148.89116502</v>
      </c>
      <c r="L238" s="5">
        <v>88195407.389468402</v>
      </c>
      <c r="M238" s="5">
        <v>573682408.249439</v>
      </c>
      <c r="N238" s="5">
        <v>214853317.004693</v>
      </c>
      <c r="O238" s="5">
        <v>715115579.30639398</v>
      </c>
      <c r="P238" s="5">
        <v>27377018.408447798</v>
      </c>
      <c r="Q238" s="5">
        <v>347700788.86970598</v>
      </c>
      <c r="R238" s="5">
        <v>97491299.409535497</v>
      </c>
      <c r="S238" s="5">
        <v>474547487.71112299</v>
      </c>
      <c r="T238" s="5">
        <v>549923739.86410606</v>
      </c>
      <c r="U238" s="5">
        <v>423507607.65094399</v>
      </c>
      <c r="V238" s="5">
        <v>1643185282.9293599</v>
      </c>
      <c r="W238" s="5">
        <v>150961985.410696</v>
      </c>
      <c r="X238" s="5">
        <v>373681515.73356497</v>
      </c>
      <c r="Y238" s="5">
        <v>41301975.096765399</v>
      </c>
      <c r="Z238" s="5">
        <v>251869889.754641</v>
      </c>
      <c r="AA238" s="5">
        <v>274552643.32262802</v>
      </c>
      <c r="AB238" s="5">
        <v>66631738.229939803</v>
      </c>
      <c r="AC238" s="5">
        <v>326866070.37408</v>
      </c>
      <c r="AD238" s="5">
        <v>318790019.72016799</v>
      </c>
      <c r="AE238" s="5">
        <v>335102181.64893198</v>
      </c>
      <c r="AF238" s="5">
        <v>330547261.20547301</v>
      </c>
      <c r="AG238">
        <f t="shared" si="13"/>
        <v>327826383.23716325</v>
      </c>
      <c r="AH238">
        <f t="shared" si="14"/>
        <v>6902137.0085265581</v>
      </c>
      <c r="AI238">
        <f t="shared" si="15"/>
        <v>2.1054245056088928E-2</v>
      </c>
    </row>
    <row r="239" spans="1:35" x14ac:dyDescent="0.45">
      <c r="A239" s="5" t="s">
        <v>316</v>
      </c>
      <c r="B239" s="2">
        <f t="shared" si="12"/>
        <v>13171160.801651821</v>
      </c>
      <c r="C239" s="2">
        <v>11335451.88917575</v>
      </c>
      <c r="D239" s="2">
        <v>9.7888996648703472E-2</v>
      </c>
      <c r="E239" s="5">
        <v>14391675.6559177</v>
      </c>
      <c r="F239" s="5">
        <v>10462994.3291773</v>
      </c>
      <c r="G239" s="5">
        <v>16381289.2286647</v>
      </c>
      <c r="H239" s="5">
        <v>8656458.23854273</v>
      </c>
      <c r="I239" s="5">
        <v>9721582.8459285907</v>
      </c>
      <c r="J239" s="5">
        <v>8864716.5256765895</v>
      </c>
      <c r="K239" s="5">
        <v>16117991.894432001</v>
      </c>
      <c r="L239" s="5">
        <v>17530395.299488802</v>
      </c>
      <c r="M239" s="5">
        <v>9097863.4046402909</v>
      </c>
      <c r="N239" s="5">
        <v>17583826.858242601</v>
      </c>
      <c r="O239" s="5">
        <v>10816572.9650323</v>
      </c>
      <c r="P239" s="5">
        <v>15046488.987389101</v>
      </c>
      <c r="Q239" s="5">
        <v>11443354.591206999</v>
      </c>
      <c r="R239" s="5">
        <v>14452901.3439462</v>
      </c>
      <c r="S239" s="5">
        <v>16363773.6690732</v>
      </c>
      <c r="T239" s="5">
        <v>11667186.574232301</v>
      </c>
      <c r="U239" s="5">
        <v>11680956.3376603</v>
      </c>
      <c r="V239" s="5">
        <v>13014358.606112599</v>
      </c>
      <c r="W239" s="5">
        <v>16447717.4808947</v>
      </c>
      <c r="X239" s="5">
        <v>11531739.3350523</v>
      </c>
      <c r="Y239" s="5">
        <v>12547017.1541456</v>
      </c>
      <c r="Z239" s="5">
        <v>14784880.0166327</v>
      </c>
      <c r="AA239" s="5">
        <v>12303397.267882301</v>
      </c>
      <c r="AB239" s="5">
        <v>15198720.629671801</v>
      </c>
      <c r="AC239" s="5">
        <v>10034585.182792099</v>
      </c>
      <c r="AD239" s="5">
        <v>10790512.653364399</v>
      </c>
      <c r="AE239" s="5">
        <v>12281052.168214601</v>
      </c>
      <c r="AF239" s="5">
        <v>12235657.5523319</v>
      </c>
      <c r="AG239">
        <f t="shared" si="13"/>
        <v>11335451.88917575</v>
      </c>
      <c r="AH239">
        <f t="shared" si="14"/>
        <v>1109616.0119910645</v>
      </c>
      <c r="AI239">
        <f t="shared" si="15"/>
        <v>9.7888996648703472E-2</v>
      </c>
    </row>
    <row r="240" spans="1:35" x14ac:dyDescent="0.45">
      <c r="A240" s="5" t="s">
        <v>317</v>
      </c>
      <c r="B240" s="2">
        <f t="shared" si="12"/>
        <v>156168231.20601854</v>
      </c>
      <c r="C240" s="2">
        <v>129313970.378048</v>
      </c>
      <c r="D240" s="2">
        <v>1.5698284599867135E-2</v>
      </c>
      <c r="E240" s="5">
        <v>174582500.348111</v>
      </c>
      <c r="F240" s="5">
        <v>300720284.76355898</v>
      </c>
      <c r="G240" s="5">
        <v>84029517.631567001</v>
      </c>
      <c r="H240" s="5">
        <v>110051241.004823</v>
      </c>
      <c r="I240" s="5">
        <v>135848636.87542301</v>
      </c>
      <c r="J240" s="5">
        <v>128136534.99050801</v>
      </c>
      <c r="K240" s="5">
        <v>158744554.68927199</v>
      </c>
      <c r="L240" s="5">
        <v>143382184.61469701</v>
      </c>
      <c r="M240" s="5">
        <v>141288989.02579799</v>
      </c>
      <c r="N240" s="5">
        <v>179216170.37871</v>
      </c>
      <c r="O240" s="5">
        <v>75026670.1046139</v>
      </c>
      <c r="P240" s="5">
        <v>157407131.65628201</v>
      </c>
      <c r="Q240" s="5">
        <v>136140488.73050901</v>
      </c>
      <c r="R240" s="5">
        <v>158408843.695425</v>
      </c>
      <c r="S240" s="5">
        <v>157638353.12580401</v>
      </c>
      <c r="T240" s="5">
        <v>355858857.86635602</v>
      </c>
      <c r="U240" s="5">
        <v>143985180.222449</v>
      </c>
      <c r="V240" s="5">
        <v>148733692.02508301</v>
      </c>
      <c r="W240" s="5">
        <v>83219287.827140003</v>
      </c>
      <c r="X240" s="5">
        <v>136616020.844448</v>
      </c>
      <c r="Y240" s="5">
        <v>164611913.054656</v>
      </c>
      <c r="Z240" s="5">
        <v>148933777.611105</v>
      </c>
      <c r="AA240" s="5">
        <v>163996226.350227</v>
      </c>
      <c r="AB240" s="5">
        <v>161460491.50787899</v>
      </c>
      <c r="AC240" s="5">
        <v>127378403.00752801</v>
      </c>
      <c r="AD240" s="5">
        <v>127895367.61043499</v>
      </c>
      <c r="AE240" s="5">
        <v>131690593.849509</v>
      </c>
      <c r="AF240" s="5">
        <v>130291517.04471999</v>
      </c>
      <c r="AG240">
        <f t="shared" si="13"/>
        <v>129313970.378048</v>
      </c>
      <c r="AH240">
        <f t="shared" si="14"/>
        <v>2030007.5097333856</v>
      </c>
      <c r="AI240">
        <f t="shared" si="15"/>
        <v>1.5698284599867135E-2</v>
      </c>
    </row>
    <row r="241" spans="1:35" x14ac:dyDescent="0.45">
      <c r="A241" s="5" t="s">
        <v>207</v>
      </c>
      <c r="B241" s="2">
        <f t="shared" si="12"/>
        <v>58491691.235991605</v>
      </c>
      <c r="C241" s="2">
        <v>34708621.91453962</v>
      </c>
      <c r="D241" s="2">
        <v>3.9557348714467838E-2</v>
      </c>
      <c r="E241" s="5">
        <v>34587253.584419899</v>
      </c>
      <c r="F241" s="5">
        <v>57865154.030224502</v>
      </c>
      <c r="G241" s="5">
        <v>52770102.601908401</v>
      </c>
      <c r="H241" s="5">
        <v>247323986.03728399</v>
      </c>
      <c r="I241" s="5">
        <v>51132212.656197101</v>
      </c>
      <c r="J241" s="5">
        <v>30977056.078406401</v>
      </c>
      <c r="K241" s="5">
        <v>25643222.747888502</v>
      </c>
      <c r="L241" s="5">
        <v>24089201.906164099</v>
      </c>
      <c r="M241" s="5">
        <v>31786936.668185499</v>
      </c>
      <c r="N241" s="5">
        <v>57894754.959223598</v>
      </c>
      <c r="O241" s="5">
        <v>106507630.63585</v>
      </c>
      <c r="P241" s="5">
        <v>60885310.1539094</v>
      </c>
      <c r="Q241" s="5">
        <v>110716251.328576</v>
      </c>
      <c r="R241" s="5">
        <v>64070643.957371101</v>
      </c>
      <c r="S241" s="5">
        <v>22689886.8276214</v>
      </c>
      <c r="T241" s="5">
        <v>17723726.5942115</v>
      </c>
      <c r="U241" s="5">
        <v>24726069.683130398</v>
      </c>
      <c r="V241" s="5">
        <v>57795034.5856684</v>
      </c>
      <c r="W241" s="5">
        <v>32634856.752122499</v>
      </c>
      <c r="X241" s="5">
        <v>63717951.998098001</v>
      </c>
      <c r="Y241" s="5">
        <v>88182385.679207399</v>
      </c>
      <c r="Z241" s="5">
        <v>66217168.417424902</v>
      </c>
      <c r="AA241" s="5">
        <v>20732044.363531701</v>
      </c>
      <c r="AB241" s="5">
        <v>53131747.417174302</v>
      </c>
      <c r="AC241" s="5">
        <v>36582286.612774603</v>
      </c>
      <c r="AD241" s="5">
        <v>34663322.625058398</v>
      </c>
      <c r="AE241" s="5">
        <v>33309104.523455799</v>
      </c>
      <c r="AF241" s="5">
        <v>34279773.896869697</v>
      </c>
      <c r="AG241">
        <f t="shared" si="13"/>
        <v>34708621.91453962</v>
      </c>
      <c r="AH241">
        <f t="shared" si="14"/>
        <v>1372981.0604720642</v>
      </c>
      <c r="AI241">
        <f t="shared" si="15"/>
        <v>3.9557348714467838E-2</v>
      </c>
    </row>
    <row r="242" spans="1:35" x14ac:dyDescent="0.45">
      <c r="A242" s="5" t="s">
        <v>318</v>
      </c>
      <c r="B242" s="2">
        <f t="shared" si="12"/>
        <v>29909515.262902398</v>
      </c>
      <c r="C242" s="2">
        <v>31480203.548849802</v>
      </c>
      <c r="D242" s="2">
        <v>4.603066908230407E-2</v>
      </c>
      <c r="E242" s="5">
        <v>12631152.313914901</v>
      </c>
      <c r="F242" s="5">
        <v>28637828.294970401</v>
      </c>
      <c r="G242" s="5">
        <v>34437525.215870902</v>
      </c>
      <c r="H242" s="5">
        <v>8041776.7502741702</v>
      </c>
      <c r="I242" s="5">
        <v>20033145.9121622</v>
      </c>
      <c r="J242" s="5">
        <v>29930352.4758338</v>
      </c>
      <c r="K242" s="5">
        <v>35565268.824896403</v>
      </c>
      <c r="L242" s="5">
        <v>37743702.787394598</v>
      </c>
      <c r="M242" s="5">
        <v>19782514.010452598</v>
      </c>
      <c r="N242" s="5">
        <v>38452887.695838302</v>
      </c>
      <c r="O242" s="5">
        <v>88197140.859748498</v>
      </c>
      <c r="P242" s="5">
        <v>31362559.529583</v>
      </c>
      <c r="Q242" s="5">
        <v>23696844.194593702</v>
      </c>
      <c r="R242" s="5">
        <v>36306486.357142702</v>
      </c>
      <c r="S242" s="5">
        <v>18077726.328859001</v>
      </c>
      <c r="T242" s="5">
        <v>17432288.034693401</v>
      </c>
      <c r="U242" s="5">
        <v>32983506.7604605</v>
      </c>
      <c r="V242" s="5">
        <v>22476756.900392</v>
      </c>
      <c r="W242" s="5">
        <v>38437230.5796232</v>
      </c>
      <c r="X242" s="5">
        <v>26448552.630268101</v>
      </c>
      <c r="Y242" s="5">
        <v>38548457.409041002</v>
      </c>
      <c r="Z242" s="5">
        <v>25395584.027540401</v>
      </c>
      <c r="AA242" s="5">
        <v>37163627.071178399</v>
      </c>
      <c r="AB242" s="5">
        <v>16045451.344925299</v>
      </c>
      <c r="AC242" s="5">
        <v>32621596.621063899</v>
      </c>
      <c r="AD242" s="5">
        <v>29355793.129406601</v>
      </c>
      <c r="AE242" s="5">
        <v>31982209.654497501</v>
      </c>
      <c r="AF242" s="5">
        <v>31961214.790431201</v>
      </c>
      <c r="AG242">
        <f t="shared" si="13"/>
        <v>31480203.548849802</v>
      </c>
      <c r="AH242">
        <f t="shared" si="14"/>
        <v>1449054.8322006795</v>
      </c>
      <c r="AI242">
        <f t="shared" si="15"/>
        <v>4.603066908230407E-2</v>
      </c>
    </row>
    <row r="243" spans="1:35" x14ac:dyDescent="0.45">
      <c r="A243" s="5" t="s">
        <v>208</v>
      </c>
      <c r="B243" s="2">
        <f t="shared" si="12"/>
        <v>10419477.600131392</v>
      </c>
      <c r="C243" s="2">
        <v>6240262.5182286697</v>
      </c>
      <c r="D243" s="2">
        <v>5.3034126406370258E-2</v>
      </c>
      <c r="E243" s="5">
        <v>5991631.4849667801</v>
      </c>
      <c r="F243" s="5">
        <v>5410701.4850825202</v>
      </c>
      <c r="G243" s="5">
        <v>6313586.0607892396</v>
      </c>
      <c r="H243" s="5">
        <v>9917364.5898108594</v>
      </c>
      <c r="I243" s="5">
        <v>2611028.78030203</v>
      </c>
      <c r="J243" s="5">
        <v>1946901.6676783699</v>
      </c>
      <c r="K243" s="5">
        <v>16545748.0127609</v>
      </c>
      <c r="L243" s="5">
        <v>12881363.4979035</v>
      </c>
      <c r="M243" s="5">
        <v>5617091.1136532398</v>
      </c>
      <c r="N243" s="5">
        <v>14975288.439322701</v>
      </c>
      <c r="O243" s="5">
        <v>643260.38899780705</v>
      </c>
      <c r="P243" s="5">
        <v>11141370.668168901</v>
      </c>
      <c r="Q243" s="5">
        <v>17074193.8212208</v>
      </c>
      <c r="R243" s="5">
        <v>13772720.4008174</v>
      </c>
      <c r="S243" s="5">
        <v>47981606.218707003</v>
      </c>
      <c r="T243" s="5">
        <v>5732526.6490716403</v>
      </c>
      <c r="U243" s="5">
        <v>4972534.4839909002</v>
      </c>
      <c r="V243" s="5">
        <v>6001953.66065838</v>
      </c>
      <c r="W243" s="5">
        <v>10696287.948436599</v>
      </c>
      <c r="X243" s="5">
        <v>1849841.6015612399</v>
      </c>
      <c r="Y243" s="5">
        <v>15080886.351641599</v>
      </c>
      <c r="Z243" s="5">
        <v>5900551.1286964295</v>
      </c>
      <c r="AA243" s="5">
        <v>13306386.3236413</v>
      </c>
      <c r="AB243" s="5">
        <v>13702637.6252733</v>
      </c>
      <c r="AC243" s="5">
        <v>6499916.9180199299</v>
      </c>
      <c r="AD243" s="5">
        <v>6490666.9155904399</v>
      </c>
      <c r="AE243" s="5">
        <v>6170131.3847155096</v>
      </c>
      <c r="AF243" s="5">
        <v>5800334.8545888001</v>
      </c>
      <c r="AG243">
        <f t="shared" si="13"/>
        <v>6240262.5182286697</v>
      </c>
      <c r="AH243">
        <f t="shared" si="14"/>
        <v>330946.87120067363</v>
      </c>
      <c r="AI243">
        <f t="shared" si="15"/>
        <v>5.3034126406370258E-2</v>
      </c>
    </row>
    <row r="244" spans="1:35" x14ac:dyDescent="0.45">
      <c r="A244" s="5" t="s">
        <v>209</v>
      </c>
      <c r="B244" s="2">
        <f t="shared" si="12"/>
        <v>590375758.61155498</v>
      </c>
      <c r="C244" s="2">
        <v>496369578.854132</v>
      </c>
      <c r="D244" s="2">
        <v>1.4255702383354043E-2</v>
      </c>
      <c r="E244" s="5">
        <v>461808865.406138</v>
      </c>
      <c r="F244" s="5">
        <v>324632716.58230799</v>
      </c>
      <c r="G244" s="5">
        <v>575354665.79832006</v>
      </c>
      <c r="H244" s="5">
        <v>564620543.18041098</v>
      </c>
      <c r="I244" s="5">
        <v>423799268.17982203</v>
      </c>
      <c r="J244" s="5">
        <v>600988879.75677502</v>
      </c>
      <c r="K244" s="5">
        <v>433008463.46951801</v>
      </c>
      <c r="L244" s="5">
        <v>669158050.57670105</v>
      </c>
      <c r="M244" s="5">
        <v>577982207.26492</v>
      </c>
      <c r="N244" s="5">
        <v>173919188.32290101</v>
      </c>
      <c r="O244" s="5">
        <v>846713750.87101603</v>
      </c>
      <c r="P244" s="5">
        <v>533584914.14865202</v>
      </c>
      <c r="Q244" s="5">
        <v>431659741.81697899</v>
      </c>
      <c r="R244" s="5">
        <v>685558559.04499602</v>
      </c>
      <c r="S244" s="5">
        <v>457513102.710747</v>
      </c>
      <c r="T244" s="5">
        <v>2198764244.0392399</v>
      </c>
      <c r="U244" s="5">
        <v>455210891.244699</v>
      </c>
      <c r="V244" s="5">
        <v>294442494.52476799</v>
      </c>
      <c r="W244" s="5">
        <v>432430365.02243203</v>
      </c>
      <c r="X244" s="5">
        <v>617609456.01991403</v>
      </c>
      <c r="Y244" s="5">
        <v>401815708.893897</v>
      </c>
      <c r="Z244" s="5">
        <v>706131519.96537101</v>
      </c>
      <c r="AA244" s="5">
        <v>601262683.45358503</v>
      </c>
      <c r="AB244" s="5">
        <v>701047926.38320994</v>
      </c>
      <c r="AC244" s="5">
        <v>489727655.14131099</v>
      </c>
      <c r="AD244" s="5">
        <v>504727830.190202</v>
      </c>
      <c r="AE244" s="5">
        <v>491342180.13042402</v>
      </c>
      <c r="AF244" s="5">
        <v>499680649.95459098</v>
      </c>
      <c r="AG244">
        <f t="shared" si="13"/>
        <v>496369578.854132</v>
      </c>
      <c r="AH244">
        <f t="shared" si="14"/>
        <v>7076096.9882952925</v>
      </c>
      <c r="AI244">
        <f t="shared" si="15"/>
        <v>1.4255702383354043E-2</v>
      </c>
    </row>
    <row r="245" spans="1:35" x14ac:dyDescent="0.45">
      <c r="A245" s="5" t="s">
        <v>210</v>
      </c>
      <c r="B245" s="2">
        <f t="shared" si="12"/>
        <v>296559992.21200305</v>
      </c>
      <c r="C245" s="2">
        <v>258260365.87115824</v>
      </c>
      <c r="D245" s="2">
        <v>1.0789905210878263E-2</v>
      </c>
      <c r="E245" s="5">
        <v>187449352.743325</v>
      </c>
      <c r="F245" s="5">
        <v>132549432.315648</v>
      </c>
      <c r="G245" s="5">
        <v>248626497.062971</v>
      </c>
      <c r="H245" s="5">
        <v>274296356.35642397</v>
      </c>
      <c r="I245" s="5">
        <v>367939851.98959702</v>
      </c>
      <c r="J245" s="5">
        <v>340511771.52265501</v>
      </c>
      <c r="K245" s="5">
        <v>236726745.834436</v>
      </c>
      <c r="L245" s="5">
        <v>292712907.77096599</v>
      </c>
      <c r="M245" s="5">
        <v>258426851.48227999</v>
      </c>
      <c r="N245" s="5">
        <v>129793731.251211</v>
      </c>
      <c r="O245" s="5">
        <v>489763861.92075402</v>
      </c>
      <c r="P245" s="5">
        <v>245609096.20869601</v>
      </c>
      <c r="Q245" s="5">
        <v>87756591.906156793</v>
      </c>
      <c r="R245" s="5">
        <v>259891360.86495101</v>
      </c>
      <c r="S245" s="5">
        <v>251541658.60215399</v>
      </c>
      <c r="T245" s="5">
        <v>1059938142.89592</v>
      </c>
      <c r="U245" s="5">
        <v>234400282.08392799</v>
      </c>
      <c r="V245" s="5">
        <v>169245428.49907601</v>
      </c>
      <c r="W245" s="5">
        <v>238307285.70020899</v>
      </c>
      <c r="X245" s="5">
        <v>290768431.834373</v>
      </c>
      <c r="Y245" s="5">
        <v>369215251.876836</v>
      </c>
      <c r="Z245" s="5">
        <v>365349545.506908</v>
      </c>
      <c r="AA245" s="5">
        <v>289983975.23213702</v>
      </c>
      <c r="AB245" s="5">
        <v>296635401.626463</v>
      </c>
      <c r="AC245" s="5">
        <v>257998166.619057</v>
      </c>
      <c r="AD245" s="5">
        <v>261855686.465536</v>
      </c>
      <c r="AE245" s="5">
        <v>258134190.297488</v>
      </c>
      <c r="AF245" s="5">
        <v>255053420.102552</v>
      </c>
      <c r="AG245">
        <f t="shared" si="13"/>
        <v>258260365.87115824</v>
      </c>
      <c r="AH245">
        <f t="shared" si="14"/>
        <v>2786604.8674765374</v>
      </c>
      <c r="AI245">
        <f t="shared" si="15"/>
        <v>1.0789905210878263E-2</v>
      </c>
    </row>
    <row r="246" spans="1:35" x14ac:dyDescent="0.45">
      <c r="A246" s="5" t="s">
        <v>211</v>
      </c>
      <c r="B246" s="2">
        <f t="shared" si="12"/>
        <v>29391562.89251915</v>
      </c>
      <c r="C246" s="2">
        <v>24349538.583682053</v>
      </c>
      <c r="D246" s="2">
        <v>4.0651183433898466E-2</v>
      </c>
      <c r="E246" s="5">
        <v>34938036.171944499</v>
      </c>
      <c r="F246" s="5">
        <v>25615323.7700685</v>
      </c>
      <c r="G246" s="5">
        <v>24377153.965139601</v>
      </c>
      <c r="H246" s="5">
        <v>26452266.813088499</v>
      </c>
      <c r="I246" s="5">
        <v>18041158.590573601</v>
      </c>
      <c r="J246" s="5">
        <v>17950078.414996199</v>
      </c>
      <c r="K246" s="5">
        <v>38939719.787896</v>
      </c>
      <c r="L246" s="5">
        <v>33130205.6518871</v>
      </c>
      <c r="M246" s="5">
        <v>25038205.181644201</v>
      </c>
      <c r="N246" s="5">
        <v>39160651.932807803</v>
      </c>
      <c r="O246" s="5">
        <v>3553175.0698965099</v>
      </c>
      <c r="P246" s="5">
        <v>33277590.7236767</v>
      </c>
      <c r="Q246" s="5">
        <v>51340807.615375802</v>
      </c>
      <c r="R246" s="5">
        <v>30447137.321137901</v>
      </c>
      <c r="S246" s="5">
        <v>35773856.042823598</v>
      </c>
      <c r="T246" s="5">
        <v>15242923.019110801</v>
      </c>
      <c r="U246" s="5">
        <v>32509883.520183999</v>
      </c>
      <c r="V246" s="5">
        <v>21339854.794241399</v>
      </c>
      <c r="W246" s="5">
        <v>40880162.977032699</v>
      </c>
      <c r="X246" s="5">
        <v>15858535.6434511</v>
      </c>
      <c r="Y246" s="5">
        <v>44523961.803748302</v>
      </c>
      <c r="Z246" s="5">
        <v>27036087.245371498</v>
      </c>
      <c r="AA246" s="5">
        <v>29055134.9428543</v>
      </c>
      <c r="AB246" s="5">
        <v>40915598.421509102</v>
      </c>
      <c r="AC246" s="5">
        <v>23715952.165220499</v>
      </c>
      <c r="AD246" s="5">
        <v>23829699.5930296</v>
      </c>
      <c r="AE246" s="5">
        <v>25821370.2103692</v>
      </c>
      <c r="AF246" s="5">
        <v>24031132.366108902</v>
      </c>
      <c r="AG246">
        <f t="shared" si="13"/>
        <v>24349538.583682053</v>
      </c>
      <c r="AH246">
        <f t="shared" si="14"/>
        <v>989837.55949604744</v>
      </c>
      <c r="AI246">
        <f t="shared" si="15"/>
        <v>4.0651183433898466E-2</v>
      </c>
    </row>
    <row r="247" spans="1:35" x14ac:dyDescent="0.45">
      <c r="A247" s="5" t="s">
        <v>212</v>
      </c>
      <c r="B247" s="2">
        <f t="shared" si="12"/>
        <v>608478605.78993428</v>
      </c>
      <c r="C247" s="2">
        <v>593506670.81884003</v>
      </c>
      <c r="D247" s="2">
        <v>1.6446728074305042E-2</v>
      </c>
      <c r="E247" s="5">
        <v>993566025.95231199</v>
      </c>
      <c r="F247" s="5">
        <v>783519186.43121099</v>
      </c>
      <c r="G247" s="5">
        <v>492174116.06166101</v>
      </c>
      <c r="H247" s="5">
        <v>151880724.80946401</v>
      </c>
      <c r="I247" s="5">
        <v>478013739.24174601</v>
      </c>
      <c r="J247" s="5">
        <v>283550404.31085801</v>
      </c>
      <c r="K247" s="5">
        <v>854550127.67111194</v>
      </c>
      <c r="L247" s="5">
        <v>363264079.734918</v>
      </c>
      <c r="M247" s="5">
        <v>719782733.34973705</v>
      </c>
      <c r="N247" s="5">
        <v>316008149.82903302</v>
      </c>
      <c r="O247" s="5">
        <v>382552585.26464802</v>
      </c>
      <c r="P247" s="5">
        <v>505542176.63231301</v>
      </c>
      <c r="Q247" s="5">
        <v>625925703.94405603</v>
      </c>
      <c r="R247" s="5">
        <v>118936744.89969499</v>
      </c>
      <c r="S247" s="5">
        <v>741367643.26430595</v>
      </c>
      <c r="T247" s="5">
        <v>664395232.17247796</v>
      </c>
      <c r="U247" s="5">
        <v>893946931.86075699</v>
      </c>
      <c r="V247" s="5">
        <v>429389574.38728702</v>
      </c>
      <c r="W247" s="5">
        <v>376588355.85976398</v>
      </c>
      <c r="X247" s="5">
        <v>794106281.64879405</v>
      </c>
      <c r="Y247" s="5">
        <v>624685719.11607301</v>
      </c>
      <c r="Z247" s="5">
        <v>228655664.13915601</v>
      </c>
      <c r="AA247" s="5">
        <v>1442425236.88833</v>
      </c>
      <c r="AB247" s="5">
        <v>1338659401.4887099</v>
      </c>
      <c r="AC247" s="5">
        <v>594947007.86843395</v>
      </c>
      <c r="AD247" s="5">
        <v>604952823.04112005</v>
      </c>
      <c r="AE247" s="5">
        <v>592967907.95910501</v>
      </c>
      <c r="AF247" s="5">
        <v>581158944.40670097</v>
      </c>
      <c r="AG247">
        <f t="shared" si="13"/>
        <v>593506670.81884003</v>
      </c>
      <c r="AH247">
        <f t="shared" si="14"/>
        <v>9761242.8252435364</v>
      </c>
      <c r="AI247">
        <f t="shared" si="15"/>
        <v>1.6446728074305042E-2</v>
      </c>
    </row>
    <row r="248" spans="1:35" x14ac:dyDescent="0.45">
      <c r="A248" s="5" t="s">
        <v>319</v>
      </c>
      <c r="B248" s="2">
        <f t="shared" si="12"/>
        <v>29606324.900340576</v>
      </c>
      <c r="C248" s="2">
        <v>28569633.244278476</v>
      </c>
      <c r="D248" s="2">
        <v>3.4297820198221189E-2</v>
      </c>
      <c r="E248" s="5">
        <v>33605175.298680998</v>
      </c>
      <c r="F248" s="5">
        <v>26961589.727321401</v>
      </c>
      <c r="G248" s="5">
        <v>30716537.648105599</v>
      </c>
      <c r="H248" s="5">
        <v>6798100.7512486698</v>
      </c>
      <c r="I248" s="5">
        <v>49133135.234479703</v>
      </c>
      <c r="J248" s="5">
        <v>30806946.686105799</v>
      </c>
      <c r="K248" s="5">
        <v>36211841.797929801</v>
      </c>
      <c r="L248" s="5">
        <v>24693830.714589</v>
      </c>
      <c r="M248" s="5">
        <v>42612261.215213999</v>
      </c>
      <c r="N248" s="5">
        <v>30331025.049956199</v>
      </c>
      <c r="O248" s="5">
        <v>11522888.791979199</v>
      </c>
      <c r="P248" s="5">
        <v>25195238.448576398</v>
      </c>
      <c r="Q248" s="5">
        <v>28604179.842927601</v>
      </c>
      <c r="R248" s="5">
        <v>17992467.668777902</v>
      </c>
      <c r="S248" s="5">
        <v>30071049.849615</v>
      </c>
      <c r="T248" s="5">
        <v>11349664.0684001</v>
      </c>
      <c r="U248" s="5">
        <v>38654869.396232203</v>
      </c>
      <c r="V248" s="5">
        <v>41895778.412493199</v>
      </c>
      <c r="W248" s="5">
        <v>19827008.507835001</v>
      </c>
      <c r="X248" s="5">
        <v>26175777.093370799</v>
      </c>
      <c r="Y248" s="5">
        <v>37621691.803132802</v>
      </c>
      <c r="Z248" s="5">
        <v>34226959.1830386</v>
      </c>
      <c r="AA248" s="5">
        <v>35770932.762038201</v>
      </c>
      <c r="AB248" s="5">
        <v>39772847.656125799</v>
      </c>
      <c r="AC248" s="5">
        <v>28635161.089118101</v>
      </c>
      <c r="AD248" s="5">
        <v>27205366.8977452</v>
      </c>
      <c r="AE248" s="5">
        <v>29511914.054259501</v>
      </c>
      <c r="AF248" s="5">
        <v>28926090.935991101</v>
      </c>
      <c r="AG248">
        <f t="shared" si="13"/>
        <v>28569633.244278476</v>
      </c>
      <c r="AH248">
        <f t="shared" si="14"/>
        <v>979876.14414138591</v>
      </c>
      <c r="AI248">
        <f t="shared" si="15"/>
        <v>3.4297820198221189E-2</v>
      </c>
    </row>
    <row r="249" spans="1:35" x14ac:dyDescent="0.45">
      <c r="A249" s="5" t="s">
        <v>213</v>
      </c>
      <c r="B249" s="2">
        <f t="shared" si="12"/>
        <v>37966197.006221719</v>
      </c>
      <c r="C249" s="2">
        <v>33055406.307711072</v>
      </c>
      <c r="D249" s="2">
        <v>3.7388238359619484E-2</v>
      </c>
      <c r="E249" s="5">
        <v>40362101.676200897</v>
      </c>
      <c r="F249" s="5">
        <v>44667442.1054416</v>
      </c>
      <c r="G249" s="5">
        <v>27714886.9572489</v>
      </c>
      <c r="H249" s="5">
        <v>28787305.058211099</v>
      </c>
      <c r="I249" s="5">
        <v>32748668.655185498</v>
      </c>
      <c r="J249" s="5">
        <v>35056947.945920698</v>
      </c>
      <c r="K249" s="5">
        <v>36828887.6444043</v>
      </c>
      <c r="L249" s="5">
        <v>31273296.2184528</v>
      </c>
      <c r="M249" s="5">
        <v>26662459.714505099</v>
      </c>
      <c r="N249" s="5">
        <v>13309369.8618694</v>
      </c>
      <c r="O249" s="5">
        <v>105916798.09985</v>
      </c>
      <c r="P249" s="5">
        <v>41739852.4374706</v>
      </c>
      <c r="Q249" s="5">
        <v>20117006.8099657</v>
      </c>
      <c r="R249" s="5">
        <v>56551511.380467303</v>
      </c>
      <c r="S249" s="5">
        <v>28159991.010128099</v>
      </c>
      <c r="T249" s="5">
        <v>38418718.833892599</v>
      </c>
      <c r="U249" s="5">
        <v>42404743.879307501</v>
      </c>
      <c r="V249" s="5">
        <v>36934230.730435103</v>
      </c>
      <c r="W249" s="5">
        <v>56599713.877476901</v>
      </c>
      <c r="X249" s="5">
        <v>46045696.246740498</v>
      </c>
      <c r="Y249" s="5">
        <v>29056255.974590801</v>
      </c>
      <c r="Z249" s="5">
        <v>35914281.751860701</v>
      </c>
      <c r="AA249" s="5">
        <v>29148053.864820499</v>
      </c>
      <c r="AB249" s="5">
        <v>26770507.414874502</v>
      </c>
      <c r="AC249" s="5">
        <v>33277542.428862099</v>
      </c>
      <c r="AD249" s="5">
        <v>34642606.386183098</v>
      </c>
      <c r="AE249" s="5">
        <v>31716672.473778199</v>
      </c>
      <c r="AF249" s="5">
        <v>32584803.942020901</v>
      </c>
      <c r="AG249">
        <f t="shared" si="13"/>
        <v>33055406.307711072</v>
      </c>
      <c r="AH249">
        <f t="shared" si="14"/>
        <v>1235883.4101067709</v>
      </c>
      <c r="AI249">
        <f t="shared" si="15"/>
        <v>3.7388238359619484E-2</v>
      </c>
    </row>
    <row r="250" spans="1:35" x14ac:dyDescent="0.45">
      <c r="A250" s="5" t="s">
        <v>320</v>
      </c>
      <c r="B250" s="2">
        <f t="shared" si="12"/>
        <v>62946585.848498039</v>
      </c>
      <c r="C250" s="2">
        <v>52101407.092120618</v>
      </c>
      <c r="D250" s="2">
        <v>4.4148511301667796E-2</v>
      </c>
      <c r="E250" s="5">
        <v>47112453.265125602</v>
      </c>
      <c r="F250" s="5">
        <v>55080840.618427098</v>
      </c>
      <c r="G250" s="5">
        <v>56880746.549405903</v>
      </c>
      <c r="H250" s="5">
        <v>90196085.516886696</v>
      </c>
      <c r="I250" s="5">
        <v>55371446.319388799</v>
      </c>
      <c r="J250" s="5">
        <v>34558529.076571897</v>
      </c>
      <c r="K250" s="5">
        <v>80684235.949369296</v>
      </c>
      <c r="L250" s="5">
        <v>55238887.665342197</v>
      </c>
      <c r="M250" s="5">
        <v>47107461.980685703</v>
      </c>
      <c r="N250" s="5">
        <v>54517311.677077502</v>
      </c>
      <c r="O250" s="5">
        <v>82019756.277835503</v>
      </c>
      <c r="P250" s="5">
        <v>103171145.138548</v>
      </c>
      <c r="Q250" s="5">
        <v>40486508.571003899</v>
      </c>
      <c r="R250" s="5">
        <v>76118133.812398493</v>
      </c>
      <c r="S250" s="5">
        <v>71430399.559277907</v>
      </c>
      <c r="T250" s="5">
        <v>93923349.877645701</v>
      </c>
      <c r="U250" s="5">
        <v>43415471.988931596</v>
      </c>
      <c r="V250" s="5">
        <v>51886644.879692703</v>
      </c>
      <c r="W250" s="5">
        <v>58390017.899083696</v>
      </c>
      <c r="X250" s="5">
        <v>86876889.543715507</v>
      </c>
      <c r="Y250" s="5">
        <v>58338381.058255501</v>
      </c>
      <c r="Z250" s="5">
        <v>37473168.532928601</v>
      </c>
      <c r="AA250" s="5">
        <v>72733936.446301505</v>
      </c>
      <c r="AB250" s="5">
        <v>57706258.160053603</v>
      </c>
      <c r="AC250" s="5">
        <v>55178678.254427597</v>
      </c>
      <c r="AD250" s="5">
        <v>49648438.817542396</v>
      </c>
      <c r="AE250" s="5">
        <v>51480042.263206497</v>
      </c>
      <c r="AF250" s="5">
        <v>52098469.033306003</v>
      </c>
      <c r="AG250">
        <f t="shared" si="13"/>
        <v>52101407.092120618</v>
      </c>
      <c r="AH250">
        <f t="shared" si="14"/>
        <v>2300199.5598392817</v>
      </c>
      <c r="AI250">
        <f t="shared" si="15"/>
        <v>4.4148511301667796E-2</v>
      </c>
    </row>
    <row r="251" spans="1:35" x14ac:dyDescent="0.45">
      <c r="A251" s="5" t="s">
        <v>321</v>
      </c>
      <c r="B251" s="2">
        <f t="shared" si="12"/>
        <v>62054845.10849487</v>
      </c>
      <c r="C251" s="2">
        <v>28809333.54378375</v>
      </c>
      <c r="D251" s="2">
        <v>2.2121032895634642E-2</v>
      </c>
      <c r="E251" s="5">
        <v>7026044.7399188597</v>
      </c>
      <c r="F251" s="5">
        <v>14134498.978996299</v>
      </c>
      <c r="G251" s="5">
        <v>11611547.895542899</v>
      </c>
      <c r="H251" s="5">
        <v>1124151649.67939</v>
      </c>
      <c r="I251" s="5">
        <v>12239678.126645301</v>
      </c>
      <c r="J251" s="5">
        <v>5663152.5917724799</v>
      </c>
      <c r="K251" s="5">
        <v>13769222.206298901</v>
      </c>
      <c r="L251" s="5">
        <v>6251414.1537069101</v>
      </c>
      <c r="M251" s="5">
        <v>4881154.6726000896</v>
      </c>
      <c r="N251" s="5">
        <v>18369488.773297001</v>
      </c>
      <c r="O251" s="5">
        <v>115564358.101383</v>
      </c>
      <c r="P251" s="5">
        <v>8687251.0941281095</v>
      </c>
      <c r="Q251" s="5">
        <v>9114896.6977523006</v>
      </c>
      <c r="R251" s="5">
        <v>26492735.429795101</v>
      </c>
      <c r="S251" s="5">
        <v>8762490.6005803999</v>
      </c>
      <c r="T251" s="5">
        <v>8633828.2052903809</v>
      </c>
      <c r="U251" s="5">
        <v>11858086.781446399</v>
      </c>
      <c r="V251" s="5">
        <v>16072636.417440699</v>
      </c>
      <c r="W251" s="5">
        <v>23508253.158812501</v>
      </c>
      <c r="X251" s="5">
        <v>17915396.7215987</v>
      </c>
      <c r="Y251" s="5">
        <v>4759897.3104929598</v>
      </c>
      <c r="Z251" s="5">
        <v>9011372.1849378292</v>
      </c>
      <c r="AA251" s="5">
        <v>7329862.0840108804</v>
      </c>
      <c r="AB251" s="5">
        <v>3507365.9980389699</v>
      </c>
      <c r="AC251" s="5">
        <v>28830042.544276301</v>
      </c>
      <c r="AD251" s="5">
        <v>27909043.1758724</v>
      </c>
      <c r="AE251" s="5">
        <v>29147534.853596099</v>
      </c>
      <c r="AF251" s="5">
        <v>29350713.601390202</v>
      </c>
      <c r="AG251">
        <f t="shared" si="13"/>
        <v>28809333.54378375</v>
      </c>
      <c r="AH251">
        <f t="shared" si="14"/>
        <v>637292.2150233509</v>
      </c>
      <c r="AI251">
        <f t="shared" si="15"/>
        <v>2.2121032895634642E-2</v>
      </c>
    </row>
    <row r="252" spans="1:35" x14ac:dyDescent="0.45">
      <c r="A252" s="5" t="s">
        <v>322</v>
      </c>
      <c r="B252" s="2">
        <f t="shared" si="12"/>
        <v>200800315.64966583</v>
      </c>
      <c r="C252" s="2">
        <v>209617683.81837824</v>
      </c>
      <c r="D252" s="2">
        <v>1.4808665230711199E-2</v>
      </c>
      <c r="E252" s="5">
        <v>86916471.479619294</v>
      </c>
      <c r="F252" s="5">
        <v>94962784.147588402</v>
      </c>
      <c r="G252" s="5">
        <v>171260758.41895601</v>
      </c>
      <c r="H252" s="5">
        <v>264516277.95216599</v>
      </c>
      <c r="I252" s="5">
        <v>530523032.10036802</v>
      </c>
      <c r="J252" s="5">
        <v>363834402.45390803</v>
      </c>
      <c r="K252" s="5">
        <v>58300885.340309598</v>
      </c>
      <c r="L252" s="5">
        <v>231695801.341445</v>
      </c>
      <c r="M252" s="5">
        <v>207406230.52121201</v>
      </c>
      <c r="N252" s="5">
        <v>95824595.547428697</v>
      </c>
      <c r="O252" s="5">
        <v>125337899.860616</v>
      </c>
      <c r="P252" s="5">
        <v>241575241.953688</v>
      </c>
      <c r="Q252" s="5">
        <v>364970596.45880198</v>
      </c>
      <c r="R252" s="5">
        <v>109965401.67360801</v>
      </c>
      <c r="S252" s="5">
        <v>142335561.608289</v>
      </c>
      <c r="T252" s="5">
        <v>378828874.99545199</v>
      </c>
      <c r="U252" s="5">
        <v>120284016.25345001</v>
      </c>
      <c r="V252" s="5">
        <v>124444635.44169</v>
      </c>
      <c r="W252" s="5">
        <v>98510954.129569605</v>
      </c>
      <c r="X252" s="5">
        <v>220907915.15642899</v>
      </c>
      <c r="Y252" s="5">
        <v>199143756.70678601</v>
      </c>
      <c r="Z252" s="5">
        <v>177203405.29212201</v>
      </c>
      <c r="AA252" s="5">
        <v>254714712.715817</v>
      </c>
      <c r="AB252" s="5">
        <v>155743364.04266101</v>
      </c>
      <c r="AC252" s="5">
        <v>209038650.75536999</v>
      </c>
      <c r="AD252" s="5">
        <v>205656686.322025</v>
      </c>
      <c r="AE252" s="5">
        <v>213022748.314816</v>
      </c>
      <c r="AF252" s="5">
        <v>210752649.881302</v>
      </c>
      <c r="AG252">
        <f t="shared" si="13"/>
        <v>209617683.81837824</v>
      </c>
      <c r="AH252">
        <f t="shared" si="14"/>
        <v>3104158.1061034314</v>
      </c>
      <c r="AI252">
        <f t="shared" si="15"/>
        <v>1.4808665230711199E-2</v>
      </c>
    </row>
    <row r="253" spans="1:35" x14ac:dyDescent="0.45">
      <c r="A253" s="5" t="s">
        <v>323</v>
      </c>
      <c r="B253" s="2">
        <f t="shared" si="12"/>
        <v>44814229.35792052</v>
      </c>
      <c r="C253" s="2">
        <v>21739035.38035585</v>
      </c>
      <c r="D253" s="2">
        <v>0.14190318198810137</v>
      </c>
      <c r="E253" s="5">
        <v>18594763.304611299</v>
      </c>
      <c r="F253" s="5">
        <v>24761464.6614535</v>
      </c>
      <c r="G253" s="5">
        <v>28865683.690857101</v>
      </c>
      <c r="H253" s="5">
        <v>18063975.268909901</v>
      </c>
      <c r="I253" s="5">
        <v>7441316.7115818104</v>
      </c>
      <c r="J253" s="5">
        <v>31269393.973419201</v>
      </c>
      <c r="K253" s="5">
        <v>45254638.931652397</v>
      </c>
      <c r="L253" s="5">
        <v>32099772.040578801</v>
      </c>
      <c r="M253" s="5">
        <v>17125153.947305702</v>
      </c>
      <c r="N253" s="5">
        <v>15792062.236742999</v>
      </c>
      <c r="O253" s="5">
        <v>23379283.3190764</v>
      </c>
      <c r="P253" s="5">
        <v>23018900.675731301</v>
      </c>
      <c r="Q253" s="5">
        <v>6221586.03237426</v>
      </c>
      <c r="R253" s="5">
        <v>34960482.396237597</v>
      </c>
      <c r="S253" s="5">
        <v>29950179.481122199</v>
      </c>
      <c r="T253" s="5">
        <v>501791406.56715101</v>
      </c>
      <c r="U253" s="5">
        <v>21201216.022874001</v>
      </c>
      <c r="V253" s="5">
        <v>19890831.8938086</v>
      </c>
      <c r="W253" s="5">
        <v>34567173.549089</v>
      </c>
      <c r="X253" s="5">
        <v>21044524.011073299</v>
      </c>
      <c r="Y253" s="5">
        <v>13817404.774822799</v>
      </c>
      <c r="Z253" s="5">
        <v>28837656.757189099</v>
      </c>
      <c r="AA253" s="5">
        <v>56911322.485550299</v>
      </c>
      <c r="AB253" s="5">
        <v>20681311.8568797</v>
      </c>
      <c r="AC253" s="5">
        <v>23473527.995737899</v>
      </c>
      <c r="AD253" s="5">
        <v>18058102.943526901</v>
      </c>
      <c r="AE253" s="5">
        <v>20465408.648497202</v>
      </c>
      <c r="AF253" s="5">
        <v>24959101.933661401</v>
      </c>
      <c r="AG253">
        <f t="shared" si="13"/>
        <v>21739035.38035585</v>
      </c>
      <c r="AH253">
        <f t="shared" si="14"/>
        <v>3084838.2938244105</v>
      </c>
      <c r="AI253">
        <f t="shared" si="15"/>
        <v>0.14190318198810137</v>
      </c>
    </row>
    <row r="254" spans="1:35" x14ac:dyDescent="0.45">
      <c r="A254" s="5" t="s">
        <v>324</v>
      </c>
      <c r="B254" s="2">
        <f t="shared" si="12"/>
        <v>30971368.565520708</v>
      </c>
      <c r="C254" s="2">
        <v>21276709.645816103</v>
      </c>
      <c r="D254" s="2">
        <v>4.2111017890074549E-2</v>
      </c>
      <c r="E254" s="5">
        <v>6540728.0642289696</v>
      </c>
      <c r="F254" s="5">
        <v>7344488.7624158598</v>
      </c>
      <c r="G254" s="5">
        <v>65338561.467068203</v>
      </c>
      <c r="H254" s="5">
        <v>118338356.95175999</v>
      </c>
      <c r="I254" s="5">
        <v>6236424.8298676396</v>
      </c>
      <c r="J254" s="5">
        <v>5603086.7302739499</v>
      </c>
      <c r="K254" s="5">
        <v>7045806.2082605204</v>
      </c>
      <c r="L254" s="5">
        <v>5550284.2393847303</v>
      </c>
      <c r="M254" s="5">
        <v>6402522.1279753996</v>
      </c>
      <c r="N254" s="5">
        <v>6712413.8412693003</v>
      </c>
      <c r="O254" s="5">
        <v>166428981.34955499</v>
      </c>
      <c r="P254" s="5">
        <v>97264305.160085693</v>
      </c>
      <c r="Q254" s="5">
        <v>5941505.8323262203</v>
      </c>
      <c r="R254" s="5">
        <v>7085822.4518498201</v>
      </c>
      <c r="S254" s="5">
        <v>7469241.6911485102</v>
      </c>
      <c r="T254" s="5">
        <v>11643744.349977201</v>
      </c>
      <c r="U254" s="5">
        <v>6449237.3804462701</v>
      </c>
      <c r="V254" s="5">
        <v>6320276.2335683098</v>
      </c>
      <c r="W254" s="5">
        <v>4997316.6558779199</v>
      </c>
      <c r="X254" s="5">
        <v>97353185.301532403</v>
      </c>
      <c r="Y254" s="5">
        <v>6757071.1548663396</v>
      </c>
      <c r="Z254" s="5">
        <v>5792062.0999686001</v>
      </c>
      <c r="AA254" s="5">
        <v>77955996.564343303</v>
      </c>
      <c r="AB254" s="5">
        <v>6741426.1244468503</v>
      </c>
      <c r="AC254" s="5">
        <v>20550901.000040598</v>
      </c>
      <c r="AD254" s="5">
        <v>20460027.424961001</v>
      </c>
      <c r="AE254" s="5">
        <v>22159656.4065657</v>
      </c>
      <c r="AF254" s="5">
        <v>21936253.751697101</v>
      </c>
      <c r="AG254">
        <f t="shared" si="13"/>
        <v>21276709.645816103</v>
      </c>
      <c r="AH254">
        <f t="shared" si="14"/>
        <v>895983.90053688362</v>
      </c>
      <c r="AI254">
        <f t="shared" si="15"/>
        <v>4.2111017890074549E-2</v>
      </c>
    </row>
    <row r="255" spans="1:35" x14ac:dyDescent="0.45">
      <c r="A255" s="5" t="s">
        <v>214</v>
      </c>
      <c r="B255" s="2">
        <f t="shared" si="12"/>
        <v>72461022.468846053</v>
      </c>
      <c r="C255" s="2">
        <v>51559315.918122768</v>
      </c>
      <c r="D255" s="2">
        <v>5.7692769178828054E-2</v>
      </c>
      <c r="E255" s="5">
        <v>71792682.338155299</v>
      </c>
      <c r="F255" s="5">
        <v>111879172.43376701</v>
      </c>
      <c r="G255" s="5">
        <v>93520501.015348807</v>
      </c>
      <c r="H255" s="5">
        <v>21236622.3225177</v>
      </c>
      <c r="I255" s="5">
        <v>97784480.296033293</v>
      </c>
      <c r="J255" s="5">
        <v>21542472.7904264</v>
      </c>
      <c r="K255" s="5">
        <v>100794994.540574</v>
      </c>
      <c r="L255" s="5">
        <v>86554254.428355694</v>
      </c>
      <c r="M255" s="5">
        <v>45668917.736268997</v>
      </c>
      <c r="N255" s="5">
        <v>61142017.184266403</v>
      </c>
      <c r="O255" s="5">
        <v>14130702.1811444</v>
      </c>
      <c r="P255" s="5">
        <v>53903034.519158103</v>
      </c>
      <c r="Q255" s="5">
        <v>44886637.659341902</v>
      </c>
      <c r="R255" s="5">
        <v>115805349.869699</v>
      </c>
      <c r="S255" s="5">
        <v>103206824.658977</v>
      </c>
      <c r="T255" s="5">
        <v>111548945.917192</v>
      </c>
      <c r="U255" s="5">
        <v>50336422.3524772</v>
      </c>
      <c r="V255" s="5">
        <v>60461207.746822298</v>
      </c>
      <c r="W255" s="5">
        <v>53932797.103941299</v>
      </c>
      <c r="X255" s="5">
        <v>56563213.791838497</v>
      </c>
      <c r="Y255" s="5">
        <v>69820541.742549896</v>
      </c>
      <c r="Z255" s="5">
        <v>48252910.334624201</v>
      </c>
      <c r="AA255" s="5">
        <v>144334057.86193299</v>
      </c>
      <c r="AB255" s="5">
        <v>99965778.426892698</v>
      </c>
      <c r="AC255" s="5">
        <v>47322726.517696798</v>
      </c>
      <c r="AD255" s="5">
        <v>53756852.622497901</v>
      </c>
      <c r="AE255" s="5">
        <v>51660146.157138199</v>
      </c>
      <c r="AF255" s="5">
        <v>53497538.375158198</v>
      </c>
      <c r="AG255">
        <f t="shared" si="13"/>
        <v>51559315.918122768</v>
      </c>
      <c r="AH255">
        <f t="shared" si="14"/>
        <v>2974599.7122825319</v>
      </c>
      <c r="AI255">
        <f t="shared" si="15"/>
        <v>5.7692769178828054E-2</v>
      </c>
    </row>
    <row r="256" spans="1:35" x14ac:dyDescent="0.45">
      <c r="A256" s="5" t="s">
        <v>215</v>
      </c>
      <c r="B256" s="2">
        <f t="shared" si="12"/>
        <v>43660200.640957646</v>
      </c>
      <c r="C256" s="2">
        <v>27885786.016650174</v>
      </c>
      <c r="D256" s="2">
        <v>2.1622612938267678E-2</v>
      </c>
      <c r="E256" s="5">
        <v>12870810.5623472</v>
      </c>
      <c r="F256" s="5">
        <v>24315620.887152001</v>
      </c>
      <c r="G256" s="5">
        <v>15347468.0154252</v>
      </c>
      <c r="H256" s="5">
        <v>504038609.90532398</v>
      </c>
      <c r="I256" s="5">
        <v>8188236.0657441895</v>
      </c>
      <c r="J256" s="5">
        <v>19668366.488603901</v>
      </c>
      <c r="K256" s="5">
        <v>15103366.655327501</v>
      </c>
      <c r="L256" s="5">
        <v>30533651.7890407</v>
      </c>
      <c r="M256" s="5">
        <v>7668358.9082820397</v>
      </c>
      <c r="N256" s="5">
        <v>24156618.890223902</v>
      </c>
      <c r="O256" s="5">
        <v>55242688.669222698</v>
      </c>
      <c r="P256" s="5">
        <v>22172231.1845905</v>
      </c>
      <c r="Q256" s="5">
        <v>14315899.4860989</v>
      </c>
      <c r="R256" s="5">
        <v>18258562.3743046</v>
      </c>
      <c r="S256" s="5">
        <v>34917331.148159698</v>
      </c>
      <c r="T256" s="5">
        <v>93058056.445905894</v>
      </c>
      <c r="U256" s="5">
        <v>21337411.437095899</v>
      </c>
      <c r="V256" s="5">
        <v>13686733.6681145</v>
      </c>
      <c r="W256" s="5">
        <v>30849445.294357799</v>
      </c>
      <c r="X256" s="5">
        <v>8079190.95658057</v>
      </c>
      <c r="Y256" s="5">
        <v>19641760.638056502</v>
      </c>
      <c r="Z256" s="5">
        <v>13341652.2795885</v>
      </c>
      <c r="AA256" s="5">
        <v>16618141.549251299</v>
      </c>
      <c r="AB256" s="5">
        <v>24434602.084185399</v>
      </c>
      <c r="AC256" s="5">
        <v>27597510.536231302</v>
      </c>
      <c r="AD256" s="5">
        <v>27288023.464237299</v>
      </c>
      <c r="AE256" s="5">
        <v>27969819.911095802</v>
      </c>
      <c r="AF256" s="5">
        <v>28687790.1550363</v>
      </c>
      <c r="AG256">
        <f t="shared" si="13"/>
        <v>27885786.016650174</v>
      </c>
      <c r="AH256">
        <f t="shared" si="14"/>
        <v>602963.55751738395</v>
      </c>
      <c r="AI256">
        <f t="shared" si="15"/>
        <v>2.1622612938267678E-2</v>
      </c>
    </row>
    <row r="257" spans="1:35" x14ac:dyDescent="0.45">
      <c r="A257" s="5" t="s">
        <v>325</v>
      </c>
      <c r="B257" s="2">
        <f t="shared" si="12"/>
        <v>202021620.27405718</v>
      </c>
      <c r="C257" s="2">
        <v>218492329.67756775</v>
      </c>
      <c r="D257" s="2">
        <v>1.3036693126791151E-2</v>
      </c>
      <c r="E257" s="5">
        <v>49148129.073230401</v>
      </c>
      <c r="F257" s="5">
        <v>50106576.356536902</v>
      </c>
      <c r="G257" s="5">
        <v>65898979.590562403</v>
      </c>
      <c r="H257" s="5">
        <v>241385963.323282</v>
      </c>
      <c r="I257" s="5">
        <v>325945394.79554302</v>
      </c>
      <c r="J257" s="5">
        <v>653589696.58817196</v>
      </c>
      <c r="K257" s="5">
        <v>86789166.012842104</v>
      </c>
      <c r="L257" s="5">
        <v>111012358.96881799</v>
      </c>
      <c r="M257" s="5">
        <v>286910092.47723597</v>
      </c>
      <c r="N257" s="5">
        <v>42973080.795151398</v>
      </c>
      <c r="O257" s="5">
        <v>514860197.49444902</v>
      </c>
      <c r="P257" s="5">
        <v>95824551.677861303</v>
      </c>
      <c r="Q257" s="5">
        <v>406702935.710769</v>
      </c>
      <c r="R257" s="5">
        <v>216746404.35569599</v>
      </c>
      <c r="S257" s="5">
        <v>213425833.842666</v>
      </c>
      <c r="T257" s="5">
        <v>334513497.10255402</v>
      </c>
      <c r="U257" s="5">
        <v>107595673.037862</v>
      </c>
      <c r="V257" s="5">
        <v>24934239.348620798</v>
      </c>
      <c r="W257" s="5">
        <v>91374405.081631005</v>
      </c>
      <c r="X257" s="5">
        <v>67917138.496460199</v>
      </c>
      <c r="Y257" s="5">
        <v>271784301.92551398</v>
      </c>
      <c r="Z257" s="5">
        <v>201476490.27590099</v>
      </c>
      <c r="AA257" s="5">
        <v>303695297.45014799</v>
      </c>
      <c r="AB257" s="5">
        <v>83908482.795865595</v>
      </c>
      <c r="AC257" s="5">
        <v>219378217.272257</v>
      </c>
      <c r="AD257" s="5">
        <v>214344798.72055501</v>
      </c>
      <c r="AE257" s="5">
        <v>219403958.27932799</v>
      </c>
      <c r="AF257" s="5">
        <v>220842344.438131</v>
      </c>
      <c r="AG257">
        <f t="shared" si="13"/>
        <v>218492329.67756775</v>
      </c>
      <c r="AH257">
        <f t="shared" si="14"/>
        <v>2848417.4525641338</v>
      </c>
      <c r="AI257">
        <f t="shared" si="15"/>
        <v>1.3036693126791151E-2</v>
      </c>
    </row>
    <row r="258" spans="1:35" x14ac:dyDescent="0.45">
      <c r="A258" s="5" t="s">
        <v>216</v>
      </c>
      <c r="B258" s="2">
        <f t="shared" ref="B258:B321" si="16">AVERAGE(E258:AB258)</f>
        <v>9827536.3832618706</v>
      </c>
      <c r="C258" s="2">
        <v>13419393.861225251</v>
      </c>
      <c r="D258" s="2">
        <v>9.8938624822162452E-2</v>
      </c>
      <c r="E258" s="5">
        <v>4401656.2774759801</v>
      </c>
      <c r="F258" s="5">
        <v>4358037.3916046396</v>
      </c>
      <c r="G258" s="5">
        <v>4431232.4185397103</v>
      </c>
      <c r="H258" s="5">
        <v>19518792.168547101</v>
      </c>
      <c r="I258" s="5">
        <v>12887279.652482999</v>
      </c>
      <c r="J258" s="5">
        <v>26487036.656587198</v>
      </c>
      <c r="K258" s="5">
        <v>4163964.78369419</v>
      </c>
      <c r="L258" s="5">
        <v>12597094.879635399</v>
      </c>
      <c r="M258" s="5">
        <v>6502137.3904566597</v>
      </c>
      <c r="N258" s="5">
        <v>4148138.5549383</v>
      </c>
      <c r="O258" s="5">
        <v>7588614.9037056696</v>
      </c>
      <c r="P258" s="5">
        <v>15928748.6322002</v>
      </c>
      <c r="Q258" s="5">
        <v>15680573.9245806</v>
      </c>
      <c r="R258" s="5">
        <v>7828397.9762442699</v>
      </c>
      <c r="S258" s="5">
        <v>5414985.6285498198</v>
      </c>
      <c r="T258" s="5">
        <v>5226633.7861391203</v>
      </c>
      <c r="U258" s="5">
        <v>4946582.1431830404</v>
      </c>
      <c r="V258" s="5">
        <v>4422400.9379623504</v>
      </c>
      <c r="W258" s="5">
        <v>3203784.7157739499</v>
      </c>
      <c r="X258" s="5">
        <v>31193965.534579098</v>
      </c>
      <c r="Y258" s="5">
        <v>11461894.907907899</v>
      </c>
      <c r="Z258" s="5">
        <v>5096589.6072471002</v>
      </c>
      <c r="AA258" s="5">
        <v>8466751.0377955195</v>
      </c>
      <c r="AB258" s="5">
        <v>9905579.2884540595</v>
      </c>
      <c r="AC258" s="5">
        <v>12977726.9365157</v>
      </c>
      <c r="AD258" s="5">
        <v>12314052.106349301</v>
      </c>
      <c r="AE258" s="5">
        <v>13036424.034773801</v>
      </c>
      <c r="AF258" s="5">
        <v>15349372.3672622</v>
      </c>
      <c r="AG258">
        <f t="shared" ref="AG258:AG321" si="17">AVERAGE(AC258:AF258)</f>
        <v>13419393.861225251</v>
      </c>
      <c r="AH258">
        <f t="shared" ref="AH258:AH321" si="18">STDEV(AC258:AF258)</f>
        <v>1327696.3745765951</v>
      </c>
      <c r="AI258">
        <f t="shared" ref="AI258:AI321" si="19">AH258/AG258</f>
        <v>9.8938624822162452E-2</v>
      </c>
    </row>
    <row r="259" spans="1:35" x14ac:dyDescent="0.45">
      <c r="A259" s="5" t="s">
        <v>217</v>
      </c>
      <c r="B259" s="2">
        <f t="shared" si="16"/>
        <v>273412871.66929579</v>
      </c>
      <c r="C259" s="2">
        <v>241702179.03335828</v>
      </c>
      <c r="D259" s="2">
        <v>4.3356447570106177E-2</v>
      </c>
      <c r="E259" s="5">
        <v>321648943.54448098</v>
      </c>
      <c r="F259" s="5">
        <v>279729142.89907402</v>
      </c>
      <c r="G259" s="5">
        <v>261434373.73833999</v>
      </c>
      <c r="H259" s="5">
        <v>235984238.75192001</v>
      </c>
      <c r="I259" s="5">
        <v>225677751.016417</v>
      </c>
      <c r="J259" s="5">
        <v>203894157.46318701</v>
      </c>
      <c r="K259" s="5">
        <v>333345159.61996299</v>
      </c>
      <c r="L259" s="5">
        <v>322678920.196253</v>
      </c>
      <c r="M259" s="5">
        <v>231258563.18919301</v>
      </c>
      <c r="N259" s="5">
        <v>294794547.90203398</v>
      </c>
      <c r="O259" s="5">
        <v>238101995.78780699</v>
      </c>
      <c r="P259" s="5">
        <v>354973487.64539897</v>
      </c>
      <c r="Q259" s="5">
        <v>183163035.20132101</v>
      </c>
      <c r="R259" s="5">
        <v>342775254.21469599</v>
      </c>
      <c r="S259" s="5">
        <v>292350413.26087803</v>
      </c>
      <c r="T259" s="5">
        <v>215890857.609938</v>
      </c>
      <c r="U259" s="5">
        <v>247606129.92958501</v>
      </c>
      <c r="V259" s="5">
        <v>237513069.127518</v>
      </c>
      <c r="W259" s="5">
        <v>283238380.55171502</v>
      </c>
      <c r="X259" s="5">
        <v>303320138.02118498</v>
      </c>
      <c r="Y259" s="5">
        <v>267641402.973405</v>
      </c>
      <c r="Z259" s="5">
        <v>274284821.94540203</v>
      </c>
      <c r="AA259" s="5">
        <v>250429079.844491</v>
      </c>
      <c r="AB259" s="5">
        <v>360175055.62889701</v>
      </c>
      <c r="AC259" s="5">
        <v>226561693.66377601</v>
      </c>
      <c r="AD259" s="5">
        <v>248025602.04455999</v>
      </c>
      <c r="AE259" s="5">
        <v>242842689.08795601</v>
      </c>
      <c r="AF259" s="5">
        <v>249378731.33714101</v>
      </c>
      <c r="AG259">
        <f t="shared" si="17"/>
        <v>241702179.03335828</v>
      </c>
      <c r="AH259">
        <f t="shared" si="18"/>
        <v>10479347.852840215</v>
      </c>
      <c r="AI259">
        <f t="shared" si="19"/>
        <v>4.3356447570106177E-2</v>
      </c>
    </row>
    <row r="260" spans="1:35" x14ac:dyDescent="0.45">
      <c r="A260" s="5" t="s">
        <v>326</v>
      </c>
      <c r="B260" s="2">
        <f t="shared" si="16"/>
        <v>6227531.7704844801</v>
      </c>
      <c r="C260" s="2">
        <v>8169981.4955584677</v>
      </c>
      <c r="D260" s="2">
        <v>2.0283668217222856E-2</v>
      </c>
      <c r="E260" s="5">
        <v>1324414.80927749</v>
      </c>
      <c r="F260" s="5">
        <v>2019747.4866550399</v>
      </c>
      <c r="G260" s="5">
        <v>3051799.06080367</v>
      </c>
      <c r="H260" s="5">
        <v>39256090.104790099</v>
      </c>
      <c r="I260" s="5">
        <v>1479753.11132527</v>
      </c>
      <c r="J260" s="5">
        <v>47758542.4402529</v>
      </c>
      <c r="K260" s="5">
        <v>3556263.94476027</v>
      </c>
      <c r="L260" s="5">
        <v>2405324.1573246298</v>
      </c>
      <c r="M260" s="5">
        <v>2155054.9408922601</v>
      </c>
      <c r="N260" s="5">
        <v>1539412.80528245</v>
      </c>
      <c r="O260" s="5">
        <v>3592721.9129528301</v>
      </c>
      <c r="P260" s="5">
        <v>2814505.2081100899</v>
      </c>
      <c r="Q260" s="5">
        <v>3674084.4872813602</v>
      </c>
      <c r="R260" s="5">
        <v>1635812.56449457</v>
      </c>
      <c r="S260" s="5">
        <v>4206551.8877198901</v>
      </c>
      <c r="T260" s="5">
        <v>2754164.83191839</v>
      </c>
      <c r="U260" s="5">
        <v>1895645.0863339</v>
      </c>
      <c r="V260" s="5">
        <v>3476588.3504953501</v>
      </c>
      <c r="W260" s="5">
        <v>1738933.1256784899</v>
      </c>
      <c r="X260" s="5">
        <v>4602763.1441063397</v>
      </c>
      <c r="Y260" s="5">
        <v>2884076.07261763</v>
      </c>
      <c r="Z260" s="5">
        <v>3303661.95316851</v>
      </c>
      <c r="AA260" s="5">
        <v>6037586.9166778997</v>
      </c>
      <c r="AB260" s="5">
        <v>2297264.0887082098</v>
      </c>
      <c r="AC260" s="5">
        <v>7977571.7945636697</v>
      </c>
      <c r="AD260" s="5">
        <v>8327256.4067472201</v>
      </c>
      <c r="AE260" s="5">
        <v>8287580.0048829103</v>
      </c>
      <c r="AF260" s="5">
        <v>8087517.7760400698</v>
      </c>
      <c r="AG260">
        <f t="shared" si="17"/>
        <v>8169981.4955584677</v>
      </c>
      <c r="AH260">
        <f t="shared" si="18"/>
        <v>165717.19399675814</v>
      </c>
      <c r="AI260">
        <f t="shared" si="19"/>
        <v>2.0283668217222856E-2</v>
      </c>
    </row>
    <row r="261" spans="1:35" x14ac:dyDescent="0.45">
      <c r="A261" s="5" t="s">
        <v>218</v>
      </c>
      <c r="B261" s="2">
        <f t="shared" si="16"/>
        <v>53564953.201417089</v>
      </c>
      <c r="C261" s="2">
        <v>41679866.162307099</v>
      </c>
      <c r="D261" s="2">
        <v>2.4584520466239559E-2</v>
      </c>
      <c r="E261" s="5">
        <v>38644203.239529997</v>
      </c>
      <c r="F261" s="5">
        <v>54066814.614148699</v>
      </c>
      <c r="G261" s="5">
        <v>23512860.664116502</v>
      </c>
      <c r="H261" s="5">
        <v>104001713.903327</v>
      </c>
      <c r="I261" s="5">
        <v>25992409.681423299</v>
      </c>
      <c r="J261" s="5">
        <v>34664964.1862422</v>
      </c>
      <c r="K261" s="5">
        <v>37548180.016026698</v>
      </c>
      <c r="L261" s="5">
        <v>27324630.630663399</v>
      </c>
      <c r="M261" s="5">
        <v>27019494.202798899</v>
      </c>
      <c r="N261" s="5">
        <v>64618740.547430001</v>
      </c>
      <c r="O261" s="5">
        <v>143413683.31112701</v>
      </c>
      <c r="P261" s="5">
        <v>83559660.713082105</v>
      </c>
      <c r="Q261" s="5">
        <v>35655733.282881297</v>
      </c>
      <c r="R261" s="5">
        <v>86231051.371012196</v>
      </c>
      <c r="S261" s="5">
        <v>31744431.589226</v>
      </c>
      <c r="T261" s="5">
        <v>74124945.130036101</v>
      </c>
      <c r="U261" s="5">
        <v>91023474.818819702</v>
      </c>
      <c r="V261" s="5">
        <v>40935765.840799898</v>
      </c>
      <c r="W261" s="5">
        <v>76034816.067236304</v>
      </c>
      <c r="X261" s="5">
        <v>39464928.017073303</v>
      </c>
      <c r="Y261" s="5">
        <v>38736528.762235798</v>
      </c>
      <c r="Z261" s="5">
        <v>62830355.612266399</v>
      </c>
      <c r="AA261" s="5">
        <v>22688305.253278799</v>
      </c>
      <c r="AB261" s="5">
        <v>21721185.3792287</v>
      </c>
      <c r="AC261" s="5">
        <v>43051604.930297598</v>
      </c>
      <c r="AD261" s="5">
        <v>40657945.820138603</v>
      </c>
      <c r="AE261" s="5">
        <v>41790201.996537797</v>
      </c>
      <c r="AF261" s="5">
        <v>41219711.902254403</v>
      </c>
      <c r="AG261">
        <f t="shared" si="17"/>
        <v>41679866.162307099</v>
      </c>
      <c r="AH261">
        <f t="shared" si="18"/>
        <v>1024679.5226973646</v>
      </c>
      <c r="AI261">
        <f t="shared" si="19"/>
        <v>2.4584520466239559E-2</v>
      </c>
    </row>
    <row r="262" spans="1:35" x14ac:dyDescent="0.45">
      <c r="A262" s="5" t="s">
        <v>219</v>
      </c>
      <c r="B262" s="2">
        <f t="shared" si="16"/>
        <v>37855544.061629832</v>
      </c>
      <c r="C262" s="2">
        <v>31719568.163627423</v>
      </c>
      <c r="D262" s="2">
        <v>2.4380863824972985E-2</v>
      </c>
      <c r="E262" s="5">
        <v>16077806.640705001</v>
      </c>
      <c r="F262" s="5">
        <v>16345631.318434</v>
      </c>
      <c r="G262" s="5">
        <v>13072664.840758201</v>
      </c>
      <c r="H262" s="5">
        <v>146072563.61658499</v>
      </c>
      <c r="I262" s="5">
        <v>63508770.291410796</v>
      </c>
      <c r="J262" s="5">
        <v>53651975.544826701</v>
      </c>
      <c r="K262" s="5">
        <v>47714063.585843198</v>
      </c>
      <c r="L262" s="5">
        <v>26610809.610040698</v>
      </c>
      <c r="M262" s="5">
        <v>31880295.618472099</v>
      </c>
      <c r="N262" s="5">
        <v>56747454.270602301</v>
      </c>
      <c r="O262" s="5">
        <v>45980587.426064499</v>
      </c>
      <c r="P262" s="5">
        <v>78804489.106308207</v>
      </c>
      <c r="Q262" s="5">
        <v>19985200.189543899</v>
      </c>
      <c r="R262" s="5">
        <v>50979340.314342</v>
      </c>
      <c r="S262" s="5">
        <v>51859854.903737597</v>
      </c>
      <c r="T262" s="5">
        <v>29039065.131979398</v>
      </c>
      <c r="U262" s="5">
        <v>10182356.5300729</v>
      </c>
      <c r="V262" s="5">
        <v>23391798.961212002</v>
      </c>
      <c r="W262" s="5">
        <v>6316183.8749168599</v>
      </c>
      <c r="X262" s="5">
        <v>20621355.216076501</v>
      </c>
      <c r="Y262" s="5">
        <v>14811334.007520501</v>
      </c>
      <c r="Z262" s="5">
        <v>12463403.435455101</v>
      </c>
      <c r="AA262" s="5">
        <v>28079504.946670901</v>
      </c>
      <c r="AB262" s="5">
        <v>44336548.0975376</v>
      </c>
      <c r="AC262" s="5">
        <v>31420113.544671699</v>
      </c>
      <c r="AD262" s="5">
        <v>32716572.5213085</v>
      </c>
      <c r="AE262" s="5">
        <v>30887453.723927099</v>
      </c>
      <c r="AF262" s="5">
        <v>31854132.864602402</v>
      </c>
      <c r="AG262">
        <f t="shared" si="17"/>
        <v>31719568.163627423</v>
      </c>
      <c r="AH262">
        <f t="shared" si="18"/>
        <v>773350.47198434861</v>
      </c>
      <c r="AI262">
        <f t="shared" si="19"/>
        <v>2.4380863824972985E-2</v>
      </c>
    </row>
    <row r="263" spans="1:35" x14ac:dyDescent="0.45">
      <c r="A263" s="5" t="s">
        <v>220</v>
      </c>
      <c r="B263" s="2">
        <f t="shared" si="16"/>
        <v>226498921.08349061</v>
      </c>
      <c r="C263" s="2">
        <v>187165010.89466301</v>
      </c>
      <c r="D263" s="2">
        <v>2.6462419460047036E-2</v>
      </c>
      <c r="E263" s="5">
        <v>294808334.23219597</v>
      </c>
      <c r="F263" s="5">
        <v>322153761.36679298</v>
      </c>
      <c r="G263" s="5">
        <v>346764624.75825</v>
      </c>
      <c r="H263" s="5">
        <v>101820415.89126</v>
      </c>
      <c r="I263" s="5">
        <v>207310022.374228</v>
      </c>
      <c r="J263" s="5">
        <v>94073796.820577696</v>
      </c>
      <c r="K263" s="5">
        <v>375315767.14255899</v>
      </c>
      <c r="L263" s="5">
        <v>219810189.29570401</v>
      </c>
      <c r="M263" s="5">
        <v>187081656.34331501</v>
      </c>
      <c r="N263" s="5">
        <v>240466671.53537199</v>
      </c>
      <c r="O263" s="5">
        <v>45718822.139105499</v>
      </c>
      <c r="P263" s="5">
        <v>184721703.940826</v>
      </c>
      <c r="Q263" s="5">
        <v>157736481.882148</v>
      </c>
      <c r="R263" s="5">
        <v>269718621.42933202</v>
      </c>
      <c r="S263" s="5">
        <v>396858839.30906099</v>
      </c>
      <c r="T263" s="5">
        <v>8654922.9846343193</v>
      </c>
      <c r="U263" s="5">
        <v>240547632.60992301</v>
      </c>
      <c r="V263" s="5">
        <v>208766162.13178799</v>
      </c>
      <c r="W263" s="5">
        <v>277519788.63996601</v>
      </c>
      <c r="X263" s="5">
        <v>225926173.34773299</v>
      </c>
      <c r="Y263" s="5">
        <v>247838514.09367901</v>
      </c>
      <c r="Z263" s="5">
        <v>173587818.67318901</v>
      </c>
      <c r="AA263" s="5">
        <v>376952968.51639497</v>
      </c>
      <c r="AB263" s="5">
        <v>231820416.54574099</v>
      </c>
      <c r="AC263" s="5">
        <v>185958169.33763799</v>
      </c>
      <c r="AD263" s="5">
        <v>194168596.395895</v>
      </c>
      <c r="AE263" s="5">
        <v>182494063.58223701</v>
      </c>
      <c r="AF263" s="5">
        <v>186039214.26288199</v>
      </c>
      <c r="AG263">
        <f t="shared" si="17"/>
        <v>187165010.89466301</v>
      </c>
      <c r="AH263">
        <f t="shared" si="18"/>
        <v>4952839.0265388461</v>
      </c>
      <c r="AI263">
        <f t="shared" si="19"/>
        <v>2.6462419460047036E-2</v>
      </c>
    </row>
    <row r="264" spans="1:35" x14ac:dyDescent="0.45">
      <c r="A264" s="5" t="s">
        <v>327</v>
      </c>
      <c r="B264" s="2">
        <f t="shared" si="16"/>
        <v>42941186.012506433</v>
      </c>
      <c r="C264" s="2">
        <v>43531803.771261349</v>
      </c>
      <c r="D264" s="2">
        <v>1.8505687118952684E-2</v>
      </c>
      <c r="E264" s="5">
        <v>7798845.14576024</v>
      </c>
      <c r="F264" s="5">
        <v>13529210.1280002</v>
      </c>
      <c r="G264" s="5">
        <v>56937345.392467</v>
      </c>
      <c r="H264" s="5">
        <v>18480649.589028101</v>
      </c>
      <c r="I264" s="5">
        <v>103828139.091893</v>
      </c>
      <c r="J264" s="5">
        <v>121265506.39820801</v>
      </c>
      <c r="K264" s="5">
        <v>10834457.1919457</v>
      </c>
      <c r="L264" s="5">
        <v>34521607.495109603</v>
      </c>
      <c r="M264" s="5">
        <v>95469246.034259006</v>
      </c>
      <c r="N264" s="5">
        <v>6084182.38785352</v>
      </c>
      <c r="O264" s="5">
        <v>341497.507292594</v>
      </c>
      <c r="P264" s="5">
        <v>8128068.2436259203</v>
      </c>
      <c r="Q264" s="5">
        <v>100261963.00775801</v>
      </c>
      <c r="R264" s="5">
        <v>3204695.1005337099</v>
      </c>
      <c r="S264" s="5">
        <v>51071447.714282699</v>
      </c>
      <c r="T264" s="5">
        <v>1177384.128217</v>
      </c>
      <c r="U264" s="5">
        <v>29774877.296946999</v>
      </c>
      <c r="V264" s="5">
        <v>47917198.5694227</v>
      </c>
      <c r="W264" s="5">
        <v>9287625.0796989202</v>
      </c>
      <c r="X264" s="5">
        <v>118757750.68673</v>
      </c>
      <c r="Y264" s="5">
        <v>33609493.694527201</v>
      </c>
      <c r="Z264" s="5">
        <v>57363175.979932897</v>
      </c>
      <c r="AA264" s="5">
        <v>77598033.519597903</v>
      </c>
      <c r="AB264" s="5">
        <v>23346064.9170634</v>
      </c>
      <c r="AC264" s="5">
        <v>42817571.910716198</v>
      </c>
      <c r="AD264" s="5">
        <v>42885807.650711097</v>
      </c>
      <c r="AE264" s="5">
        <v>43994710.599131897</v>
      </c>
      <c r="AF264" s="5">
        <v>44429124.924486198</v>
      </c>
      <c r="AG264">
        <f t="shared" si="17"/>
        <v>43531803.771261349</v>
      </c>
      <c r="AH264">
        <f t="shared" si="18"/>
        <v>805585.940314607</v>
      </c>
      <c r="AI264">
        <f t="shared" si="19"/>
        <v>1.8505687118952684E-2</v>
      </c>
    </row>
    <row r="265" spans="1:35" x14ac:dyDescent="0.45">
      <c r="A265" s="5" t="s">
        <v>221</v>
      </c>
      <c r="B265" s="2">
        <f t="shared" si="16"/>
        <v>248497389.35959092</v>
      </c>
      <c r="C265" s="2">
        <v>210258201.76472101</v>
      </c>
      <c r="D265" s="2">
        <v>6.739298172959178E-2</v>
      </c>
      <c r="E265" s="5">
        <v>156788465.769921</v>
      </c>
      <c r="F265" s="5">
        <v>173155093.21545199</v>
      </c>
      <c r="G265" s="5">
        <v>179446481.08201</v>
      </c>
      <c r="H265" s="5">
        <v>112204314.007038</v>
      </c>
      <c r="I265" s="5">
        <v>234774342.49081501</v>
      </c>
      <c r="J265" s="5">
        <v>135545595.51431301</v>
      </c>
      <c r="K265" s="5">
        <v>296595997.56676197</v>
      </c>
      <c r="L265" s="5">
        <v>239200271.51786101</v>
      </c>
      <c r="M265" s="5">
        <v>131691629.230736</v>
      </c>
      <c r="N265" s="5">
        <v>166237510.17317</v>
      </c>
      <c r="O265" s="5">
        <v>652239077.123703</v>
      </c>
      <c r="P265" s="5">
        <v>241175031.59661001</v>
      </c>
      <c r="Q265" s="5">
        <v>348395645.00677699</v>
      </c>
      <c r="R265" s="5">
        <v>213926945.07847601</v>
      </c>
      <c r="S265" s="5">
        <v>201137931.14718601</v>
      </c>
      <c r="T265" s="5">
        <v>448766148.65517998</v>
      </c>
      <c r="U265" s="5">
        <v>239781996.05028799</v>
      </c>
      <c r="V265" s="5">
        <v>132668038.874145</v>
      </c>
      <c r="W265" s="5">
        <v>340896471.38736099</v>
      </c>
      <c r="X265" s="5">
        <v>110775115.59364399</v>
      </c>
      <c r="Y265" s="5">
        <v>384943313.61133301</v>
      </c>
      <c r="Z265" s="5">
        <v>252978953.49040899</v>
      </c>
      <c r="AA265" s="5">
        <v>300429774.56911302</v>
      </c>
      <c r="AB265" s="5">
        <v>270183201.87787998</v>
      </c>
      <c r="AC265" s="5">
        <v>191332564.800001</v>
      </c>
      <c r="AD265" s="5">
        <v>215442537.114876</v>
      </c>
      <c r="AE265" s="5">
        <v>209290110.52570799</v>
      </c>
      <c r="AF265" s="5">
        <v>224967594.61829901</v>
      </c>
      <c r="AG265">
        <f t="shared" si="17"/>
        <v>210258201.76472101</v>
      </c>
      <c r="AH265">
        <f t="shared" si="18"/>
        <v>14169927.150026666</v>
      </c>
      <c r="AI265">
        <f t="shared" si="19"/>
        <v>6.739298172959178E-2</v>
      </c>
    </row>
    <row r="266" spans="1:35" x14ac:dyDescent="0.45">
      <c r="A266" s="5" t="s">
        <v>222</v>
      </c>
      <c r="B266" s="2">
        <f t="shared" si="16"/>
        <v>27974211.351493556</v>
      </c>
      <c r="C266" s="2">
        <v>24337798.881085049</v>
      </c>
      <c r="D266" s="2">
        <v>2.4627737470054041E-2</v>
      </c>
      <c r="E266" s="5">
        <v>23545939.995729402</v>
      </c>
      <c r="F266" s="5">
        <v>16492227.1555943</v>
      </c>
      <c r="G266" s="5">
        <v>22779659.7472362</v>
      </c>
      <c r="H266" s="5">
        <v>55179068.699329004</v>
      </c>
      <c r="I266" s="5">
        <v>35978535.740659498</v>
      </c>
      <c r="J266" s="5">
        <v>25320238.446094502</v>
      </c>
      <c r="K266" s="5">
        <v>27711881.868765902</v>
      </c>
      <c r="L266" s="5">
        <v>26729815.694196202</v>
      </c>
      <c r="M266" s="5">
        <v>25855177.999557901</v>
      </c>
      <c r="N266" s="5">
        <v>21897105.691688601</v>
      </c>
      <c r="O266" s="5">
        <v>25624189.987051301</v>
      </c>
      <c r="P266" s="5">
        <v>35478743.509295098</v>
      </c>
      <c r="Q266" s="5">
        <v>39225843.672450997</v>
      </c>
      <c r="R266" s="5">
        <v>23978849.021143399</v>
      </c>
      <c r="S266" s="5">
        <v>24896952.171909701</v>
      </c>
      <c r="T266" s="5">
        <v>48249277.496152401</v>
      </c>
      <c r="U266" s="5">
        <v>24649904.980619099</v>
      </c>
      <c r="V266" s="5">
        <v>16240187.164364999</v>
      </c>
      <c r="W266" s="5">
        <v>15010457.6406342</v>
      </c>
      <c r="X266" s="5">
        <v>22832828.989848301</v>
      </c>
      <c r="Y266" s="5">
        <v>38878567.124104798</v>
      </c>
      <c r="Z266" s="5">
        <v>24801248.017405599</v>
      </c>
      <c r="AA266" s="5">
        <v>24281461.6303441</v>
      </c>
      <c r="AB266" s="5">
        <v>25742909.9916698</v>
      </c>
      <c r="AC266" s="5">
        <v>24012044.385696501</v>
      </c>
      <c r="AD266" s="5">
        <v>23818996.654672202</v>
      </c>
      <c r="AE266" s="5">
        <v>24344218.442276899</v>
      </c>
      <c r="AF266" s="5">
        <v>25175936.0416946</v>
      </c>
      <c r="AG266">
        <f t="shared" si="17"/>
        <v>24337798.881085049</v>
      </c>
      <c r="AH266">
        <f t="shared" si="18"/>
        <v>599384.92144233757</v>
      </c>
      <c r="AI266">
        <f t="shared" si="19"/>
        <v>2.4627737470054041E-2</v>
      </c>
    </row>
    <row r="267" spans="1:35" x14ac:dyDescent="0.45">
      <c r="A267" s="5" t="s">
        <v>223</v>
      </c>
      <c r="B267" s="2">
        <f t="shared" si="16"/>
        <v>137577691.75827721</v>
      </c>
      <c r="C267" s="2">
        <v>141409047.305013</v>
      </c>
      <c r="D267" s="2">
        <v>1.494586520890669E-2</v>
      </c>
      <c r="E267" s="5">
        <v>62986322.2786064</v>
      </c>
      <c r="F267" s="5">
        <v>125686577.726202</v>
      </c>
      <c r="G267" s="5">
        <v>113794772.625192</v>
      </c>
      <c r="H267" s="5">
        <v>52180097.286868997</v>
      </c>
      <c r="I267" s="5">
        <v>194176037.59265101</v>
      </c>
      <c r="J267" s="5">
        <v>280739106.50377202</v>
      </c>
      <c r="K267" s="5">
        <v>67180239.424423203</v>
      </c>
      <c r="L267" s="5">
        <v>105228116.77034</v>
      </c>
      <c r="M267" s="5">
        <v>165526679.27479401</v>
      </c>
      <c r="N267" s="5">
        <v>23011544.8340717</v>
      </c>
      <c r="O267" s="5">
        <v>83051755.185466602</v>
      </c>
      <c r="P267" s="5">
        <v>57989032.3285667</v>
      </c>
      <c r="Q267" s="5">
        <v>142236297.796556</v>
      </c>
      <c r="R267" s="5">
        <v>110909003.475841</v>
      </c>
      <c r="S267" s="5">
        <v>186830969.04029101</v>
      </c>
      <c r="T267" s="5">
        <v>291480038.138942</v>
      </c>
      <c r="U267" s="5">
        <v>105539642.066443</v>
      </c>
      <c r="V267" s="5">
        <v>133163510.50917301</v>
      </c>
      <c r="W267" s="5">
        <v>81850154.0645376</v>
      </c>
      <c r="X267" s="5">
        <v>234292589.93583599</v>
      </c>
      <c r="Y267" s="5">
        <v>155007365.01717401</v>
      </c>
      <c r="Z267" s="5">
        <v>187135731.617302</v>
      </c>
      <c r="AA267" s="5">
        <v>238241995.57509801</v>
      </c>
      <c r="AB267" s="5">
        <v>103627023.130505</v>
      </c>
      <c r="AC267" s="5">
        <v>138422174.04789799</v>
      </c>
      <c r="AD267" s="5">
        <v>142085710.27858201</v>
      </c>
      <c r="AE267" s="5">
        <v>143386520.92436901</v>
      </c>
      <c r="AF267" s="5">
        <v>141741783.969203</v>
      </c>
      <c r="AG267">
        <f t="shared" si="17"/>
        <v>141409047.305013</v>
      </c>
      <c r="AH267">
        <f t="shared" si="18"/>
        <v>2113480.5603406341</v>
      </c>
      <c r="AI267">
        <f t="shared" si="19"/>
        <v>1.494586520890669E-2</v>
      </c>
    </row>
    <row r="268" spans="1:35" x14ac:dyDescent="0.45">
      <c r="A268" s="5" t="s">
        <v>224</v>
      </c>
      <c r="B268" s="2">
        <f t="shared" si="16"/>
        <v>513809785.93665314</v>
      </c>
      <c r="C268" s="2">
        <v>528913302.47666377</v>
      </c>
      <c r="D268" s="2">
        <v>0.10925486246046777</v>
      </c>
      <c r="E268" s="5">
        <v>159320082.472673</v>
      </c>
      <c r="F268" s="5">
        <v>242947513.76931399</v>
      </c>
      <c r="G268" s="5">
        <v>568909671.36974299</v>
      </c>
      <c r="H268" s="5">
        <v>334934972.239106</v>
      </c>
      <c r="I268" s="5">
        <v>1032681952.01652</v>
      </c>
      <c r="J268" s="5">
        <v>872743550.24633098</v>
      </c>
      <c r="K268" s="5">
        <v>311930517.38392001</v>
      </c>
      <c r="L268" s="5">
        <v>623868454.73610401</v>
      </c>
      <c r="M268" s="5">
        <v>394468659.92775601</v>
      </c>
      <c r="N268" s="5">
        <v>260755670.35119101</v>
      </c>
      <c r="O268" s="5">
        <v>440900517.31311798</v>
      </c>
      <c r="P268" s="5">
        <v>241274370.350593</v>
      </c>
      <c r="Q268" s="5">
        <v>916337865.51050401</v>
      </c>
      <c r="R268" s="5">
        <v>204034299.63126501</v>
      </c>
      <c r="S268" s="5">
        <v>702448256.296875</v>
      </c>
      <c r="T268" s="5">
        <v>513845864.60563803</v>
      </c>
      <c r="U268" s="5">
        <v>228783387.43317899</v>
      </c>
      <c r="V268" s="5">
        <v>463435543.36579901</v>
      </c>
      <c r="W268" s="5">
        <v>227762074.39824599</v>
      </c>
      <c r="X268" s="5">
        <v>728584154.470402</v>
      </c>
      <c r="Y268" s="5">
        <v>671292175.27813804</v>
      </c>
      <c r="Z268" s="5">
        <v>641029094.20013499</v>
      </c>
      <c r="AA268" s="5">
        <v>1034716623.8073601</v>
      </c>
      <c r="AB268" s="5">
        <v>514429591.30576903</v>
      </c>
      <c r="AC268" s="5">
        <v>458351470.32714897</v>
      </c>
      <c r="AD268" s="5">
        <v>569412721.24371004</v>
      </c>
      <c r="AE268" s="5">
        <v>505560024.32640302</v>
      </c>
      <c r="AF268" s="5">
        <v>582328994.00939298</v>
      </c>
      <c r="AG268">
        <f t="shared" si="17"/>
        <v>528913302.47666377</v>
      </c>
      <c r="AH268">
        <f t="shared" si="18"/>
        <v>57786350.115599684</v>
      </c>
      <c r="AI268">
        <f t="shared" si="19"/>
        <v>0.10925486246046777</v>
      </c>
    </row>
    <row r="269" spans="1:35" x14ac:dyDescent="0.45">
      <c r="A269" s="5" t="s">
        <v>225</v>
      </c>
      <c r="B269" s="2">
        <f t="shared" si="16"/>
        <v>2044623.6798748958</v>
      </c>
      <c r="C269" s="2">
        <v>2014984.901441355</v>
      </c>
      <c r="D269" s="2">
        <v>2.6254517034382578E-2</v>
      </c>
      <c r="E269" s="5">
        <v>1127403.2162657401</v>
      </c>
      <c r="F269" s="5">
        <v>1241170.7390121401</v>
      </c>
      <c r="G269" s="5">
        <v>2060153.13508347</v>
      </c>
      <c r="H269" s="5">
        <v>2493209.0725824502</v>
      </c>
      <c r="I269" s="5">
        <v>1632776.2924407199</v>
      </c>
      <c r="J269" s="5">
        <v>4267986.1685662204</v>
      </c>
      <c r="K269" s="5">
        <v>932782.90347572905</v>
      </c>
      <c r="L269" s="5">
        <v>1493383.9022083301</v>
      </c>
      <c r="M269" s="5">
        <v>2951129.3361893301</v>
      </c>
      <c r="N269" s="5">
        <v>858479.08851714199</v>
      </c>
      <c r="O269" s="5">
        <v>2142843.7463185801</v>
      </c>
      <c r="P269" s="5">
        <v>3692497.6010754802</v>
      </c>
      <c r="Q269" s="5">
        <v>1697458.9535735999</v>
      </c>
      <c r="R269" s="5">
        <v>3730103.54054482</v>
      </c>
      <c r="S269" s="5">
        <v>1415694.3092122199</v>
      </c>
      <c r="T269" s="5">
        <v>3455430.4875210901</v>
      </c>
      <c r="U269" s="5">
        <v>2190918.13241727</v>
      </c>
      <c r="V269" s="5">
        <v>1562641.2126859201</v>
      </c>
      <c r="W269" s="5">
        <v>1339135.50600707</v>
      </c>
      <c r="X269" s="5">
        <v>2183473.95389095</v>
      </c>
      <c r="Y269" s="5">
        <v>1318448.4693064201</v>
      </c>
      <c r="Z269" s="5">
        <v>2736983.9970310298</v>
      </c>
      <c r="AA269" s="5">
        <v>1233601.6404186699</v>
      </c>
      <c r="AB269" s="5">
        <v>1313262.91265311</v>
      </c>
      <c r="AC269" s="5">
        <v>1964393.6926812199</v>
      </c>
      <c r="AD269" s="5">
        <v>2081383.8541422901</v>
      </c>
      <c r="AE269" s="5">
        <v>1981558.72882809</v>
      </c>
      <c r="AF269" s="5">
        <v>2032603.33011382</v>
      </c>
      <c r="AG269">
        <f t="shared" si="17"/>
        <v>2014984.901441355</v>
      </c>
      <c r="AH269">
        <f t="shared" si="18"/>
        <v>52902.455418915757</v>
      </c>
      <c r="AI269">
        <f t="shared" si="19"/>
        <v>2.6254517034382578E-2</v>
      </c>
    </row>
    <row r="270" spans="1:35" x14ac:dyDescent="0.45">
      <c r="A270" s="5" t="s">
        <v>226</v>
      </c>
      <c r="B270" s="2">
        <f t="shared" si="16"/>
        <v>252732251.50743851</v>
      </c>
      <c r="C270" s="2">
        <v>253973499.92152601</v>
      </c>
      <c r="D270" s="2">
        <v>2.1858642736672734E-2</v>
      </c>
      <c r="E270" s="5">
        <v>126294603.42513201</v>
      </c>
      <c r="F270" s="5">
        <v>245725762.61750901</v>
      </c>
      <c r="G270" s="5">
        <v>183440406.40384799</v>
      </c>
      <c r="H270" s="5">
        <v>117189945.439807</v>
      </c>
      <c r="I270" s="5">
        <v>335357636.31840801</v>
      </c>
      <c r="J270" s="5">
        <v>596116076.29901195</v>
      </c>
      <c r="K270" s="5">
        <v>85918798.831374601</v>
      </c>
      <c r="L270" s="5">
        <v>241375299.693782</v>
      </c>
      <c r="M270" s="5">
        <v>265935253.44190499</v>
      </c>
      <c r="N270" s="5">
        <v>35956171.563624598</v>
      </c>
      <c r="O270" s="5">
        <v>207086517.37147599</v>
      </c>
      <c r="P270" s="5">
        <v>78923334.299797595</v>
      </c>
      <c r="Q270" s="5">
        <v>237010102.83533099</v>
      </c>
      <c r="R270" s="5">
        <v>257814486.346286</v>
      </c>
      <c r="S270" s="5">
        <v>146999744.41313499</v>
      </c>
      <c r="T270" s="5">
        <v>729905384.00601006</v>
      </c>
      <c r="U270" s="5">
        <v>228843072.651218</v>
      </c>
      <c r="V270" s="5">
        <v>141963185.169608</v>
      </c>
      <c r="W270" s="5">
        <v>163225630.24371299</v>
      </c>
      <c r="X270" s="5">
        <v>435246334.80072099</v>
      </c>
      <c r="Y270" s="5">
        <v>356026658.80235898</v>
      </c>
      <c r="Z270" s="5">
        <v>389045724.38249701</v>
      </c>
      <c r="AA270" s="5">
        <v>247283140.89245301</v>
      </c>
      <c r="AB270" s="5">
        <v>212890765.92951801</v>
      </c>
      <c r="AC270" s="5">
        <v>256879695.49056801</v>
      </c>
      <c r="AD270" s="5">
        <v>249429611.703336</v>
      </c>
      <c r="AE270" s="5">
        <v>249223500.84322599</v>
      </c>
      <c r="AF270" s="5">
        <v>260361191.648974</v>
      </c>
      <c r="AG270">
        <f t="shared" si="17"/>
        <v>253973499.92152601</v>
      </c>
      <c r="AH270">
        <f t="shared" si="18"/>
        <v>5551515.9993670182</v>
      </c>
      <c r="AI270">
        <f t="shared" si="19"/>
        <v>2.1858642736672734E-2</v>
      </c>
    </row>
    <row r="271" spans="1:35" x14ac:dyDescent="0.45">
      <c r="A271" s="5" t="s">
        <v>227</v>
      </c>
      <c r="B271" s="2">
        <f t="shared" si="16"/>
        <v>3116782.3670442333</v>
      </c>
      <c r="C271" s="2">
        <v>3883889.1006749603</v>
      </c>
      <c r="D271" s="2">
        <v>2.0931641998996959E-2</v>
      </c>
      <c r="E271" s="5">
        <v>1357433.8232625199</v>
      </c>
      <c r="F271" s="5">
        <v>1232126.49662189</v>
      </c>
      <c r="G271" s="5">
        <v>3462502.07983024</v>
      </c>
      <c r="H271" s="5">
        <v>570686.31666926795</v>
      </c>
      <c r="I271" s="5">
        <v>7845321.0415782304</v>
      </c>
      <c r="J271" s="5">
        <v>6053880.3572658803</v>
      </c>
      <c r="K271" s="5">
        <v>1300004.6600333899</v>
      </c>
      <c r="L271" s="5">
        <v>2813151.26633156</v>
      </c>
      <c r="M271" s="5">
        <v>8690756.2433930691</v>
      </c>
      <c r="N271" s="5">
        <v>858685.28870383196</v>
      </c>
      <c r="O271" s="5">
        <v>615762.55900927703</v>
      </c>
      <c r="P271" s="5">
        <v>989875.66764656105</v>
      </c>
      <c r="Q271" s="5">
        <v>9322962.5500087496</v>
      </c>
      <c r="R271" s="5">
        <v>791786.18700969603</v>
      </c>
      <c r="S271" s="5">
        <v>2462442.3002906302</v>
      </c>
      <c r="T271" s="5">
        <v>466755.88507900498</v>
      </c>
      <c r="U271" s="5">
        <v>2557974.4957549898</v>
      </c>
      <c r="V271" s="5">
        <v>3118934.8132502902</v>
      </c>
      <c r="W271" s="5">
        <v>854939.72189642105</v>
      </c>
      <c r="X271" s="5">
        <v>2935075.2102713902</v>
      </c>
      <c r="Y271" s="5">
        <v>4583791.6414869204</v>
      </c>
      <c r="Z271" s="5">
        <v>4570195.4869344803</v>
      </c>
      <c r="AA271" s="5">
        <v>4688685.2154573901</v>
      </c>
      <c r="AB271" s="5">
        <v>2659047.5012759301</v>
      </c>
      <c r="AC271" s="5">
        <v>3967094.3825602401</v>
      </c>
      <c r="AD271" s="5">
        <v>3773016.1849481901</v>
      </c>
      <c r="AE271" s="5">
        <v>3908412.47902263</v>
      </c>
      <c r="AF271" s="5">
        <v>3887033.35616878</v>
      </c>
      <c r="AG271">
        <f t="shared" si="17"/>
        <v>3883889.1006749603</v>
      </c>
      <c r="AH271">
        <f t="shared" si="18"/>
        <v>81296.176219134533</v>
      </c>
      <c r="AI271">
        <f t="shared" si="19"/>
        <v>2.0931641998996959E-2</v>
      </c>
    </row>
    <row r="272" spans="1:35" x14ac:dyDescent="0.45">
      <c r="A272" s="5" t="s">
        <v>228</v>
      </c>
      <c r="B272" s="2">
        <f t="shared" si="16"/>
        <v>67649271.379976854</v>
      </c>
      <c r="C272" s="2">
        <v>54546530.543264598</v>
      </c>
      <c r="D272" s="2">
        <v>1.5951938763776759E-2</v>
      </c>
      <c r="E272" s="5">
        <v>74985578.258953795</v>
      </c>
      <c r="F272" s="5">
        <v>84422363.781815797</v>
      </c>
      <c r="G272" s="5">
        <v>69516300.590918496</v>
      </c>
      <c r="H272" s="5">
        <v>73084323.127028003</v>
      </c>
      <c r="I272" s="5">
        <v>71566733.729886293</v>
      </c>
      <c r="J272" s="5">
        <v>37115962.333115101</v>
      </c>
      <c r="K272" s="5">
        <v>93373902.501222506</v>
      </c>
      <c r="L272" s="5">
        <v>79782620.040537402</v>
      </c>
      <c r="M272" s="5">
        <v>43466038.046881698</v>
      </c>
      <c r="N272" s="5">
        <v>79150190.345845401</v>
      </c>
      <c r="O272" s="5">
        <v>47484034.719413698</v>
      </c>
      <c r="P272" s="5">
        <v>70711176.918281093</v>
      </c>
      <c r="Q272" s="5">
        <v>47811780.136480801</v>
      </c>
      <c r="R272" s="5">
        <v>77977491.832641497</v>
      </c>
      <c r="S272" s="5">
        <v>86756860.953673199</v>
      </c>
      <c r="T272" s="5">
        <v>18721611.133853201</v>
      </c>
      <c r="U272" s="5">
        <v>63887585.872532003</v>
      </c>
      <c r="V272" s="5">
        <v>60892942.477800198</v>
      </c>
      <c r="W272" s="5">
        <v>68822757.426072299</v>
      </c>
      <c r="X272" s="5">
        <v>86359100.181299999</v>
      </c>
      <c r="Y272" s="5">
        <v>74543601.067231596</v>
      </c>
      <c r="Z272" s="5">
        <v>49012932.039834999</v>
      </c>
      <c r="AA272" s="5">
        <v>75714094.659940496</v>
      </c>
      <c r="AB272" s="5">
        <v>88422530.944185004</v>
      </c>
      <c r="AC272" s="5">
        <v>53305446.607867397</v>
      </c>
      <c r="AD272" s="5">
        <v>54604846.610565104</v>
      </c>
      <c r="AE272" s="5">
        <v>55019209.699964598</v>
      </c>
      <c r="AF272" s="5">
        <v>55256619.254661299</v>
      </c>
      <c r="AG272">
        <f t="shared" si="17"/>
        <v>54546530.543264598</v>
      </c>
      <c r="AH272">
        <f t="shared" si="18"/>
        <v>870122.91500263545</v>
      </c>
      <c r="AI272">
        <f t="shared" si="19"/>
        <v>1.5951938763776759E-2</v>
      </c>
    </row>
    <row r="273" spans="1:35" x14ac:dyDescent="0.45">
      <c r="A273" s="5" t="s">
        <v>229</v>
      </c>
      <c r="B273" s="2">
        <f t="shared" si="16"/>
        <v>35074442.561456896</v>
      </c>
      <c r="C273" s="2">
        <v>31263463.487429723</v>
      </c>
      <c r="D273" s="2">
        <v>4.6629677376325049E-2</v>
      </c>
      <c r="E273" s="5">
        <v>37191650.979121499</v>
      </c>
      <c r="F273" s="5">
        <v>37498854.064549103</v>
      </c>
      <c r="G273" s="5">
        <v>32131121.973296501</v>
      </c>
      <c r="H273" s="5">
        <v>27824718.912554901</v>
      </c>
      <c r="I273" s="5">
        <v>40986084.210999399</v>
      </c>
      <c r="J273" s="5">
        <v>29523238.893192001</v>
      </c>
      <c r="K273" s="5">
        <v>39307646.612306803</v>
      </c>
      <c r="L273" s="5">
        <v>40564648.813926101</v>
      </c>
      <c r="M273" s="5">
        <v>29126043.330316599</v>
      </c>
      <c r="N273" s="5">
        <v>46141161.142001599</v>
      </c>
      <c r="O273" s="5">
        <v>22933964.6477523</v>
      </c>
      <c r="P273" s="5">
        <v>36856503.371976897</v>
      </c>
      <c r="Q273" s="5">
        <v>38426484.309202597</v>
      </c>
      <c r="R273" s="5">
        <v>52501705.899308302</v>
      </c>
      <c r="S273" s="5">
        <v>34181524.717279002</v>
      </c>
      <c r="T273" s="5">
        <v>31244524.207042299</v>
      </c>
      <c r="U273" s="5">
        <v>34470845.789531797</v>
      </c>
      <c r="V273" s="5">
        <v>37131226.910354502</v>
      </c>
      <c r="W273" s="5">
        <v>33725164.500692599</v>
      </c>
      <c r="X273" s="5">
        <v>24575135.579525001</v>
      </c>
      <c r="Y273" s="5">
        <v>23199256.952461001</v>
      </c>
      <c r="Z273" s="5">
        <v>33325299.358673502</v>
      </c>
      <c r="AA273" s="5">
        <v>32418286.368685801</v>
      </c>
      <c r="AB273" s="5">
        <v>46501529.930215403</v>
      </c>
      <c r="AC273" s="5">
        <v>29395010.446629498</v>
      </c>
      <c r="AD273" s="5">
        <v>31167364.222055901</v>
      </c>
      <c r="AE273" s="5">
        <v>31558170.215727799</v>
      </c>
      <c r="AF273" s="5">
        <v>32933309.065305699</v>
      </c>
      <c r="AG273">
        <f t="shared" si="17"/>
        <v>31263463.487429723</v>
      </c>
      <c r="AH273">
        <f t="shared" si="18"/>
        <v>1457805.216085366</v>
      </c>
      <c r="AI273">
        <f t="shared" si="19"/>
        <v>4.6629677376325049E-2</v>
      </c>
    </row>
    <row r="274" spans="1:35" x14ac:dyDescent="0.45">
      <c r="A274" s="5" t="s">
        <v>328</v>
      </c>
      <c r="B274" s="2">
        <f t="shared" si="16"/>
        <v>4322950713.8261366</v>
      </c>
      <c r="C274" s="2">
        <v>3420644126.6689777</v>
      </c>
      <c r="D274" s="2">
        <v>3.4137770768173585E-2</v>
      </c>
      <c r="E274" s="5">
        <v>5626790877.1588697</v>
      </c>
      <c r="F274" s="5">
        <v>3732803488.6703601</v>
      </c>
      <c r="G274" s="5">
        <v>4734727133.3495703</v>
      </c>
      <c r="H274" s="5">
        <v>4770804573.48703</v>
      </c>
      <c r="I274" s="5">
        <v>2118125123.83968</v>
      </c>
      <c r="J274" s="5">
        <v>1955180090.45995</v>
      </c>
      <c r="K274" s="5">
        <v>4073788293.76266</v>
      </c>
      <c r="L274" s="5">
        <v>3696216927.0598302</v>
      </c>
      <c r="M274" s="5">
        <v>3465736502.5732498</v>
      </c>
      <c r="N274" s="5">
        <v>3682941240.9921699</v>
      </c>
      <c r="O274" s="5">
        <v>9893741741.8131905</v>
      </c>
      <c r="P274" s="5">
        <v>5787662908.9078398</v>
      </c>
      <c r="Q274" s="5">
        <v>4915126015.5449495</v>
      </c>
      <c r="R274" s="5">
        <v>3084082423.3383598</v>
      </c>
      <c r="S274" s="5">
        <v>4878845598.5482998</v>
      </c>
      <c r="T274" s="5">
        <v>6786110909.7029896</v>
      </c>
      <c r="U274" s="5">
        <v>3567273532.1220298</v>
      </c>
      <c r="V274" s="5">
        <v>3566127748.5764399</v>
      </c>
      <c r="W274" s="5">
        <v>6070935168.7337198</v>
      </c>
      <c r="X274" s="5">
        <v>4207518297.34479</v>
      </c>
      <c r="Y274" s="5">
        <v>3138954794.63727</v>
      </c>
      <c r="Z274" s="5">
        <v>2967315066.3971901</v>
      </c>
      <c r="AA274" s="5">
        <v>3507785650.0208201</v>
      </c>
      <c r="AB274" s="5">
        <v>3522223024.7860198</v>
      </c>
      <c r="AC274" s="5">
        <v>3536499343.6868401</v>
      </c>
      <c r="AD274" s="5">
        <v>3260772933.6040001</v>
      </c>
      <c r="AE274" s="5">
        <v>3420766234.6617699</v>
      </c>
      <c r="AF274" s="5">
        <v>3464537994.7233</v>
      </c>
      <c r="AG274">
        <f t="shared" si="17"/>
        <v>3420644126.6689777</v>
      </c>
      <c r="AH274">
        <f t="shared" si="18"/>
        <v>116773165.07572488</v>
      </c>
      <c r="AI274">
        <f t="shared" si="19"/>
        <v>3.4137770768173585E-2</v>
      </c>
    </row>
    <row r="275" spans="1:35" x14ac:dyDescent="0.45">
      <c r="A275" s="5" t="s">
        <v>329</v>
      </c>
      <c r="B275" s="2">
        <f t="shared" si="16"/>
        <v>88641728.187480494</v>
      </c>
      <c r="C275" s="2">
        <v>74898972.132954553</v>
      </c>
      <c r="D275" s="2">
        <v>5.0205859022052601E-2</v>
      </c>
      <c r="E275" s="5">
        <v>127550640.30282199</v>
      </c>
      <c r="F275" s="5">
        <v>12932146.8223243</v>
      </c>
      <c r="G275" s="5">
        <v>1770660.7534262899</v>
      </c>
      <c r="H275" s="5">
        <v>43814247.145040102</v>
      </c>
      <c r="I275" s="5">
        <v>8037272.8160295803</v>
      </c>
      <c r="J275" s="5">
        <v>27469820.515684299</v>
      </c>
      <c r="K275" s="5">
        <v>165689234.24360999</v>
      </c>
      <c r="L275" s="5">
        <v>256014507.622628</v>
      </c>
      <c r="M275" s="5">
        <v>64251936.638356604</v>
      </c>
      <c r="N275" s="5">
        <v>46690787.952367797</v>
      </c>
      <c r="O275" s="5">
        <v>51876874.593170397</v>
      </c>
      <c r="P275" s="5">
        <v>8575449.9055770505</v>
      </c>
      <c r="Q275" s="5">
        <v>110067555.36920901</v>
      </c>
      <c r="R275" s="5">
        <v>42639551.545666203</v>
      </c>
      <c r="S275" s="5">
        <v>307162122.81997699</v>
      </c>
      <c r="T275" s="5">
        <v>103040683.222853</v>
      </c>
      <c r="U275" s="5">
        <v>7407022.22322571</v>
      </c>
      <c r="V275" s="5">
        <v>11219267.158243701</v>
      </c>
      <c r="W275" s="5">
        <v>3326218.4742039</v>
      </c>
      <c r="X275" s="5">
        <v>7007096.9763685102</v>
      </c>
      <c r="Y275" s="5">
        <v>57588196.643383101</v>
      </c>
      <c r="Z275" s="5">
        <v>10773976.470079901</v>
      </c>
      <c r="AA275" s="5">
        <v>448383960.24138498</v>
      </c>
      <c r="AB275" s="5">
        <v>204112246.043901</v>
      </c>
      <c r="AC275" s="5">
        <v>71445731.670082107</v>
      </c>
      <c r="AD275" s="5">
        <v>71864861.705779701</v>
      </c>
      <c r="AE275" s="5">
        <v>78494449.141583294</v>
      </c>
      <c r="AF275" s="5">
        <v>77790846.014373094</v>
      </c>
      <c r="AG275">
        <f t="shared" si="17"/>
        <v>74898972.132954553</v>
      </c>
      <c r="AH275">
        <f t="shared" si="18"/>
        <v>3760367.2358037625</v>
      </c>
      <c r="AI275">
        <f t="shared" si="19"/>
        <v>5.0205859022052601E-2</v>
      </c>
    </row>
    <row r="276" spans="1:35" x14ac:dyDescent="0.45">
      <c r="A276" s="5" t="s">
        <v>230</v>
      </c>
      <c r="B276" s="2">
        <f t="shared" si="16"/>
        <v>90584655.587206736</v>
      </c>
      <c r="C276" s="2">
        <v>71446513.227005631</v>
      </c>
      <c r="D276" s="2">
        <v>3.9802089138537312E-2</v>
      </c>
      <c r="E276" s="5">
        <v>92126627.3495197</v>
      </c>
      <c r="F276" s="5">
        <v>35836466.698160201</v>
      </c>
      <c r="G276" s="5">
        <v>49969445.124034397</v>
      </c>
      <c r="H276" s="5">
        <v>43581840.664274</v>
      </c>
      <c r="I276" s="5">
        <v>103013797.05442201</v>
      </c>
      <c r="J276" s="5">
        <v>78454035.224531204</v>
      </c>
      <c r="K276" s="5">
        <v>86754926.854011402</v>
      </c>
      <c r="L276" s="5">
        <v>83285936.956133395</v>
      </c>
      <c r="M276" s="5">
        <v>66380507.292870998</v>
      </c>
      <c r="N276" s="5">
        <v>53251924.450575501</v>
      </c>
      <c r="O276" s="5">
        <v>56746961.718232103</v>
      </c>
      <c r="P276" s="5">
        <v>76245940.048027605</v>
      </c>
      <c r="Q276" s="5">
        <v>125700685.516058</v>
      </c>
      <c r="R276" s="5">
        <v>47630056.0817343</v>
      </c>
      <c r="S276" s="5">
        <v>119458172.922628</v>
      </c>
      <c r="T276" s="5">
        <v>414430324.30640203</v>
      </c>
      <c r="U276" s="5">
        <v>47239560.046717599</v>
      </c>
      <c r="V276" s="5">
        <v>49266151.329655699</v>
      </c>
      <c r="W276" s="5">
        <v>32658169.6128118</v>
      </c>
      <c r="X276" s="5">
        <v>32656024.2551542</v>
      </c>
      <c r="Y276" s="5">
        <v>179762015.76420301</v>
      </c>
      <c r="Z276" s="5">
        <v>83026782.268267706</v>
      </c>
      <c r="AA276" s="5">
        <v>115063211.82359</v>
      </c>
      <c r="AB276" s="5">
        <v>101492170.730947</v>
      </c>
      <c r="AC276" s="5">
        <v>70272501.047698706</v>
      </c>
      <c r="AD276" s="5">
        <v>74980072.496165693</v>
      </c>
      <c r="AE276" s="5">
        <v>68315821.731106207</v>
      </c>
      <c r="AF276" s="5">
        <v>72217657.633051902</v>
      </c>
      <c r="AG276">
        <f t="shared" si="17"/>
        <v>71446513.227005631</v>
      </c>
      <c r="AH276">
        <f t="shared" si="18"/>
        <v>2843720.4880989632</v>
      </c>
      <c r="AI276">
        <f t="shared" si="19"/>
        <v>3.9802089138537312E-2</v>
      </c>
    </row>
    <row r="277" spans="1:35" x14ac:dyDescent="0.45">
      <c r="A277" s="5" t="s">
        <v>330</v>
      </c>
      <c r="B277" s="2">
        <f t="shared" si="16"/>
        <v>103816483.17877389</v>
      </c>
      <c r="C277" s="2">
        <v>61378845.285067819</v>
      </c>
      <c r="D277" s="2">
        <v>3.3659429411111157E-2</v>
      </c>
      <c r="E277" s="5">
        <v>85763009.267025501</v>
      </c>
      <c r="F277" s="5">
        <v>32341820.575497501</v>
      </c>
      <c r="G277" s="5">
        <v>45289712.093412898</v>
      </c>
      <c r="H277" s="5">
        <v>41089004.699959598</v>
      </c>
      <c r="I277" s="5">
        <v>54703135.874077603</v>
      </c>
      <c r="J277" s="5">
        <v>49102476.570806302</v>
      </c>
      <c r="K277" s="5">
        <v>62882286.010680698</v>
      </c>
      <c r="L277" s="5">
        <v>89716220.765604705</v>
      </c>
      <c r="M277" s="5">
        <v>47325183.9075903</v>
      </c>
      <c r="N277" s="5">
        <v>55324707.984478898</v>
      </c>
      <c r="O277" s="5">
        <v>84057601.918698996</v>
      </c>
      <c r="P277" s="5">
        <v>70341669.588472798</v>
      </c>
      <c r="Q277" s="5">
        <v>106257801.96816801</v>
      </c>
      <c r="R277" s="5">
        <v>44080236.471970297</v>
      </c>
      <c r="S277" s="5">
        <v>102814792.822934</v>
      </c>
      <c r="T277" s="5">
        <v>954153628.565166</v>
      </c>
      <c r="U277" s="5">
        <v>34121334.199858502</v>
      </c>
      <c r="V277" s="5">
        <v>27470095.8921858</v>
      </c>
      <c r="W277" s="5">
        <v>38308938.384355702</v>
      </c>
      <c r="X277" s="5">
        <v>16600100.361925799</v>
      </c>
      <c r="Y277" s="5">
        <v>178410628.706267</v>
      </c>
      <c r="Z277" s="5">
        <v>64860400.976127401</v>
      </c>
      <c r="AA277" s="5">
        <v>102567931.42264099</v>
      </c>
      <c r="AB277" s="5">
        <v>104012877.262668</v>
      </c>
      <c r="AC277" s="5">
        <v>60657117.841210902</v>
      </c>
      <c r="AD277" s="5">
        <v>59901424.443557397</v>
      </c>
      <c r="AE277" s="5">
        <v>64438392.940822303</v>
      </c>
      <c r="AF277" s="5">
        <v>60518445.914680697</v>
      </c>
      <c r="AG277">
        <f t="shared" si="17"/>
        <v>61378845.285067819</v>
      </c>
      <c r="AH277">
        <f t="shared" si="18"/>
        <v>2065976.910208253</v>
      </c>
      <c r="AI277">
        <f t="shared" si="19"/>
        <v>3.3659429411111157E-2</v>
      </c>
    </row>
    <row r="278" spans="1:35" x14ac:dyDescent="0.45">
      <c r="A278" s="5" t="s">
        <v>231</v>
      </c>
      <c r="B278" s="2">
        <f t="shared" si="16"/>
        <v>115454572.84917857</v>
      </c>
      <c r="C278" s="2">
        <v>97780045.327773422</v>
      </c>
      <c r="D278" s="2">
        <v>5.0655913525412877E-2</v>
      </c>
      <c r="E278" s="5">
        <v>138944484.17657501</v>
      </c>
      <c r="F278" s="5">
        <v>157923115.09570801</v>
      </c>
      <c r="G278" s="5">
        <v>131146657.918198</v>
      </c>
      <c r="H278" s="5">
        <v>55699434.852724597</v>
      </c>
      <c r="I278" s="5">
        <v>97426598.337981895</v>
      </c>
      <c r="J278" s="5">
        <v>87735591.624734893</v>
      </c>
      <c r="K278" s="5">
        <v>141198677.01020101</v>
      </c>
      <c r="L278" s="5">
        <v>129630572.803624</v>
      </c>
      <c r="M278" s="5">
        <v>92211528.596090004</v>
      </c>
      <c r="N278" s="5">
        <v>111788060.897927</v>
      </c>
      <c r="O278" s="5">
        <v>121535527.478136</v>
      </c>
      <c r="P278" s="5">
        <v>89755736.819871902</v>
      </c>
      <c r="Q278" s="5">
        <v>77231407.368065402</v>
      </c>
      <c r="R278" s="5">
        <v>106113917.05971301</v>
      </c>
      <c r="S278" s="5">
        <v>126249495.125847</v>
      </c>
      <c r="T278" s="5">
        <v>139980594.76931399</v>
      </c>
      <c r="U278" s="5">
        <v>86789958.509829506</v>
      </c>
      <c r="V278" s="5">
        <v>128430809.331174</v>
      </c>
      <c r="W278" s="5">
        <v>124979408.03166901</v>
      </c>
      <c r="X278" s="5">
        <v>146909300.17866701</v>
      </c>
      <c r="Y278" s="5">
        <v>98160665.050582096</v>
      </c>
      <c r="Z278" s="5">
        <v>124078353.90680499</v>
      </c>
      <c r="AA278" s="5">
        <v>125067227.843053</v>
      </c>
      <c r="AB278" s="5">
        <v>131922625.593795</v>
      </c>
      <c r="AC278" s="5">
        <v>90635688.730822295</v>
      </c>
      <c r="AD278" s="5">
        <v>99663848.855903998</v>
      </c>
      <c r="AE278" s="5">
        <v>98801990.788831398</v>
      </c>
      <c r="AF278" s="5">
        <v>102018652.935536</v>
      </c>
      <c r="AG278">
        <f t="shared" si="17"/>
        <v>97780045.327773422</v>
      </c>
      <c r="AH278">
        <f t="shared" si="18"/>
        <v>4953137.5206346419</v>
      </c>
      <c r="AI278">
        <f t="shared" si="19"/>
        <v>5.0655913525412877E-2</v>
      </c>
    </row>
    <row r="279" spans="1:35" x14ac:dyDescent="0.45">
      <c r="A279" s="5" t="s">
        <v>331</v>
      </c>
      <c r="B279" s="2">
        <f t="shared" si="16"/>
        <v>64600206.527843088</v>
      </c>
      <c r="C279" s="2">
        <v>85147389.902739733</v>
      </c>
      <c r="D279" s="2">
        <v>4.2801337276170554E-2</v>
      </c>
      <c r="E279" s="5">
        <v>114765819.960068</v>
      </c>
      <c r="F279" s="5">
        <v>50701190.500252202</v>
      </c>
      <c r="G279" s="5">
        <v>83010599.744507</v>
      </c>
      <c r="H279" s="5">
        <v>13488968.6142866</v>
      </c>
      <c r="I279" s="5">
        <v>23827834.981843598</v>
      </c>
      <c r="J279" s="5">
        <v>118370447.28621501</v>
      </c>
      <c r="K279" s="5">
        <v>16023850.167863401</v>
      </c>
      <c r="L279" s="5">
        <v>58911994.900165401</v>
      </c>
      <c r="M279" s="5">
        <v>39175360.652772203</v>
      </c>
      <c r="N279" s="5">
        <v>68873889.7006782</v>
      </c>
      <c r="O279" s="5">
        <v>95152314.133097902</v>
      </c>
      <c r="P279" s="5">
        <v>26613494.477551501</v>
      </c>
      <c r="Q279" s="5">
        <v>73755241.551486403</v>
      </c>
      <c r="R279" s="5">
        <v>41176649.427223697</v>
      </c>
      <c r="S279" s="5">
        <v>101486706.908779</v>
      </c>
      <c r="T279" s="5">
        <v>48111543.309541799</v>
      </c>
      <c r="U279" s="5">
        <v>69874445.042078495</v>
      </c>
      <c r="V279" s="5">
        <v>59336455.562361702</v>
      </c>
      <c r="W279" s="5">
        <v>40141611.264734797</v>
      </c>
      <c r="X279" s="5">
        <v>18859213.095603801</v>
      </c>
      <c r="Y279" s="5">
        <v>127898721.901831</v>
      </c>
      <c r="Z279" s="5">
        <v>36882635.512151599</v>
      </c>
      <c r="AA279" s="5">
        <v>113080462.260012</v>
      </c>
      <c r="AB279" s="5">
        <v>110885505.713129</v>
      </c>
      <c r="AC279" s="5">
        <v>85038552.7387252</v>
      </c>
      <c r="AD279" s="5">
        <v>80399065.886721507</v>
      </c>
      <c r="AE279" s="5">
        <v>85919014.753594294</v>
      </c>
      <c r="AF279" s="5">
        <v>89232926.231917903</v>
      </c>
      <c r="AG279">
        <f t="shared" si="17"/>
        <v>85147389.902739733</v>
      </c>
      <c r="AH279">
        <f t="shared" si="18"/>
        <v>3644422.1534127621</v>
      </c>
      <c r="AI279">
        <f t="shared" si="19"/>
        <v>4.2801337276170554E-2</v>
      </c>
    </row>
    <row r="280" spans="1:35" x14ac:dyDescent="0.45">
      <c r="A280" s="5" t="s">
        <v>332</v>
      </c>
      <c r="B280" s="2">
        <f t="shared" si="16"/>
        <v>532541870.0370791</v>
      </c>
      <c r="C280" s="2">
        <v>514272034.39880168</v>
      </c>
      <c r="D280" s="2">
        <v>7.3283282137346709E-2</v>
      </c>
      <c r="E280" s="5">
        <v>262986733.95847201</v>
      </c>
      <c r="F280" s="5">
        <v>527794167.91130197</v>
      </c>
      <c r="G280" s="5">
        <v>72354302.142449901</v>
      </c>
      <c r="H280" s="5">
        <v>1188633800.5652201</v>
      </c>
      <c r="I280" s="5">
        <v>778857707.85294402</v>
      </c>
      <c r="J280" s="5">
        <v>966821956.75388801</v>
      </c>
      <c r="K280" s="5">
        <v>436343515.994066</v>
      </c>
      <c r="L280" s="5">
        <v>508550863.45848501</v>
      </c>
      <c r="M280" s="5">
        <v>489051676.21349502</v>
      </c>
      <c r="N280" s="5">
        <v>396811741.52665699</v>
      </c>
      <c r="O280" s="5">
        <v>824832188.48879099</v>
      </c>
      <c r="P280" s="5">
        <v>688552980.77983701</v>
      </c>
      <c r="Q280" s="5">
        <v>766226258.52143502</v>
      </c>
      <c r="R280" s="5">
        <v>515958002.59425199</v>
      </c>
      <c r="S280" s="5">
        <v>381093651.29325598</v>
      </c>
      <c r="T280" s="5">
        <v>359702479.98730201</v>
      </c>
      <c r="U280" s="5">
        <v>358306360.56030399</v>
      </c>
      <c r="V280" s="5">
        <v>634809805.19306195</v>
      </c>
      <c r="W280" s="5">
        <v>85892976.720908105</v>
      </c>
      <c r="X280" s="5">
        <v>1014685343.76934</v>
      </c>
      <c r="Y280" s="5">
        <v>109163861.8159</v>
      </c>
      <c r="Z280" s="5">
        <v>645956172.73256099</v>
      </c>
      <c r="AA280" s="5">
        <v>665450373.84787095</v>
      </c>
      <c r="AB280" s="5">
        <v>102167958.208097</v>
      </c>
      <c r="AC280" s="5">
        <v>485084080.26686198</v>
      </c>
      <c r="AD280" s="5">
        <v>493502292.27017599</v>
      </c>
      <c r="AE280" s="5">
        <v>509841291.93701601</v>
      </c>
      <c r="AF280" s="5">
        <v>568660473.121153</v>
      </c>
      <c r="AG280">
        <f t="shared" si="17"/>
        <v>514272034.39880168</v>
      </c>
      <c r="AH280">
        <f t="shared" si="18"/>
        <v>37687542.592194654</v>
      </c>
      <c r="AI280">
        <f t="shared" si="19"/>
        <v>7.3283282137346709E-2</v>
      </c>
    </row>
    <row r="281" spans="1:35" x14ac:dyDescent="0.45">
      <c r="A281" s="5" t="s">
        <v>232</v>
      </c>
      <c r="B281" s="2">
        <f t="shared" si="16"/>
        <v>46470158.295435466</v>
      </c>
      <c r="C281" s="2">
        <v>44402934.795814246</v>
      </c>
      <c r="D281" s="2">
        <v>4.5591359359522299E-2</v>
      </c>
      <c r="E281" s="5">
        <v>55871775.337176301</v>
      </c>
      <c r="F281" s="5">
        <v>44221279.070024997</v>
      </c>
      <c r="G281" s="5">
        <v>34103409.985875599</v>
      </c>
      <c r="H281" s="5">
        <v>38291205.737084299</v>
      </c>
      <c r="I281" s="5">
        <v>47302522.520956002</v>
      </c>
      <c r="J281" s="5">
        <v>51686658.399954699</v>
      </c>
      <c r="K281" s="5">
        <v>56490085.4974446</v>
      </c>
      <c r="L281" s="5">
        <v>41507965.075943999</v>
      </c>
      <c r="M281" s="5">
        <v>64972397.232763</v>
      </c>
      <c r="N281" s="5">
        <v>40086089.203248903</v>
      </c>
      <c r="O281" s="5">
        <v>46674732.339450099</v>
      </c>
      <c r="P281" s="5">
        <v>47309453.022054002</v>
      </c>
      <c r="Q281" s="5">
        <v>38657227.8985999</v>
      </c>
      <c r="R281" s="5">
        <v>44237992.617314696</v>
      </c>
      <c r="S281" s="5">
        <v>42136502.439347498</v>
      </c>
      <c r="T281" s="5">
        <v>70825761.040665507</v>
      </c>
      <c r="U281" s="5">
        <v>59653759.5234816</v>
      </c>
      <c r="V281" s="5">
        <v>40706493.216229603</v>
      </c>
      <c r="W281" s="5">
        <v>38730607.199464299</v>
      </c>
      <c r="X281" s="5">
        <v>52458445.955123901</v>
      </c>
      <c r="Y281" s="5">
        <v>35676684.476584502</v>
      </c>
      <c r="Z281" s="5">
        <v>30380689.424351301</v>
      </c>
      <c r="AA281" s="5">
        <v>46232428.175630301</v>
      </c>
      <c r="AB281" s="5">
        <v>47069633.701681398</v>
      </c>
      <c r="AC281" s="5">
        <v>41457112.987767197</v>
      </c>
      <c r="AD281" s="5">
        <v>44721789.699268103</v>
      </c>
      <c r="AE281" s="5">
        <v>45536898.905358396</v>
      </c>
      <c r="AF281" s="5">
        <v>45895937.590863302</v>
      </c>
      <c r="AG281">
        <f t="shared" si="17"/>
        <v>44402934.795814246</v>
      </c>
      <c r="AH281">
        <f t="shared" si="18"/>
        <v>2024390.1568934042</v>
      </c>
      <c r="AI281">
        <f t="shared" si="19"/>
        <v>4.5591359359522299E-2</v>
      </c>
    </row>
    <row r="282" spans="1:35" x14ac:dyDescent="0.45">
      <c r="A282" s="5" t="s">
        <v>233</v>
      </c>
      <c r="B282" s="2">
        <f t="shared" si="16"/>
        <v>51366509.692949213</v>
      </c>
      <c r="C282" s="2">
        <v>52985927.016645707</v>
      </c>
      <c r="D282" s="2">
        <v>8.9388325438358535E-2</v>
      </c>
      <c r="E282" s="5">
        <v>41459820.949892901</v>
      </c>
      <c r="F282" s="5">
        <v>42672327.283749998</v>
      </c>
      <c r="G282" s="5">
        <v>71260849.369137496</v>
      </c>
      <c r="H282" s="5">
        <v>81883686.973279104</v>
      </c>
      <c r="I282" s="5">
        <v>67678953.460139707</v>
      </c>
      <c r="J282" s="5">
        <v>66415231.501684301</v>
      </c>
      <c r="K282" s="5">
        <v>48299184.203174502</v>
      </c>
      <c r="L282" s="5">
        <v>29067707.095440801</v>
      </c>
      <c r="M282" s="5">
        <v>36080680.876679301</v>
      </c>
      <c r="N282" s="5">
        <v>12580185.212006999</v>
      </c>
      <c r="O282" s="5">
        <v>43832977.688502699</v>
      </c>
      <c r="P282" s="5">
        <v>78732641.342476696</v>
      </c>
      <c r="Q282" s="5">
        <v>51558862.843108602</v>
      </c>
      <c r="R282" s="5">
        <v>6707042.3210767005</v>
      </c>
      <c r="S282" s="5">
        <v>14725934.0245427</v>
      </c>
      <c r="T282" s="5">
        <v>120006070.690393</v>
      </c>
      <c r="U282" s="5">
        <v>38446963.355506703</v>
      </c>
      <c r="V282" s="5">
        <v>34458981.024747998</v>
      </c>
      <c r="W282" s="5">
        <v>71056947.486014798</v>
      </c>
      <c r="X282" s="5">
        <v>63584444.327519298</v>
      </c>
      <c r="Y282" s="5">
        <v>75249662.291189998</v>
      </c>
      <c r="Z282" s="5">
        <v>14863734.2335661</v>
      </c>
      <c r="AA282" s="5">
        <v>37732128.079726703</v>
      </c>
      <c r="AB282" s="5">
        <v>84441215.997224003</v>
      </c>
      <c r="AC282" s="5">
        <v>46158908.121953599</v>
      </c>
      <c r="AD282" s="5">
        <v>53470656.543783903</v>
      </c>
      <c r="AE282" s="5">
        <v>55743062.071127698</v>
      </c>
      <c r="AF282" s="5">
        <v>56571081.329717599</v>
      </c>
      <c r="AG282">
        <f t="shared" si="17"/>
        <v>52985927.016645707</v>
      </c>
      <c r="AH282">
        <f t="shared" si="18"/>
        <v>4736323.2878170405</v>
      </c>
      <c r="AI282">
        <f t="shared" si="19"/>
        <v>8.9388325438358535E-2</v>
      </c>
    </row>
    <row r="283" spans="1:35" x14ac:dyDescent="0.45">
      <c r="A283" s="5" t="s">
        <v>234</v>
      </c>
      <c r="B283" s="2">
        <f t="shared" si="16"/>
        <v>32141032.457995985</v>
      </c>
      <c r="C283" s="2">
        <v>33262493.049905851</v>
      </c>
      <c r="D283" s="2">
        <v>8.0441745852614668E-2</v>
      </c>
      <c r="E283" s="5">
        <v>12376251.9165377</v>
      </c>
      <c r="F283" s="5">
        <v>17938087.257099699</v>
      </c>
      <c r="G283" s="5">
        <v>39617079.473384403</v>
      </c>
      <c r="H283" s="5">
        <v>25033146.894981202</v>
      </c>
      <c r="I283" s="5">
        <v>64977073.047549501</v>
      </c>
      <c r="J283" s="5">
        <v>106777545.465487</v>
      </c>
      <c r="K283" s="5">
        <v>15375203.761093</v>
      </c>
      <c r="L283" s="5">
        <v>17724162.962578699</v>
      </c>
      <c r="M283" s="5">
        <v>58749427.968371697</v>
      </c>
      <c r="N283" s="5">
        <v>17030173.578673601</v>
      </c>
      <c r="O283" s="5">
        <v>24286153.160613298</v>
      </c>
      <c r="P283" s="5">
        <v>15811349.475215301</v>
      </c>
      <c r="Q283" s="5">
        <v>33093897.950805001</v>
      </c>
      <c r="R283" s="5">
        <v>28660320.165541001</v>
      </c>
      <c r="S283" s="5">
        <v>21476982.727740999</v>
      </c>
      <c r="T283" s="5">
        <v>23486464.639012702</v>
      </c>
      <c r="U283" s="5">
        <v>20487923.476082601</v>
      </c>
      <c r="V283" s="5">
        <v>38277421.9029456</v>
      </c>
      <c r="W283" s="5">
        <v>17291181.923510201</v>
      </c>
      <c r="X283" s="5">
        <v>60979378.734962001</v>
      </c>
      <c r="Y283" s="5">
        <v>27402720.459880002</v>
      </c>
      <c r="Z283" s="5">
        <v>37738204.499443099</v>
      </c>
      <c r="AA283" s="5">
        <v>28699711.608176898</v>
      </c>
      <c r="AB283" s="5">
        <v>18094915.942218401</v>
      </c>
      <c r="AC283" s="5">
        <v>29613172.803953599</v>
      </c>
      <c r="AD283" s="5">
        <v>33172452.421808202</v>
      </c>
      <c r="AE283" s="5">
        <v>34370286.407528304</v>
      </c>
      <c r="AF283" s="5">
        <v>35894060.566333301</v>
      </c>
      <c r="AG283">
        <f t="shared" si="17"/>
        <v>33262493.049905851</v>
      </c>
      <c r="AH283">
        <f t="shared" si="18"/>
        <v>2675693.0123448884</v>
      </c>
      <c r="AI283">
        <f t="shared" si="19"/>
        <v>8.0441745852614668E-2</v>
      </c>
    </row>
    <row r="284" spans="1:35" x14ac:dyDescent="0.45">
      <c r="A284" s="5" t="s">
        <v>333</v>
      </c>
      <c r="B284" s="2">
        <f t="shared" si="16"/>
        <v>170884039.56757632</v>
      </c>
      <c r="C284" s="2">
        <v>152209147.716656</v>
      </c>
      <c r="D284" s="2">
        <v>2.2910802060740459E-2</v>
      </c>
      <c r="E284" s="5">
        <v>64236090.634039201</v>
      </c>
      <c r="F284" s="5">
        <v>82760657.331459597</v>
      </c>
      <c r="G284" s="5">
        <v>205202533.14790401</v>
      </c>
      <c r="H284" s="5">
        <v>83792449.721108302</v>
      </c>
      <c r="I284" s="5">
        <v>309502915.10845101</v>
      </c>
      <c r="J284" s="5">
        <v>283373423.94229603</v>
      </c>
      <c r="K284" s="5">
        <v>106615547.953719</v>
      </c>
      <c r="L284" s="5">
        <v>229507029.541536</v>
      </c>
      <c r="M284" s="5">
        <v>167964859.203509</v>
      </c>
      <c r="N284" s="5">
        <v>88789374.711539507</v>
      </c>
      <c r="O284" s="5">
        <v>103258824.66647799</v>
      </c>
      <c r="P284" s="5">
        <v>76844897.679662794</v>
      </c>
      <c r="Q284" s="5">
        <v>343879756.99243599</v>
      </c>
      <c r="R284" s="5">
        <v>69401277.016212195</v>
      </c>
      <c r="S284" s="5">
        <v>237310309.39010301</v>
      </c>
      <c r="T284" s="5">
        <v>115698158.116209</v>
      </c>
      <c r="U284" s="5">
        <v>81533078.964259103</v>
      </c>
      <c r="V284" s="5">
        <v>144848238.28036901</v>
      </c>
      <c r="W284" s="5">
        <v>90241322.900456995</v>
      </c>
      <c r="X284" s="5">
        <v>229974746.25766799</v>
      </c>
      <c r="Y284" s="5">
        <v>235164672.86401299</v>
      </c>
      <c r="Z284" s="5">
        <v>241634532.62450501</v>
      </c>
      <c r="AA284" s="5">
        <v>341360623.74087</v>
      </c>
      <c r="AB284" s="5">
        <v>168321628.83302799</v>
      </c>
      <c r="AC284" s="5">
        <v>150662707.484494</v>
      </c>
      <c r="AD284" s="5">
        <v>150036511.25378999</v>
      </c>
      <c r="AE284" s="5">
        <v>157419417.57938299</v>
      </c>
      <c r="AF284" s="5">
        <v>150717954.54895699</v>
      </c>
      <c r="AG284">
        <f t="shared" si="17"/>
        <v>152209147.716656</v>
      </c>
      <c r="AH284">
        <f t="shared" si="18"/>
        <v>3487233.6551703112</v>
      </c>
      <c r="AI284">
        <f t="shared" si="19"/>
        <v>2.2910802060740459E-2</v>
      </c>
    </row>
    <row r="285" spans="1:35" x14ac:dyDescent="0.45">
      <c r="A285" s="5" t="s">
        <v>235</v>
      </c>
      <c r="B285" s="2">
        <f t="shared" si="16"/>
        <v>123406684.45723148</v>
      </c>
      <c r="C285" s="2">
        <v>114494884.62929475</v>
      </c>
      <c r="D285" s="2">
        <v>5.0593608680833235E-2</v>
      </c>
      <c r="E285" s="5">
        <v>49519365.728103697</v>
      </c>
      <c r="F285" s="5">
        <v>60117756.012457103</v>
      </c>
      <c r="G285" s="5">
        <v>73810449.239585802</v>
      </c>
      <c r="H285" s="5">
        <v>96279157.475673407</v>
      </c>
      <c r="I285" s="5">
        <v>235808655.20171601</v>
      </c>
      <c r="J285" s="5">
        <v>130052186.39974301</v>
      </c>
      <c r="K285" s="5">
        <v>68867449.197856694</v>
      </c>
      <c r="L285" s="5">
        <v>74843632.770306394</v>
      </c>
      <c r="M285" s="5">
        <v>122229246.168551</v>
      </c>
      <c r="N285" s="5">
        <v>28651943.945419598</v>
      </c>
      <c r="O285" s="5">
        <v>67794027.8068223</v>
      </c>
      <c r="P285" s="5">
        <v>61971418.361070201</v>
      </c>
      <c r="Q285" s="5">
        <v>212546328.79298699</v>
      </c>
      <c r="R285" s="5">
        <v>104138070.325681</v>
      </c>
      <c r="S285" s="5">
        <v>50019500.129060797</v>
      </c>
      <c r="T285" s="5">
        <v>631976887.84308195</v>
      </c>
      <c r="U285" s="5">
        <v>106340656.383711</v>
      </c>
      <c r="V285" s="5">
        <v>73092952.766901106</v>
      </c>
      <c r="W285" s="5">
        <v>42317420.122000702</v>
      </c>
      <c r="X285" s="5">
        <v>118012499.14876799</v>
      </c>
      <c r="Y285" s="5">
        <v>248296835.97197199</v>
      </c>
      <c r="Z285" s="5">
        <v>121768487.72833</v>
      </c>
      <c r="AA285" s="5">
        <v>104446015.52142601</v>
      </c>
      <c r="AB285" s="5">
        <v>78859483.9323311</v>
      </c>
      <c r="AC285" s="5">
        <v>107505552.33258</v>
      </c>
      <c r="AD285" s="5">
        <v>113117121.18150499</v>
      </c>
      <c r="AE285" s="5">
        <v>115947745.543871</v>
      </c>
      <c r="AF285" s="5">
        <v>121409119.459223</v>
      </c>
      <c r="AG285">
        <f t="shared" si="17"/>
        <v>114494884.62929475</v>
      </c>
      <c r="AH285">
        <f t="shared" si="18"/>
        <v>5792709.3888916867</v>
      </c>
      <c r="AI285">
        <f t="shared" si="19"/>
        <v>5.0593608680833235E-2</v>
      </c>
    </row>
    <row r="286" spans="1:35" x14ac:dyDescent="0.45">
      <c r="A286" s="5" t="s">
        <v>429</v>
      </c>
      <c r="B286" s="2">
        <f t="shared" si="16"/>
        <v>106760398.4043598</v>
      </c>
      <c r="C286" s="2">
        <v>89557721.955677554</v>
      </c>
      <c r="D286" s="2">
        <v>2.5636557436137675E-2</v>
      </c>
      <c r="E286" s="5">
        <v>107029321.372198</v>
      </c>
      <c r="F286" s="5">
        <v>138988145.073048</v>
      </c>
      <c r="G286" s="5">
        <v>105137475.65387399</v>
      </c>
      <c r="H286" s="5">
        <v>181288145.181393</v>
      </c>
      <c r="I286" s="5">
        <v>96543284.889127299</v>
      </c>
      <c r="J286" s="5">
        <v>30036663.074530099</v>
      </c>
      <c r="K286" s="5">
        <v>139643660.60674599</v>
      </c>
      <c r="L286" s="5">
        <v>123111732.71683</v>
      </c>
      <c r="M286" s="5">
        <v>59422362.119828001</v>
      </c>
      <c r="N286" s="5">
        <v>134051275.43213101</v>
      </c>
      <c r="O286" s="5">
        <v>73350694.249194905</v>
      </c>
      <c r="P286" s="5">
        <v>105397125.24850699</v>
      </c>
      <c r="Q286" s="5">
        <v>85801964.417861</v>
      </c>
      <c r="R286" s="5">
        <v>139148877.40921801</v>
      </c>
      <c r="S286" s="5">
        <v>138328802.66546601</v>
      </c>
      <c r="T286" s="5">
        <v>41177443.178393602</v>
      </c>
      <c r="U286" s="5">
        <v>94626393.733866096</v>
      </c>
      <c r="V286" s="5">
        <v>88647967.502468303</v>
      </c>
      <c r="W286" s="5">
        <v>132186497.67709599</v>
      </c>
      <c r="X286" s="5">
        <v>91454677.029631197</v>
      </c>
      <c r="Y286" s="5">
        <v>131151774.270676</v>
      </c>
      <c r="Z286" s="5">
        <v>84116548.934713095</v>
      </c>
      <c r="AA286" s="5">
        <v>104923152.29836801</v>
      </c>
      <c r="AB286" s="5">
        <v>136685576.96947101</v>
      </c>
      <c r="AC286" s="5">
        <v>91709231.546780303</v>
      </c>
      <c r="AD286" s="5">
        <v>86569008.760419995</v>
      </c>
      <c r="AE286" s="5">
        <v>89001047.548859596</v>
      </c>
      <c r="AF286" s="5">
        <v>90951599.966650307</v>
      </c>
      <c r="AG286">
        <f t="shared" si="17"/>
        <v>89557721.955677554</v>
      </c>
      <c r="AH286">
        <f t="shared" si="18"/>
        <v>2295951.6827663756</v>
      </c>
      <c r="AI286">
        <f t="shared" si="19"/>
        <v>2.5636557436137675E-2</v>
      </c>
    </row>
    <row r="287" spans="1:35" x14ac:dyDescent="0.45">
      <c r="A287" s="5" t="s">
        <v>236</v>
      </c>
      <c r="B287" s="2">
        <f t="shared" si="16"/>
        <v>496793533.60453367</v>
      </c>
      <c r="C287" s="2">
        <v>449362291.1558615</v>
      </c>
      <c r="D287" s="2">
        <v>3.3517853737478238E-2</v>
      </c>
      <c r="E287" s="5">
        <v>882493528.01800799</v>
      </c>
      <c r="F287" s="5">
        <v>864099500.76401496</v>
      </c>
      <c r="G287" s="5">
        <v>688401879.42787695</v>
      </c>
      <c r="H287" s="5">
        <v>832514151.21916294</v>
      </c>
      <c r="I287" s="5">
        <v>3138116.4030425702</v>
      </c>
      <c r="J287" s="5">
        <v>5498584.5542308902</v>
      </c>
      <c r="K287" s="5">
        <v>724767048.02600098</v>
      </c>
      <c r="L287" s="5">
        <v>2766649.64900557</v>
      </c>
      <c r="M287" s="5">
        <v>601620729.05569994</v>
      </c>
      <c r="N287" s="5">
        <v>911349439.47665501</v>
      </c>
      <c r="O287" s="5">
        <v>565319968.26622295</v>
      </c>
      <c r="P287" s="5">
        <v>891495938.99905503</v>
      </c>
      <c r="Q287" s="5">
        <v>538195853.34911799</v>
      </c>
      <c r="R287" s="5">
        <v>13399243.4661557</v>
      </c>
      <c r="S287" s="5">
        <v>701415314.14589906</v>
      </c>
      <c r="T287" s="5">
        <v>85477951.905898303</v>
      </c>
      <c r="U287" s="5">
        <v>694441528.913275</v>
      </c>
      <c r="V287" s="5">
        <v>720240607.32687998</v>
      </c>
      <c r="W287" s="5">
        <v>745565593.91349304</v>
      </c>
      <c r="X287" s="5">
        <v>766207586.17144096</v>
      </c>
      <c r="Y287" s="5">
        <v>3670828.2709959899</v>
      </c>
      <c r="Z287" s="5">
        <v>9088300.8871257696</v>
      </c>
      <c r="AA287" s="5">
        <v>668133487.80586398</v>
      </c>
      <c r="AB287" s="5">
        <v>3742976.4936878998</v>
      </c>
      <c r="AC287" s="5">
        <v>455348398.65321702</v>
      </c>
      <c r="AD287" s="5">
        <v>445265541.29024202</v>
      </c>
      <c r="AE287" s="5">
        <v>430723558.44260001</v>
      </c>
      <c r="AF287" s="5">
        <v>466111666.237387</v>
      </c>
      <c r="AG287">
        <f t="shared" si="17"/>
        <v>449362291.1558615</v>
      </c>
      <c r="AH287">
        <f t="shared" si="18"/>
        <v>15061659.550100276</v>
      </c>
      <c r="AI287">
        <f t="shared" si="19"/>
        <v>3.3517853737478238E-2</v>
      </c>
    </row>
    <row r="288" spans="1:35" x14ac:dyDescent="0.45">
      <c r="A288" s="5" t="s">
        <v>237</v>
      </c>
      <c r="B288" s="2">
        <f t="shared" si="16"/>
        <v>1708846359.6023903</v>
      </c>
      <c r="C288" s="2">
        <v>1554430615.0817175</v>
      </c>
      <c r="D288" s="2">
        <v>1.6384547237259035E-2</v>
      </c>
      <c r="E288" s="5">
        <v>2813937347.0113602</v>
      </c>
      <c r="F288" s="5">
        <v>2872483450.0861802</v>
      </c>
      <c r="G288" s="5">
        <v>2400693776.7701201</v>
      </c>
      <c r="H288" s="5">
        <v>2757500308.9541001</v>
      </c>
      <c r="I288" s="5">
        <v>80861943.662830204</v>
      </c>
      <c r="J288" s="5">
        <v>62504574.815824702</v>
      </c>
      <c r="K288" s="5">
        <v>2655084311.9566102</v>
      </c>
      <c r="L288" s="5">
        <v>31258555.5792147</v>
      </c>
      <c r="M288" s="5">
        <v>2105593629.45225</v>
      </c>
      <c r="N288" s="5">
        <v>2975116293.6372499</v>
      </c>
      <c r="O288" s="5">
        <v>1884066830.0053999</v>
      </c>
      <c r="P288" s="5">
        <v>2812561122.1031599</v>
      </c>
      <c r="Q288" s="5">
        <v>1878466341.7427001</v>
      </c>
      <c r="R288" s="5">
        <v>75499762.107143998</v>
      </c>
      <c r="S288" s="5">
        <v>2504847349.7967801</v>
      </c>
      <c r="T288" s="5">
        <v>608060538.10440898</v>
      </c>
      <c r="U288" s="5">
        <v>2415734346.6981301</v>
      </c>
      <c r="V288" s="5">
        <v>2427789018.2620201</v>
      </c>
      <c r="W288" s="5">
        <v>2517554192.9792299</v>
      </c>
      <c r="X288" s="5">
        <v>2628755678.1662302</v>
      </c>
      <c r="Y288" s="5">
        <v>45634244.502866499</v>
      </c>
      <c r="Z288" s="5">
        <v>95747485.1681353</v>
      </c>
      <c r="AA288" s="5">
        <v>2198875742.7743101</v>
      </c>
      <c r="AB288" s="5">
        <v>163685786.12110901</v>
      </c>
      <c r="AC288" s="5">
        <v>1554025627.7425399</v>
      </c>
      <c r="AD288" s="5">
        <v>1551396590.84287</v>
      </c>
      <c r="AE288" s="5">
        <v>1525080260.6090901</v>
      </c>
      <c r="AF288" s="5">
        <v>1587219981.13237</v>
      </c>
      <c r="AG288">
        <f t="shared" si="17"/>
        <v>1554430615.0817175</v>
      </c>
      <c r="AH288">
        <f t="shared" si="18"/>
        <v>25468641.839848015</v>
      </c>
      <c r="AI288">
        <f t="shared" si="19"/>
        <v>1.6384547237259035E-2</v>
      </c>
    </row>
    <row r="289" spans="1:35" x14ac:dyDescent="0.45">
      <c r="A289" s="5" t="s">
        <v>238</v>
      </c>
      <c r="B289" s="2">
        <f t="shared" si="16"/>
        <v>22384053.81921418</v>
      </c>
      <c r="C289" s="2">
        <v>22035142.037223574</v>
      </c>
      <c r="D289" s="2">
        <v>0.22246459985835848</v>
      </c>
      <c r="E289" s="5">
        <v>24394098.669486001</v>
      </c>
      <c r="F289" s="5">
        <v>28028704.297881901</v>
      </c>
      <c r="G289" s="5">
        <v>18702883.2324108</v>
      </c>
      <c r="H289" s="5">
        <v>19942523.308398701</v>
      </c>
      <c r="I289" s="5">
        <v>15294652.181324299</v>
      </c>
      <c r="J289" s="5">
        <v>21561795.733231701</v>
      </c>
      <c r="K289" s="5">
        <v>31736071.506900199</v>
      </c>
      <c r="L289" s="5">
        <v>27397634.1708709</v>
      </c>
      <c r="M289" s="5">
        <v>15728428.9028551</v>
      </c>
      <c r="N289" s="5">
        <v>20986967.6100327</v>
      </c>
      <c r="O289" s="5">
        <v>18423769.774117101</v>
      </c>
      <c r="P289" s="5">
        <v>24305529.2868549</v>
      </c>
      <c r="Q289" s="5">
        <v>15446317.229089599</v>
      </c>
      <c r="R289" s="5">
        <v>30233795.4979316</v>
      </c>
      <c r="S289" s="5">
        <v>23447212.7971121</v>
      </c>
      <c r="T289" s="5">
        <v>22665570.057300001</v>
      </c>
      <c r="U289" s="5">
        <v>21594155.7838796</v>
      </c>
      <c r="V289" s="5">
        <v>22867519.6132433</v>
      </c>
      <c r="W289" s="5">
        <v>17511131.1979062</v>
      </c>
      <c r="X289" s="5">
        <v>21859535.802801698</v>
      </c>
      <c r="Y289" s="5">
        <v>22150754.280693099</v>
      </c>
      <c r="Z289" s="5">
        <v>22755071.2457093</v>
      </c>
      <c r="AA289" s="5">
        <v>17931220.822026301</v>
      </c>
      <c r="AB289" s="5">
        <v>32251948.659083199</v>
      </c>
      <c r="AC289" s="5">
        <v>17962817.588506401</v>
      </c>
      <c r="AD289" s="5">
        <v>25319439.959572099</v>
      </c>
      <c r="AE289" s="5">
        <v>17716988.677607499</v>
      </c>
      <c r="AF289" s="5">
        <v>27141321.9232083</v>
      </c>
      <c r="AG289">
        <f t="shared" si="17"/>
        <v>22035142.037223574</v>
      </c>
      <c r="AH289">
        <f t="shared" si="18"/>
        <v>4902039.0561330365</v>
      </c>
      <c r="AI289">
        <f t="shared" si="19"/>
        <v>0.22246459985835848</v>
      </c>
    </row>
    <row r="290" spans="1:35" x14ac:dyDescent="0.45">
      <c r="A290" s="5" t="s">
        <v>334</v>
      </c>
      <c r="B290" s="2">
        <f t="shared" si="16"/>
        <v>29703580.392753158</v>
      </c>
      <c r="C290" s="2">
        <v>22634528.656543028</v>
      </c>
      <c r="D290" s="2">
        <v>2.3803686363210199E-2</v>
      </c>
      <c r="E290" s="5">
        <v>14795706.581687801</v>
      </c>
      <c r="F290" s="5">
        <v>14294622.5547638</v>
      </c>
      <c r="G290" s="5">
        <v>21476930.341030199</v>
      </c>
      <c r="H290" s="5">
        <v>3008341.86502225</v>
      </c>
      <c r="I290" s="5">
        <v>50369725.599248998</v>
      </c>
      <c r="J290" s="5">
        <v>24684803.269028299</v>
      </c>
      <c r="K290" s="5">
        <v>7874635.99542093</v>
      </c>
      <c r="L290" s="5">
        <v>24152587.234418701</v>
      </c>
      <c r="M290" s="5">
        <v>26024438.903144699</v>
      </c>
      <c r="N290" s="5">
        <v>5318723.65329934</v>
      </c>
      <c r="O290" s="5">
        <v>56547268.036641598</v>
      </c>
      <c r="P290" s="5">
        <v>3979697.8952101599</v>
      </c>
      <c r="Q290" s="5">
        <v>47979071.105091803</v>
      </c>
      <c r="R290" s="5">
        <v>9349103.29358791</v>
      </c>
      <c r="S290" s="5">
        <v>15454098.644566599</v>
      </c>
      <c r="T290" s="5">
        <v>197997567.15009299</v>
      </c>
      <c r="U290" s="5">
        <v>16124310.0479191</v>
      </c>
      <c r="V290" s="5">
        <v>22612793.211872201</v>
      </c>
      <c r="W290" s="5">
        <v>16870790.548684198</v>
      </c>
      <c r="X290" s="5">
        <v>16542120.0500108</v>
      </c>
      <c r="Y290" s="5">
        <v>28001092.604048699</v>
      </c>
      <c r="Z290" s="5">
        <v>32632984.2728539</v>
      </c>
      <c r="AA290" s="5">
        <v>25873363.715714902</v>
      </c>
      <c r="AB290" s="5">
        <v>30921152.852715898</v>
      </c>
      <c r="AC290" s="5">
        <v>22107940.981446899</v>
      </c>
      <c r="AD290" s="5">
        <v>22922544.681039698</v>
      </c>
      <c r="AE290" s="5">
        <v>22262814.218438901</v>
      </c>
      <c r="AF290" s="5">
        <v>23244814.7452466</v>
      </c>
      <c r="AG290">
        <f t="shared" si="17"/>
        <v>22634528.656543028</v>
      </c>
      <c r="AH290">
        <f t="shared" si="18"/>
        <v>538785.22111944377</v>
      </c>
      <c r="AI290">
        <f t="shared" si="19"/>
        <v>2.3803686363210199E-2</v>
      </c>
    </row>
    <row r="291" spans="1:35" x14ac:dyDescent="0.45">
      <c r="A291" s="5" t="s">
        <v>239</v>
      </c>
      <c r="B291" s="2">
        <f t="shared" si="16"/>
        <v>4494844.7422841107</v>
      </c>
      <c r="C291" s="2">
        <v>4344032.255834803</v>
      </c>
      <c r="D291" s="2">
        <v>2.1401733975733347E-2</v>
      </c>
      <c r="E291" s="5">
        <v>6686197.49976849</v>
      </c>
      <c r="F291" s="5">
        <v>3952820.3405053499</v>
      </c>
      <c r="G291" s="5">
        <v>4601548.4188470701</v>
      </c>
      <c r="H291" s="5">
        <v>431498.26674066699</v>
      </c>
      <c r="I291" s="5">
        <v>4955906.0755756004</v>
      </c>
      <c r="J291" s="5">
        <v>3160556.38934593</v>
      </c>
      <c r="K291" s="5">
        <v>4598921.75448405</v>
      </c>
      <c r="L291" s="5">
        <v>3303957.20538184</v>
      </c>
      <c r="M291" s="5">
        <v>9101131.6331071705</v>
      </c>
      <c r="N291" s="5">
        <v>4442617.3983094702</v>
      </c>
      <c r="O291" s="5">
        <v>2737495.6994020799</v>
      </c>
      <c r="P291" s="5">
        <v>4586264.3631640803</v>
      </c>
      <c r="Q291" s="5">
        <v>3282798.3841803302</v>
      </c>
      <c r="R291" s="5">
        <v>1516461.8805074301</v>
      </c>
      <c r="S291" s="5">
        <v>2574280.1717031202</v>
      </c>
      <c r="T291" s="5">
        <v>12273782.604802299</v>
      </c>
      <c r="U291" s="5">
        <v>7894512.4946834203</v>
      </c>
      <c r="V291" s="5">
        <v>6590913.9153582202</v>
      </c>
      <c r="W291" s="5">
        <v>3362807.4654051298</v>
      </c>
      <c r="X291" s="5">
        <v>3072710.9327014</v>
      </c>
      <c r="Y291" s="5">
        <v>3643959.1481130598</v>
      </c>
      <c r="Z291" s="5">
        <v>3397734.4729294698</v>
      </c>
      <c r="AA291" s="5">
        <v>3599341.3586304099</v>
      </c>
      <c r="AB291" s="5">
        <v>4108055.94117259</v>
      </c>
      <c r="AC291" s="5">
        <v>4437648.1141072903</v>
      </c>
      <c r="AD291" s="5">
        <v>4410159.2714962503</v>
      </c>
      <c r="AE291" s="5">
        <v>4268317.7290072804</v>
      </c>
      <c r="AF291" s="5">
        <v>4260003.90872839</v>
      </c>
      <c r="AG291">
        <f t="shared" si="17"/>
        <v>4344032.255834803</v>
      </c>
      <c r="AH291">
        <f t="shared" si="18"/>
        <v>92969.822721381279</v>
      </c>
      <c r="AI291">
        <f t="shared" si="19"/>
        <v>2.1401733975733347E-2</v>
      </c>
    </row>
    <row r="292" spans="1:35" x14ac:dyDescent="0.45">
      <c r="A292" s="5" t="s">
        <v>240</v>
      </c>
      <c r="B292" s="2">
        <f t="shared" si="16"/>
        <v>120789089.41308349</v>
      </c>
      <c r="C292" s="2">
        <v>109131637.36824624</v>
      </c>
      <c r="D292" s="2">
        <v>3.4465491820973811E-2</v>
      </c>
      <c r="E292" s="5">
        <v>149319726.70115501</v>
      </c>
      <c r="F292" s="5">
        <v>159310794.978562</v>
      </c>
      <c r="G292" s="5">
        <v>118782751.07351901</v>
      </c>
      <c r="H292" s="5">
        <v>139355421.60398799</v>
      </c>
      <c r="I292" s="5">
        <v>102737742.502297</v>
      </c>
      <c r="J292" s="5">
        <v>93698034.264289394</v>
      </c>
      <c r="K292" s="5">
        <v>128967688.080586</v>
      </c>
      <c r="L292" s="5">
        <v>118177497.51263399</v>
      </c>
      <c r="M292" s="5">
        <v>98153825.868498802</v>
      </c>
      <c r="N292" s="5">
        <v>124162492.12025701</v>
      </c>
      <c r="O292" s="5">
        <v>147298314.25456899</v>
      </c>
      <c r="P292" s="5">
        <v>88532466.568923295</v>
      </c>
      <c r="Q292" s="5">
        <v>100028759.95527799</v>
      </c>
      <c r="R292" s="5">
        <v>132995190.195179</v>
      </c>
      <c r="S292" s="5">
        <v>131888022.366394</v>
      </c>
      <c r="T292" s="5">
        <v>95929869.493262202</v>
      </c>
      <c r="U292" s="5">
        <v>131218556.860117</v>
      </c>
      <c r="V292" s="5">
        <v>98973472.7769344</v>
      </c>
      <c r="W292" s="5">
        <v>153029360.37951899</v>
      </c>
      <c r="X292" s="5">
        <v>112101183.56457201</v>
      </c>
      <c r="Y292" s="5">
        <v>104743712.118412</v>
      </c>
      <c r="Z292" s="5">
        <v>121878107.377453</v>
      </c>
      <c r="AA292" s="5">
        <v>113904851.394701</v>
      </c>
      <c r="AB292" s="5">
        <v>133750303.902904</v>
      </c>
      <c r="AC292" s="5">
        <v>104021573.700432</v>
      </c>
      <c r="AD292" s="5">
        <v>111749535.69893</v>
      </c>
      <c r="AE292" s="5">
        <v>108593063.905784</v>
      </c>
      <c r="AF292" s="5">
        <v>112162376.16783901</v>
      </c>
      <c r="AG292">
        <f t="shared" si="17"/>
        <v>109131637.36824624</v>
      </c>
      <c r="AH292">
        <f t="shared" si="18"/>
        <v>3761275.5551247708</v>
      </c>
      <c r="AI292">
        <f t="shared" si="19"/>
        <v>3.4465491820973811E-2</v>
      </c>
    </row>
    <row r="293" spans="1:35" x14ac:dyDescent="0.45">
      <c r="A293" s="5" t="s">
        <v>241</v>
      </c>
      <c r="B293" s="2">
        <f t="shared" si="16"/>
        <v>36500834.424191862</v>
      </c>
      <c r="C293" s="2">
        <v>30076354.922692623</v>
      </c>
      <c r="D293" s="2">
        <v>6.7972115984495873E-2</v>
      </c>
      <c r="E293" s="5">
        <v>29836870.671820998</v>
      </c>
      <c r="F293" s="5">
        <v>31441270.820295598</v>
      </c>
      <c r="G293" s="5">
        <v>38868268.506096102</v>
      </c>
      <c r="H293" s="5">
        <v>62371344.098036297</v>
      </c>
      <c r="I293" s="5">
        <v>28207755.1554217</v>
      </c>
      <c r="J293" s="5">
        <v>28150410.827223498</v>
      </c>
      <c r="K293" s="5">
        <v>37604662.290168896</v>
      </c>
      <c r="L293" s="5">
        <v>37072143.928752802</v>
      </c>
      <c r="M293" s="5">
        <v>25956068.258497801</v>
      </c>
      <c r="N293" s="5">
        <v>33365767.858200502</v>
      </c>
      <c r="O293" s="5">
        <v>42268195.912795603</v>
      </c>
      <c r="P293" s="5">
        <v>39753294.139951698</v>
      </c>
      <c r="Q293" s="5">
        <v>30194184.9716703</v>
      </c>
      <c r="R293" s="5">
        <v>43481630.9466772</v>
      </c>
      <c r="S293" s="5">
        <v>39598003.310029998</v>
      </c>
      <c r="T293" s="5">
        <v>55801730.586988099</v>
      </c>
      <c r="U293" s="5">
        <v>34574424.4059567</v>
      </c>
      <c r="V293" s="5">
        <v>24590260.879184701</v>
      </c>
      <c r="W293" s="5">
        <v>38321345.583522096</v>
      </c>
      <c r="X293" s="5">
        <v>33467212.010107901</v>
      </c>
      <c r="Y293" s="5">
        <v>25460013.593326401</v>
      </c>
      <c r="Z293" s="5">
        <v>40150235.986582197</v>
      </c>
      <c r="AA293" s="5">
        <v>40040400.533422798</v>
      </c>
      <c r="AB293" s="5">
        <v>35444530.905874804</v>
      </c>
      <c r="AC293" s="5">
        <v>29008545.270490699</v>
      </c>
      <c r="AD293" s="5">
        <v>27983042.094545599</v>
      </c>
      <c r="AE293" s="5">
        <v>30652023.183591101</v>
      </c>
      <c r="AF293" s="5">
        <v>32661809.142143101</v>
      </c>
      <c r="AG293">
        <f t="shared" si="17"/>
        <v>30076354.922692623</v>
      </c>
      <c r="AH293">
        <f t="shared" si="18"/>
        <v>2044353.4851961264</v>
      </c>
      <c r="AI293">
        <f t="shared" si="19"/>
        <v>6.7972115984495873E-2</v>
      </c>
    </row>
    <row r="294" spans="1:35" x14ac:dyDescent="0.45">
      <c r="A294" s="5" t="s">
        <v>242</v>
      </c>
      <c r="B294" s="2">
        <f t="shared" si="16"/>
        <v>11489731.926043026</v>
      </c>
      <c r="C294" s="2">
        <v>13127449.1004634</v>
      </c>
      <c r="D294" s="2">
        <v>2.8240576898267738E-2</v>
      </c>
      <c r="E294" s="5">
        <v>2014762.5623805099</v>
      </c>
      <c r="F294" s="5">
        <v>1339025.7097502199</v>
      </c>
      <c r="G294" s="5">
        <v>12102640.2216192</v>
      </c>
      <c r="H294" s="5">
        <v>9100501.1377100907</v>
      </c>
      <c r="I294" s="5">
        <v>37530961.444425799</v>
      </c>
      <c r="J294" s="5">
        <v>17072197.807537802</v>
      </c>
      <c r="K294" s="5">
        <v>3817829.9882110199</v>
      </c>
      <c r="L294" s="5">
        <v>9268589.0038741007</v>
      </c>
      <c r="M294" s="5">
        <v>21651444.280358098</v>
      </c>
      <c r="N294" s="5">
        <v>1450282.35010785</v>
      </c>
      <c r="O294" s="5">
        <v>995984.83507261204</v>
      </c>
      <c r="P294" s="5">
        <v>1375549.8123409301</v>
      </c>
      <c r="Q294" s="5">
        <v>49438313.410631903</v>
      </c>
      <c r="R294" s="5">
        <v>667455.46330644703</v>
      </c>
      <c r="S294" s="5">
        <v>20439948.3485041</v>
      </c>
      <c r="T294" s="5">
        <v>7376439.4745301297</v>
      </c>
      <c r="U294" s="5">
        <v>1523497.23956843</v>
      </c>
      <c r="V294" s="5">
        <v>8512214.74515073</v>
      </c>
      <c r="W294" s="5">
        <v>1203849.7265437499</v>
      </c>
      <c r="X294" s="5">
        <v>4455600.5180206597</v>
      </c>
      <c r="Y294" s="5">
        <v>12588777.255712699</v>
      </c>
      <c r="Z294" s="5">
        <v>12657444.654348399</v>
      </c>
      <c r="AA294" s="5">
        <v>30387696.6655734</v>
      </c>
      <c r="AB294" s="5">
        <v>8782559.5697537009</v>
      </c>
      <c r="AC294" s="5">
        <v>13619856.5518071</v>
      </c>
      <c r="AD294" s="5">
        <v>13202998.326165199</v>
      </c>
      <c r="AE294" s="5">
        <v>12881251.449910499</v>
      </c>
      <c r="AF294" s="5">
        <v>12805690.0739708</v>
      </c>
      <c r="AG294">
        <f t="shared" si="17"/>
        <v>13127449.1004634</v>
      </c>
      <c r="AH294">
        <f t="shared" si="18"/>
        <v>370726.73579973227</v>
      </c>
      <c r="AI294">
        <f t="shared" si="19"/>
        <v>2.8240576898267738E-2</v>
      </c>
    </row>
    <row r="295" spans="1:35" x14ac:dyDescent="0.45">
      <c r="A295" s="5" t="s">
        <v>243</v>
      </c>
      <c r="B295" s="2">
        <f t="shared" si="16"/>
        <v>48788759.311950713</v>
      </c>
      <c r="C295" s="2">
        <v>45198333.537641004</v>
      </c>
      <c r="D295" s="2">
        <v>8.4688240345667326E-2</v>
      </c>
      <c r="E295" s="5">
        <v>39374935.650513701</v>
      </c>
      <c r="F295" s="5">
        <v>59616277.369402699</v>
      </c>
      <c r="G295" s="5">
        <v>63483401.348855197</v>
      </c>
      <c r="H295" s="5">
        <v>40974077.495336398</v>
      </c>
      <c r="I295" s="5">
        <v>58855403.814195797</v>
      </c>
      <c r="J295" s="5">
        <v>47701578.643052399</v>
      </c>
      <c r="K295" s="5">
        <v>59760431.329133697</v>
      </c>
      <c r="L295" s="5">
        <v>47826511.433498301</v>
      </c>
      <c r="M295" s="5">
        <v>27399785.902336501</v>
      </c>
      <c r="N295" s="5">
        <v>58296405.024692103</v>
      </c>
      <c r="O295" s="5">
        <v>35439164.667900898</v>
      </c>
      <c r="P295" s="5">
        <v>40408846.384815499</v>
      </c>
      <c r="Q295" s="5">
        <v>37883001.764288798</v>
      </c>
      <c r="R295" s="5">
        <v>64954176.810854703</v>
      </c>
      <c r="S295" s="5">
        <v>55620045.320015103</v>
      </c>
      <c r="T295" s="5">
        <v>57886854.310588203</v>
      </c>
      <c r="U295" s="5">
        <v>31100946.6738947</v>
      </c>
      <c r="V295" s="5">
        <v>49218171.781088002</v>
      </c>
      <c r="W295" s="5">
        <v>46889449.642918199</v>
      </c>
      <c r="X295" s="5">
        <v>48805332.848209701</v>
      </c>
      <c r="Y295" s="5">
        <v>47595984.568061396</v>
      </c>
      <c r="Z295" s="5">
        <v>49242229.766393498</v>
      </c>
      <c r="AA295" s="5">
        <v>51228363.104255401</v>
      </c>
      <c r="AB295" s="5">
        <v>51368847.832516201</v>
      </c>
      <c r="AC295" s="5">
        <v>44448437.223201603</v>
      </c>
      <c r="AD295" s="5">
        <v>47657627.455443203</v>
      </c>
      <c r="AE295" s="5">
        <v>40107839.819610201</v>
      </c>
      <c r="AF295" s="5">
        <v>48579429.652309</v>
      </c>
      <c r="AG295">
        <f t="shared" si="17"/>
        <v>45198333.537641004</v>
      </c>
      <c r="AH295">
        <f t="shared" si="18"/>
        <v>3827767.3338593775</v>
      </c>
      <c r="AI295">
        <f t="shared" si="19"/>
        <v>8.4688240345667326E-2</v>
      </c>
    </row>
    <row r="296" spans="1:35" x14ac:dyDescent="0.45">
      <c r="A296" s="5" t="s">
        <v>335</v>
      </c>
      <c r="B296" s="2">
        <f t="shared" si="16"/>
        <v>74418490.608757958</v>
      </c>
      <c r="C296" s="2">
        <v>77824240.346655771</v>
      </c>
      <c r="D296" s="2">
        <v>0.11700734840672768</v>
      </c>
      <c r="E296" s="5">
        <v>88419105.303916499</v>
      </c>
      <c r="F296" s="5">
        <v>84595361.839423597</v>
      </c>
      <c r="G296" s="5">
        <v>42641894.219650701</v>
      </c>
      <c r="H296" s="5">
        <v>16537867.3873441</v>
      </c>
      <c r="I296" s="5">
        <v>70661627.478499204</v>
      </c>
      <c r="J296" s="5">
        <v>127323777.34753101</v>
      </c>
      <c r="K296" s="5">
        <v>68348454.028484404</v>
      </c>
      <c r="L296" s="5">
        <v>42883912.4974536</v>
      </c>
      <c r="M296" s="5">
        <v>228205444.853681</v>
      </c>
      <c r="N296" s="5">
        <v>18566963.857768498</v>
      </c>
      <c r="O296" s="5">
        <v>47604720.1846544</v>
      </c>
      <c r="P296" s="5">
        <v>40298164.5529911</v>
      </c>
      <c r="Q296" s="5">
        <v>42625979.446080297</v>
      </c>
      <c r="R296" s="5">
        <v>29481601.323325999</v>
      </c>
      <c r="S296" s="5">
        <v>37122621.647973903</v>
      </c>
      <c r="T296" s="5">
        <v>171602854.24470901</v>
      </c>
      <c r="U296" s="5">
        <v>142546869.34709299</v>
      </c>
      <c r="V296" s="5">
        <v>81310249.152435794</v>
      </c>
      <c r="W296" s="5">
        <v>39845436.166195497</v>
      </c>
      <c r="X296" s="5">
        <v>109207545.972781</v>
      </c>
      <c r="Y296" s="5">
        <v>22085373.237798799</v>
      </c>
      <c r="Z296" s="5">
        <v>119132769.72250301</v>
      </c>
      <c r="AA296" s="5">
        <v>72398734.709985197</v>
      </c>
      <c r="AB296" s="5">
        <v>42596446.087911598</v>
      </c>
      <c r="AC296" s="5">
        <v>81553459.9673305</v>
      </c>
      <c r="AD296" s="5">
        <v>80822072.645528704</v>
      </c>
      <c r="AE296" s="5">
        <v>64380102.944338299</v>
      </c>
      <c r="AF296" s="5">
        <v>84541325.829425603</v>
      </c>
      <c r="AG296">
        <f t="shared" si="17"/>
        <v>77824240.346655771</v>
      </c>
      <c r="AH296">
        <f t="shared" si="18"/>
        <v>9106008.0047300644</v>
      </c>
      <c r="AI296">
        <f t="shared" si="19"/>
        <v>0.11700734840672768</v>
      </c>
    </row>
    <row r="297" spans="1:35" x14ac:dyDescent="0.45">
      <c r="A297" s="5" t="s">
        <v>244</v>
      </c>
      <c r="B297" s="2">
        <f t="shared" si="16"/>
        <v>80791076.278057918</v>
      </c>
      <c r="C297" s="2">
        <v>75693085.221401006</v>
      </c>
      <c r="D297" s="2">
        <v>0.14291332299644785</v>
      </c>
      <c r="E297" s="5">
        <v>46343684.9738051</v>
      </c>
      <c r="F297" s="5">
        <v>97647067.970780998</v>
      </c>
      <c r="G297" s="5">
        <v>59230671.889411397</v>
      </c>
      <c r="H297" s="5">
        <v>37498469.904213101</v>
      </c>
      <c r="I297" s="5">
        <v>75770629.892734006</v>
      </c>
      <c r="J297" s="5">
        <v>96175945.352219194</v>
      </c>
      <c r="K297" s="5">
        <v>56782935.274760403</v>
      </c>
      <c r="L297" s="5">
        <v>68549511.704640001</v>
      </c>
      <c r="M297" s="5">
        <v>155051908.59403399</v>
      </c>
      <c r="N297" s="5">
        <v>67469522.055402696</v>
      </c>
      <c r="O297" s="5">
        <v>71292498.990363404</v>
      </c>
      <c r="P297" s="5">
        <v>89568788.947734505</v>
      </c>
      <c r="Q297" s="5">
        <v>63010110.163959101</v>
      </c>
      <c r="R297" s="5">
        <v>66439830.895600498</v>
      </c>
      <c r="S297" s="5">
        <v>72178223.167035997</v>
      </c>
      <c r="T297" s="5">
        <v>98391203.066164196</v>
      </c>
      <c r="U297" s="5">
        <v>104285552.58246</v>
      </c>
      <c r="V297" s="5">
        <v>92343053.363473594</v>
      </c>
      <c r="W297" s="5">
        <v>77958521.397535697</v>
      </c>
      <c r="X297" s="5">
        <v>135238598.66570601</v>
      </c>
      <c r="Y297" s="5">
        <v>49679987.336767599</v>
      </c>
      <c r="Z297" s="5">
        <v>115357798.640652</v>
      </c>
      <c r="AA297" s="5">
        <v>65119634.446971498</v>
      </c>
      <c r="AB297" s="5">
        <v>77601681.396964997</v>
      </c>
      <c r="AC297" s="5">
        <v>65774165.735040598</v>
      </c>
      <c r="AD297" s="5">
        <v>87260078.124017403</v>
      </c>
      <c r="AE297" s="5">
        <v>67203547.085066095</v>
      </c>
      <c r="AF297" s="5">
        <v>82534549.941479906</v>
      </c>
      <c r="AG297">
        <f t="shared" si="17"/>
        <v>75693085.221401006</v>
      </c>
      <c r="AH297">
        <f t="shared" si="18"/>
        <v>10817550.336843735</v>
      </c>
      <c r="AI297">
        <f t="shared" si="19"/>
        <v>0.14291332299644785</v>
      </c>
    </row>
    <row r="298" spans="1:35" x14ac:dyDescent="0.45">
      <c r="A298" s="5" t="s">
        <v>245</v>
      </c>
      <c r="B298" s="2">
        <f t="shared" si="16"/>
        <v>28723541.808504585</v>
      </c>
      <c r="C298" s="2">
        <v>27577186.725068051</v>
      </c>
      <c r="D298" s="2">
        <v>7.2767529759165714E-2</v>
      </c>
      <c r="E298" s="5">
        <v>26954071.716443699</v>
      </c>
      <c r="F298" s="5">
        <v>24914774.704307601</v>
      </c>
      <c r="G298" s="5">
        <v>4458609.4102107501</v>
      </c>
      <c r="H298" s="5">
        <v>21150164.5620213</v>
      </c>
      <c r="I298" s="5">
        <v>30273751.091850299</v>
      </c>
      <c r="J298" s="5">
        <v>27526922.034100398</v>
      </c>
      <c r="K298" s="5">
        <v>28363518.952686898</v>
      </c>
      <c r="L298" s="5">
        <v>25156199.186295699</v>
      </c>
      <c r="M298" s="5">
        <v>39274037.186631098</v>
      </c>
      <c r="N298" s="5">
        <v>32593301.992640302</v>
      </c>
      <c r="O298" s="5">
        <v>12101299.325363699</v>
      </c>
      <c r="P298" s="5">
        <v>20961672.5240499</v>
      </c>
      <c r="Q298" s="5">
        <v>57516927.073337696</v>
      </c>
      <c r="R298" s="5">
        <v>15184367.9066683</v>
      </c>
      <c r="S298" s="5">
        <v>34680198.122914098</v>
      </c>
      <c r="T298" s="5">
        <v>35112819.811705999</v>
      </c>
      <c r="U298" s="5">
        <v>30497708.656719599</v>
      </c>
      <c r="V298" s="5">
        <v>30407437.906491999</v>
      </c>
      <c r="W298" s="5">
        <v>32016520.939706199</v>
      </c>
      <c r="X298" s="5">
        <v>20936886.460351299</v>
      </c>
      <c r="Y298" s="5">
        <v>32535390.595232699</v>
      </c>
      <c r="Z298" s="5">
        <v>28061731.573056601</v>
      </c>
      <c r="AA298" s="5">
        <v>43964104.087704897</v>
      </c>
      <c r="AB298" s="5">
        <v>34722587.583618999</v>
      </c>
      <c r="AC298" s="5">
        <v>27312228.566113502</v>
      </c>
      <c r="AD298" s="5">
        <v>29612164.6538518</v>
      </c>
      <c r="AE298" s="5">
        <v>24916930.701510899</v>
      </c>
      <c r="AF298" s="5">
        <v>28467422.978796002</v>
      </c>
      <c r="AG298">
        <f t="shared" si="17"/>
        <v>27577186.725068051</v>
      </c>
      <c r="AH298">
        <f t="shared" si="18"/>
        <v>2006723.7556904592</v>
      </c>
      <c r="AI298">
        <f t="shared" si="19"/>
        <v>7.2767529759165714E-2</v>
      </c>
    </row>
    <row r="299" spans="1:35" x14ac:dyDescent="0.45">
      <c r="A299" s="5" t="s">
        <v>336</v>
      </c>
      <c r="B299" s="2">
        <f t="shared" si="16"/>
        <v>6537160.3796331463</v>
      </c>
      <c r="C299" s="2">
        <v>4402891.1078658253</v>
      </c>
      <c r="D299" s="2">
        <v>2.9337128794481714E-2</v>
      </c>
      <c r="E299" s="5">
        <v>4641679.1479379497</v>
      </c>
      <c r="F299" s="5">
        <v>9756009.3736778405</v>
      </c>
      <c r="G299" s="5">
        <v>4317062.1427441398</v>
      </c>
      <c r="H299" s="5">
        <v>5526705.5247470597</v>
      </c>
      <c r="I299" s="5">
        <v>2821957.9508224302</v>
      </c>
      <c r="J299" s="5">
        <v>6150701.7338523697</v>
      </c>
      <c r="K299" s="5">
        <v>4593128.1819365602</v>
      </c>
      <c r="L299" s="5">
        <v>6043393.0071627302</v>
      </c>
      <c r="M299" s="5">
        <v>3754414.8302132501</v>
      </c>
      <c r="N299" s="5">
        <v>7729061.9096897496</v>
      </c>
      <c r="O299" s="5">
        <v>10507373.4466998</v>
      </c>
      <c r="P299" s="5">
        <v>19101119.161124099</v>
      </c>
      <c r="Q299" s="5">
        <v>2468705.6705032401</v>
      </c>
      <c r="R299" s="5">
        <v>11457672.3204857</v>
      </c>
      <c r="S299" s="5">
        <v>5476682.8655466298</v>
      </c>
      <c r="T299" s="5">
        <v>10574251.594080901</v>
      </c>
      <c r="U299" s="5">
        <v>4815815.51190296</v>
      </c>
      <c r="V299" s="5">
        <v>6963698.41706286</v>
      </c>
      <c r="W299" s="5">
        <v>8755739.4328675494</v>
      </c>
      <c r="X299" s="5">
        <v>3977000.90458804</v>
      </c>
      <c r="Y299" s="5">
        <v>2583234.1471368601</v>
      </c>
      <c r="Z299" s="5">
        <v>6816838.9669273198</v>
      </c>
      <c r="AA299" s="5">
        <v>3651915.3717521699</v>
      </c>
      <c r="AB299" s="5">
        <v>4407687.4977332801</v>
      </c>
      <c r="AC299" s="5">
        <v>4548653.2830959102</v>
      </c>
      <c r="AD299" s="5">
        <v>4344895.9741126904</v>
      </c>
      <c r="AE299" s="5">
        <v>4255104.5437791096</v>
      </c>
      <c r="AF299" s="5">
        <v>4462910.63047559</v>
      </c>
      <c r="AG299">
        <f t="shared" si="17"/>
        <v>4402891.1078658253</v>
      </c>
      <c r="AH299">
        <f t="shared" si="18"/>
        <v>129168.18349953799</v>
      </c>
      <c r="AI299">
        <f t="shared" si="19"/>
        <v>2.9337128794481714E-2</v>
      </c>
    </row>
    <row r="300" spans="1:35" x14ac:dyDescent="0.45">
      <c r="A300" s="5" t="s">
        <v>337</v>
      </c>
      <c r="B300" s="2">
        <f t="shared" si="16"/>
        <v>364020185.15369672</v>
      </c>
      <c r="C300" s="2">
        <v>294832231.10246921</v>
      </c>
      <c r="D300" s="2">
        <v>0.18915584679526518</v>
      </c>
      <c r="E300" s="5">
        <v>264257839.84107101</v>
      </c>
      <c r="F300" s="5">
        <v>236368931.785395</v>
      </c>
      <c r="G300" s="5">
        <v>835168155.36120296</v>
      </c>
      <c r="H300" s="5">
        <v>399166158.020181</v>
      </c>
      <c r="I300" s="5">
        <v>151415499.337439</v>
      </c>
      <c r="J300" s="5">
        <v>256115543.968734</v>
      </c>
      <c r="K300" s="5">
        <v>212707297.44817999</v>
      </c>
      <c r="L300" s="5">
        <v>366135869.01415002</v>
      </c>
      <c r="M300" s="5">
        <v>482050333.842296</v>
      </c>
      <c r="N300" s="5">
        <v>240755925.723214</v>
      </c>
      <c r="O300" s="5">
        <v>468153850.397021</v>
      </c>
      <c r="P300" s="5">
        <v>345365775.18297499</v>
      </c>
      <c r="Q300" s="5">
        <v>427908664.83252603</v>
      </c>
      <c r="R300" s="5">
        <v>309489091.56364101</v>
      </c>
      <c r="S300" s="5">
        <v>592260957.67839801</v>
      </c>
      <c r="T300" s="5">
        <v>628178448.91517401</v>
      </c>
      <c r="U300" s="5">
        <v>217700347.722451</v>
      </c>
      <c r="V300" s="5">
        <v>188083553.59490401</v>
      </c>
      <c r="W300" s="5">
        <v>488981654.56179702</v>
      </c>
      <c r="X300" s="5">
        <v>360150443.00055701</v>
      </c>
      <c r="Y300" s="5">
        <v>298038472.00326502</v>
      </c>
      <c r="Z300" s="5">
        <v>319466002.25393802</v>
      </c>
      <c r="AA300" s="5">
        <v>353849546.10294503</v>
      </c>
      <c r="AB300" s="5">
        <v>294716081.53726399</v>
      </c>
      <c r="AC300" s="5">
        <v>233650073.48527199</v>
      </c>
      <c r="AD300" s="5">
        <v>280767283.96368998</v>
      </c>
      <c r="AE300" s="5">
        <v>368222261.97230399</v>
      </c>
      <c r="AF300" s="5">
        <v>296689304.98861098</v>
      </c>
      <c r="AG300">
        <f t="shared" si="17"/>
        <v>294832231.10246921</v>
      </c>
      <c r="AH300">
        <f t="shared" si="18"/>
        <v>55769240.336724877</v>
      </c>
      <c r="AI300">
        <f t="shared" si="19"/>
        <v>0.18915584679526518</v>
      </c>
    </row>
    <row r="301" spans="1:35" x14ac:dyDescent="0.45">
      <c r="A301" s="5" t="s">
        <v>338</v>
      </c>
      <c r="B301" s="2">
        <f t="shared" si="16"/>
        <v>139977506.52760139</v>
      </c>
      <c r="C301" s="2">
        <v>142722227.16583347</v>
      </c>
      <c r="D301" s="2">
        <v>8.3854057030099363E-2</v>
      </c>
      <c r="E301" s="5">
        <v>176933249.30985001</v>
      </c>
      <c r="F301" s="5">
        <v>75670397.502667099</v>
      </c>
      <c r="G301" s="5">
        <v>73630766.979032993</v>
      </c>
      <c r="H301" s="5">
        <v>23737409.534182899</v>
      </c>
      <c r="I301" s="5">
        <v>186348021.51135901</v>
      </c>
      <c r="J301" s="5">
        <v>205210533.97150499</v>
      </c>
      <c r="K301" s="5">
        <v>174603062.15867499</v>
      </c>
      <c r="L301" s="5">
        <v>109845526.75652701</v>
      </c>
      <c r="M301" s="5">
        <v>391831476.59380198</v>
      </c>
      <c r="N301" s="5">
        <v>62270734.503083996</v>
      </c>
      <c r="O301" s="5">
        <v>70859755.015722498</v>
      </c>
      <c r="P301" s="5">
        <v>63653561.6262706</v>
      </c>
      <c r="Q301" s="5">
        <v>157628187.649685</v>
      </c>
      <c r="R301" s="5">
        <v>87033283.964049593</v>
      </c>
      <c r="S301" s="5">
        <v>73491351.999026403</v>
      </c>
      <c r="T301" s="5">
        <v>185054794.11302799</v>
      </c>
      <c r="U301" s="5">
        <v>326323045.73568898</v>
      </c>
      <c r="V301" s="5">
        <v>118356739.44078</v>
      </c>
      <c r="W301" s="5">
        <v>87871860.255335003</v>
      </c>
      <c r="X301" s="5">
        <v>207903921.56422499</v>
      </c>
      <c r="Y301" s="5">
        <v>59522173.286698297</v>
      </c>
      <c r="Z301" s="5">
        <v>208534300.25938001</v>
      </c>
      <c r="AA301" s="5">
        <v>133328690.572668</v>
      </c>
      <c r="AB301" s="5">
        <v>99817312.359190807</v>
      </c>
      <c r="AC301" s="5">
        <v>128292661.31624199</v>
      </c>
      <c r="AD301" s="5">
        <v>138282917.53505099</v>
      </c>
      <c r="AE301" s="5">
        <v>155602702.59891099</v>
      </c>
      <c r="AF301" s="5">
        <v>148710627.21313</v>
      </c>
      <c r="AG301">
        <f t="shared" si="17"/>
        <v>142722227.16583347</v>
      </c>
      <c r="AH301">
        <f t="shared" si="18"/>
        <v>11967837.776226597</v>
      </c>
      <c r="AI301">
        <f t="shared" si="19"/>
        <v>8.3854057030099363E-2</v>
      </c>
    </row>
    <row r="302" spans="1:35" x14ac:dyDescent="0.45">
      <c r="A302" s="5" t="s">
        <v>246</v>
      </c>
      <c r="B302" s="2">
        <f t="shared" si="16"/>
        <v>25204241.780886319</v>
      </c>
      <c r="C302" s="2">
        <v>16470697.76860375</v>
      </c>
      <c r="D302" s="2">
        <v>5.8245839305084264E-2</v>
      </c>
      <c r="E302" s="5">
        <v>37762702.673784703</v>
      </c>
      <c r="F302" s="5">
        <v>14955341.6168894</v>
      </c>
      <c r="G302" s="5">
        <v>40251528.730453297</v>
      </c>
      <c r="H302" s="5">
        <v>2104534.9776081401</v>
      </c>
      <c r="I302" s="5">
        <v>18559494.9111211</v>
      </c>
      <c r="J302" s="5">
        <v>14243284.5207459</v>
      </c>
      <c r="K302" s="5">
        <v>5563192.0159444399</v>
      </c>
      <c r="L302" s="5">
        <v>20164686.982303601</v>
      </c>
      <c r="M302" s="5">
        <v>29185236.302959401</v>
      </c>
      <c r="N302" s="5">
        <v>4977404.7923681904</v>
      </c>
      <c r="O302" s="5">
        <v>90377248.270936206</v>
      </c>
      <c r="P302" s="5">
        <v>14785869.4024441</v>
      </c>
      <c r="Q302" s="5">
        <v>5301900.6987664904</v>
      </c>
      <c r="R302" s="5">
        <v>17885063.892124899</v>
      </c>
      <c r="S302" s="5">
        <v>7543970.6210461799</v>
      </c>
      <c r="T302" s="5">
        <v>105725893.644774</v>
      </c>
      <c r="U302" s="5">
        <v>53427068.975213997</v>
      </c>
      <c r="V302" s="5">
        <v>9231208.0415824801</v>
      </c>
      <c r="W302" s="5">
        <v>39456856.680936404</v>
      </c>
      <c r="X302" s="5">
        <v>24066918.576513499</v>
      </c>
      <c r="Y302" s="5">
        <v>6695014.8450500499</v>
      </c>
      <c r="Z302" s="5">
        <v>21773549.3261212</v>
      </c>
      <c r="AA302" s="5">
        <v>8677021.9848468509</v>
      </c>
      <c r="AB302" s="5">
        <v>12186810.256736999</v>
      </c>
      <c r="AC302" s="5">
        <v>17662984.598247498</v>
      </c>
      <c r="AD302" s="5">
        <v>15656290.485133599</v>
      </c>
      <c r="AE302" s="5">
        <v>16831690.478147101</v>
      </c>
      <c r="AF302" s="5">
        <v>15731825.5128868</v>
      </c>
      <c r="AG302">
        <f t="shared" si="17"/>
        <v>16470697.76860375</v>
      </c>
      <c r="AH302">
        <f t="shared" si="18"/>
        <v>959349.61547270394</v>
      </c>
      <c r="AI302">
        <f t="shared" si="19"/>
        <v>5.8245839305084264E-2</v>
      </c>
    </row>
    <row r="303" spans="1:35" x14ac:dyDescent="0.45">
      <c r="A303" s="5" t="s">
        <v>339</v>
      </c>
      <c r="B303" s="2">
        <f t="shared" si="16"/>
        <v>87808928.598339126</v>
      </c>
      <c r="C303" s="2">
        <v>76586827.875146553</v>
      </c>
      <c r="D303" s="2">
        <v>5.9461782158860277E-2</v>
      </c>
      <c r="E303" s="5">
        <v>113550381.616771</v>
      </c>
      <c r="F303" s="5">
        <v>24164429.741404399</v>
      </c>
      <c r="G303" s="5">
        <v>119964819.00606</v>
      </c>
      <c r="H303" s="5">
        <v>35269427.6049878</v>
      </c>
      <c r="I303" s="5">
        <v>183754481.804234</v>
      </c>
      <c r="J303" s="5">
        <v>249703843.96782601</v>
      </c>
      <c r="K303" s="5">
        <v>11212809.4084951</v>
      </c>
      <c r="L303" s="5">
        <v>43195535.838419497</v>
      </c>
      <c r="M303" s="5">
        <v>169310841.63587299</v>
      </c>
      <c r="N303" s="5">
        <v>7507379.6202251399</v>
      </c>
      <c r="O303" s="5">
        <v>44248809.135511398</v>
      </c>
      <c r="P303" s="5">
        <v>17048703.015561901</v>
      </c>
      <c r="Q303" s="5">
        <v>69856451.488730803</v>
      </c>
      <c r="R303" s="5">
        <v>21924643.3796639</v>
      </c>
      <c r="S303" s="5">
        <v>86475888.377774805</v>
      </c>
      <c r="T303" s="5">
        <v>33866295.7072699</v>
      </c>
      <c r="U303" s="5">
        <v>19641201.8164827</v>
      </c>
      <c r="V303" s="5">
        <v>45984364.759231701</v>
      </c>
      <c r="W303" s="5">
        <v>14580191.953472</v>
      </c>
      <c r="X303" s="5">
        <v>148668478.94447199</v>
      </c>
      <c r="Y303" s="5">
        <v>86137482.626512796</v>
      </c>
      <c r="Z303" s="5">
        <v>231795571.84623101</v>
      </c>
      <c r="AA303" s="5">
        <v>267445536.65997899</v>
      </c>
      <c r="AB303" s="5">
        <v>62106716.404948696</v>
      </c>
      <c r="AC303" s="5">
        <v>76543619.497901395</v>
      </c>
      <c r="AD303" s="5">
        <v>70531431.383375093</v>
      </c>
      <c r="AE303" s="5">
        <v>81500301.794442698</v>
      </c>
      <c r="AF303" s="5">
        <v>77771958.824866995</v>
      </c>
      <c r="AG303">
        <f t="shared" si="17"/>
        <v>76586827.875146553</v>
      </c>
      <c r="AH303">
        <f t="shared" si="18"/>
        <v>4553989.275350092</v>
      </c>
      <c r="AI303">
        <f t="shared" si="19"/>
        <v>5.9461782158860277E-2</v>
      </c>
    </row>
    <row r="304" spans="1:35" x14ac:dyDescent="0.45">
      <c r="A304" s="5" t="s">
        <v>247</v>
      </c>
      <c r="B304" s="2">
        <f t="shared" si="16"/>
        <v>1135889967.3179488</v>
      </c>
      <c r="C304" s="2">
        <v>933785031.64772797</v>
      </c>
      <c r="D304" s="2">
        <v>3.9124065567934213E-2</v>
      </c>
      <c r="E304" s="5">
        <v>1282625485.7718599</v>
      </c>
      <c r="F304" s="5">
        <v>1052058353.5822001</v>
      </c>
      <c r="G304" s="5">
        <v>525319852.69322801</v>
      </c>
      <c r="H304" s="5">
        <v>1066586669.41468</v>
      </c>
      <c r="I304" s="5">
        <v>1063570563.45215</v>
      </c>
      <c r="J304" s="5">
        <v>1376554069.9904799</v>
      </c>
      <c r="K304" s="5">
        <v>421211486.823237</v>
      </c>
      <c r="L304" s="5">
        <v>665611028.05404305</v>
      </c>
      <c r="M304" s="5">
        <v>1326317410.23648</v>
      </c>
      <c r="N304" s="5">
        <v>225948560.00694501</v>
      </c>
      <c r="O304" s="5">
        <v>2061978321.43959</v>
      </c>
      <c r="P304" s="5">
        <v>172557609.23899001</v>
      </c>
      <c r="Q304" s="5">
        <v>714863432.41117597</v>
      </c>
      <c r="R304" s="5">
        <v>1005006898.89404</v>
      </c>
      <c r="S304" s="5">
        <v>521454876.24394703</v>
      </c>
      <c r="T304" s="5">
        <v>6506444364.35495</v>
      </c>
      <c r="U304" s="5">
        <v>981984977.407215</v>
      </c>
      <c r="V304" s="5">
        <v>631539635.79007602</v>
      </c>
      <c r="W304" s="5">
        <v>525137451.31319898</v>
      </c>
      <c r="X304" s="5">
        <v>1102117519.59217</v>
      </c>
      <c r="Y304" s="5">
        <v>796029241.00745499</v>
      </c>
      <c r="Z304" s="5">
        <v>1193672952.1273601</v>
      </c>
      <c r="AA304" s="5">
        <v>1031190012.37967</v>
      </c>
      <c r="AB304" s="5">
        <v>1011578443.40563</v>
      </c>
      <c r="AC304" s="5">
        <v>890334227.05956495</v>
      </c>
      <c r="AD304" s="5">
        <v>940368225.93275106</v>
      </c>
      <c r="AE304" s="5">
        <v>925826021.68618095</v>
      </c>
      <c r="AF304" s="5">
        <v>978611651.91241503</v>
      </c>
      <c r="AG304">
        <f t="shared" si="17"/>
        <v>933785031.64772797</v>
      </c>
      <c r="AH304">
        <f t="shared" si="18"/>
        <v>36533466.80454123</v>
      </c>
      <c r="AI304">
        <f t="shared" si="19"/>
        <v>3.9124065567934213E-2</v>
      </c>
    </row>
    <row r="305" spans="1:35" x14ac:dyDescent="0.45">
      <c r="A305" s="5" t="s">
        <v>248</v>
      </c>
      <c r="B305" s="2">
        <f t="shared" si="16"/>
        <v>103886303.079033</v>
      </c>
      <c r="C305" s="2">
        <v>64465065.1010997</v>
      </c>
      <c r="D305" s="2">
        <v>0.15927008114371219</v>
      </c>
      <c r="E305" s="5">
        <v>53628643.064673297</v>
      </c>
      <c r="F305" s="5">
        <v>47858054.044372797</v>
      </c>
      <c r="G305" s="5">
        <v>23878800.901343402</v>
      </c>
      <c r="H305" s="5">
        <v>158224553.24669701</v>
      </c>
      <c r="I305" s="5">
        <v>13196971.095460201</v>
      </c>
      <c r="J305" s="5">
        <v>28938237.683520202</v>
      </c>
      <c r="K305" s="5">
        <v>47055444.422279701</v>
      </c>
      <c r="L305" s="5">
        <v>32926329.741275899</v>
      </c>
      <c r="M305" s="5">
        <v>25629449.288602199</v>
      </c>
      <c r="N305" s="5">
        <v>58862516.832040697</v>
      </c>
      <c r="O305" s="5">
        <v>1281437819.88797</v>
      </c>
      <c r="P305" s="5">
        <v>140822247.79590401</v>
      </c>
      <c r="Q305" s="5">
        <v>19797533.861644901</v>
      </c>
      <c r="R305" s="5">
        <v>31139953.0897827</v>
      </c>
      <c r="S305" s="5">
        <v>28265188.509534899</v>
      </c>
      <c r="T305" s="5">
        <v>88283695.814796299</v>
      </c>
      <c r="U305" s="5">
        <v>36158688.783996202</v>
      </c>
      <c r="V305" s="5">
        <v>112770299.76030099</v>
      </c>
      <c r="W305" s="5">
        <v>49956922.682894498</v>
      </c>
      <c r="X305" s="5">
        <v>112383062.473875</v>
      </c>
      <c r="Y305" s="5">
        <v>16282693.640468201</v>
      </c>
      <c r="Z305" s="5">
        <v>30728788.3156964</v>
      </c>
      <c r="AA305" s="5">
        <v>24769166.603965499</v>
      </c>
      <c r="AB305" s="5">
        <v>30276212.355697501</v>
      </c>
      <c r="AC305" s="5">
        <v>77582770.552493393</v>
      </c>
      <c r="AD305" s="5">
        <v>66968360.782248899</v>
      </c>
      <c r="AE305" s="5">
        <v>53834344.406971097</v>
      </c>
      <c r="AF305" s="5">
        <v>59474784.662685402</v>
      </c>
      <c r="AG305">
        <f t="shared" si="17"/>
        <v>64465065.1010997</v>
      </c>
      <c r="AH305">
        <f t="shared" si="18"/>
        <v>10267356.149586838</v>
      </c>
      <c r="AI305">
        <f t="shared" si="19"/>
        <v>0.15927008114371219</v>
      </c>
    </row>
    <row r="306" spans="1:35" x14ac:dyDescent="0.45">
      <c r="A306" s="5" t="s">
        <v>430</v>
      </c>
      <c r="B306" s="2">
        <f t="shared" si="16"/>
        <v>2474195120.1646829</v>
      </c>
      <c r="C306" s="2">
        <v>2194619466.2677598</v>
      </c>
      <c r="D306" s="2">
        <v>2.7735920474648366E-2</v>
      </c>
      <c r="E306" s="5">
        <v>2781884106.04632</v>
      </c>
      <c r="F306" s="5">
        <v>2473151802.52144</v>
      </c>
      <c r="G306" s="5">
        <v>2584915369.7751398</v>
      </c>
      <c r="H306" s="5">
        <v>1916234970.13344</v>
      </c>
      <c r="I306" s="5">
        <v>2049104500.22088</v>
      </c>
      <c r="J306" s="5">
        <v>1899363470.4591999</v>
      </c>
      <c r="K306" s="5">
        <v>2946832044.0671201</v>
      </c>
      <c r="L306" s="5">
        <v>2885676814.2269702</v>
      </c>
      <c r="M306" s="5">
        <v>2022112842.5030501</v>
      </c>
      <c r="N306" s="5">
        <v>2784050629.0967202</v>
      </c>
      <c r="O306" s="5">
        <v>2786284597.6461501</v>
      </c>
      <c r="P306" s="5">
        <v>2727839800.4681001</v>
      </c>
      <c r="Q306" s="5">
        <v>1883198304.2565401</v>
      </c>
      <c r="R306" s="5">
        <v>3004423368.8592501</v>
      </c>
      <c r="S306" s="5">
        <v>2707171885.23247</v>
      </c>
      <c r="T306" s="5">
        <v>2771784616.7982402</v>
      </c>
      <c r="U306" s="5">
        <v>2361856386.8777399</v>
      </c>
      <c r="V306" s="5">
        <v>2407737587.7234101</v>
      </c>
      <c r="W306" s="5">
        <v>2715764030.9798999</v>
      </c>
      <c r="X306" s="5">
        <v>2277438615.6809001</v>
      </c>
      <c r="Y306" s="5">
        <v>2121145647.3087101</v>
      </c>
      <c r="Z306" s="5">
        <v>2449170480.9198298</v>
      </c>
      <c r="AA306" s="5">
        <v>2014465533.71084</v>
      </c>
      <c r="AB306" s="5">
        <v>2809075478.4400301</v>
      </c>
      <c r="AC306" s="5">
        <v>2245591752.4699502</v>
      </c>
      <c r="AD306" s="5">
        <v>2209180912.0764899</v>
      </c>
      <c r="AE306" s="5">
        <v>2106364539.9042399</v>
      </c>
      <c r="AF306" s="5">
        <v>2217340660.6203599</v>
      </c>
      <c r="AG306">
        <f t="shared" si="17"/>
        <v>2194619466.2677598</v>
      </c>
      <c r="AH306">
        <f t="shared" si="18"/>
        <v>60869790.988517828</v>
      </c>
      <c r="AI306">
        <f t="shared" si="19"/>
        <v>2.7735920474648366E-2</v>
      </c>
    </row>
    <row r="307" spans="1:35" x14ac:dyDescent="0.45">
      <c r="A307" s="5" t="s">
        <v>340</v>
      </c>
      <c r="B307" s="2">
        <f t="shared" si="16"/>
        <v>113594281.52804722</v>
      </c>
      <c r="C307" s="2">
        <v>89599929.296854347</v>
      </c>
      <c r="D307" s="2">
        <v>2.2556637488911152E-2</v>
      </c>
      <c r="E307" s="5">
        <v>57744816.756365597</v>
      </c>
      <c r="F307" s="5">
        <v>81511754.836547896</v>
      </c>
      <c r="G307" s="5">
        <v>62498573.831264399</v>
      </c>
      <c r="H307" s="5">
        <v>104584490.44613799</v>
      </c>
      <c r="I307" s="5">
        <v>95630697.156748503</v>
      </c>
      <c r="J307" s="5">
        <v>81115843.426014498</v>
      </c>
      <c r="K307" s="5">
        <v>85895797.289502203</v>
      </c>
      <c r="L307" s="5">
        <v>60938442.877359197</v>
      </c>
      <c r="M307" s="5">
        <v>103618481.039524</v>
      </c>
      <c r="N307" s="5">
        <v>102312873.208717</v>
      </c>
      <c r="O307" s="5">
        <v>406576644.97204202</v>
      </c>
      <c r="P307" s="5">
        <v>75259450.241067797</v>
      </c>
      <c r="Q307" s="5">
        <v>157527680.43541199</v>
      </c>
      <c r="R307" s="5">
        <v>101986122.78220899</v>
      </c>
      <c r="S307" s="5">
        <v>106688983.91222499</v>
      </c>
      <c r="T307" s="5">
        <v>272944617.63462001</v>
      </c>
      <c r="U307" s="5">
        <v>94032151.663261503</v>
      </c>
      <c r="V307" s="5">
        <v>85875399.052104607</v>
      </c>
      <c r="W307" s="5">
        <v>180161592.59840599</v>
      </c>
      <c r="X307" s="5">
        <v>62662607.125533499</v>
      </c>
      <c r="Y307" s="5">
        <v>90409288.202297896</v>
      </c>
      <c r="Z307" s="5">
        <v>84139626.544531107</v>
      </c>
      <c r="AA307" s="5">
        <v>111328020.175772</v>
      </c>
      <c r="AB307" s="5">
        <v>60818800.465469301</v>
      </c>
      <c r="AC307" s="5">
        <v>87537566.016161606</v>
      </c>
      <c r="AD307" s="5">
        <v>90245053.190254599</v>
      </c>
      <c r="AE307" s="5">
        <v>88494658.304705203</v>
      </c>
      <c r="AF307" s="5">
        <v>92122439.676295996</v>
      </c>
      <c r="AG307">
        <f t="shared" si="17"/>
        <v>89599929.296854347</v>
      </c>
      <c r="AH307">
        <f t="shared" si="18"/>
        <v>2021073.1241812136</v>
      </c>
      <c r="AI307">
        <f t="shared" si="19"/>
        <v>2.2556637488911152E-2</v>
      </c>
    </row>
    <row r="308" spans="1:35" x14ac:dyDescent="0.45">
      <c r="A308" s="5" t="s">
        <v>249</v>
      </c>
      <c r="B308" s="2">
        <f t="shared" si="16"/>
        <v>21385559.455725651</v>
      </c>
      <c r="C308" s="2">
        <v>17586439.469186675</v>
      </c>
      <c r="D308" s="2">
        <v>9.8902957397115493E-2</v>
      </c>
      <c r="E308" s="5">
        <v>20287463.761265699</v>
      </c>
      <c r="F308" s="5">
        <v>12074164.5352506</v>
      </c>
      <c r="G308" s="5">
        <v>16577129.4511126</v>
      </c>
      <c r="H308" s="5">
        <v>7855402.9849528298</v>
      </c>
      <c r="I308" s="5">
        <v>17093313.0824995</v>
      </c>
      <c r="J308" s="5">
        <v>17263128.262439702</v>
      </c>
      <c r="K308" s="5">
        <v>22895022.568817701</v>
      </c>
      <c r="L308" s="5">
        <v>18172680.9197031</v>
      </c>
      <c r="M308" s="5">
        <v>23273838.1952173</v>
      </c>
      <c r="N308" s="5">
        <v>16216856.4658603</v>
      </c>
      <c r="O308" s="5">
        <v>17310784.9819916</v>
      </c>
      <c r="P308" s="5">
        <v>22539603.5081225</v>
      </c>
      <c r="Q308" s="5">
        <v>40748801.138119899</v>
      </c>
      <c r="R308" s="5">
        <v>17839386.396231201</v>
      </c>
      <c r="S308" s="5">
        <v>32139801.810718801</v>
      </c>
      <c r="T308" s="5">
        <v>41389016.4455119</v>
      </c>
      <c r="U308" s="5">
        <v>30009874.349793602</v>
      </c>
      <c r="V308" s="5">
        <v>16193842.272325801</v>
      </c>
      <c r="W308" s="5">
        <v>20635788.216389999</v>
      </c>
      <c r="X308" s="5">
        <v>15435629.3307402</v>
      </c>
      <c r="Y308" s="5">
        <v>22367716.563317601</v>
      </c>
      <c r="Z308" s="5">
        <v>19547146.732230499</v>
      </c>
      <c r="AA308" s="5">
        <v>28882289.582902201</v>
      </c>
      <c r="AB308" s="5">
        <v>16504745.381900501</v>
      </c>
      <c r="AC308" s="5">
        <v>15907615.123641901</v>
      </c>
      <c r="AD308" s="5">
        <v>16288894.4534672</v>
      </c>
      <c r="AE308" s="5">
        <v>18805772.103142001</v>
      </c>
      <c r="AF308" s="5">
        <v>19343476.1964956</v>
      </c>
      <c r="AG308">
        <f t="shared" si="17"/>
        <v>17586439.469186675</v>
      </c>
      <c r="AH308">
        <f t="shared" si="18"/>
        <v>1739350.8735879201</v>
      </c>
      <c r="AI308">
        <f t="shared" si="19"/>
        <v>9.8902957397115493E-2</v>
      </c>
    </row>
    <row r="309" spans="1:35" x14ac:dyDescent="0.45">
      <c r="A309" s="5" t="s">
        <v>250</v>
      </c>
      <c r="B309" s="2">
        <f t="shared" si="16"/>
        <v>7349173.3315479821</v>
      </c>
      <c r="C309" s="2">
        <v>7398030.8359499965</v>
      </c>
      <c r="D309" s="2">
        <v>0.102533216754152</v>
      </c>
      <c r="E309" s="5">
        <v>6582489.7182328803</v>
      </c>
      <c r="F309" s="5">
        <v>4406522.2708662301</v>
      </c>
      <c r="G309" s="5">
        <v>6509268.9043255104</v>
      </c>
      <c r="H309" s="5">
        <v>5132520.6342422701</v>
      </c>
      <c r="I309" s="5">
        <v>6962842.99638863</v>
      </c>
      <c r="J309" s="5">
        <v>7409370.1783208</v>
      </c>
      <c r="K309" s="5">
        <v>7220926.1093969001</v>
      </c>
      <c r="L309" s="5">
        <v>7844053.4421162298</v>
      </c>
      <c r="M309" s="5">
        <v>7910769.8641953403</v>
      </c>
      <c r="N309" s="5">
        <v>5282220.5723890597</v>
      </c>
      <c r="O309" s="5">
        <v>9174959.0175844394</v>
      </c>
      <c r="P309" s="5">
        <v>6655163.8880392304</v>
      </c>
      <c r="Q309" s="5">
        <v>14210432.072906001</v>
      </c>
      <c r="R309" s="5">
        <v>5634182.4758430896</v>
      </c>
      <c r="S309" s="5">
        <v>8933810.1879779398</v>
      </c>
      <c r="T309" s="5">
        <v>11740361.209790699</v>
      </c>
      <c r="U309" s="5">
        <v>7309456.6276009697</v>
      </c>
      <c r="V309" s="5">
        <v>5592700.5134819997</v>
      </c>
      <c r="W309" s="5">
        <v>7058749.11397833</v>
      </c>
      <c r="X309" s="5">
        <v>5664879.3784738202</v>
      </c>
      <c r="Y309" s="5">
        <v>7663762.7896532603</v>
      </c>
      <c r="Z309" s="5">
        <v>5870612.9533846602</v>
      </c>
      <c r="AA309" s="5">
        <v>10748842.1679902</v>
      </c>
      <c r="AB309" s="5">
        <v>4861262.8699730504</v>
      </c>
      <c r="AC309" s="5">
        <v>6546858.1010045204</v>
      </c>
      <c r="AD309" s="5">
        <v>8366821.5936673498</v>
      </c>
      <c r="AE309" s="5">
        <v>7506850.8565120297</v>
      </c>
      <c r="AF309" s="5">
        <v>7171592.7926160898</v>
      </c>
      <c r="AG309">
        <f t="shared" si="17"/>
        <v>7398030.8359499965</v>
      </c>
      <c r="AH309">
        <f t="shared" si="18"/>
        <v>758543.8992563613</v>
      </c>
      <c r="AI309">
        <f t="shared" si="19"/>
        <v>0.102533216754152</v>
      </c>
    </row>
    <row r="310" spans="1:35" x14ac:dyDescent="0.45">
      <c r="A310" s="5" t="s">
        <v>251</v>
      </c>
      <c r="B310" s="2">
        <f t="shared" si="16"/>
        <v>20267783.403426215</v>
      </c>
      <c r="C310" s="2">
        <v>19958078.771961823</v>
      </c>
      <c r="D310" s="2">
        <v>2.4858116736306477E-2</v>
      </c>
      <c r="E310" s="5">
        <v>20261152.8807601</v>
      </c>
      <c r="F310" s="5">
        <v>14931415.638974199</v>
      </c>
      <c r="G310" s="5">
        <v>16883715.4592719</v>
      </c>
      <c r="H310" s="5">
        <v>9312122.4002869409</v>
      </c>
      <c r="I310" s="5">
        <v>16819400.084429398</v>
      </c>
      <c r="J310" s="5">
        <v>21671258.795109201</v>
      </c>
      <c r="K310" s="5">
        <v>16705621.555441</v>
      </c>
      <c r="L310" s="5">
        <v>24811408.045945</v>
      </c>
      <c r="M310" s="5">
        <v>31678496.6337515</v>
      </c>
      <c r="N310" s="5">
        <v>16596137.6265602</v>
      </c>
      <c r="O310" s="5">
        <v>5904276.0647762604</v>
      </c>
      <c r="P310" s="5">
        <v>11747481.1527611</v>
      </c>
      <c r="Q310" s="5">
        <v>55869724.843057401</v>
      </c>
      <c r="R310" s="5">
        <v>10351139.8599637</v>
      </c>
      <c r="S310" s="5">
        <v>24563952.794160299</v>
      </c>
      <c r="T310" s="5">
        <v>19275745.0420774</v>
      </c>
      <c r="U310" s="5">
        <v>23801072.840851702</v>
      </c>
      <c r="V310" s="5">
        <v>17435904.491945598</v>
      </c>
      <c r="W310" s="5">
        <v>16417992.0740408</v>
      </c>
      <c r="X310" s="5">
        <v>14416044.940037301</v>
      </c>
      <c r="Y310" s="5">
        <v>26680103.152468301</v>
      </c>
      <c r="Z310" s="5">
        <v>15509661.781947199</v>
      </c>
      <c r="AA310" s="5">
        <v>31472355.614672799</v>
      </c>
      <c r="AB310" s="5">
        <v>23310617.908939701</v>
      </c>
      <c r="AC310" s="5">
        <v>20689616.198849302</v>
      </c>
      <c r="AD310" s="5">
        <v>19637499.920658</v>
      </c>
      <c r="AE310" s="5">
        <v>19663032.104759101</v>
      </c>
      <c r="AF310" s="5">
        <v>19842166.863580901</v>
      </c>
      <c r="AG310">
        <f t="shared" si="17"/>
        <v>19958078.771961823</v>
      </c>
      <c r="AH310">
        <f t="shared" si="18"/>
        <v>496120.25194582721</v>
      </c>
      <c r="AI310">
        <f t="shared" si="19"/>
        <v>2.4858116736306477E-2</v>
      </c>
    </row>
    <row r="311" spans="1:35" x14ac:dyDescent="0.45">
      <c r="A311" s="5" t="s">
        <v>431</v>
      </c>
      <c r="B311" s="2">
        <f t="shared" si="16"/>
        <v>86629515.381280348</v>
      </c>
      <c r="C311" s="2">
        <v>85062424.136847883</v>
      </c>
      <c r="D311" s="2">
        <v>1.5942401976096188E-2</v>
      </c>
      <c r="E311" s="5">
        <v>77331908.361558706</v>
      </c>
      <c r="F311" s="5">
        <v>81901105.164370596</v>
      </c>
      <c r="G311" s="5">
        <v>73621474.069603696</v>
      </c>
      <c r="H311" s="5">
        <v>37158836.500607297</v>
      </c>
      <c r="I311" s="5">
        <v>100623689.34742901</v>
      </c>
      <c r="J311" s="5">
        <v>107593716.29525299</v>
      </c>
      <c r="K311" s="5">
        <v>137877971.8996</v>
      </c>
      <c r="L311" s="5">
        <v>89895452.059759498</v>
      </c>
      <c r="M311" s="5">
        <v>110127789.61466099</v>
      </c>
      <c r="N311" s="5">
        <v>77476510.227758899</v>
      </c>
      <c r="O311" s="5">
        <v>6098602.4691594103</v>
      </c>
      <c r="P311" s="5">
        <v>77245556.558823198</v>
      </c>
      <c r="Q311" s="5">
        <v>169604137.41261101</v>
      </c>
      <c r="R311" s="5">
        <v>63505347.628868401</v>
      </c>
      <c r="S311" s="5">
        <v>95878532.922976598</v>
      </c>
      <c r="T311" s="5">
        <v>27345119.641146801</v>
      </c>
      <c r="U311" s="5">
        <v>97276167.596957698</v>
      </c>
      <c r="V311" s="5">
        <v>76043145.699558198</v>
      </c>
      <c r="W311" s="5">
        <v>99799686.571246505</v>
      </c>
      <c r="X311" s="5">
        <v>69426400.735966206</v>
      </c>
      <c r="Y311" s="5">
        <v>112755122.59945901</v>
      </c>
      <c r="Z311" s="5">
        <v>84737847.517820895</v>
      </c>
      <c r="AA311" s="5">
        <v>120433967.583253</v>
      </c>
      <c r="AB311" s="5">
        <v>85350280.672280401</v>
      </c>
      <c r="AC311" s="5">
        <v>84302761.902539</v>
      </c>
      <c r="AD311" s="5">
        <v>87094679.629088297</v>
      </c>
      <c r="AE311" s="5">
        <v>84418364.919507802</v>
      </c>
      <c r="AF311" s="5">
        <v>84433890.096256405</v>
      </c>
      <c r="AG311">
        <f t="shared" si="17"/>
        <v>85062424.136847883</v>
      </c>
      <c r="AH311">
        <f t="shared" si="18"/>
        <v>1356099.3586508157</v>
      </c>
      <c r="AI311">
        <f t="shared" si="19"/>
        <v>1.5942401976096188E-2</v>
      </c>
    </row>
    <row r="312" spans="1:35" x14ac:dyDescent="0.45">
      <c r="A312" s="5" t="s">
        <v>252</v>
      </c>
      <c r="B312" s="2">
        <f t="shared" si="16"/>
        <v>22086754.215247072</v>
      </c>
      <c r="C312" s="2">
        <v>22691928.198510576</v>
      </c>
      <c r="D312" s="2">
        <v>0.16002166569884699</v>
      </c>
      <c r="E312" s="5">
        <v>12027654.9020814</v>
      </c>
      <c r="F312" s="5">
        <v>24001279.691051502</v>
      </c>
      <c r="G312" s="5">
        <v>19771078.807054199</v>
      </c>
      <c r="H312" s="5">
        <v>11419159.416576499</v>
      </c>
      <c r="I312" s="5">
        <v>25206379.6326789</v>
      </c>
      <c r="J312" s="5">
        <v>30349088.708369501</v>
      </c>
      <c r="K312" s="5">
        <v>34177160.402621701</v>
      </c>
      <c r="L312" s="5">
        <v>7024457.8058924796</v>
      </c>
      <c r="M312" s="5">
        <v>36040694.981184997</v>
      </c>
      <c r="N312" s="5">
        <v>21808423.043967102</v>
      </c>
      <c r="O312" s="5">
        <v>22396545.171963401</v>
      </c>
      <c r="P312" s="5">
        <v>27404506.265144501</v>
      </c>
      <c r="Q312" s="5">
        <v>7101532.3078228598</v>
      </c>
      <c r="R312" s="5">
        <v>5393919.9730306296</v>
      </c>
      <c r="S312" s="5">
        <v>24498023.3572491</v>
      </c>
      <c r="T312" s="5">
        <v>30847168.674458999</v>
      </c>
      <c r="U312" s="5">
        <v>32390849.410126898</v>
      </c>
      <c r="V312" s="5">
        <v>16777959.732089099</v>
      </c>
      <c r="W312" s="5">
        <v>22440591.3725265</v>
      </c>
      <c r="X312" s="5">
        <v>30056422.739427701</v>
      </c>
      <c r="Y312" s="5">
        <v>19246006.414740998</v>
      </c>
      <c r="Z312" s="5">
        <v>16464054.169115899</v>
      </c>
      <c r="AA312" s="5">
        <v>26588540.3533771</v>
      </c>
      <c r="AB312" s="5">
        <v>26650603.833377801</v>
      </c>
      <c r="AC312" s="5">
        <v>22670504.122251902</v>
      </c>
      <c r="AD312" s="5">
        <v>24869825.5806248</v>
      </c>
      <c r="AE312" s="5">
        <v>25644073.598957598</v>
      </c>
      <c r="AF312" s="5">
        <v>17583309.492208</v>
      </c>
      <c r="AG312">
        <f t="shared" si="17"/>
        <v>22691928.198510576</v>
      </c>
      <c r="AH312">
        <f t="shared" si="18"/>
        <v>3631200.1482442985</v>
      </c>
      <c r="AI312">
        <f t="shared" si="19"/>
        <v>0.16002166569884699</v>
      </c>
    </row>
    <row r="313" spans="1:35" x14ac:dyDescent="0.45">
      <c r="A313" s="5" t="s">
        <v>253</v>
      </c>
      <c r="B313" s="2">
        <f t="shared" si="16"/>
        <v>158826957.30935773</v>
      </c>
      <c r="C313" s="2">
        <v>90023192.838412195</v>
      </c>
      <c r="D313" s="2">
        <v>5.7709901841854865E-2</v>
      </c>
      <c r="E313" s="5">
        <v>44798263.5939788</v>
      </c>
      <c r="F313" s="5">
        <v>63762613.620208196</v>
      </c>
      <c r="G313" s="5">
        <v>41092686.306788303</v>
      </c>
      <c r="H313" s="5">
        <v>367094843.64952397</v>
      </c>
      <c r="I313" s="5">
        <v>53277790.659615502</v>
      </c>
      <c r="J313" s="5">
        <v>44560928.233501501</v>
      </c>
      <c r="K313" s="5">
        <v>88668571.886381596</v>
      </c>
      <c r="L313" s="5">
        <v>53737963.3678248</v>
      </c>
      <c r="M313" s="5">
        <v>41902315.510949299</v>
      </c>
      <c r="N313" s="5">
        <v>140421430.84349701</v>
      </c>
      <c r="O313" s="5">
        <v>1342993553.76632</v>
      </c>
      <c r="P313" s="5">
        <v>163213905.48813</v>
      </c>
      <c r="Q313" s="5">
        <v>59280950.2764128</v>
      </c>
      <c r="R313" s="5">
        <v>124138476.409445</v>
      </c>
      <c r="S313" s="5">
        <v>46181041.0079161</v>
      </c>
      <c r="T313" s="5">
        <v>590071391.43034399</v>
      </c>
      <c r="U313" s="5">
        <v>79977565.481968105</v>
      </c>
      <c r="V313" s="5">
        <v>47224606.660487399</v>
      </c>
      <c r="W313" s="5">
        <v>155761120.514285</v>
      </c>
      <c r="X313" s="5">
        <v>44204380.914456099</v>
      </c>
      <c r="Y313" s="5">
        <v>69213443.081964701</v>
      </c>
      <c r="Z313" s="5">
        <v>48375570.884694599</v>
      </c>
      <c r="AA313" s="5">
        <v>55890907.067800999</v>
      </c>
      <c r="AB313" s="5">
        <v>46002654.7680922</v>
      </c>
      <c r="AC313" s="5">
        <v>84224349.271879703</v>
      </c>
      <c r="AD313" s="5">
        <v>92184253.473602399</v>
      </c>
      <c r="AE313" s="5">
        <v>87596043.184632495</v>
      </c>
      <c r="AF313" s="5">
        <v>96088125.4235342</v>
      </c>
      <c r="AG313">
        <f t="shared" si="17"/>
        <v>90023192.838412195</v>
      </c>
      <c r="AH313">
        <f t="shared" si="18"/>
        <v>5195229.6221951395</v>
      </c>
      <c r="AI313">
        <f t="shared" si="19"/>
        <v>5.7709901841854865E-2</v>
      </c>
    </row>
    <row r="314" spans="1:35" x14ac:dyDescent="0.45">
      <c r="A314" s="5" t="s">
        <v>254</v>
      </c>
      <c r="B314" s="2">
        <f t="shared" si="16"/>
        <v>65241109.668308638</v>
      </c>
      <c r="C314" s="2">
        <v>60717113.79349155</v>
      </c>
      <c r="D314" s="2">
        <v>4.7757837722991532E-2</v>
      </c>
      <c r="E314" s="5">
        <v>56581089.705544397</v>
      </c>
      <c r="F314" s="5">
        <v>71262501.215774104</v>
      </c>
      <c r="G314" s="5">
        <v>66066023.9826442</v>
      </c>
      <c r="H314" s="5">
        <v>80398594.300638005</v>
      </c>
      <c r="I314" s="5">
        <v>64673546.811032698</v>
      </c>
      <c r="J314" s="5">
        <v>76872224.622428</v>
      </c>
      <c r="K314" s="5">
        <v>75364243.265883893</v>
      </c>
      <c r="L314" s="5">
        <v>58631008.768542498</v>
      </c>
      <c r="M314" s="5">
        <v>57249081.647272199</v>
      </c>
      <c r="N314" s="5">
        <v>58618389.302436799</v>
      </c>
      <c r="O314" s="5">
        <v>53824302.078114301</v>
      </c>
      <c r="P314" s="5">
        <v>68660528.092592895</v>
      </c>
      <c r="Q314" s="5">
        <v>53224734.932720803</v>
      </c>
      <c r="R314" s="5">
        <v>79721329.823839098</v>
      </c>
      <c r="S314" s="5">
        <v>73068518.199403897</v>
      </c>
      <c r="T314" s="5">
        <v>73152243.1083498</v>
      </c>
      <c r="U314" s="5">
        <v>69347915.474289</v>
      </c>
      <c r="V314" s="5">
        <v>66869898.903918102</v>
      </c>
      <c r="W314" s="5">
        <v>58912941.068298303</v>
      </c>
      <c r="X314" s="5">
        <v>79540115.399561197</v>
      </c>
      <c r="Y314" s="5">
        <v>60857981.421243399</v>
      </c>
      <c r="Z314" s="5">
        <v>80182114.958916694</v>
      </c>
      <c r="AA314" s="5">
        <v>73832988.898164004</v>
      </c>
      <c r="AB314" s="5">
        <v>8874316.0577988308</v>
      </c>
      <c r="AC314" s="5">
        <v>56447182.995387703</v>
      </c>
      <c r="AD314" s="5">
        <v>61853504.6805906</v>
      </c>
      <c r="AE314" s="5">
        <v>61654652.011809997</v>
      </c>
      <c r="AF314" s="5">
        <v>62913115.486177899</v>
      </c>
      <c r="AG314">
        <f t="shared" si="17"/>
        <v>60717113.79349155</v>
      </c>
      <c r="AH314">
        <f t="shared" si="18"/>
        <v>2899718.0675579803</v>
      </c>
      <c r="AI314">
        <f t="shared" si="19"/>
        <v>4.7757837722991532E-2</v>
      </c>
    </row>
    <row r="315" spans="1:35" x14ac:dyDescent="0.45">
      <c r="A315" s="5" t="s">
        <v>255</v>
      </c>
      <c r="B315" s="2">
        <f t="shared" si="16"/>
        <v>30901798.477089684</v>
      </c>
      <c r="C315" s="2">
        <v>12815601.69083585</v>
      </c>
      <c r="D315" s="2">
        <v>4.3852727483075976E-2</v>
      </c>
      <c r="E315" s="5">
        <v>415853.82404431998</v>
      </c>
      <c r="F315" s="5">
        <v>405648.51345944899</v>
      </c>
      <c r="G315" s="5">
        <v>265191.46496214299</v>
      </c>
      <c r="H315" s="5">
        <v>737019.83724680101</v>
      </c>
      <c r="I315" s="5">
        <v>292920.41599931999</v>
      </c>
      <c r="J315" s="5">
        <v>7357428.6749438699</v>
      </c>
      <c r="K315" s="5">
        <v>693136.14571469405</v>
      </c>
      <c r="L315" s="5">
        <v>273549.33743663598</v>
      </c>
      <c r="M315" s="5">
        <v>4222098.33147626</v>
      </c>
      <c r="N315" s="5">
        <v>5426606.2889289604</v>
      </c>
      <c r="O315" s="5">
        <v>5341582.5494862897</v>
      </c>
      <c r="P315" s="5">
        <v>3208850.5316890199</v>
      </c>
      <c r="Q315" s="5">
        <v>225050.77041684199</v>
      </c>
      <c r="R315" s="5">
        <v>361353.11284843099</v>
      </c>
      <c r="S315" s="5">
        <v>255723.169140382</v>
      </c>
      <c r="T315" s="5">
        <v>681735415.75797403</v>
      </c>
      <c r="U315" s="5">
        <v>8817642.8216806296</v>
      </c>
      <c r="V315" s="5">
        <v>478668.62078688602</v>
      </c>
      <c r="W315" s="5">
        <v>951510.08799191297</v>
      </c>
      <c r="X315" s="5">
        <v>6459968.2175029796</v>
      </c>
      <c r="Y315" s="5">
        <v>146099.756314664</v>
      </c>
      <c r="Z315" s="5">
        <v>8195333.5519591598</v>
      </c>
      <c r="AA315" s="5">
        <v>5123745.80024915</v>
      </c>
      <c r="AB315" s="5">
        <v>252765.86789949701</v>
      </c>
      <c r="AC315" s="5">
        <v>12550752.924903899</v>
      </c>
      <c r="AD315" s="5">
        <v>12205503.664576801</v>
      </c>
      <c r="AE315" s="5">
        <v>13500459.920048799</v>
      </c>
      <c r="AF315" s="5">
        <v>13005690.2538139</v>
      </c>
      <c r="AG315">
        <f t="shared" si="17"/>
        <v>12815601.69083585</v>
      </c>
      <c r="AH315">
        <f t="shared" si="18"/>
        <v>561999.08847987221</v>
      </c>
      <c r="AI315">
        <f t="shared" si="19"/>
        <v>4.3852727483075976E-2</v>
      </c>
    </row>
    <row r="316" spans="1:35" x14ac:dyDescent="0.45">
      <c r="A316" s="5" t="s">
        <v>256</v>
      </c>
      <c r="B316" s="2">
        <f t="shared" si="16"/>
        <v>28991857.12400949</v>
      </c>
      <c r="C316" s="2">
        <v>21808668.792515449</v>
      </c>
      <c r="D316" s="2">
        <v>1.4602606951641575E-2</v>
      </c>
      <c r="E316" s="5">
        <v>2804115.9764161799</v>
      </c>
      <c r="F316" s="5">
        <v>15220928.779403901</v>
      </c>
      <c r="G316" s="5">
        <v>2339685.30716372</v>
      </c>
      <c r="H316" s="5">
        <v>183612435.012187</v>
      </c>
      <c r="I316" s="5">
        <v>5066853.5763714397</v>
      </c>
      <c r="J316" s="5">
        <v>56301743.848038703</v>
      </c>
      <c r="K316" s="5">
        <v>17635303.029474799</v>
      </c>
      <c r="L316" s="5">
        <v>3070526.4186638598</v>
      </c>
      <c r="M316" s="5">
        <v>7701584.9973341897</v>
      </c>
      <c r="N316" s="5">
        <v>109086475.683948</v>
      </c>
      <c r="O316" s="5">
        <v>5855253.4671160802</v>
      </c>
      <c r="P316" s="5">
        <v>25678629.082754601</v>
      </c>
      <c r="Q316" s="5">
        <v>3218218.0824347399</v>
      </c>
      <c r="R316" s="5">
        <v>34818325.9837301</v>
      </c>
      <c r="S316" s="5">
        <v>145560748.87936899</v>
      </c>
      <c r="T316" s="5">
        <v>6638109.9932640595</v>
      </c>
      <c r="U316" s="5">
        <v>8867034.1184764206</v>
      </c>
      <c r="V316" s="5">
        <v>20815452.150178201</v>
      </c>
      <c r="W316" s="5">
        <v>1781333.8525944999</v>
      </c>
      <c r="X316" s="5">
        <v>5954147.4461604999</v>
      </c>
      <c r="Y316" s="5">
        <v>11091586.0853144</v>
      </c>
      <c r="Z316" s="5">
        <v>15848850.995100699</v>
      </c>
      <c r="AA316" s="5">
        <v>4258349.0793777602</v>
      </c>
      <c r="AB316" s="5">
        <v>2578879.1313549099</v>
      </c>
      <c r="AC316" s="5">
        <v>21771465.203556199</v>
      </c>
      <c r="AD316" s="5">
        <v>21799983.122122899</v>
      </c>
      <c r="AE316" s="5">
        <v>21443190.722780999</v>
      </c>
      <c r="AF316" s="5">
        <v>22220036.121601701</v>
      </c>
      <c r="AG316">
        <f t="shared" si="17"/>
        <v>21808668.792515449</v>
      </c>
      <c r="AH316">
        <f t="shared" si="18"/>
        <v>318463.41851563478</v>
      </c>
      <c r="AI316">
        <f t="shared" si="19"/>
        <v>1.4602606951641575E-2</v>
      </c>
    </row>
    <row r="317" spans="1:35" x14ac:dyDescent="0.45">
      <c r="A317" s="5" t="s">
        <v>341</v>
      </c>
      <c r="B317" s="2">
        <f t="shared" si="16"/>
        <v>5968364.481453117</v>
      </c>
      <c r="C317" s="2">
        <v>4778288.4214892853</v>
      </c>
      <c r="D317" s="2">
        <v>6.5361889085465932E-2</v>
      </c>
      <c r="E317" s="5">
        <v>4169476.2527526901</v>
      </c>
      <c r="F317" s="5">
        <v>6628902.0499152904</v>
      </c>
      <c r="G317" s="5">
        <v>5640160.3032451002</v>
      </c>
      <c r="H317" s="5">
        <v>7640554.1966983704</v>
      </c>
      <c r="I317" s="5">
        <v>7198928.8967289096</v>
      </c>
      <c r="J317" s="5">
        <v>3989714.33630689</v>
      </c>
      <c r="K317" s="5">
        <v>6679579.59413171</v>
      </c>
      <c r="L317" s="5">
        <v>8298980.0827393103</v>
      </c>
      <c r="M317" s="5">
        <v>5094647.2882128898</v>
      </c>
      <c r="N317" s="5">
        <v>5125359.4674156001</v>
      </c>
      <c r="O317" s="5">
        <v>4403459.1805916503</v>
      </c>
      <c r="P317" s="5">
        <v>6087594.9369658902</v>
      </c>
      <c r="Q317" s="5">
        <v>4520126.3068495197</v>
      </c>
      <c r="R317" s="5">
        <v>8049301.6800182499</v>
      </c>
      <c r="S317" s="5">
        <v>7636237.5127344802</v>
      </c>
      <c r="T317" s="5">
        <v>7337410.5274111601</v>
      </c>
      <c r="U317" s="5">
        <v>4763065.2499620104</v>
      </c>
      <c r="V317" s="5">
        <v>6521409.5655441098</v>
      </c>
      <c r="W317" s="5">
        <v>3917318.6010969202</v>
      </c>
      <c r="X317" s="5">
        <v>7685858.9754214603</v>
      </c>
      <c r="Y317" s="5">
        <v>6820042.7240123702</v>
      </c>
      <c r="Z317" s="5">
        <v>4041611.1225173399</v>
      </c>
      <c r="AA317" s="5">
        <v>5968755.71933241</v>
      </c>
      <c r="AB317" s="5">
        <v>5022252.9842704805</v>
      </c>
      <c r="AC317" s="5">
        <v>4754996.9763579201</v>
      </c>
      <c r="AD317" s="5">
        <v>4346315.3368622996</v>
      </c>
      <c r="AE317" s="5">
        <v>4975495.4743635701</v>
      </c>
      <c r="AF317" s="5">
        <v>5036345.8983733496</v>
      </c>
      <c r="AG317">
        <f t="shared" si="17"/>
        <v>4778288.4214892853</v>
      </c>
      <c r="AH317">
        <f t="shared" si="18"/>
        <v>312317.95782374876</v>
      </c>
      <c r="AI317">
        <f t="shared" si="19"/>
        <v>6.5361889085465932E-2</v>
      </c>
    </row>
    <row r="318" spans="1:35" x14ac:dyDescent="0.45">
      <c r="A318" s="5" t="s">
        <v>342</v>
      </c>
      <c r="B318" s="2">
        <f t="shared" si="16"/>
        <v>120048292.3715151</v>
      </c>
      <c r="C318" s="2">
        <v>124742535.20942849</v>
      </c>
      <c r="D318" s="2">
        <v>9.8929119992287276E-2</v>
      </c>
      <c r="E318" s="5">
        <v>179858065.340487</v>
      </c>
      <c r="F318" s="5">
        <v>199892446.51200899</v>
      </c>
      <c r="G318" s="5">
        <v>124016268.20804401</v>
      </c>
      <c r="H318" s="5">
        <v>21431241.1195747</v>
      </c>
      <c r="I318" s="5">
        <v>91098310.752692893</v>
      </c>
      <c r="J318" s="5">
        <v>244132521.814318</v>
      </c>
      <c r="K318" s="5">
        <v>97533018.597485706</v>
      </c>
      <c r="L318" s="5">
        <v>138950690.770549</v>
      </c>
      <c r="M318" s="5">
        <v>128001192.69591101</v>
      </c>
      <c r="N318" s="5">
        <v>60807842.1194425</v>
      </c>
      <c r="O318" s="5">
        <v>17015317.366645701</v>
      </c>
      <c r="P318" s="5">
        <v>48713182.876198404</v>
      </c>
      <c r="Q318" s="5">
        <v>65932717.924501397</v>
      </c>
      <c r="R318" s="5">
        <v>90950823.747033998</v>
      </c>
      <c r="S318" s="5">
        <v>112500402.89951199</v>
      </c>
      <c r="T318" s="5">
        <v>203413161.078437</v>
      </c>
      <c r="U318" s="5">
        <v>141682310.098988</v>
      </c>
      <c r="V318" s="5">
        <v>156408118.74357799</v>
      </c>
      <c r="W318" s="5">
        <v>57335206.193614103</v>
      </c>
      <c r="X318" s="5">
        <v>124378396.87342501</v>
      </c>
      <c r="Y318" s="5">
        <v>89353048.519311205</v>
      </c>
      <c r="Z318" s="5">
        <v>193661181.04425001</v>
      </c>
      <c r="AA318" s="5">
        <v>184154269.63863701</v>
      </c>
      <c r="AB318" s="5">
        <v>109939281.98171601</v>
      </c>
      <c r="AC318" s="5">
        <v>112710248.82769901</v>
      </c>
      <c r="AD318" s="5">
        <v>126611860.558485</v>
      </c>
      <c r="AE318" s="5">
        <v>118489043.954486</v>
      </c>
      <c r="AF318" s="5">
        <v>141158987.497044</v>
      </c>
      <c r="AG318">
        <f t="shared" si="17"/>
        <v>124742535.20942849</v>
      </c>
      <c r="AH318">
        <f t="shared" si="18"/>
        <v>12340669.233875671</v>
      </c>
      <c r="AI318">
        <f t="shared" si="19"/>
        <v>9.8929119992287276E-2</v>
      </c>
    </row>
    <row r="319" spans="1:35" x14ac:dyDescent="0.45">
      <c r="A319" s="5" t="s">
        <v>257</v>
      </c>
      <c r="B319" s="2">
        <f t="shared" si="16"/>
        <v>3210209.0963188955</v>
      </c>
      <c r="C319" s="2">
        <v>3009587.6535025071</v>
      </c>
      <c r="D319" s="2">
        <v>0.167291175762393</v>
      </c>
      <c r="E319" s="5">
        <v>2091971.6002710799</v>
      </c>
      <c r="F319" s="5">
        <v>1650769.4580101799</v>
      </c>
      <c r="G319" s="5">
        <v>2553831.42685962</v>
      </c>
      <c r="H319" s="5">
        <v>700480.20024347003</v>
      </c>
      <c r="I319" s="5">
        <v>5743571.2634213697</v>
      </c>
      <c r="J319" s="5">
        <v>3492753.0842098002</v>
      </c>
      <c r="K319" s="5">
        <v>1506524.2690614399</v>
      </c>
      <c r="L319" s="5">
        <v>3512223.8330816198</v>
      </c>
      <c r="M319" s="5">
        <v>4099923.2107664198</v>
      </c>
      <c r="N319" s="5">
        <v>1357352.7268692299</v>
      </c>
      <c r="O319" s="5">
        <v>4274659.0942031303</v>
      </c>
      <c r="P319" s="5">
        <v>1686869.8047697099</v>
      </c>
      <c r="Q319" s="5">
        <v>7228601.0521526802</v>
      </c>
      <c r="R319" s="5">
        <v>1543954.57295917</v>
      </c>
      <c r="S319" s="5">
        <v>5370864.3146018097</v>
      </c>
      <c r="T319" s="5">
        <v>1554947.5975927899</v>
      </c>
      <c r="U319" s="5">
        <v>2692236.8521276698</v>
      </c>
      <c r="V319" s="5">
        <v>2777131.34008695</v>
      </c>
      <c r="W319" s="5">
        <v>1968556.82456669</v>
      </c>
      <c r="X319" s="5">
        <v>2250786.9507180899</v>
      </c>
      <c r="Y319" s="5">
        <v>2580303.98195701</v>
      </c>
      <c r="Z319" s="5">
        <v>3239324.9804793498</v>
      </c>
      <c r="AA319" s="5">
        <v>7945797.6236527003</v>
      </c>
      <c r="AB319" s="5">
        <v>5221582.2489915099</v>
      </c>
      <c r="AC319" s="5">
        <v>2329054.5682667498</v>
      </c>
      <c r="AD319" s="5">
        <v>3208104.0649332199</v>
      </c>
      <c r="AE319" s="5">
        <v>2984358.7213701298</v>
      </c>
      <c r="AF319" s="5">
        <v>3516833.2594399299</v>
      </c>
      <c r="AG319">
        <f t="shared" si="17"/>
        <v>3009587.6535025071</v>
      </c>
      <c r="AH319">
        <f t="shared" si="18"/>
        <v>503477.45711441583</v>
      </c>
      <c r="AI319">
        <f t="shared" si="19"/>
        <v>0.167291175762393</v>
      </c>
    </row>
    <row r="320" spans="1:35" x14ac:dyDescent="0.45">
      <c r="A320" s="5" t="s">
        <v>258</v>
      </c>
      <c r="B320" s="2">
        <f t="shared" si="16"/>
        <v>162993538.79756221</v>
      </c>
      <c r="C320" s="2">
        <v>98452331.621113613</v>
      </c>
      <c r="D320" s="2">
        <v>2.9296002141964265E-2</v>
      </c>
      <c r="E320" s="5">
        <v>109344067.766653</v>
      </c>
      <c r="F320" s="5">
        <v>226272.69887813699</v>
      </c>
      <c r="G320" s="5">
        <v>954999.83709644503</v>
      </c>
      <c r="H320" s="5">
        <v>182797472.54184499</v>
      </c>
      <c r="I320" s="5">
        <v>985132.34254080104</v>
      </c>
      <c r="J320" s="5">
        <v>343403.00229476299</v>
      </c>
      <c r="K320" s="5">
        <v>1319629.6211814</v>
      </c>
      <c r="L320" s="5">
        <v>1390987.8150291501</v>
      </c>
      <c r="M320" s="5">
        <v>79633218.046392307</v>
      </c>
      <c r="N320" s="5">
        <v>1746721.69386139</v>
      </c>
      <c r="O320" s="5">
        <v>283671491.23256397</v>
      </c>
      <c r="P320" s="5">
        <v>5859583.86028946</v>
      </c>
      <c r="Q320" s="5">
        <v>894687.54018164403</v>
      </c>
      <c r="R320" s="5">
        <v>52399749.940339297</v>
      </c>
      <c r="S320" s="5">
        <v>1077146.74975066</v>
      </c>
      <c r="T320" s="5">
        <v>3081056238.56142</v>
      </c>
      <c r="U320" s="5">
        <v>28580120.249696001</v>
      </c>
      <c r="V320" s="5">
        <v>1034517.08787337</v>
      </c>
      <c r="W320" s="5">
        <v>31336276.857318401</v>
      </c>
      <c r="X320" s="5">
        <v>39099631.7001881</v>
      </c>
      <c r="Y320" s="5">
        <v>196319.76997512401</v>
      </c>
      <c r="Z320" s="5">
        <v>1673730.9882922701</v>
      </c>
      <c r="AA320" s="5">
        <v>1232862.3333586799</v>
      </c>
      <c r="AB320" s="5">
        <v>4990668.9044735199</v>
      </c>
      <c r="AC320" s="5">
        <v>97291333.5939219</v>
      </c>
      <c r="AD320" s="5">
        <v>95138377.225216597</v>
      </c>
      <c r="AE320" s="5">
        <v>99546555.320769906</v>
      </c>
      <c r="AF320" s="5">
        <v>101833060.34454601</v>
      </c>
      <c r="AG320">
        <f t="shared" si="17"/>
        <v>98452331.621113613</v>
      </c>
      <c r="AH320">
        <f t="shared" si="18"/>
        <v>2884259.7180535207</v>
      </c>
      <c r="AI320">
        <f t="shared" si="19"/>
        <v>2.9296002141964265E-2</v>
      </c>
    </row>
    <row r="321" spans="1:35" x14ac:dyDescent="0.45">
      <c r="A321" s="5" t="s">
        <v>343</v>
      </c>
      <c r="B321" s="2">
        <f t="shared" si="16"/>
        <v>108519889.49959637</v>
      </c>
      <c r="C321" s="2">
        <v>93793364.213868737</v>
      </c>
      <c r="D321" s="2">
        <v>4.0710850066935984E-2</v>
      </c>
      <c r="E321" s="5">
        <v>83788862.453841403</v>
      </c>
      <c r="F321" s="5">
        <v>46465344.475340903</v>
      </c>
      <c r="G321" s="5">
        <v>104860245.593373</v>
      </c>
      <c r="H321" s="5">
        <v>20135240.359387401</v>
      </c>
      <c r="I321" s="5">
        <v>148822249.40904099</v>
      </c>
      <c r="J321" s="5">
        <v>110228231.45187999</v>
      </c>
      <c r="K321" s="5">
        <v>51846015.574450798</v>
      </c>
      <c r="L321" s="5">
        <v>119045774.99996801</v>
      </c>
      <c r="M321" s="5">
        <v>151980486.57378</v>
      </c>
      <c r="N321" s="5">
        <v>47516007.076315403</v>
      </c>
      <c r="O321" s="5">
        <v>137495062.190615</v>
      </c>
      <c r="P321" s="5">
        <v>61483373.476779297</v>
      </c>
      <c r="Q321" s="5">
        <v>238471943.020201</v>
      </c>
      <c r="R321" s="5">
        <v>46476733.795880601</v>
      </c>
      <c r="S321" s="5">
        <v>181254458.52300799</v>
      </c>
      <c r="T321" s="5">
        <v>70197579.439203501</v>
      </c>
      <c r="U321" s="5">
        <v>79275439.548187301</v>
      </c>
      <c r="V321" s="5">
        <v>95137940.435774699</v>
      </c>
      <c r="W321" s="5">
        <v>79295504.530776396</v>
      </c>
      <c r="X321" s="5">
        <v>79622671.163378596</v>
      </c>
      <c r="Y321" s="5">
        <v>76436683.520170897</v>
      </c>
      <c r="Z321" s="5">
        <v>125115568.54825801</v>
      </c>
      <c r="AA321" s="5">
        <v>284492560.62475699</v>
      </c>
      <c r="AB321" s="5">
        <v>165033371.20594499</v>
      </c>
      <c r="AC321" s="5">
        <v>88920279.128718704</v>
      </c>
      <c r="AD321" s="5">
        <v>92978045.692616895</v>
      </c>
      <c r="AE321" s="5">
        <v>97892563.862979397</v>
      </c>
      <c r="AF321" s="5">
        <v>95382568.171159893</v>
      </c>
      <c r="AG321">
        <f t="shared" si="17"/>
        <v>93793364.213868737</v>
      </c>
      <c r="AH321">
        <f t="shared" si="18"/>
        <v>3818407.587784329</v>
      </c>
      <c r="AI321">
        <f t="shared" si="19"/>
        <v>4.0710850066935984E-2</v>
      </c>
    </row>
    <row r="322" spans="1:35" x14ac:dyDescent="0.45">
      <c r="A322" s="5" t="s">
        <v>259</v>
      </c>
      <c r="B322" s="2">
        <f t="shared" ref="B322:B334" si="20">AVERAGE(E322:AB322)</f>
        <v>64910558.764126725</v>
      </c>
      <c r="C322" s="2">
        <v>65083709.865660921</v>
      </c>
      <c r="D322" s="2">
        <v>0.13594637052391995</v>
      </c>
      <c r="E322" s="5">
        <v>38860233.408805303</v>
      </c>
      <c r="F322" s="5">
        <v>63821365.158321202</v>
      </c>
      <c r="G322" s="5">
        <v>49573529.593229704</v>
      </c>
      <c r="H322" s="5">
        <v>52635007.2468675</v>
      </c>
      <c r="I322" s="5">
        <v>82104792.339865103</v>
      </c>
      <c r="J322" s="5">
        <v>86100098.179172203</v>
      </c>
      <c r="K322" s="5">
        <v>90791417.079363704</v>
      </c>
      <c r="L322" s="5">
        <v>61193241.496804297</v>
      </c>
      <c r="M322" s="5">
        <v>119289353.099636</v>
      </c>
      <c r="N322" s="5">
        <v>55387414.075992502</v>
      </c>
      <c r="O322" s="5">
        <v>47678503.737459198</v>
      </c>
      <c r="P322" s="5">
        <v>68208623.052141801</v>
      </c>
      <c r="Q322" s="5">
        <v>63145527.9777252</v>
      </c>
      <c r="R322" s="5">
        <v>16060655.733490899</v>
      </c>
      <c r="S322" s="5">
        <v>64067200.326754399</v>
      </c>
      <c r="T322" s="5">
        <v>18529485.884183999</v>
      </c>
      <c r="U322" s="5">
        <v>109306252.85706399</v>
      </c>
      <c r="V322" s="5">
        <v>61792029.368285</v>
      </c>
      <c r="W322" s="5">
        <v>58538179.916436799</v>
      </c>
      <c r="X322" s="5">
        <v>81885956.712378904</v>
      </c>
      <c r="Y322" s="5">
        <v>53858410.108779199</v>
      </c>
      <c r="Z322" s="5">
        <v>84041555.778246105</v>
      </c>
      <c r="AA322" s="5">
        <v>76079879.971498802</v>
      </c>
      <c r="AB322" s="5">
        <v>54904697.236539602</v>
      </c>
      <c r="AC322" s="5">
        <v>62822235.633069202</v>
      </c>
      <c r="AD322" s="5">
        <v>69633773.326460093</v>
      </c>
      <c r="AE322" s="5">
        <v>74098635.901310503</v>
      </c>
      <c r="AF322" s="5">
        <v>53780194.601803899</v>
      </c>
      <c r="AG322">
        <f t="shared" ref="AG322:AG334" si="21">AVERAGE(AC322:AF322)</f>
        <v>65083709.865660921</v>
      </c>
      <c r="AH322">
        <f t="shared" ref="AH322:AH334" si="22">STDEV(AC322:AF322)</f>
        <v>8847894.136468444</v>
      </c>
      <c r="AI322">
        <f t="shared" ref="AI322:AI334" si="23">AH322/AG322</f>
        <v>0.13594637052391995</v>
      </c>
    </row>
    <row r="323" spans="1:35" x14ac:dyDescent="0.45">
      <c r="A323" s="5" t="s">
        <v>260</v>
      </c>
      <c r="B323" s="2">
        <f t="shared" si="20"/>
        <v>72316467.583477184</v>
      </c>
      <c r="C323" s="2">
        <v>82786597.351253539</v>
      </c>
      <c r="D323" s="2">
        <v>1.9528146880058161E-2</v>
      </c>
      <c r="E323" s="5">
        <v>64554483.620576702</v>
      </c>
      <c r="F323" s="5">
        <v>88428781.016184494</v>
      </c>
      <c r="G323" s="5">
        <v>55383933.350595199</v>
      </c>
      <c r="H323" s="5">
        <v>70374658.763059497</v>
      </c>
      <c r="I323" s="5">
        <v>15544951.992878299</v>
      </c>
      <c r="J323" s="5">
        <v>56029533.371792197</v>
      </c>
      <c r="K323" s="5">
        <v>55528104.848903403</v>
      </c>
      <c r="L323" s="5">
        <v>68101773.077913806</v>
      </c>
      <c r="M323" s="5">
        <v>47247790.376309</v>
      </c>
      <c r="N323" s="5">
        <v>93783369.979610994</v>
      </c>
      <c r="O323" s="5">
        <v>136907166.71377999</v>
      </c>
      <c r="P323" s="5">
        <v>84905556.536583602</v>
      </c>
      <c r="Q323" s="5">
        <v>41020315.104681402</v>
      </c>
      <c r="R323" s="5">
        <v>67622896.143675506</v>
      </c>
      <c r="S323" s="5">
        <v>52959798.804054201</v>
      </c>
      <c r="T323" s="5">
        <v>111840072.32791799</v>
      </c>
      <c r="U323" s="5">
        <v>61750561.506377399</v>
      </c>
      <c r="V323" s="5">
        <v>58196471.018140003</v>
      </c>
      <c r="W323" s="5">
        <v>152155516.64628601</v>
      </c>
      <c r="X323" s="5">
        <v>57097745.046199001</v>
      </c>
      <c r="Y323" s="5">
        <v>60355517.211839803</v>
      </c>
      <c r="Z323" s="5">
        <v>63653852.193744697</v>
      </c>
      <c r="AA323" s="5">
        <v>53303110.724302702</v>
      </c>
      <c r="AB323" s="5">
        <v>118849261.62804601</v>
      </c>
      <c r="AC323" s="5">
        <v>83204970.537374407</v>
      </c>
      <c r="AD323" s="5">
        <v>82704756.574761897</v>
      </c>
      <c r="AE323" s="5">
        <v>80668652.547582701</v>
      </c>
      <c r="AF323" s="5">
        <v>84568009.745295197</v>
      </c>
      <c r="AG323">
        <f t="shared" si="21"/>
        <v>82786597.351253539</v>
      </c>
      <c r="AH323">
        <f t="shared" si="22"/>
        <v>1616668.8327755129</v>
      </c>
      <c r="AI323">
        <f t="shared" si="23"/>
        <v>1.9528146880058161E-2</v>
      </c>
    </row>
    <row r="324" spans="1:35" x14ac:dyDescent="0.45">
      <c r="A324" s="5" t="s">
        <v>344</v>
      </c>
      <c r="B324" s="2">
        <f t="shared" si="20"/>
        <v>17997648.005651932</v>
      </c>
      <c r="C324" s="2">
        <v>19125126.458590973</v>
      </c>
      <c r="D324" s="2">
        <v>0.18328767612834118</v>
      </c>
      <c r="E324" s="5">
        <v>24420411.896585599</v>
      </c>
      <c r="F324" s="5">
        <v>12123923.5548389</v>
      </c>
      <c r="G324" s="5">
        <v>16742022.715652199</v>
      </c>
      <c r="H324" s="5">
        <v>13721702.5252956</v>
      </c>
      <c r="I324" s="5">
        <v>36871367.098135702</v>
      </c>
      <c r="J324" s="5">
        <v>25987600.039234601</v>
      </c>
      <c r="K324" s="5">
        <v>12936604.166837299</v>
      </c>
      <c r="L324" s="5">
        <v>13253354.908874501</v>
      </c>
      <c r="M324" s="5">
        <v>21796254.4976255</v>
      </c>
      <c r="N324" s="5">
        <v>7534820.9501109598</v>
      </c>
      <c r="O324" s="5">
        <v>18180161.341264602</v>
      </c>
      <c r="P324" s="5">
        <v>18826442.314721901</v>
      </c>
      <c r="Q324" s="5">
        <v>13138718.268335</v>
      </c>
      <c r="R324" s="5">
        <v>15900277.2079098</v>
      </c>
      <c r="S324" s="5">
        <v>14282457.4931123</v>
      </c>
      <c r="T324" s="5">
        <v>32902002.272190001</v>
      </c>
      <c r="U324" s="5">
        <v>17431936.228955802</v>
      </c>
      <c r="V324" s="5">
        <v>15914999.667461701</v>
      </c>
      <c r="W324" s="5">
        <v>9099926.8630479407</v>
      </c>
      <c r="X324" s="5">
        <v>15612115.4386288</v>
      </c>
      <c r="Y324" s="5">
        <v>10792408.764344901</v>
      </c>
      <c r="Z324" s="5">
        <v>25697083.255845301</v>
      </c>
      <c r="AA324" s="5">
        <v>23137339.9335844</v>
      </c>
      <c r="AB324" s="5">
        <v>15639620.733053099</v>
      </c>
      <c r="AC324" s="5">
        <v>24337679.7563482</v>
      </c>
      <c r="AD324" s="5">
        <v>16802070.4691136</v>
      </c>
      <c r="AE324" s="5">
        <v>17926942.998037402</v>
      </c>
      <c r="AF324" s="5">
        <v>17433812.610864699</v>
      </c>
      <c r="AG324">
        <f t="shared" si="21"/>
        <v>19125126.458590973</v>
      </c>
      <c r="AH324">
        <f t="shared" si="22"/>
        <v>3505399.9842557912</v>
      </c>
      <c r="AI324">
        <f t="shared" si="23"/>
        <v>0.18328767612834118</v>
      </c>
    </row>
    <row r="325" spans="1:35" x14ac:dyDescent="0.45">
      <c r="A325" s="5" t="s">
        <v>261</v>
      </c>
      <c r="B325" s="2">
        <f t="shared" si="20"/>
        <v>32487975.438881267</v>
      </c>
      <c r="C325" s="2">
        <v>42549290.752277873</v>
      </c>
      <c r="D325" s="2">
        <v>5.5267187349712671E-2</v>
      </c>
      <c r="E325" s="5">
        <v>38101809.062947601</v>
      </c>
      <c r="F325" s="5">
        <v>26322652.126909699</v>
      </c>
      <c r="G325" s="5">
        <v>18485097.9532336</v>
      </c>
      <c r="H325" s="5">
        <v>8108194.2334102504</v>
      </c>
      <c r="I325" s="5">
        <v>45865079.852921598</v>
      </c>
      <c r="J325" s="5">
        <v>49900950.193298697</v>
      </c>
      <c r="K325" s="5">
        <v>29950636.606283799</v>
      </c>
      <c r="L325" s="5">
        <v>20878580.6014576</v>
      </c>
      <c r="M325" s="5">
        <v>57005241.206188403</v>
      </c>
      <c r="N325" s="5">
        <v>15432294.712768801</v>
      </c>
      <c r="O325" s="5">
        <v>10360423.4475896</v>
      </c>
      <c r="P325" s="5">
        <v>19846423.878804501</v>
      </c>
      <c r="Q325" s="5">
        <v>117637458.535181</v>
      </c>
      <c r="R325" s="5">
        <v>11845849.550209001</v>
      </c>
      <c r="S325" s="5">
        <v>20375602.1199436</v>
      </c>
      <c r="T325" s="5">
        <v>15622474.181896901</v>
      </c>
      <c r="U325" s="5">
        <v>41065699.137460701</v>
      </c>
      <c r="V325" s="5">
        <v>15026046.526837301</v>
      </c>
      <c r="W325" s="5">
        <v>18923832.492162399</v>
      </c>
      <c r="X325" s="5">
        <v>29508816.020964202</v>
      </c>
      <c r="Y325" s="5">
        <v>32869845.604799598</v>
      </c>
      <c r="Z325" s="5">
        <v>39229513.517091803</v>
      </c>
      <c r="AA325" s="5">
        <v>68116895.609608993</v>
      </c>
      <c r="AB325" s="5">
        <v>29231993.361180902</v>
      </c>
      <c r="AC325" s="5">
        <v>45790829.710133798</v>
      </c>
      <c r="AD325" s="5">
        <v>42607772.977058999</v>
      </c>
      <c r="AE325" s="5">
        <v>41462181.257779397</v>
      </c>
      <c r="AF325" s="5">
        <v>40336379.064139299</v>
      </c>
      <c r="AG325">
        <f t="shared" si="21"/>
        <v>42549290.752277873</v>
      </c>
      <c r="AH325">
        <f t="shared" si="22"/>
        <v>2351579.6236035381</v>
      </c>
      <c r="AI325">
        <f t="shared" si="23"/>
        <v>5.5267187349712671E-2</v>
      </c>
    </row>
    <row r="326" spans="1:35" x14ac:dyDescent="0.45">
      <c r="A326" s="5" t="s">
        <v>262</v>
      </c>
      <c r="B326" s="2">
        <f t="shared" si="20"/>
        <v>11715325.516362259</v>
      </c>
      <c r="C326" s="2">
        <v>12432903.06105585</v>
      </c>
      <c r="D326" s="2">
        <v>4.0653905244594481E-2</v>
      </c>
      <c r="E326" s="5">
        <v>8729085.5788252391</v>
      </c>
      <c r="F326" s="5">
        <v>4261894.3453272404</v>
      </c>
      <c r="G326" s="5">
        <v>13267000.914238799</v>
      </c>
      <c r="H326" s="5">
        <v>1630691.39541668</v>
      </c>
      <c r="I326" s="5">
        <v>16228560.932099599</v>
      </c>
      <c r="J326" s="5">
        <v>14754123.848146001</v>
      </c>
      <c r="K326" s="5">
        <v>8002829.2953228904</v>
      </c>
      <c r="L326" s="5">
        <v>18392585.072953299</v>
      </c>
      <c r="M326" s="5">
        <v>21777501.829897501</v>
      </c>
      <c r="N326" s="5">
        <v>5218431.4926774697</v>
      </c>
      <c r="O326" s="5">
        <v>2211560.9297142602</v>
      </c>
      <c r="P326" s="5">
        <v>4697302.4965305096</v>
      </c>
      <c r="Q326" s="5">
        <v>38400113.236741297</v>
      </c>
      <c r="R326" s="5">
        <v>2642182.6571032801</v>
      </c>
      <c r="S326" s="5">
        <v>15507659.901302001</v>
      </c>
      <c r="T326" s="5">
        <v>3397401.5786062502</v>
      </c>
      <c r="U326" s="5">
        <v>8427042.8510943092</v>
      </c>
      <c r="V326" s="5">
        <v>10615138.383888001</v>
      </c>
      <c r="W326" s="5">
        <v>5009894.1711566905</v>
      </c>
      <c r="X326" s="5">
        <v>9251087.0767194908</v>
      </c>
      <c r="Y326" s="5">
        <v>19972677.109755699</v>
      </c>
      <c r="Z326" s="5">
        <v>10312149.825652201</v>
      </c>
      <c r="AA326" s="5">
        <v>22209608.020511001</v>
      </c>
      <c r="AB326" s="5">
        <v>16251289.4490145</v>
      </c>
      <c r="AC326" s="5">
        <v>12768940.472209901</v>
      </c>
      <c r="AD326" s="5">
        <v>12813038.174455799</v>
      </c>
      <c r="AE326" s="5">
        <v>11719463.60892</v>
      </c>
      <c r="AF326" s="5">
        <v>12430169.988637701</v>
      </c>
      <c r="AG326">
        <f t="shared" si="21"/>
        <v>12432903.06105585</v>
      </c>
      <c r="AH326">
        <f t="shared" si="22"/>
        <v>505446.0629593932</v>
      </c>
      <c r="AI326">
        <f t="shared" si="23"/>
        <v>4.0653905244594481E-2</v>
      </c>
    </row>
    <row r="327" spans="1:35" x14ac:dyDescent="0.45">
      <c r="A327" s="5" t="s">
        <v>263</v>
      </c>
      <c r="B327" s="2">
        <f t="shared" si="20"/>
        <v>94588884.625491321</v>
      </c>
      <c r="C327" s="2">
        <v>78084331.397422567</v>
      </c>
      <c r="D327" s="2">
        <v>4.604949022082154E-2</v>
      </c>
      <c r="E327" s="5">
        <v>26833022.403499</v>
      </c>
      <c r="F327" s="5">
        <v>36012407.4642727</v>
      </c>
      <c r="G327" s="5">
        <v>86023344.1223028</v>
      </c>
      <c r="H327" s="5">
        <v>51964566.608068801</v>
      </c>
      <c r="I327" s="5">
        <v>144001713.24734601</v>
      </c>
      <c r="J327" s="5">
        <v>67357184.633039907</v>
      </c>
      <c r="K327" s="5">
        <v>65110765.865493603</v>
      </c>
      <c r="L327" s="5">
        <v>109091052.773369</v>
      </c>
      <c r="M327" s="5">
        <v>76706623.657701403</v>
      </c>
      <c r="N327" s="5">
        <v>48845447.1810022</v>
      </c>
      <c r="O327" s="5">
        <v>285232711.28207803</v>
      </c>
      <c r="P327" s="5">
        <v>66775328.579650298</v>
      </c>
      <c r="Q327" s="5">
        <v>175605325.70991799</v>
      </c>
      <c r="R327" s="5">
        <v>60081332.058307096</v>
      </c>
      <c r="S327" s="5">
        <v>88889982.194021896</v>
      </c>
      <c r="T327" s="5">
        <v>55854790.418788299</v>
      </c>
      <c r="U327" s="5">
        <v>78399101.060773805</v>
      </c>
      <c r="V327" s="5">
        <v>57441372.642011501</v>
      </c>
      <c r="W327" s="5">
        <v>108841394.064934</v>
      </c>
      <c r="X327" s="5">
        <v>52848221.326458603</v>
      </c>
      <c r="Y327" s="5">
        <v>132775504.533187</v>
      </c>
      <c r="Z327" s="5">
        <v>100419891.962354</v>
      </c>
      <c r="AA327" s="5">
        <v>196282320.82067299</v>
      </c>
      <c r="AB327" s="5">
        <v>98739826.402540699</v>
      </c>
      <c r="AC327" s="5">
        <v>73275622.819407701</v>
      </c>
      <c r="AD327" s="5">
        <v>77668765.912002996</v>
      </c>
      <c r="AE327" s="5">
        <v>79735941.309957504</v>
      </c>
      <c r="AF327" s="5">
        <v>81656995.548322096</v>
      </c>
      <c r="AG327">
        <f t="shared" si="21"/>
        <v>78084331.397422567</v>
      </c>
      <c r="AH327">
        <f t="shared" si="22"/>
        <v>3595743.6550849988</v>
      </c>
      <c r="AI327">
        <f t="shared" si="23"/>
        <v>4.604949022082154E-2</v>
      </c>
    </row>
    <row r="328" spans="1:35" x14ac:dyDescent="0.45">
      <c r="A328" s="5" t="s">
        <v>264</v>
      </c>
      <c r="B328" s="2">
        <f t="shared" si="20"/>
        <v>14209921.611567149</v>
      </c>
      <c r="C328" s="2">
        <v>12123451.733455101</v>
      </c>
      <c r="D328" s="2">
        <v>1.5105496380010438E-2</v>
      </c>
      <c r="E328" s="5">
        <v>1575661.3439252099</v>
      </c>
      <c r="F328" s="5">
        <v>8316334.0311045405</v>
      </c>
      <c r="G328" s="5">
        <v>7348780.1762407403</v>
      </c>
      <c r="H328" s="5">
        <v>7283409.2351807198</v>
      </c>
      <c r="I328" s="5">
        <v>17002639.641451702</v>
      </c>
      <c r="J328" s="5">
        <v>8105619.4065397503</v>
      </c>
      <c r="K328" s="5">
        <v>13176967.8664736</v>
      </c>
      <c r="L328" s="5">
        <v>14776672.8103444</v>
      </c>
      <c r="M328" s="5">
        <v>13030002.354714001</v>
      </c>
      <c r="N328" s="5">
        <v>10988799.8292538</v>
      </c>
      <c r="O328" s="5">
        <v>13330518.832748201</v>
      </c>
      <c r="P328" s="5">
        <v>8673902.4127563201</v>
      </c>
      <c r="Q328" s="5">
        <v>36772761.297183603</v>
      </c>
      <c r="R328" s="5">
        <v>15763000.275582399</v>
      </c>
      <c r="S328" s="5">
        <v>15110060.3422173</v>
      </c>
      <c r="T328" s="5">
        <v>25739567.675153598</v>
      </c>
      <c r="U328" s="5">
        <v>8589646.8059511706</v>
      </c>
      <c r="V328" s="5">
        <v>15307329.913411999</v>
      </c>
      <c r="W328" s="5">
        <v>15656569.510358401</v>
      </c>
      <c r="X328" s="5">
        <v>11238269.9051945</v>
      </c>
      <c r="Y328" s="5">
        <v>5918745.8499878095</v>
      </c>
      <c r="Z328" s="5">
        <v>13114112.0272475</v>
      </c>
      <c r="AA328" s="5">
        <v>41097685.153151803</v>
      </c>
      <c r="AB328" s="5">
        <v>13121061.981438501</v>
      </c>
      <c r="AC328" s="5">
        <v>12296513.0081205</v>
      </c>
      <c r="AD328" s="5">
        <v>11875190.702879701</v>
      </c>
      <c r="AE328" s="5">
        <v>12105376.769948</v>
      </c>
      <c r="AF328" s="5">
        <v>12216726.4528722</v>
      </c>
      <c r="AG328">
        <f t="shared" si="21"/>
        <v>12123451.733455101</v>
      </c>
      <c r="AH328">
        <f t="shared" si="22"/>
        <v>183130.75627293729</v>
      </c>
      <c r="AI328">
        <f t="shared" si="23"/>
        <v>1.5105496380010438E-2</v>
      </c>
    </row>
    <row r="329" spans="1:35" x14ac:dyDescent="0.45">
      <c r="A329" s="5" t="s">
        <v>265</v>
      </c>
      <c r="B329" s="2">
        <f t="shared" si="20"/>
        <v>23182333.676134232</v>
      </c>
      <c r="C329" s="2">
        <v>15537869.288355624</v>
      </c>
      <c r="D329" s="2">
        <v>6.8222509219560593E-2</v>
      </c>
      <c r="E329" s="5">
        <v>9310527.4579635095</v>
      </c>
      <c r="F329" s="5">
        <v>6003318.4067804599</v>
      </c>
      <c r="G329" s="5">
        <v>5703794.5077758403</v>
      </c>
      <c r="H329" s="5">
        <v>20811171.2424936</v>
      </c>
      <c r="I329" s="5">
        <v>10517970.9838157</v>
      </c>
      <c r="J329" s="5">
        <v>21550598.250023998</v>
      </c>
      <c r="K329" s="5">
        <v>28572968.6658126</v>
      </c>
      <c r="L329" s="5">
        <v>22197577.026346199</v>
      </c>
      <c r="M329" s="5">
        <v>6125493.0116098803</v>
      </c>
      <c r="N329" s="5">
        <v>4362775.4336820496</v>
      </c>
      <c r="O329" s="5">
        <v>60327458.628802598</v>
      </c>
      <c r="P329" s="5">
        <v>28064298.502013098</v>
      </c>
      <c r="Q329" s="5">
        <v>10825472.712313401</v>
      </c>
      <c r="R329" s="5">
        <v>14209288.616236299</v>
      </c>
      <c r="S329" s="5">
        <v>10999927.897210401</v>
      </c>
      <c r="T329" s="5">
        <v>175462763.64713901</v>
      </c>
      <c r="U329" s="5">
        <v>9755451.6411314402</v>
      </c>
      <c r="V329" s="5">
        <v>3788599.7998847798</v>
      </c>
      <c r="W329" s="5">
        <v>19724773.689964801</v>
      </c>
      <c r="X329" s="5">
        <v>30502061.151590999</v>
      </c>
      <c r="Y329" s="5">
        <v>3357238.3937272602</v>
      </c>
      <c r="Z329" s="5">
        <v>22348404.065236099</v>
      </c>
      <c r="AA329" s="5">
        <v>13027081.754172999</v>
      </c>
      <c r="AB329" s="5">
        <v>18826992.741494499</v>
      </c>
      <c r="AC329" s="5">
        <v>14664564.016432101</v>
      </c>
      <c r="AD329" s="5">
        <v>16976507.654100198</v>
      </c>
      <c r="AE329" s="5">
        <v>14819965.413053</v>
      </c>
      <c r="AF329" s="5">
        <v>15690440.0698372</v>
      </c>
      <c r="AG329">
        <f t="shared" si="21"/>
        <v>15537869.288355624</v>
      </c>
      <c r="AH329">
        <f t="shared" si="22"/>
        <v>1060032.4307771691</v>
      </c>
      <c r="AI329">
        <f t="shared" si="23"/>
        <v>6.8222509219560593E-2</v>
      </c>
    </row>
    <row r="330" spans="1:35" x14ac:dyDescent="0.45">
      <c r="A330" s="5" t="s">
        <v>266</v>
      </c>
      <c r="B330" s="2">
        <f t="shared" si="20"/>
        <v>3791587.8952719024</v>
      </c>
      <c r="C330" s="2">
        <v>2935172.7063262826</v>
      </c>
      <c r="D330" s="2">
        <v>0.20018606408544945</v>
      </c>
      <c r="E330" s="5">
        <v>3319814.8830569098</v>
      </c>
      <c r="F330" s="5">
        <v>8170943.52013388</v>
      </c>
      <c r="G330" s="5">
        <v>3822753.92935722</v>
      </c>
      <c r="H330" s="5">
        <v>2703478.0740074799</v>
      </c>
      <c r="I330" s="5">
        <v>2595098.0847189901</v>
      </c>
      <c r="J330" s="5">
        <v>2089199.6539563299</v>
      </c>
      <c r="K330" s="5">
        <v>4157980.6832550098</v>
      </c>
      <c r="L330" s="5">
        <v>2515432.7636970901</v>
      </c>
      <c r="M330" s="5">
        <v>3173772.5845993198</v>
      </c>
      <c r="N330" s="5">
        <v>4225297.3071432598</v>
      </c>
      <c r="O330" s="5">
        <v>5662856.7636838704</v>
      </c>
      <c r="P330" s="5">
        <v>2822364.8042896902</v>
      </c>
      <c r="Q330" s="5">
        <v>3400152.18455783</v>
      </c>
      <c r="R330" s="5">
        <v>4787407.88974497</v>
      </c>
      <c r="S330" s="5">
        <v>4769839.96801663</v>
      </c>
      <c r="T330" s="5">
        <v>4444589.6368441796</v>
      </c>
      <c r="U330" s="5">
        <v>4060676.8654728699</v>
      </c>
      <c r="V330" s="5">
        <v>6998107.1197186196</v>
      </c>
      <c r="W330" s="5">
        <v>3215221.89992079</v>
      </c>
      <c r="X330" s="5">
        <v>2959576.5278163799</v>
      </c>
      <c r="Y330" s="5">
        <v>1797145.8261267301</v>
      </c>
      <c r="Z330" s="5">
        <v>3917468.34362324</v>
      </c>
      <c r="AA330" s="5">
        <v>2975898.5454593101</v>
      </c>
      <c r="AB330" s="5">
        <v>2413031.6273250501</v>
      </c>
      <c r="AC330" s="5">
        <v>2770940.09105221</v>
      </c>
      <c r="AD330" s="5">
        <v>2173518.9999513598</v>
      </c>
      <c r="AE330" s="5">
        <v>3394136.17715667</v>
      </c>
      <c r="AF330" s="5">
        <v>3402095.5571448901</v>
      </c>
      <c r="AG330">
        <f t="shared" si="21"/>
        <v>2935172.7063262826</v>
      </c>
      <c r="AH330">
        <f t="shared" si="22"/>
        <v>587580.67149049533</v>
      </c>
      <c r="AI330">
        <f t="shared" si="23"/>
        <v>0.20018606408544945</v>
      </c>
    </row>
    <row r="331" spans="1:35" x14ac:dyDescent="0.45">
      <c r="A331" s="5" t="s">
        <v>345</v>
      </c>
      <c r="B331" s="2">
        <f t="shared" si="20"/>
        <v>22797727.259058956</v>
      </c>
      <c r="C331" s="2">
        <v>15584118.659247451</v>
      </c>
      <c r="D331" s="2">
        <v>9.1806951592085795E-2</v>
      </c>
      <c r="E331" s="5">
        <v>6762517.8154239403</v>
      </c>
      <c r="F331" s="5">
        <v>8455178.7578755207</v>
      </c>
      <c r="G331" s="5">
        <v>6101919.7622449398</v>
      </c>
      <c r="H331" s="5">
        <v>18450141.332228798</v>
      </c>
      <c r="I331" s="5">
        <v>32686148.854828801</v>
      </c>
      <c r="J331" s="5">
        <v>14919690.2967517</v>
      </c>
      <c r="K331" s="5">
        <v>16690654.1051649</v>
      </c>
      <c r="L331" s="5">
        <v>11184316.588002499</v>
      </c>
      <c r="M331" s="5">
        <v>22562784.8398927</v>
      </c>
      <c r="N331" s="5">
        <v>9993666.1875196397</v>
      </c>
      <c r="O331" s="5">
        <v>66159021.763088398</v>
      </c>
      <c r="P331" s="5">
        <v>19324234.402107202</v>
      </c>
      <c r="Q331" s="5">
        <v>10530655.0657518</v>
      </c>
      <c r="R331" s="5">
        <v>126057305.36759201</v>
      </c>
      <c r="S331" s="5">
        <v>39465785.215233698</v>
      </c>
      <c r="T331" s="5">
        <v>30120989.880991999</v>
      </c>
      <c r="U331" s="5">
        <v>13893940.328340599</v>
      </c>
      <c r="V331" s="5">
        <v>9180498.6868375707</v>
      </c>
      <c r="W331" s="5">
        <v>14064218.2920988</v>
      </c>
      <c r="X331" s="5">
        <v>12798995.4625035</v>
      </c>
      <c r="Y331" s="5">
        <v>29057840.044536401</v>
      </c>
      <c r="Z331" s="5">
        <v>9413537.8031680603</v>
      </c>
      <c r="AA331" s="5">
        <v>9680204.31358096</v>
      </c>
      <c r="AB331" s="5">
        <v>9591209.0516504906</v>
      </c>
      <c r="AC331" s="5">
        <v>15620482.7385264</v>
      </c>
      <c r="AD331" s="5">
        <v>15266489.0214031</v>
      </c>
      <c r="AE331" s="5">
        <v>13992815.7328874</v>
      </c>
      <c r="AF331" s="5">
        <v>17456687.144172899</v>
      </c>
      <c r="AG331">
        <f t="shared" si="21"/>
        <v>15584118.659247451</v>
      </c>
      <c r="AH331">
        <f t="shared" si="22"/>
        <v>1430730.4273548517</v>
      </c>
      <c r="AI331">
        <f t="shared" si="23"/>
        <v>9.1806951592085795E-2</v>
      </c>
    </row>
    <row r="332" spans="1:35" x14ac:dyDescent="0.45">
      <c r="A332" s="5" t="s">
        <v>346</v>
      </c>
      <c r="B332" s="2">
        <f t="shared" si="20"/>
        <v>52796105.052609242</v>
      </c>
      <c r="C332" s="2">
        <v>32665502.934671722</v>
      </c>
      <c r="D332" s="2">
        <v>5.3992193617211838E-2</v>
      </c>
      <c r="E332" s="5">
        <v>11659563.108562</v>
      </c>
      <c r="F332" s="5">
        <v>26236019.635216601</v>
      </c>
      <c r="G332" s="5">
        <v>41710909.380718596</v>
      </c>
      <c r="H332" s="5">
        <v>31551635.834705699</v>
      </c>
      <c r="I332" s="5">
        <v>41420319.155082099</v>
      </c>
      <c r="J332" s="5">
        <v>42545981.667694204</v>
      </c>
      <c r="K332" s="5">
        <v>16022671.5829085</v>
      </c>
      <c r="L332" s="5">
        <v>21397869.659687899</v>
      </c>
      <c r="M332" s="5">
        <v>40948494.129361503</v>
      </c>
      <c r="N332" s="5">
        <v>19436902.2638762</v>
      </c>
      <c r="O332" s="5">
        <v>327645900.34907699</v>
      </c>
      <c r="P332" s="5">
        <v>14900819.272639399</v>
      </c>
      <c r="Q332" s="5">
        <v>60646942.396182701</v>
      </c>
      <c r="R332" s="5">
        <v>18875531.080013499</v>
      </c>
      <c r="S332" s="5">
        <v>18727160.8277569</v>
      </c>
      <c r="T332" s="5">
        <v>282552890.60543299</v>
      </c>
      <c r="U332" s="5">
        <v>25344217.868834101</v>
      </c>
      <c r="V332" s="5">
        <v>45934697.253875002</v>
      </c>
      <c r="W332" s="5">
        <v>33497982.049189702</v>
      </c>
      <c r="X332" s="5">
        <v>34864479.964639097</v>
      </c>
      <c r="Y332" s="5">
        <v>23331694.5996489</v>
      </c>
      <c r="Z332" s="5">
        <v>46548861.692376003</v>
      </c>
      <c r="AA332" s="5">
        <v>22885897.403372299</v>
      </c>
      <c r="AB332" s="5">
        <v>18419079.481771</v>
      </c>
      <c r="AC332" s="5">
        <v>30669393.2392358</v>
      </c>
      <c r="AD332" s="5">
        <v>34250698.809604198</v>
      </c>
      <c r="AE332" s="5">
        <v>31698356.051559601</v>
      </c>
      <c r="AF332" s="5">
        <v>34043563.638287298</v>
      </c>
      <c r="AG332">
        <f t="shared" si="21"/>
        <v>32665502.934671722</v>
      </c>
      <c r="AH332">
        <f t="shared" si="22"/>
        <v>1763682.1590523971</v>
      </c>
      <c r="AI332">
        <f t="shared" si="23"/>
        <v>5.3992193617211838E-2</v>
      </c>
    </row>
    <row r="333" spans="1:35" x14ac:dyDescent="0.45">
      <c r="A333" s="5" t="s">
        <v>347</v>
      </c>
      <c r="B333" s="2">
        <f t="shared" si="20"/>
        <v>901005290.74721897</v>
      </c>
      <c r="C333" s="2">
        <v>794976287.37450695</v>
      </c>
      <c r="D333" s="2">
        <v>3.0724070997121343E-2</v>
      </c>
      <c r="E333" s="5">
        <v>2032091893.0416701</v>
      </c>
      <c r="F333" s="5">
        <v>556220371.23461294</v>
      </c>
      <c r="G333" s="5">
        <v>734818433.48469198</v>
      </c>
      <c r="H333" s="5">
        <v>153110130.05842099</v>
      </c>
      <c r="I333" s="5">
        <v>948711893.66633904</v>
      </c>
      <c r="J333" s="5">
        <v>673772146.79470003</v>
      </c>
      <c r="K333" s="5">
        <v>579600634.61956799</v>
      </c>
      <c r="L333" s="5">
        <v>1296818520.8919899</v>
      </c>
      <c r="M333" s="5">
        <v>914868392.56221604</v>
      </c>
      <c r="N333" s="5">
        <v>339859206.62750602</v>
      </c>
      <c r="O333" s="5">
        <v>4254212271.5663199</v>
      </c>
      <c r="P333" s="5">
        <v>100268908.170366</v>
      </c>
      <c r="Q333" s="5">
        <v>1444119148.30284</v>
      </c>
      <c r="R333" s="5">
        <v>249712838.89516699</v>
      </c>
      <c r="S333" s="5">
        <v>1358261750.5143299</v>
      </c>
      <c r="T333" s="5">
        <v>243240290.361947</v>
      </c>
      <c r="U333" s="5">
        <v>512088260.87436998</v>
      </c>
      <c r="V333" s="5">
        <v>222194754.85953099</v>
      </c>
      <c r="W333" s="5">
        <v>579195898.60130799</v>
      </c>
      <c r="X333" s="5">
        <v>320327957.88777298</v>
      </c>
      <c r="Y333" s="5">
        <v>1242466602.25967</v>
      </c>
      <c r="Z333" s="5">
        <v>473323076.79872602</v>
      </c>
      <c r="AA333" s="5">
        <v>1479070162.6781299</v>
      </c>
      <c r="AB333" s="5">
        <v>915773433.18106401</v>
      </c>
      <c r="AC333" s="5">
        <v>784661491.88146806</v>
      </c>
      <c r="AD333" s="5">
        <v>768205878.14116502</v>
      </c>
      <c r="AE333" s="5">
        <v>825330374.73230696</v>
      </c>
      <c r="AF333" s="5">
        <v>801707404.74308801</v>
      </c>
      <c r="AG333">
        <f t="shared" si="21"/>
        <v>794976287.37450695</v>
      </c>
      <c r="AH333">
        <f t="shared" si="22"/>
        <v>24424907.894322291</v>
      </c>
      <c r="AI333">
        <f t="shared" si="23"/>
        <v>3.0724070997121343E-2</v>
      </c>
    </row>
    <row r="334" spans="1:35" x14ac:dyDescent="0.45">
      <c r="A334" s="5" t="s">
        <v>348</v>
      </c>
      <c r="B334" s="2">
        <f t="shared" si="20"/>
        <v>111014454.22500116</v>
      </c>
      <c r="C334" s="2">
        <v>106122601.67540325</v>
      </c>
      <c r="D334" s="2">
        <v>2.7619879905554003E-2</v>
      </c>
      <c r="E334" s="5">
        <v>102269509.77423</v>
      </c>
      <c r="F334" s="5">
        <v>113562414.266324</v>
      </c>
      <c r="G334" s="5">
        <v>115232747.629673</v>
      </c>
      <c r="H334" s="5">
        <v>182419752.155238</v>
      </c>
      <c r="I334" s="5">
        <v>71612115.672001705</v>
      </c>
      <c r="J334" s="5">
        <v>89655616.017963603</v>
      </c>
      <c r="K334" s="5">
        <v>95526102.900101498</v>
      </c>
      <c r="L334" s="5">
        <v>105375252.017703</v>
      </c>
      <c r="M334" s="5">
        <v>113823794.64474</v>
      </c>
      <c r="N334" s="5">
        <v>95126790.713699907</v>
      </c>
      <c r="O334" s="5">
        <v>137017908.65091601</v>
      </c>
      <c r="P334" s="5">
        <v>94254875.660846397</v>
      </c>
      <c r="Q334" s="5">
        <v>144932953.462681</v>
      </c>
      <c r="R334" s="5">
        <v>106135805.401233</v>
      </c>
      <c r="S334" s="5">
        <v>119324909.14088599</v>
      </c>
      <c r="T334" s="5">
        <v>72475307.177797303</v>
      </c>
      <c r="U334" s="5">
        <v>117502179.98798101</v>
      </c>
      <c r="V334" s="5">
        <v>129466432.575928</v>
      </c>
      <c r="W334" s="5">
        <v>102404254.50282501</v>
      </c>
      <c r="X334" s="5">
        <v>126402545.952722</v>
      </c>
      <c r="Y334" s="5">
        <v>101354435.66607</v>
      </c>
      <c r="Z334" s="5">
        <v>104648332.36664601</v>
      </c>
      <c r="AA334" s="5">
        <v>117892394.134137</v>
      </c>
      <c r="AB334" s="5">
        <v>105930470.92768399</v>
      </c>
      <c r="AC334" s="5">
        <v>109231282.282022</v>
      </c>
      <c r="AD334" s="5">
        <v>103630413.655642</v>
      </c>
      <c r="AE334" s="5">
        <v>103611062.41907699</v>
      </c>
      <c r="AF334" s="5">
        <v>108017648.344872</v>
      </c>
      <c r="AG334">
        <f t="shared" si="21"/>
        <v>106122601.67540325</v>
      </c>
      <c r="AH334">
        <f t="shared" si="22"/>
        <v>2931093.513539582</v>
      </c>
      <c r="AI334">
        <f t="shared" si="23"/>
        <v>2.7619879905554003E-2</v>
      </c>
    </row>
  </sheetData>
  <sortState xmlns:xlrd2="http://schemas.microsoft.com/office/spreadsheetml/2017/richdata2" ref="A2:AI651">
    <sortCondition ref="A206:A651"/>
  </sortState>
  <conditionalFormatting sqref="A1:A219">
    <cfRule type="duplicateValues" dxfId="13" priority="104"/>
  </conditionalFormatting>
  <conditionalFormatting sqref="A220:A334">
    <cfRule type="duplicateValues" dxfId="12" priority="11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2296-3B8F-4704-9EE0-8A91FABD6D2D}">
  <dimension ref="A1:AI320"/>
  <sheetViews>
    <sheetView topLeftCell="A301" workbookViewId="0">
      <selection activeCell="A320" sqref="A2:XFD320"/>
    </sheetView>
  </sheetViews>
  <sheetFormatPr defaultRowHeight="14.25" x14ac:dyDescent="0.45"/>
  <cols>
    <col min="1" max="1" width="34.73046875" customWidth="1"/>
    <col min="2" max="3" width="13.265625" bestFit="1" customWidth="1"/>
    <col min="4" max="4" width="5.59765625" bestFit="1" customWidth="1"/>
  </cols>
  <sheetData>
    <row r="1" spans="1:35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2</v>
      </c>
      <c r="AH1" s="4" t="s">
        <v>32</v>
      </c>
      <c r="AI1" s="4" t="s">
        <v>3</v>
      </c>
    </row>
    <row r="2" spans="1:35" x14ac:dyDescent="0.45">
      <c r="A2" s="5" t="s">
        <v>268</v>
      </c>
      <c r="B2" s="2">
        <f t="shared" ref="B2:B65" si="0">AVERAGE(E2:AB2)</f>
        <v>61801825.077701218</v>
      </c>
      <c r="C2" s="2">
        <v>55072972.064555228</v>
      </c>
      <c r="D2" s="2">
        <v>2.1283839376467842E-2</v>
      </c>
      <c r="E2" s="5">
        <v>75345850.730866</v>
      </c>
      <c r="F2" s="5">
        <v>61915617.043654598</v>
      </c>
      <c r="G2" s="5">
        <v>50029380.772060104</v>
      </c>
      <c r="H2" s="5">
        <v>40885692.749117702</v>
      </c>
      <c r="I2" s="5">
        <v>52849893.491137899</v>
      </c>
      <c r="J2" s="5">
        <v>53049330.852642797</v>
      </c>
      <c r="K2" s="5">
        <v>84116109.700296894</v>
      </c>
      <c r="L2" s="5">
        <v>52490045.022516102</v>
      </c>
      <c r="M2" s="5">
        <v>95965616.2612845</v>
      </c>
      <c r="N2" s="5">
        <v>43339211.627363399</v>
      </c>
      <c r="O2" s="5">
        <v>86457873.819209993</v>
      </c>
      <c r="P2" s="5">
        <v>30527231.223404799</v>
      </c>
      <c r="Q2" s="5">
        <v>48976534.200910002</v>
      </c>
      <c r="R2" s="5">
        <v>50486333.924070902</v>
      </c>
      <c r="S2" s="5">
        <v>50153267.510801703</v>
      </c>
      <c r="T2" s="5">
        <v>100171770.339747</v>
      </c>
      <c r="U2" s="5">
        <v>112605508.90070499</v>
      </c>
      <c r="V2" s="5">
        <v>51517847.953360602</v>
      </c>
      <c r="W2" s="5">
        <v>66599271.856720597</v>
      </c>
      <c r="X2" s="5">
        <v>77540533.349484906</v>
      </c>
      <c r="Y2" s="5">
        <v>33522336.5591597</v>
      </c>
      <c r="Z2" s="5">
        <v>56051817.513710603</v>
      </c>
      <c r="AA2" s="5">
        <v>59904168.711342096</v>
      </c>
      <c r="AB2" s="5">
        <v>48742557.751261503</v>
      </c>
      <c r="AC2" s="5">
        <v>56741820.294224396</v>
      </c>
      <c r="AD2" s="5">
        <v>54032787.406869002</v>
      </c>
      <c r="AE2" s="5">
        <v>54589436.408894703</v>
      </c>
      <c r="AF2" s="5">
        <v>54927844.148232803</v>
      </c>
      <c r="AG2">
        <f t="shared" ref="AG2:AG65" si="1">AVERAGE(AC2:AF2)</f>
        <v>55072972.064555228</v>
      </c>
      <c r="AH2">
        <f t="shared" ref="AH2:AH65" si="2">STDEV(AC2:AF2)</f>
        <v>1172164.2914066941</v>
      </c>
      <c r="AI2">
        <f t="shared" ref="AI2:AI65" si="3">AH2/AG2</f>
        <v>2.1283839376467842E-2</v>
      </c>
    </row>
    <row r="3" spans="1:35" x14ac:dyDescent="0.45">
      <c r="A3" s="5" t="s">
        <v>36</v>
      </c>
      <c r="B3" s="2">
        <f t="shared" si="0"/>
        <v>17067279.368629184</v>
      </c>
      <c r="C3" s="2">
        <v>12316862.722100126</v>
      </c>
      <c r="D3" s="2">
        <v>0.11357139189313661</v>
      </c>
      <c r="E3" s="5">
        <v>8383763.3458479298</v>
      </c>
      <c r="F3" s="5">
        <v>6983852.7725216402</v>
      </c>
      <c r="G3" s="5">
        <v>19883181.175872002</v>
      </c>
      <c r="H3" s="5">
        <v>25849052.737084299</v>
      </c>
      <c r="I3" s="5">
        <v>8541618.6611038707</v>
      </c>
      <c r="J3" s="5">
        <v>9016184.4443127494</v>
      </c>
      <c r="K3" s="5">
        <v>26830433.3579599</v>
      </c>
      <c r="L3" s="5">
        <v>20920075.442821398</v>
      </c>
      <c r="M3" s="5">
        <v>5724707.9623893304</v>
      </c>
      <c r="N3" s="5">
        <v>12115428.8973675</v>
      </c>
      <c r="O3" s="5">
        <v>25374100.947886299</v>
      </c>
      <c r="P3" s="5">
        <v>28577960.191169702</v>
      </c>
      <c r="Q3" s="5">
        <v>3341474.6931849499</v>
      </c>
      <c r="R3" s="5">
        <v>34161793.124871597</v>
      </c>
      <c r="S3" s="5">
        <v>29445928.280573498</v>
      </c>
      <c r="T3" s="5">
        <v>28596401.542687099</v>
      </c>
      <c r="U3" s="5">
        <v>3695059.79196632</v>
      </c>
      <c r="V3" s="5">
        <v>12659113.7665687</v>
      </c>
      <c r="W3" s="5">
        <v>14308708.9072599</v>
      </c>
      <c r="X3" s="5">
        <v>25635564.487869199</v>
      </c>
      <c r="Y3" s="5">
        <v>2708660.5524059799</v>
      </c>
      <c r="Z3" s="5">
        <v>9609234.0868422296</v>
      </c>
      <c r="AA3" s="5">
        <v>43200434.801208802</v>
      </c>
      <c r="AB3" s="5">
        <v>4051970.8753255201</v>
      </c>
      <c r="AC3" s="5">
        <v>12368266.6168688</v>
      </c>
      <c r="AD3" s="5">
        <v>12775342.5369936</v>
      </c>
      <c r="AE3" s="5">
        <v>10399475.3107778</v>
      </c>
      <c r="AF3" s="5">
        <v>13724366.423760301</v>
      </c>
      <c r="AG3">
        <f t="shared" si="1"/>
        <v>12316862.722100126</v>
      </c>
      <c r="AH3">
        <f t="shared" si="2"/>
        <v>1398843.2431055987</v>
      </c>
      <c r="AI3">
        <f t="shared" si="3"/>
        <v>0.11357139189313661</v>
      </c>
    </row>
    <row r="4" spans="1:35" x14ac:dyDescent="0.45">
      <c r="A4" s="5" t="s">
        <v>37</v>
      </c>
      <c r="B4" s="2">
        <f t="shared" si="0"/>
        <v>25064857.102938533</v>
      </c>
      <c r="C4" s="2">
        <v>25789459.308086425</v>
      </c>
      <c r="D4" s="2">
        <v>2.0404041960615009E-2</v>
      </c>
      <c r="E4" s="5">
        <v>35334575.493547499</v>
      </c>
      <c r="F4" s="5">
        <v>28297413.538245901</v>
      </c>
      <c r="G4" s="5">
        <v>20617511.0105533</v>
      </c>
      <c r="H4" s="5">
        <v>20674098.1003328</v>
      </c>
      <c r="I4" s="5">
        <v>27373147.863927901</v>
      </c>
      <c r="J4" s="5">
        <v>29911349.939321902</v>
      </c>
      <c r="K4" s="5">
        <v>31506908.477357</v>
      </c>
      <c r="L4" s="5">
        <v>23968559.887555901</v>
      </c>
      <c r="M4" s="5">
        <v>36321582.469314203</v>
      </c>
      <c r="N4" s="5">
        <v>18973697.654916301</v>
      </c>
      <c r="O4" s="5">
        <v>30364070.681552801</v>
      </c>
      <c r="P4" s="5">
        <v>16762962.286130499</v>
      </c>
      <c r="Q4" s="5">
        <v>20179779.482656799</v>
      </c>
      <c r="R4" s="5">
        <v>11868127.985095499</v>
      </c>
      <c r="S4" s="5">
        <v>20748441.994557202</v>
      </c>
      <c r="T4" s="5">
        <v>27120257.404696502</v>
      </c>
      <c r="U4" s="5">
        <v>36344844.968899898</v>
      </c>
      <c r="V4" s="5">
        <v>17880428.4690497</v>
      </c>
      <c r="W4" s="5">
        <v>23598030.9191138</v>
      </c>
      <c r="X4" s="5">
        <v>31361325.971753601</v>
      </c>
      <c r="Y4" s="5">
        <v>19346842.591584601</v>
      </c>
      <c r="Z4" s="5">
        <v>22052744.059505999</v>
      </c>
      <c r="AA4" s="5">
        <v>24132656.349437799</v>
      </c>
      <c r="AB4" s="5">
        <v>26817212.871417399</v>
      </c>
      <c r="AC4" s="5">
        <v>25600748.231525201</v>
      </c>
      <c r="AD4" s="5">
        <v>26297189.466731202</v>
      </c>
      <c r="AE4" s="5">
        <v>26123102.900389299</v>
      </c>
      <c r="AF4" s="5">
        <v>25136796.633699998</v>
      </c>
      <c r="AG4">
        <f t="shared" si="1"/>
        <v>25789459.308086425</v>
      </c>
      <c r="AH4">
        <f t="shared" si="2"/>
        <v>526209.20986376877</v>
      </c>
      <c r="AI4">
        <f t="shared" si="3"/>
        <v>2.0404041960615009E-2</v>
      </c>
    </row>
    <row r="5" spans="1:35" x14ac:dyDescent="0.45">
      <c r="A5" s="5" t="s">
        <v>38</v>
      </c>
      <c r="B5" s="2">
        <f t="shared" si="0"/>
        <v>16057395.103481986</v>
      </c>
      <c r="C5" s="2">
        <v>15931791.186801825</v>
      </c>
      <c r="D5" s="2">
        <v>0.16960828316781856</v>
      </c>
      <c r="E5" s="5">
        <v>22240103.3582213</v>
      </c>
      <c r="F5" s="5">
        <v>20320043.1403604</v>
      </c>
      <c r="G5" s="5">
        <v>7758337.3365562102</v>
      </c>
      <c r="H5" s="5">
        <v>27183715.230270799</v>
      </c>
      <c r="I5" s="5">
        <v>14363561.674943101</v>
      </c>
      <c r="J5" s="5">
        <v>16636573.6355871</v>
      </c>
      <c r="K5" s="5">
        <v>14941099.2565645</v>
      </c>
      <c r="L5" s="5">
        <v>9243198.6792709902</v>
      </c>
      <c r="M5" s="5">
        <v>14371637.394386901</v>
      </c>
      <c r="N5" s="5">
        <v>24199735.698990598</v>
      </c>
      <c r="O5" s="5">
        <v>31392575.399015199</v>
      </c>
      <c r="P5" s="5">
        <v>13631147.0040549</v>
      </c>
      <c r="Q5" s="5">
        <v>11536349.164746599</v>
      </c>
      <c r="R5" s="5">
        <v>23166416.302883901</v>
      </c>
      <c r="S5" s="5">
        <v>16941023.316720501</v>
      </c>
      <c r="T5" s="5">
        <v>13830371.123634599</v>
      </c>
      <c r="U5" s="5">
        <v>15953473.1058685</v>
      </c>
      <c r="V5" s="5">
        <v>11321001.406595999</v>
      </c>
      <c r="W5" s="5">
        <v>9653852.4871366192</v>
      </c>
      <c r="X5" s="5">
        <v>12604638.360569101</v>
      </c>
      <c r="Y5" s="5">
        <v>6079821.7003457202</v>
      </c>
      <c r="Z5" s="5">
        <v>20447297.479107</v>
      </c>
      <c r="AA5" s="5">
        <v>13002592.174551001</v>
      </c>
      <c r="AB5" s="5">
        <v>14558918.0531861</v>
      </c>
      <c r="AC5" s="5">
        <v>19087245.9900042</v>
      </c>
      <c r="AD5" s="5">
        <v>13671954.7468831</v>
      </c>
      <c r="AE5" s="5">
        <v>13689512.036785699</v>
      </c>
      <c r="AF5" s="5">
        <v>17278451.973534301</v>
      </c>
      <c r="AG5">
        <f t="shared" si="1"/>
        <v>15931791.186801825</v>
      </c>
      <c r="AH5">
        <f t="shared" si="2"/>
        <v>2702163.7509816401</v>
      </c>
      <c r="AI5">
        <f t="shared" si="3"/>
        <v>0.16960828316781856</v>
      </c>
    </row>
    <row r="6" spans="1:35" x14ac:dyDescent="0.45">
      <c r="A6" s="5" t="s">
        <v>39</v>
      </c>
      <c r="B6" s="2">
        <f t="shared" si="0"/>
        <v>65146756.546994664</v>
      </c>
      <c r="C6" s="2">
        <v>49147607.636503153</v>
      </c>
      <c r="D6" s="2">
        <v>5.5263385561683941E-2</v>
      </c>
      <c r="E6" s="5">
        <v>28752544.6167849</v>
      </c>
      <c r="F6" s="5">
        <v>54879684.399627797</v>
      </c>
      <c r="G6" s="5">
        <v>36889659.825171597</v>
      </c>
      <c r="H6" s="5">
        <v>87452911.7591483</v>
      </c>
      <c r="I6" s="5">
        <v>124871812.638586</v>
      </c>
      <c r="J6" s="5">
        <v>93541205.359110296</v>
      </c>
      <c r="K6" s="5">
        <v>31438254.070438001</v>
      </c>
      <c r="L6" s="5">
        <v>44999960.211597003</v>
      </c>
      <c r="M6" s="5">
        <v>42668850.7057252</v>
      </c>
      <c r="N6" s="5">
        <v>43662951.771904103</v>
      </c>
      <c r="O6" s="5">
        <v>177430878.02428901</v>
      </c>
      <c r="P6" s="5">
        <v>59262588.216159701</v>
      </c>
      <c r="Q6" s="5">
        <v>61389700.171481699</v>
      </c>
      <c r="R6" s="5">
        <v>46924881.966085799</v>
      </c>
      <c r="S6" s="5">
        <v>36345247.579809599</v>
      </c>
      <c r="T6" s="5">
        <v>232894167.769925</v>
      </c>
      <c r="U6" s="5">
        <v>30327462.762488201</v>
      </c>
      <c r="V6" s="5">
        <v>48626837.464085802</v>
      </c>
      <c r="W6" s="5">
        <v>35360216.425193101</v>
      </c>
      <c r="X6" s="5">
        <v>90477759.207083493</v>
      </c>
      <c r="Y6" s="5">
        <v>28812024.170425601</v>
      </c>
      <c r="Z6" s="5">
        <v>38538002.084274001</v>
      </c>
      <c r="AA6" s="5">
        <v>54345938.591724202</v>
      </c>
      <c r="AB6" s="5">
        <v>33628617.336753502</v>
      </c>
      <c r="AC6" s="5">
        <v>46060697.301805802</v>
      </c>
      <c r="AD6" s="5">
        <v>50905190.199217603</v>
      </c>
      <c r="AE6" s="5">
        <v>47735094.385320403</v>
      </c>
      <c r="AF6" s="5">
        <v>51889448.659668803</v>
      </c>
      <c r="AG6">
        <f t="shared" si="1"/>
        <v>49147607.636503153</v>
      </c>
      <c r="AH6">
        <f t="shared" si="2"/>
        <v>2716063.1902504358</v>
      </c>
      <c r="AI6">
        <f t="shared" si="3"/>
        <v>5.5263385561683941E-2</v>
      </c>
    </row>
    <row r="7" spans="1:35" x14ac:dyDescent="0.45">
      <c r="A7" s="5" t="s">
        <v>40</v>
      </c>
      <c r="B7" s="2">
        <f t="shared" si="0"/>
        <v>19519230.42585944</v>
      </c>
      <c r="C7" s="2">
        <v>19001979.339989975</v>
      </c>
      <c r="D7" s="2">
        <v>3.4517718090643891E-2</v>
      </c>
      <c r="E7" s="5">
        <v>25500472.8560348</v>
      </c>
      <c r="F7" s="5">
        <v>22601546.379236002</v>
      </c>
      <c r="G7" s="5">
        <v>18290221.696195301</v>
      </c>
      <c r="H7" s="5">
        <v>15427200.0785638</v>
      </c>
      <c r="I7" s="5">
        <v>18692012.656461202</v>
      </c>
      <c r="J7" s="5">
        <v>22815099.301512498</v>
      </c>
      <c r="K7" s="5">
        <v>23956026.996922199</v>
      </c>
      <c r="L7" s="5">
        <v>17638197.737114001</v>
      </c>
      <c r="M7" s="5">
        <v>23377058.420962099</v>
      </c>
      <c r="N7" s="5">
        <v>20896065.705451101</v>
      </c>
      <c r="O7" s="5">
        <v>17163281.170955699</v>
      </c>
      <c r="P7" s="5">
        <v>18301908.3794576</v>
      </c>
      <c r="Q7" s="5">
        <v>18462928.632025</v>
      </c>
      <c r="R7" s="5">
        <v>16517832.1777425</v>
      </c>
      <c r="S7" s="5">
        <v>20758501.816831399</v>
      </c>
      <c r="T7" s="5">
        <v>4643799.0659681195</v>
      </c>
      <c r="U7" s="5">
        <v>20489042.212133799</v>
      </c>
      <c r="V7" s="5">
        <v>19824278.305764101</v>
      </c>
      <c r="W7" s="5">
        <v>17077734.1873773</v>
      </c>
      <c r="X7" s="5">
        <v>20798629.6051041</v>
      </c>
      <c r="Y7" s="5">
        <v>18519332.0938094</v>
      </c>
      <c r="Z7" s="5">
        <v>22606117.219689701</v>
      </c>
      <c r="AA7" s="5">
        <v>22527398.253299799</v>
      </c>
      <c r="AB7" s="5">
        <v>21576845.272015098</v>
      </c>
      <c r="AC7" s="5">
        <v>19717395.901257399</v>
      </c>
      <c r="AD7" s="5">
        <v>18831267.5201496</v>
      </c>
      <c r="AE7" s="5">
        <v>19277951.218294099</v>
      </c>
      <c r="AF7" s="5">
        <v>18181302.720258798</v>
      </c>
      <c r="AG7">
        <f t="shared" si="1"/>
        <v>19001979.339989975</v>
      </c>
      <c r="AH7">
        <f t="shared" si="2"/>
        <v>655904.96602201345</v>
      </c>
      <c r="AI7">
        <f t="shared" si="3"/>
        <v>3.4517718090643891E-2</v>
      </c>
    </row>
    <row r="8" spans="1:35" x14ac:dyDescent="0.45">
      <c r="A8" s="5" t="s">
        <v>269</v>
      </c>
      <c r="B8" s="2">
        <f t="shared" si="0"/>
        <v>6122366.9173922548</v>
      </c>
      <c r="C8" s="2">
        <v>5486413.9350690544</v>
      </c>
      <c r="D8" s="2">
        <v>7.1588812488975612E-2</v>
      </c>
      <c r="E8" s="5">
        <v>7534566.20852248</v>
      </c>
      <c r="F8" s="5">
        <v>6431007.7443915997</v>
      </c>
      <c r="G8" s="5">
        <v>7085808.3501704698</v>
      </c>
      <c r="H8" s="5">
        <v>6323254.1780016897</v>
      </c>
      <c r="I8" s="5">
        <v>4864010.7113510296</v>
      </c>
      <c r="J8" s="5">
        <v>5387679.2672331799</v>
      </c>
      <c r="K8" s="5">
        <v>5997925.9755105497</v>
      </c>
      <c r="L8" s="5">
        <v>7373183.7989508603</v>
      </c>
      <c r="M8" s="5">
        <v>5552564.0728104301</v>
      </c>
      <c r="N8" s="5">
        <v>7243411.4540186003</v>
      </c>
      <c r="O8" s="5">
        <v>2700533.3758851602</v>
      </c>
      <c r="P8" s="5">
        <v>6380026.2575646397</v>
      </c>
      <c r="Q8" s="5">
        <v>5106671.1226845598</v>
      </c>
      <c r="R8" s="5">
        <v>8006608.3860511901</v>
      </c>
      <c r="S8" s="5">
        <v>8352704.6687939903</v>
      </c>
      <c r="T8" s="5">
        <v>4309480.10757853</v>
      </c>
      <c r="U8" s="5">
        <v>5566158.6577258697</v>
      </c>
      <c r="V8" s="5">
        <v>4570961.6792879198</v>
      </c>
      <c r="W8" s="5">
        <v>5618225.1194996098</v>
      </c>
      <c r="X8" s="5">
        <v>5336871.39109274</v>
      </c>
      <c r="Y8" s="5">
        <v>7035133.3707763497</v>
      </c>
      <c r="Z8" s="5">
        <v>7174613.2887183698</v>
      </c>
      <c r="AA8" s="5">
        <v>6504012.0208540903</v>
      </c>
      <c r="AB8" s="5">
        <v>6481394.8099402301</v>
      </c>
      <c r="AC8" s="5">
        <v>5192040.7460679403</v>
      </c>
      <c r="AD8" s="5">
        <v>5982902.2222134601</v>
      </c>
      <c r="AE8" s="5">
        <v>5619037.3742404701</v>
      </c>
      <c r="AF8" s="5">
        <v>5151675.3977543497</v>
      </c>
      <c r="AG8">
        <f t="shared" si="1"/>
        <v>5486413.9350690544</v>
      </c>
      <c r="AH8">
        <f t="shared" si="2"/>
        <v>392765.85843456135</v>
      </c>
      <c r="AI8">
        <f t="shared" si="3"/>
        <v>7.1588812488975612E-2</v>
      </c>
    </row>
    <row r="9" spans="1:35" x14ac:dyDescent="0.45">
      <c r="A9" s="5" t="s">
        <v>41</v>
      </c>
      <c r="B9" s="2">
        <f t="shared" si="0"/>
        <v>3490647.576576367</v>
      </c>
      <c r="C9" s="2">
        <v>1880927.7032792</v>
      </c>
      <c r="D9" s="2">
        <v>6.7063860301250347E-2</v>
      </c>
      <c r="E9" s="5">
        <v>5839094.39439933</v>
      </c>
      <c r="F9" s="5">
        <v>2571610.0179839199</v>
      </c>
      <c r="G9" s="5">
        <v>1861525.9818441099</v>
      </c>
      <c r="H9" s="5">
        <v>3082989.7501709</v>
      </c>
      <c r="I9" s="5">
        <v>1342514.8640044699</v>
      </c>
      <c r="J9" s="5">
        <v>1803399.8955306001</v>
      </c>
      <c r="K9" s="5">
        <v>6997101.4288566597</v>
      </c>
      <c r="L9" s="5">
        <v>1878283.4997351901</v>
      </c>
      <c r="M9" s="5">
        <v>3782274.85378952</v>
      </c>
      <c r="N9" s="5">
        <v>2702544.5408725501</v>
      </c>
      <c r="O9" s="5">
        <v>14056987.1156084</v>
      </c>
      <c r="P9" s="5">
        <v>2427314.6307226401</v>
      </c>
      <c r="Q9" s="5">
        <v>3530414.21224254</v>
      </c>
      <c r="R9" s="5">
        <v>2173467.7739559398</v>
      </c>
      <c r="S9" s="5">
        <v>2348649.2020351598</v>
      </c>
      <c r="T9" s="5">
        <v>4792460.1575963097</v>
      </c>
      <c r="U9" s="5">
        <v>5654474.4725239296</v>
      </c>
      <c r="V9" s="5">
        <v>2144296.9046577401</v>
      </c>
      <c r="W9" s="5">
        <v>3509217.5057687899</v>
      </c>
      <c r="X9" s="5">
        <v>2808592.2159218001</v>
      </c>
      <c r="Y9" s="5">
        <v>1127669.5670882899</v>
      </c>
      <c r="Z9" s="5">
        <v>3721675.5570795098</v>
      </c>
      <c r="AA9" s="5">
        <v>1783205.82598476</v>
      </c>
      <c r="AB9" s="5">
        <v>1835777.46945972</v>
      </c>
      <c r="AC9" s="5">
        <v>2066385.73716121</v>
      </c>
      <c r="AD9" s="5">
        <v>1784097.1671895699</v>
      </c>
      <c r="AE9" s="5">
        <v>1840936.4059334199</v>
      </c>
      <c r="AF9" s="5">
        <v>1832291.5028325999</v>
      </c>
      <c r="AG9">
        <f t="shared" si="1"/>
        <v>1880927.7032792</v>
      </c>
      <c r="AH9">
        <f t="shared" si="2"/>
        <v>126142.27272946794</v>
      </c>
      <c r="AI9">
        <f t="shared" si="3"/>
        <v>6.7063860301250347E-2</v>
      </c>
    </row>
    <row r="10" spans="1:35" x14ac:dyDescent="0.45">
      <c r="A10" s="5" t="s">
        <v>42</v>
      </c>
      <c r="B10" s="2">
        <f t="shared" si="0"/>
        <v>25847420.543941189</v>
      </c>
      <c r="C10" s="2">
        <v>24730360.438270174</v>
      </c>
      <c r="D10" s="2">
        <v>3.1021299994164881E-2</v>
      </c>
      <c r="E10" s="5">
        <v>18561002.464969002</v>
      </c>
      <c r="F10" s="5">
        <v>27818141.114626899</v>
      </c>
      <c r="G10" s="5">
        <v>28194519.2044704</v>
      </c>
      <c r="H10" s="5">
        <v>24094139.722488899</v>
      </c>
      <c r="I10" s="5">
        <v>27922303.627216499</v>
      </c>
      <c r="J10" s="5">
        <v>34011462.100426503</v>
      </c>
      <c r="K10" s="5">
        <v>30025160.3845031</v>
      </c>
      <c r="L10" s="5">
        <v>33259213.689081099</v>
      </c>
      <c r="M10" s="5">
        <v>22425457.8615386</v>
      </c>
      <c r="N10" s="5">
        <v>24629051.629060701</v>
      </c>
      <c r="O10" s="5">
        <v>32836507.673675202</v>
      </c>
      <c r="P10" s="5">
        <v>25048224.6131626</v>
      </c>
      <c r="Q10" s="5">
        <v>22016114.2959482</v>
      </c>
      <c r="R10" s="5">
        <v>28245761.4887143</v>
      </c>
      <c r="S10" s="5">
        <v>29617138.310609799</v>
      </c>
      <c r="T10" s="5">
        <v>34494254.410614997</v>
      </c>
      <c r="U10" s="5">
        <v>28332985.019832201</v>
      </c>
      <c r="V10" s="5">
        <v>23665822.028781701</v>
      </c>
      <c r="W10" s="5">
        <v>27269596.733964801</v>
      </c>
      <c r="X10" s="5">
        <v>25045184.622878999</v>
      </c>
      <c r="Y10" s="5">
        <v>22005057.564440001</v>
      </c>
      <c r="Z10" s="5">
        <v>18327127.972439799</v>
      </c>
      <c r="AA10" s="5">
        <v>23622345.628669798</v>
      </c>
      <c r="AB10" s="5">
        <v>8871520.8924744502</v>
      </c>
      <c r="AC10" s="5">
        <v>24264960.3988363</v>
      </c>
      <c r="AD10" s="5">
        <v>25344482.165024702</v>
      </c>
      <c r="AE10" s="5">
        <v>25417851.9874309</v>
      </c>
      <c r="AF10" s="5">
        <v>23894147.201788802</v>
      </c>
      <c r="AG10">
        <f t="shared" si="1"/>
        <v>24730360.438270174</v>
      </c>
      <c r="AH10">
        <f t="shared" si="2"/>
        <v>767167.93011940597</v>
      </c>
      <c r="AI10">
        <f t="shared" si="3"/>
        <v>3.1021299994164881E-2</v>
      </c>
    </row>
    <row r="11" spans="1:35" x14ac:dyDescent="0.45">
      <c r="A11" s="5" t="s">
        <v>43</v>
      </c>
      <c r="B11" s="2">
        <f t="shared" si="0"/>
        <v>4633091.7331229011</v>
      </c>
      <c r="C11" s="2">
        <v>4427507.7586732972</v>
      </c>
      <c r="D11" s="2">
        <v>0.12060195295720449</v>
      </c>
      <c r="E11" s="5">
        <v>6910915.3755718097</v>
      </c>
      <c r="F11" s="5">
        <v>3028943.0990335401</v>
      </c>
      <c r="G11" s="5">
        <v>2277714.1348850601</v>
      </c>
      <c r="H11" s="5">
        <v>4617909.0138325104</v>
      </c>
      <c r="I11" s="5">
        <v>3581920.6077038902</v>
      </c>
      <c r="J11" s="5">
        <v>3328851.22852366</v>
      </c>
      <c r="K11" s="5">
        <v>8579426.7455923092</v>
      </c>
      <c r="L11" s="5">
        <v>4320559.3188170101</v>
      </c>
      <c r="M11" s="5">
        <v>5555549.8383753197</v>
      </c>
      <c r="N11" s="5">
        <v>7179273.1244138302</v>
      </c>
      <c r="O11" s="5">
        <v>3643692.24311904</v>
      </c>
      <c r="P11" s="5">
        <v>4824092.8292988399</v>
      </c>
      <c r="Q11" s="5">
        <v>3556262.7661210201</v>
      </c>
      <c r="R11" s="5">
        <v>4847758.4885832304</v>
      </c>
      <c r="S11" s="5">
        <v>6037325.4583235504</v>
      </c>
      <c r="T11" s="5">
        <v>3606678.9424799299</v>
      </c>
      <c r="U11" s="5">
        <v>1540219.3968767701</v>
      </c>
      <c r="V11" s="5">
        <v>4638511.3562983498</v>
      </c>
      <c r="W11" s="5">
        <v>8576256.1096518803</v>
      </c>
      <c r="X11" s="5">
        <v>3860440.2776873498</v>
      </c>
      <c r="Y11" s="5">
        <v>3484130.5257746698</v>
      </c>
      <c r="Z11" s="5">
        <v>4284787.1514746398</v>
      </c>
      <c r="AA11" s="5">
        <v>4922948.8225779096</v>
      </c>
      <c r="AB11" s="5">
        <v>3990034.7399334898</v>
      </c>
      <c r="AC11" s="5">
        <v>4474907.8111750502</v>
      </c>
      <c r="AD11" s="5">
        <v>3877091.5441339002</v>
      </c>
      <c r="AE11" s="5">
        <v>4218775.7242558002</v>
      </c>
      <c r="AF11" s="5">
        <v>5139255.9551284397</v>
      </c>
      <c r="AG11">
        <f t="shared" si="1"/>
        <v>4427507.7586732972</v>
      </c>
      <c r="AH11">
        <f t="shared" si="2"/>
        <v>533966.08242917492</v>
      </c>
      <c r="AI11">
        <f t="shared" si="3"/>
        <v>0.12060195295720449</v>
      </c>
    </row>
    <row r="12" spans="1:35" x14ac:dyDescent="0.45">
      <c r="A12" s="5" t="s">
        <v>44</v>
      </c>
      <c r="B12" s="2">
        <f t="shared" si="0"/>
        <v>4674047.4966314128</v>
      </c>
      <c r="C12" s="2">
        <v>4127711.6614748077</v>
      </c>
      <c r="D12" s="2">
        <v>0.1228930181373942</v>
      </c>
      <c r="E12" s="5">
        <v>3018659.9679766502</v>
      </c>
      <c r="F12" s="5">
        <v>5689407.3866782598</v>
      </c>
      <c r="G12" s="5">
        <v>4971740.9527367996</v>
      </c>
      <c r="H12" s="5">
        <v>8192686.4418742498</v>
      </c>
      <c r="I12" s="5">
        <v>3562569.4951142902</v>
      </c>
      <c r="J12" s="5">
        <v>3280125.0057653799</v>
      </c>
      <c r="K12" s="5">
        <v>4311299.4538042899</v>
      </c>
      <c r="L12" s="5">
        <v>4827803.7626759401</v>
      </c>
      <c r="M12" s="5">
        <v>3222363.6773597202</v>
      </c>
      <c r="N12" s="5">
        <v>5055115.2561785802</v>
      </c>
      <c r="O12" s="5">
        <v>9198024.0414210204</v>
      </c>
      <c r="P12" s="5">
        <v>3940303.0171775599</v>
      </c>
      <c r="Q12" s="5">
        <v>2161132.5012641102</v>
      </c>
      <c r="R12" s="5">
        <v>8408455.3183139395</v>
      </c>
      <c r="S12" s="5">
        <v>4963088.6814942099</v>
      </c>
      <c r="T12" s="5">
        <v>5731471.99580542</v>
      </c>
      <c r="U12" s="5">
        <v>4031156.2393889199</v>
      </c>
      <c r="V12" s="5">
        <v>3831179.2250718698</v>
      </c>
      <c r="W12" s="5">
        <v>6407620.9186429102</v>
      </c>
      <c r="X12" s="5">
        <v>3998719.8348298701</v>
      </c>
      <c r="Y12" s="5">
        <v>2736725.7400736301</v>
      </c>
      <c r="Z12" s="5">
        <v>3674626.4055164298</v>
      </c>
      <c r="AA12" s="5">
        <v>3468416.10096741</v>
      </c>
      <c r="AB12" s="5">
        <v>3494448.4990224601</v>
      </c>
      <c r="AC12" s="5">
        <v>4487790.1661691396</v>
      </c>
      <c r="AD12" s="5">
        <v>3382555.04615037</v>
      </c>
      <c r="AE12" s="5">
        <v>4400568.1218759902</v>
      </c>
      <c r="AF12" s="5">
        <v>4239933.3117037304</v>
      </c>
      <c r="AG12">
        <f t="shared" si="1"/>
        <v>4127711.6614748077</v>
      </c>
      <c r="AH12">
        <f t="shared" si="2"/>
        <v>507266.94407955708</v>
      </c>
      <c r="AI12">
        <f t="shared" si="3"/>
        <v>0.1228930181373942</v>
      </c>
    </row>
    <row r="13" spans="1:35" x14ac:dyDescent="0.45">
      <c r="A13" s="5" t="s">
        <v>45</v>
      </c>
      <c r="B13" s="2">
        <f t="shared" si="0"/>
        <v>31215384.295039583</v>
      </c>
      <c r="C13" s="2">
        <v>23818096.060239051</v>
      </c>
      <c r="D13" s="2">
        <v>0.22232453943247521</v>
      </c>
      <c r="E13" s="5">
        <v>54077205.129528798</v>
      </c>
      <c r="F13" s="5">
        <v>19749369.8379732</v>
      </c>
      <c r="G13" s="5">
        <v>37876886.773075901</v>
      </c>
      <c r="H13" s="5">
        <v>23419936.572315499</v>
      </c>
      <c r="I13" s="5">
        <v>26835430.745629601</v>
      </c>
      <c r="J13" s="5">
        <v>19835556.474820599</v>
      </c>
      <c r="K13" s="5">
        <v>12926526.7671398</v>
      </c>
      <c r="L13" s="5">
        <v>35799957.102978602</v>
      </c>
      <c r="M13" s="5">
        <v>16304830.5921707</v>
      </c>
      <c r="N13" s="5">
        <v>41538060.579282999</v>
      </c>
      <c r="O13" s="5">
        <v>87824754.337101296</v>
      </c>
      <c r="P13" s="5">
        <v>16084090.281747499</v>
      </c>
      <c r="Q13" s="5">
        <v>33187754.697344702</v>
      </c>
      <c r="R13" s="5">
        <v>31654623.007564999</v>
      </c>
      <c r="S13" s="5">
        <v>53646937.273337796</v>
      </c>
      <c r="T13" s="5">
        <v>24654578.613026299</v>
      </c>
      <c r="U13" s="5">
        <v>18611756.1093878</v>
      </c>
      <c r="V13" s="5">
        <v>15497995.1403536</v>
      </c>
      <c r="W13" s="5">
        <v>49870439.2120151</v>
      </c>
      <c r="X13" s="5">
        <v>32387592.218570799</v>
      </c>
      <c r="Y13" s="5">
        <v>33172576.155074801</v>
      </c>
      <c r="Z13" s="5">
        <v>26182585.4106596</v>
      </c>
      <c r="AA13" s="5">
        <v>19130175.473348901</v>
      </c>
      <c r="AB13" s="5">
        <v>18899604.576501101</v>
      </c>
      <c r="AC13" s="5">
        <v>21136167.4851669</v>
      </c>
      <c r="AD13" s="5">
        <v>20248242.4882266</v>
      </c>
      <c r="AE13" s="5">
        <v>31668557.043233499</v>
      </c>
      <c r="AF13" s="5">
        <v>22219417.2243292</v>
      </c>
      <c r="AG13">
        <f t="shared" si="1"/>
        <v>23818096.060239051</v>
      </c>
      <c r="AH13">
        <f t="shared" si="2"/>
        <v>5295347.2367510991</v>
      </c>
      <c r="AI13">
        <f t="shared" si="3"/>
        <v>0.22232453943247521</v>
      </c>
    </row>
    <row r="14" spans="1:35" x14ac:dyDescent="0.45">
      <c r="A14" s="5" t="s">
        <v>46</v>
      </c>
      <c r="B14" s="2">
        <f t="shared" si="0"/>
        <v>7927030.793715396</v>
      </c>
      <c r="C14" s="2">
        <v>5993482.2800204298</v>
      </c>
      <c r="D14" s="2">
        <v>8.6233378332698618E-2</v>
      </c>
      <c r="E14" s="5">
        <v>7638087.3089077203</v>
      </c>
      <c r="F14" s="5">
        <v>6374026.2113955198</v>
      </c>
      <c r="G14" s="5">
        <v>6446165.7066342803</v>
      </c>
      <c r="H14" s="5">
        <v>14282167.236741699</v>
      </c>
      <c r="I14" s="5">
        <v>15332969.728388799</v>
      </c>
      <c r="J14" s="5">
        <v>6240546.0065518199</v>
      </c>
      <c r="K14" s="5">
        <v>3817811.3057257398</v>
      </c>
      <c r="L14" s="5">
        <v>10457243.9329716</v>
      </c>
      <c r="M14" s="5">
        <v>6748794.1544965403</v>
      </c>
      <c r="N14" s="5">
        <v>7550248.2597098704</v>
      </c>
      <c r="O14" s="5">
        <v>9313653.0918124709</v>
      </c>
      <c r="P14" s="5">
        <v>8301549.1087209499</v>
      </c>
      <c r="Q14" s="5">
        <v>6480938.0214740196</v>
      </c>
      <c r="R14" s="5">
        <v>10406571.5748342</v>
      </c>
      <c r="S14" s="5">
        <v>6895629.0134268804</v>
      </c>
      <c r="T14" s="5">
        <v>8030607.7262609098</v>
      </c>
      <c r="U14" s="5">
        <v>6888520.9803954205</v>
      </c>
      <c r="V14" s="5">
        <v>7680231.7777560102</v>
      </c>
      <c r="W14" s="5">
        <v>6434209.4795861803</v>
      </c>
      <c r="X14" s="5">
        <v>7053646.8817431498</v>
      </c>
      <c r="Y14" s="5">
        <v>9125550.4042146392</v>
      </c>
      <c r="Z14" s="5">
        <v>6486780.2007939396</v>
      </c>
      <c r="AA14" s="5">
        <v>5161749.85793682</v>
      </c>
      <c r="AB14" s="5">
        <v>7101041.07869031</v>
      </c>
      <c r="AC14" s="5">
        <v>5360282.7640653597</v>
      </c>
      <c r="AD14" s="5">
        <v>6088869.0365898097</v>
      </c>
      <c r="AE14" s="5">
        <v>5911173.8322941</v>
      </c>
      <c r="AF14" s="5">
        <v>6613603.4871324496</v>
      </c>
      <c r="AG14">
        <f t="shared" si="1"/>
        <v>5993482.2800204298</v>
      </c>
      <c r="AH14">
        <f t="shared" si="2"/>
        <v>516838.2249833268</v>
      </c>
      <c r="AI14">
        <f t="shared" si="3"/>
        <v>8.6233378332698618E-2</v>
      </c>
    </row>
    <row r="15" spans="1:35" x14ac:dyDescent="0.45">
      <c r="A15" s="5" t="s">
        <v>270</v>
      </c>
      <c r="B15" s="2">
        <f t="shared" si="0"/>
        <v>1684211445.2549067</v>
      </c>
      <c r="C15" s="2">
        <v>1563412038.562115</v>
      </c>
      <c r="D15" s="2">
        <v>3.0288757796153021E-2</v>
      </c>
      <c r="E15" s="5">
        <v>1753835248.2804899</v>
      </c>
      <c r="F15" s="5">
        <v>2061248801.68483</v>
      </c>
      <c r="G15" s="5">
        <v>434656313.61014903</v>
      </c>
      <c r="H15" s="5">
        <v>1108247701.5337</v>
      </c>
      <c r="I15" s="5">
        <v>1880396598.71457</v>
      </c>
      <c r="J15" s="5">
        <v>1954442279.6248901</v>
      </c>
      <c r="K15" s="5">
        <v>2058344858.9892001</v>
      </c>
      <c r="L15" s="5">
        <v>1745362013.9869399</v>
      </c>
      <c r="M15" s="5">
        <v>1722592847.5970099</v>
      </c>
      <c r="N15" s="5">
        <v>2253146475.0961399</v>
      </c>
      <c r="O15" s="5">
        <v>749281547.668244</v>
      </c>
      <c r="P15" s="5">
        <v>1839710459.53332</v>
      </c>
      <c r="Q15" s="5">
        <v>1757436473.3833499</v>
      </c>
      <c r="R15" s="5">
        <v>2127243047.49277</v>
      </c>
      <c r="S15" s="5">
        <v>1920551246.8550501</v>
      </c>
      <c r="T15" s="5">
        <v>1573029899.8383801</v>
      </c>
      <c r="U15" s="5">
        <v>2032495852.67804</v>
      </c>
      <c r="V15" s="5">
        <v>2093708256.2877901</v>
      </c>
      <c r="W15" s="5">
        <v>678549232.40262198</v>
      </c>
      <c r="X15" s="5">
        <v>1464153711.5551701</v>
      </c>
      <c r="Y15" s="5">
        <v>1460769503.4540401</v>
      </c>
      <c r="Z15" s="5">
        <v>2133892077.47278</v>
      </c>
      <c r="AA15" s="5">
        <v>1768150939.19925</v>
      </c>
      <c r="AB15" s="5">
        <v>1849829299.17904</v>
      </c>
      <c r="AC15" s="5">
        <v>1515648396.2661099</v>
      </c>
      <c r="AD15" s="5">
        <v>1529767887.3823299</v>
      </c>
      <c r="AE15" s="5">
        <v>1604462854.1804299</v>
      </c>
      <c r="AF15" s="5">
        <v>1603769016.41959</v>
      </c>
      <c r="AG15">
        <f t="shared" si="1"/>
        <v>1563412038.562115</v>
      </c>
      <c r="AH15">
        <f t="shared" si="2"/>
        <v>47353808.571597748</v>
      </c>
      <c r="AI15">
        <f t="shared" si="3"/>
        <v>3.0288757796153021E-2</v>
      </c>
    </row>
    <row r="16" spans="1:35" x14ac:dyDescent="0.45">
      <c r="A16" s="5" t="s">
        <v>51</v>
      </c>
      <c r="B16" s="2">
        <f t="shared" si="0"/>
        <v>454962541.63466567</v>
      </c>
      <c r="C16" s="2">
        <v>437992650.54271847</v>
      </c>
      <c r="D16" s="2">
        <v>0.16949011434904518</v>
      </c>
      <c r="E16" s="5">
        <v>497232822.60781902</v>
      </c>
      <c r="F16" s="5">
        <v>484118726.18784201</v>
      </c>
      <c r="G16" s="5">
        <v>460900684.23060101</v>
      </c>
      <c r="H16" s="5">
        <v>601015718.59507203</v>
      </c>
      <c r="I16" s="5">
        <v>543824731.83668303</v>
      </c>
      <c r="J16" s="5">
        <v>411671360.58025199</v>
      </c>
      <c r="K16" s="5">
        <v>506089309.59480602</v>
      </c>
      <c r="L16" s="5">
        <v>549409384.68359804</v>
      </c>
      <c r="M16" s="5">
        <v>383263896.866211</v>
      </c>
      <c r="N16" s="5">
        <v>438994223.84005398</v>
      </c>
      <c r="O16" s="5">
        <v>248045203.54047701</v>
      </c>
      <c r="P16" s="5">
        <v>478064133.92284697</v>
      </c>
      <c r="Q16" s="5">
        <v>402923152.70511901</v>
      </c>
      <c r="R16" s="5">
        <v>526605824.69692802</v>
      </c>
      <c r="S16" s="5">
        <v>525318796.29129899</v>
      </c>
      <c r="T16" s="5">
        <v>272006541.92773497</v>
      </c>
      <c r="U16" s="5">
        <v>444324389.092273</v>
      </c>
      <c r="V16" s="5">
        <v>460194761.29399401</v>
      </c>
      <c r="W16" s="5">
        <v>385971793.53836399</v>
      </c>
      <c r="X16" s="5">
        <v>414020781.030738</v>
      </c>
      <c r="Y16" s="5">
        <v>410510567.97929698</v>
      </c>
      <c r="Z16" s="5">
        <v>448033442.87182599</v>
      </c>
      <c r="AA16" s="5">
        <v>547319320.12648201</v>
      </c>
      <c r="AB16" s="5">
        <v>479241431.19165599</v>
      </c>
      <c r="AC16" s="5">
        <v>359468672.21380103</v>
      </c>
      <c r="AD16" s="5">
        <v>504110033.211559</v>
      </c>
      <c r="AE16" s="5">
        <v>389798294.71492797</v>
      </c>
      <c r="AF16" s="5">
        <v>498593602.030586</v>
      </c>
      <c r="AG16">
        <f t="shared" si="1"/>
        <v>437992650.54271847</v>
      </c>
      <c r="AH16">
        <f t="shared" si="2"/>
        <v>74235424.424526736</v>
      </c>
      <c r="AI16">
        <f t="shared" si="3"/>
        <v>0.16949011434904518</v>
      </c>
    </row>
    <row r="17" spans="1:35" x14ac:dyDescent="0.45">
      <c r="A17" s="5" t="s">
        <v>271</v>
      </c>
      <c r="B17" s="2">
        <f t="shared" si="0"/>
        <v>118885756.65926407</v>
      </c>
      <c r="C17" s="2">
        <v>74507861.969016925</v>
      </c>
      <c r="D17" s="2">
        <v>0.17932072177828437</v>
      </c>
      <c r="E17" s="5">
        <v>118813784.256881</v>
      </c>
      <c r="F17" s="5">
        <v>76477052.082824796</v>
      </c>
      <c r="G17" s="5">
        <v>102551324.325866</v>
      </c>
      <c r="H17" s="5">
        <v>79613199.181408897</v>
      </c>
      <c r="I17" s="5">
        <v>29497844.368012901</v>
      </c>
      <c r="J17" s="5">
        <v>35237490.098310597</v>
      </c>
      <c r="K17" s="5">
        <v>91953739.720066398</v>
      </c>
      <c r="L17" s="5">
        <v>126820179.981484</v>
      </c>
      <c r="M17" s="5">
        <v>77267063.830506399</v>
      </c>
      <c r="N17" s="5">
        <v>105360012.222873</v>
      </c>
      <c r="O17" s="5">
        <v>453888863.05071801</v>
      </c>
      <c r="P17" s="5">
        <v>120119849.57600699</v>
      </c>
      <c r="Q17" s="5">
        <v>98321456.578861102</v>
      </c>
      <c r="R17" s="5">
        <v>49192049.685323998</v>
      </c>
      <c r="S17" s="5">
        <v>173211350.16466299</v>
      </c>
      <c r="T17" s="5">
        <v>154923691.372448</v>
      </c>
      <c r="U17" s="5">
        <v>71369730.641427293</v>
      </c>
      <c r="V17" s="5">
        <v>78239290.938123897</v>
      </c>
      <c r="W17" s="5">
        <v>181719527.42540899</v>
      </c>
      <c r="X17" s="5">
        <v>107962167.78804</v>
      </c>
      <c r="Y17" s="5">
        <v>67130557.704639003</v>
      </c>
      <c r="Z17" s="5">
        <v>65545185.495175697</v>
      </c>
      <c r="AA17" s="5">
        <v>277543015.68375599</v>
      </c>
      <c r="AB17" s="5">
        <v>110499733.64951199</v>
      </c>
      <c r="AC17" s="5">
        <v>82199868.689757794</v>
      </c>
      <c r="AD17" s="5">
        <v>80400147.656861097</v>
      </c>
      <c r="AE17" s="5">
        <v>54498667.696295999</v>
      </c>
      <c r="AF17" s="5">
        <v>80932763.833152801</v>
      </c>
      <c r="AG17">
        <f t="shared" si="1"/>
        <v>74507861.969016925</v>
      </c>
      <c r="AH17">
        <f t="shared" si="2"/>
        <v>13360803.586440898</v>
      </c>
      <c r="AI17">
        <f t="shared" si="3"/>
        <v>0.17932072177828437</v>
      </c>
    </row>
    <row r="18" spans="1:35" x14ac:dyDescent="0.45">
      <c r="A18" s="5" t="s">
        <v>272</v>
      </c>
      <c r="B18" s="2">
        <f t="shared" si="0"/>
        <v>107191369.58614749</v>
      </c>
      <c r="C18" s="2">
        <v>74507861.969016925</v>
      </c>
      <c r="D18" s="2">
        <v>0.17932072177828437</v>
      </c>
      <c r="E18" s="5">
        <v>118756787.970072</v>
      </c>
      <c r="F18" s="5">
        <v>76477052.082824796</v>
      </c>
      <c r="G18" s="5">
        <v>103184851.881798</v>
      </c>
      <c r="H18" s="5">
        <v>79660854.310309395</v>
      </c>
      <c r="I18" s="5">
        <v>29497844.368012901</v>
      </c>
      <c r="J18" s="5">
        <v>34398272.697971798</v>
      </c>
      <c r="K18" s="5">
        <v>91923276.239266306</v>
      </c>
      <c r="L18" s="5">
        <v>126438648.291052</v>
      </c>
      <c r="M18" s="5">
        <v>77267063.830506399</v>
      </c>
      <c r="N18" s="5">
        <v>105360012.222873</v>
      </c>
      <c r="O18" s="5">
        <v>453888863.05071801</v>
      </c>
      <c r="P18" s="5">
        <v>120119849.57600699</v>
      </c>
      <c r="Q18" s="5">
        <v>98321456.578861102</v>
      </c>
      <c r="R18" s="5">
        <v>53501221.922472201</v>
      </c>
      <c r="S18" s="5">
        <v>173211350.16466299</v>
      </c>
      <c r="T18" s="5">
        <v>58160265.583743103</v>
      </c>
      <c r="U18" s="5">
        <v>71369730.641427293</v>
      </c>
      <c r="V18" s="5">
        <v>78239290.938123897</v>
      </c>
      <c r="W18" s="5">
        <v>178945283.83639601</v>
      </c>
      <c r="X18" s="5">
        <v>107962167.78804</v>
      </c>
      <c r="Y18" s="5">
        <v>68922102.521097004</v>
      </c>
      <c r="Z18" s="5">
        <v>65545185.495175697</v>
      </c>
      <c r="AA18" s="5">
        <v>90476576.601411298</v>
      </c>
      <c r="AB18" s="5">
        <v>110964861.47471701</v>
      </c>
      <c r="AC18" s="5">
        <v>82199868.689757794</v>
      </c>
      <c r="AD18" s="5">
        <v>80400147.656861097</v>
      </c>
      <c r="AE18" s="5">
        <v>54498667.696295999</v>
      </c>
      <c r="AF18" s="5">
        <v>80932763.833152801</v>
      </c>
      <c r="AG18">
        <f t="shared" si="1"/>
        <v>74507861.969016925</v>
      </c>
      <c r="AH18">
        <f t="shared" si="2"/>
        <v>13360803.586440898</v>
      </c>
      <c r="AI18">
        <f t="shared" si="3"/>
        <v>0.17932072177828437</v>
      </c>
    </row>
    <row r="19" spans="1:35" x14ac:dyDescent="0.45">
      <c r="A19" s="5" t="s">
        <v>52</v>
      </c>
      <c r="B19" s="2">
        <f t="shared" si="0"/>
        <v>31836113.781134531</v>
      </c>
      <c r="C19" s="2">
        <v>29913240.741191801</v>
      </c>
      <c r="D19" s="2">
        <v>3.5931272594650891E-2</v>
      </c>
      <c r="E19" s="5">
        <v>29291549.633044802</v>
      </c>
      <c r="F19" s="5">
        <v>34284550.869236998</v>
      </c>
      <c r="G19" s="5">
        <v>30798672.675822999</v>
      </c>
      <c r="H19" s="5">
        <v>26251134.0413507</v>
      </c>
      <c r="I19" s="5">
        <v>32410397.727083798</v>
      </c>
      <c r="J19" s="5">
        <v>34845791.549758904</v>
      </c>
      <c r="K19" s="5">
        <v>35391731.585553199</v>
      </c>
      <c r="L19" s="5">
        <v>31659852.3064963</v>
      </c>
      <c r="M19" s="5">
        <v>34392960.430629</v>
      </c>
      <c r="N19" s="5">
        <v>29969576.843715198</v>
      </c>
      <c r="O19" s="5">
        <v>30280779.8291145</v>
      </c>
      <c r="P19" s="5">
        <v>27773255.0739391</v>
      </c>
      <c r="Q19" s="5">
        <v>29042474.099635102</v>
      </c>
      <c r="R19" s="5">
        <v>33651206.9959016</v>
      </c>
      <c r="S19" s="5">
        <v>34905205.986654997</v>
      </c>
      <c r="T19" s="5">
        <v>28537676.664080199</v>
      </c>
      <c r="U19" s="5">
        <v>35395386.541677304</v>
      </c>
      <c r="V19" s="5">
        <v>30269119.428496499</v>
      </c>
      <c r="W19" s="5">
        <v>29705917.9240545</v>
      </c>
      <c r="X19" s="5">
        <v>31114656.538210701</v>
      </c>
      <c r="Y19" s="5">
        <v>29380770.881221201</v>
      </c>
      <c r="Z19" s="5">
        <v>36287150.901217699</v>
      </c>
      <c r="AA19" s="5">
        <v>34540999.847527802</v>
      </c>
      <c r="AB19" s="5">
        <v>33885912.3728057</v>
      </c>
      <c r="AC19" s="5">
        <v>31141032.5482888</v>
      </c>
      <c r="AD19" s="5">
        <v>29189201.775635902</v>
      </c>
      <c r="AE19" s="5">
        <v>30469798.206174001</v>
      </c>
      <c r="AF19" s="5">
        <v>28852930.4346685</v>
      </c>
      <c r="AG19">
        <f t="shared" si="1"/>
        <v>29913240.741191801</v>
      </c>
      <c r="AH19">
        <f t="shared" si="2"/>
        <v>1074820.8072611794</v>
      </c>
      <c r="AI19">
        <f t="shared" si="3"/>
        <v>3.5931272594650891E-2</v>
      </c>
    </row>
    <row r="20" spans="1:35" x14ac:dyDescent="0.45">
      <c r="A20" s="5" t="s">
        <v>53</v>
      </c>
      <c r="B20" s="2">
        <f t="shared" si="0"/>
        <v>313709354.83126843</v>
      </c>
      <c r="C20" s="2">
        <v>317257374.40911651</v>
      </c>
      <c r="D20" s="2">
        <v>0.1849041922606538</v>
      </c>
      <c r="E20" s="5">
        <v>208971850.55688399</v>
      </c>
      <c r="F20" s="5">
        <v>339207265.78545803</v>
      </c>
      <c r="G20" s="5">
        <v>96431852.425490007</v>
      </c>
      <c r="H20" s="5">
        <v>178016676.11508599</v>
      </c>
      <c r="I20" s="5">
        <v>317970296.43999702</v>
      </c>
      <c r="J20" s="5">
        <v>365815534.831173</v>
      </c>
      <c r="K20" s="5">
        <v>414167091.36173201</v>
      </c>
      <c r="L20" s="5">
        <v>265266619.26144299</v>
      </c>
      <c r="M20" s="5">
        <v>573305798.71502304</v>
      </c>
      <c r="N20" s="5">
        <v>289822729.068771</v>
      </c>
      <c r="O20" s="5">
        <v>273275718.19775403</v>
      </c>
      <c r="P20" s="5">
        <v>542532655.47147906</v>
      </c>
      <c r="Q20" s="5">
        <v>322766971.56266803</v>
      </c>
      <c r="R20" s="5">
        <v>217338641.84302899</v>
      </c>
      <c r="S20" s="5">
        <v>229506309.08291599</v>
      </c>
      <c r="T20" s="5">
        <v>212092801.635187</v>
      </c>
      <c r="U20" s="5">
        <v>610103817.07426298</v>
      </c>
      <c r="V20" s="5">
        <v>217285338.67532799</v>
      </c>
      <c r="W20" s="5">
        <v>313779705.30437499</v>
      </c>
      <c r="X20" s="5">
        <v>475938905.42061502</v>
      </c>
      <c r="Y20" s="5">
        <v>196918959.79522899</v>
      </c>
      <c r="Z20" s="5">
        <v>316863314.213377</v>
      </c>
      <c r="AA20" s="5">
        <v>349120457.64239299</v>
      </c>
      <c r="AB20" s="5">
        <v>202525205.47077301</v>
      </c>
      <c r="AC20" s="5">
        <v>344547106.74338102</v>
      </c>
      <c r="AD20" s="5">
        <v>229405900.22982201</v>
      </c>
      <c r="AE20" s="5">
        <v>351232454.51474398</v>
      </c>
      <c r="AF20" s="5">
        <v>343844036.14851898</v>
      </c>
      <c r="AG20">
        <f t="shared" si="1"/>
        <v>317257374.40911651</v>
      </c>
      <c r="AH20">
        <f t="shared" si="2"/>
        <v>58662218.553853504</v>
      </c>
      <c r="AI20">
        <f t="shared" si="3"/>
        <v>0.1849041922606538</v>
      </c>
    </row>
    <row r="21" spans="1:35" x14ac:dyDescent="0.45">
      <c r="A21" s="5" t="s">
        <v>54</v>
      </c>
      <c r="B21" s="2">
        <f t="shared" si="0"/>
        <v>34238270.257775381</v>
      </c>
      <c r="C21" s="2">
        <v>33617599.080224127</v>
      </c>
      <c r="D21" s="2">
        <v>0.11601578075959493</v>
      </c>
      <c r="E21" s="5">
        <v>12812469.9537708</v>
      </c>
      <c r="F21" s="5">
        <v>40074931.815759897</v>
      </c>
      <c r="G21" s="5">
        <v>21078232.0804324</v>
      </c>
      <c r="H21" s="5">
        <v>33243138.6059204</v>
      </c>
      <c r="I21" s="5">
        <v>38067027.213145003</v>
      </c>
      <c r="J21" s="5">
        <v>40231537.304709204</v>
      </c>
      <c r="K21" s="5">
        <v>42388650.879502401</v>
      </c>
      <c r="L21" s="5">
        <v>40587613.216056399</v>
      </c>
      <c r="M21" s="5">
        <v>34479328.647046797</v>
      </c>
      <c r="N21" s="5">
        <v>36337837.659179203</v>
      </c>
      <c r="O21" s="5">
        <v>23086606.199097399</v>
      </c>
      <c r="P21" s="5">
        <v>33885790.508761302</v>
      </c>
      <c r="Q21" s="5">
        <v>31739051.281439401</v>
      </c>
      <c r="R21" s="5">
        <v>28362757.464696299</v>
      </c>
      <c r="S21" s="5">
        <v>34047857.701719001</v>
      </c>
      <c r="T21" s="5">
        <v>34981636.262085102</v>
      </c>
      <c r="U21" s="5">
        <v>41380934.050835997</v>
      </c>
      <c r="V21" s="5">
        <v>34398254.305095904</v>
      </c>
      <c r="W21" s="5">
        <v>37229221.309582897</v>
      </c>
      <c r="X21" s="5">
        <v>35077433.565844603</v>
      </c>
      <c r="Y21" s="5">
        <v>32686226.855557598</v>
      </c>
      <c r="Z21" s="5">
        <v>35924038.992638998</v>
      </c>
      <c r="AA21" s="5">
        <v>37377730.546470597</v>
      </c>
      <c r="AB21" s="5">
        <v>42240179.767261498</v>
      </c>
      <c r="AC21" s="5">
        <v>35201137.5020824</v>
      </c>
      <c r="AD21" s="5">
        <v>35485673.623926103</v>
      </c>
      <c r="AE21" s="5">
        <v>35995444.174333103</v>
      </c>
      <c r="AF21" s="5">
        <v>27788141.0205549</v>
      </c>
      <c r="AG21">
        <f t="shared" si="1"/>
        <v>33617599.080224127</v>
      </c>
      <c r="AH21">
        <f t="shared" si="2"/>
        <v>3900172.0045552421</v>
      </c>
      <c r="AI21">
        <f t="shared" si="3"/>
        <v>0.11601578075959493</v>
      </c>
    </row>
    <row r="22" spans="1:35" x14ac:dyDescent="0.45">
      <c r="A22" s="5" t="s">
        <v>55</v>
      </c>
      <c r="B22" s="2">
        <f t="shared" si="0"/>
        <v>264005358.34014058</v>
      </c>
      <c r="C22" s="2">
        <v>247437647.76646698</v>
      </c>
      <c r="D22" s="2">
        <v>2.0507031456172036E-2</v>
      </c>
      <c r="E22" s="5">
        <v>268278793.735048</v>
      </c>
      <c r="F22" s="5">
        <v>263048028.257368</v>
      </c>
      <c r="G22" s="5">
        <v>157578077.93091401</v>
      </c>
      <c r="H22" s="5">
        <v>302743584.01353103</v>
      </c>
      <c r="I22" s="5">
        <v>174500223.37841299</v>
      </c>
      <c r="J22" s="5">
        <v>210130771.68900201</v>
      </c>
      <c r="K22" s="5">
        <v>490329198.87700498</v>
      </c>
      <c r="L22" s="5">
        <v>196011083.22728801</v>
      </c>
      <c r="M22" s="5">
        <v>403259656.77763402</v>
      </c>
      <c r="N22" s="5">
        <v>232375197.64079201</v>
      </c>
      <c r="O22" s="5">
        <v>265748279.73157001</v>
      </c>
      <c r="P22" s="5">
        <v>499673723.74562401</v>
      </c>
      <c r="Q22" s="5">
        <v>205079381.88245699</v>
      </c>
      <c r="R22" s="5">
        <v>94346503.361306801</v>
      </c>
      <c r="S22" s="5">
        <v>187737431.669218</v>
      </c>
      <c r="T22" s="5">
        <v>536603168.85842502</v>
      </c>
      <c r="U22" s="5">
        <v>467698229.73109698</v>
      </c>
      <c r="V22" s="5">
        <v>224622806.79288599</v>
      </c>
      <c r="W22" s="5">
        <v>240709591.39519799</v>
      </c>
      <c r="X22" s="5">
        <v>331695447.309672</v>
      </c>
      <c r="Y22" s="5">
        <v>112401016.837209</v>
      </c>
      <c r="Z22" s="5">
        <v>179971718.876708</v>
      </c>
      <c r="AA22" s="5">
        <v>91502146.731268793</v>
      </c>
      <c r="AB22" s="5">
        <v>200084537.71373901</v>
      </c>
      <c r="AC22" s="5">
        <v>250474940.61670399</v>
      </c>
      <c r="AD22" s="5">
        <v>239976783.13765299</v>
      </c>
      <c r="AE22" s="5">
        <v>250782841.87310901</v>
      </c>
      <c r="AF22" s="5">
        <v>248516025.438402</v>
      </c>
      <c r="AG22">
        <f t="shared" si="1"/>
        <v>247437647.76646698</v>
      </c>
      <c r="AH22">
        <f t="shared" si="2"/>
        <v>5074211.6261881543</v>
      </c>
      <c r="AI22">
        <f t="shared" si="3"/>
        <v>2.0507031456172036E-2</v>
      </c>
    </row>
    <row r="23" spans="1:35" x14ac:dyDescent="0.45">
      <c r="A23" s="5" t="s">
        <v>56</v>
      </c>
      <c r="B23" s="2">
        <f t="shared" si="0"/>
        <v>1849038.0879258653</v>
      </c>
      <c r="C23" s="2">
        <v>1440714.4166478023</v>
      </c>
      <c r="D23" s="2">
        <v>0.13210795846201262</v>
      </c>
      <c r="E23" s="5">
        <v>1766169.52528022</v>
      </c>
      <c r="F23" s="5">
        <v>1748898.86823509</v>
      </c>
      <c r="G23" s="5">
        <v>3652867.9105481501</v>
      </c>
      <c r="H23" s="5">
        <v>869942.21916558396</v>
      </c>
      <c r="I23" s="5">
        <v>1161738.5218515799</v>
      </c>
      <c r="J23" s="5">
        <v>900443.33417343302</v>
      </c>
      <c r="K23" s="5">
        <v>3401834.83989977</v>
      </c>
      <c r="L23" s="5">
        <v>1197187.18663569</v>
      </c>
      <c r="M23" s="5">
        <v>970760.03673426202</v>
      </c>
      <c r="N23" s="5">
        <v>1213953.6704540499</v>
      </c>
      <c r="O23" s="5">
        <v>2143536.61406133</v>
      </c>
      <c r="P23" s="5">
        <v>925489.67449375603</v>
      </c>
      <c r="Q23" s="5">
        <v>1553533.64851517</v>
      </c>
      <c r="R23" s="5">
        <v>2629255.9311618502</v>
      </c>
      <c r="S23" s="5">
        <v>3258142.0862015099</v>
      </c>
      <c r="T23" s="5">
        <v>1889925.8818764701</v>
      </c>
      <c r="U23" s="5">
        <v>1133111.76527965</v>
      </c>
      <c r="V23" s="5">
        <v>1351879.9368112199</v>
      </c>
      <c r="W23" s="5">
        <v>2226227.0817447798</v>
      </c>
      <c r="X23" s="5">
        <v>1495365.41757713</v>
      </c>
      <c r="Y23" s="5">
        <v>2426943.0583382999</v>
      </c>
      <c r="Z23" s="5">
        <v>3239850.12663987</v>
      </c>
      <c r="AA23" s="5">
        <v>2270873.6525688199</v>
      </c>
      <c r="AB23" s="5">
        <v>948983.12197307602</v>
      </c>
      <c r="AC23" s="5">
        <v>1517191.8543058699</v>
      </c>
      <c r="AD23" s="5">
        <v>1391089.1336636499</v>
      </c>
      <c r="AE23" s="5">
        <v>1650900.0094558999</v>
      </c>
      <c r="AF23" s="5">
        <v>1203676.6691657901</v>
      </c>
      <c r="AG23">
        <f t="shared" si="1"/>
        <v>1440714.4166478023</v>
      </c>
      <c r="AH23">
        <f t="shared" si="2"/>
        <v>190329.84031013062</v>
      </c>
      <c r="AI23">
        <f t="shared" si="3"/>
        <v>0.13210795846201262</v>
      </c>
    </row>
    <row r="24" spans="1:35" x14ac:dyDescent="0.45">
      <c r="A24" s="5" t="s">
        <v>57</v>
      </c>
      <c r="B24" s="2">
        <f t="shared" si="0"/>
        <v>30556980.685509071</v>
      </c>
      <c r="C24" s="2">
        <v>35175166.482591428</v>
      </c>
      <c r="D24" s="2">
        <v>2.5667197345406813E-2</v>
      </c>
      <c r="E24" s="5">
        <v>21415066.1165612</v>
      </c>
      <c r="F24" s="5">
        <v>28449974.6682254</v>
      </c>
      <c r="G24" s="5">
        <v>12009511.105141001</v>
      </c>
      <c r="H24" s="5">
        <v>33243138.6059204</v>
      </c>
      <c r="I24" s="5">
        <v>27131311.560159899</v>
      </c>
      <c r="J24" s="5">
        <v>40209400.642902099</v>
      </c>
      <c r="K24" s="5">
        <v>42352498.704265699</v>
      </c>
      <c r="L24" s="5">
        <v>40560221.217548303</v>
      </c>
      <c r="M24" s="5">
        <v>25422037.439426798</v>
      </c>
      <c r="N24" s="5">
        <v>36309813.4994203</v>
      </c>
      <c r="O24" s="5">
        <v>31814365.672103502</v>
      </c>
      <c r="P24" s="5">
        <v>33855236.781245403</v>
      </c>
      <c r="Q24" s="5">
        <v>31731957.242646299</v>
      </c>
      <c r="R24" s="5">
        <v>9552620.5291379597</v>
      </c>
      <c r="S24" s="5">
        <v>23778346.782086801</v>
      </c>
      <c r="T24" s="5">
        <v>39528578.212188803</v>
      </c>
      <c r="U24" s="5">
        <v>41397413.042630203</v>
      </c>
      <c r="V24" s="5">
        <v>24599422.166453999</v>
      </c>
      <c r="W24" s="5">
        <v>25904609.718773998</v>
      </c>
      <c r="X24" s="5">
        <v>35069406.208141498</v>
      </c>
      <c r="Y24" s="5">
        <v>32708418.306858301</v>
      </c>
      <c r="Z24" s="5">
        <v>41126514.038419597</v>
      </c>
      <c r="AA24" s="5">
        <v>31360327.8865715</v>
      </c>
      <c r="AB24" s="5">
        <v>23837346.305388801</v>
      </c>
      <c r="AC24" s="5">
        <v>35260270.650512099</v>
      </c>
      <c r="AD24" s="5">
        <v>35495388.644534901</v>
      </c>
      <c r="AE24" s="5">
        <v>36033981.894405603</v>
      </c>
      <c r="AF24" s="5">
        <v>33911024.740913101</v>
      </c>
      <c r="AG24">
        <f t="shared" si="1"/>
        <v>35175166.482591428</v>
      </c>
      <c r="AH24">
        <f t="shared" si="2"/>
        <v>902847.93976621341</v>
      </c>
      <c r="AI24">
        <f t="shared" si="3"/>
        <v>2.5667197345406813E-2</v>
      </c>
    </row>
    <row r="25" spans="1:35" x14ac:dyDescent="0.45">
      <c r="A25" s="5" t="s">
        <v>58</v>
      </c>
      <c r="B25" s="2">
        <f t="shared" si="0"/>
        <v>23119769.094329361</v>
      </c>
      <c r="C25" s="2">
        <v>23563818.55048655</v>
      </c>
      <c r="D25" s="2">
        <v>2.8948018272314427E-2</v>
      </c>
      <c r="E25" s="5">
        <v>19665050.2434453</v>
      </c>
      <c r="F25" s="5">
        <v>25763465.5125755</v>
      </c>
      <c r="G25" s="5">
        <v>13225195.5703308</v>
      </c>
      <c r="H25" s="5">
        <v>19131981.0589616</v>
      </c>
      <c r="I25" s="5">
        <v>27322142.980057999</v>
      </c>
      <c r="J25" s="5">
        <v>28931843.520084701</v>
      </c>
      <c r="K25" s="5">
        <v>27618806.1449879</v>
      </c>
      <c r="L25" s="5">
        <v>28736797.577801101</v>
      </c>
      <c r="M25" s="5">
        <v>24079433.370450001</v>
      </c>
      <c r="N25" s="5">
        <v>18259543.788780801</v>
      </c>
      <c r="O25" s="5">
        <v>31105602.158422999</v>
      </c>
      <c r="P25" s="5">
        <v>22259267.5391526</v>
      </c>
      <c r="Q25" s="5">
        <v>21789878.1427604</v>
      </c>
      <c r="R25" s="5">
        <v>25933622.2051115</v>
      </c>
      <c r="S25" s="5">
        <v>24536501.435433399</v>
      </c>
      <c r="T25" s="5">
        <v>26691780.924102999</v>
      </c>
      <c r="U25" s="5">
        <v>28417066.1508081</v>
      </c>
      <c r="V25" s="5">
        <v>22073996.025225699</v>
      </c>
      <c r="W25" s="5">
        <v>24469965.479049001</v>
      </c>
      <c r="X25" s="5">
        <v>23802064.3339753</v>
      </c>
      <c r="Y25" s="5">
        <v>9900973.7710953001</v>
      </c>
      <c r="Z25" s="5">
        <v>29294689.412613399</v>
      </c>
      <c r="AA25" s="5">
        <v>25321921.403693002</v>
      </c>
      <c r="AB25" s="5">
        <v>6542869.5149851702</v>
      </c>
      <c r="AC25" s="5">
        <v>24498371.844006199</v>
      </c>
      <c r="AD25" s="5">
        <v>23179083.6068803</v>
      </c>
      <c r="AE25" s="5">
        <v>23623069.5776489</v>
      </c>
      <c r="AF25" s="5">
        <v>22954749.173410799</v>
      </c>
      <c r="AG25">
        <f t="shared" si="1"/>
        <v>23563818.55048655</v>
      </c>
      <c r="AH25">
        <f t="shared" si="2"/>
        <v>682125.84996498632</v>
      </c>
      <c r="AI25">
        <f t="shared" si="3"/>
        <v>2.8948018272314427E-2</v>
      </c>
    </row>
    <row r="26" spans="1:35" x14ac:dyDescent="0.45">
      <c r="A26" s="5" t="s">
        <v>273</v>
      </c>
      <c r="B26" s="2">
        <f t="shared" si="0"/>
        <v>46751688.800066322</v>
      </c>
      <c r="C26" s="2">
        <v>45442217.651247419</v>
      </c>
      <c r="D26" s="2">
        <v>2.6644123554752912E-2</v>
      </c>
      <c r="E26" s="5">
        <v>30981514.856093701</v>
      </c>
      <c r="F26" s="5">
        <v>23833682.977819201</v>
      </c>
      <c r="G26" s="5">
        <v>41941463.156524703</v>
      </c>
      <c r="H26" s="5">
        <v>14707666.6635995</v>
      </c>
      <c r="I26" s="5">
        <v>29761579.2042045</v>
      </c>
      <c r="J26" s="5">
        <v>79162278.484623298</v>
      </c>
      <c r="K26" s="5">
        <v>53130843.561926603</v>
      </c>
      <c r="L26" s="5">
        <v>28751782.184014101</v>
      </c>
      <c r="M26" s="5">
        <v>31232049.601390701</v>
      </c>
      <c r="N26" s="5">
        <v>42822069.492822297</v>
      </c>
      <c r="O26" s="5">
        <v>74820632.662764296</v>
      </c>
      <c r="P26" s="5">
        <v>44153935.2752003</v>
      </c>
      <c r="Q26" s="5">
        <v>63376278.017904997</v>
      </c>
      <c r="R26" s="5">
        <v>54037382.698878199</v>
      </c>
      <c r="S26" s="5">
        <v>92102902.653521493</v>
      </c>
      <c r="T26" s="5">
        <v>63604358.091474801</v>
      </c>
      <c r="U26" s="5">
        <v>36693758.456748098</v>
      </c>
      <c r="V26" s="5">
        <v>40785224.0102413</v>
      </c>
      <c r="W26" s="5">
        <v>42964443.8482062</v>
      </c>
      <c r="X26" s="5">
        <v>24802550.7040364</v>
      </c>
      <c r="Y26" s="5">
        <v>61718929.755139798</v>
      </c>
      <c r="Z26" s="5">
        <v>54626131.9286955</v>
      </c>
      <c r="AA26" s="5">
        <v>43132278.808856301</v>
      </c>
      <c r="AB26" s="5">
        <v>48896794.106905498</v>
      </c>
      <c r="AC26" s="5">
        <v>45234091.716246203</v>
      </c>
      <c r="AD26" s="5">
        <v>43932657.097075902</v>
      </c>
      <c r="AE26" s="5">
        <v>46849041.273510501</v>
      </c>
      <c r="AF26" s="5">
        <v>45753080.518157102</v>
      </c>
      <c r="AG26">
        <f t="shared" si="1"/>
        <v>45442217.651247419</v>
      </c>
      <c r="AH26">
        <f t="shared" si="2"/>
        <v>1210768.06170181</v>
      </c>
      <c r="AI26">
        <f t="shared" si="3"/>
        <v>2.6644123554752912E-2</v>
      </c>
    </row>
    <row r="27" spans="1:35" x14ac:dyDescent="0.45">
      <c r="A27" s="5" t="s">
        <v>59</v>
      </c>
      <c r="B27" s="2">
        <f t="shared" si="0"/>
        <v>23028322.141100969</v>
      </c>
      <c r="C27" s="2">
        <v>17469298.019244701</v>
      </c>
      <c r="D27" s="2">
        <v>4.3988054623874229E-2</v>
      </c>
      <c r="E27" s="5">
        <v>334878.47257704701</v>
      </c>
      <c r="F27" s="5">
        <v>567022.816825188</v>
      </c>
      <c r="G27" s="5">
        <v>208909838.12117299</v>
      </c>
      <c r="H27" s="5">
        <v>2771080.7467269199</v>
      </c>
      <c r="I27" s="5">
        <v>74106173.388376802</v>
      </c>
      <c r="J27" s="5">
        <v>269243.07561052102</v>
      </c>
      <c r="K27" s="5">
        <v>1459462.4031452299</v>
      </c>
      <c r="L27" s="5">
        <v>1256562.9546932301</v>
      </c>
      <c r="M27" s="5">
        <v>226173.09412937699</v>
      </c>
      <c r="N27" s="5">
        <v>309187.89636074699</v>
      </c>
      <c r="O27" s="5">
        <v>7896964.59748937</v>
      </c>
      <c r="P27" s="5">
        <v>2403425.41652598</v>
      </c>
      <c r="Q27" s="5">
        <v>72451793.197723404</v>
      </c>
      <c r="R27" s="5">
        <v>2200293.6390099898</v>
      </c>
      <c r="S27" s="5">
        <v>1682017.32764351</v>
      </c>
      <c r="T27" s="5">
        <v>68767011.225811899</v>
      </c>
      <c r="U27" s="5">
        <v>1347779.66622595</v>
      </c>
      <c r="V27" s="5">
        <v>538821.53163847001</v>
      </c>
      <c r="W27" s="5">
        <v>3983956.0057601202</v>
      </c>
      <c r="X27" s="5">
        <v>475945.27180941601</v>
      </c>
      <c r="Y27" s="5">
        <v>97626358.260069802</v>
      </c>
      <c r="Z27" s="5">
        <v>618652.991820405</v>
      </c>
      <c r="AA27" s="5">
        <v>1573129.92527043</v>
      </c>
      <c r="AB27" s="5">
        <v>903959.36000628804</v>
      </c>
      <c r="AC27" s="5">
        <v>16672588.0398934</v>
      </c>
      <c r="AD27" s="5">
        <v>18444134.1987295</v>
      </c>
      <c r="AE27" s="5">
        <v>17672283.946884599</v>
      </c>
      <c r="AF27" s="5">
        <v>17088185.8914713</v>
      </c>
      <c r="AG27">
        <f t="shared" si="1"/>
        <v>17469298.019244701</v>
      </c>
      <c r="AH27">
        <f t="shared" si="2"/>
        <v>768440.4355112738</v>
      </c>
      <c r="AI27">
        <f t="shared" si="3"/>
        <v>4.3988054623874229E-2</v>
      </c>
    </row>
    <row r="28" spans="1:35" x14ac:dyDescent="0.45">
      <c r="A28" s="5" t="s">
        <v>60</v>
      </c>
      <c r="B28" s="2">
        <f t="shared" si="0"/>
        <v>11046209.787341312</v>
      </c>
      <c r="C28" s="2">
        <v>9389879.0439443886</v>
      </c>
      <c r="D28" s="2">
        <v>2.5100980698366138E-2</v>
      </c>
      <c r="E28" s="5">
        <v>689409.41011527996</v>
      </c>
      <c r="F28" s="5">
        <v>813819.32566794194</v>
      </c>
      <c r="G28" s="5">
        <v>24239625.0118002</v>
      </c>
      <c r="H28" s="5">
        <v>10809476.1782782</v>
      </c>
      <c r="I28" s="5">
        <v>23565428.0390638</v>
      </c>
      <c r="J28" s="5">
        <v>731265.94616216305</v>
      </c>
      <c r="K28" s="5">
        <v>2319191.8227540902</v>
      </c>
      <c r="L28" s="5">
        <v>1306583.4618844299</v>
      </c>
      <c r="M28" s="5">
        <v>1507565.2278425901</v>
      </c>
      <c r="N28" s="5">
        <v>1704033.8596365501</v>
      </c>
      <c r="O28" s="5">
        <v>74042146.701349303</v>
      </c>
      <c r="P28" s="5">
        <v>1906464.78830366</v>
      </c>
      <c r="Q28" s="5">
        <v>34432547.926903598</v>
      </c>
      <c r="R28" s="5">
        <v>1868805.71612163</v>
      </c>
      <c r="S28" s="5">
        <v>4091003.3298075302</v>
      </c>
      <c r="T28" s="5">
        <v>60786966.549309798</v>
      </c>
      <c r="U28" s="5">
        <v>1814555.5671105599</v>
      </c>
      <c r="V28" s="5">
        <v>1687757.20375685</v>
      </c>
      <c r="W28" s="5">
        <v>4184036.4039336098</v>
      </c>
      <c r="X28" s="5">
        <v>1544336.7111526299</v>
      </c>
      <c r="Y28" s="5">
        <v>2799225.8250794401</v>
      </c>
      <c r="Z28" s="5">
        <v>1443591.66227721</v>
      </c>
      <c r="AA28" s="5">
        <v>4406167.3263503797</v>
      </c>
      <c r="AB28" s="5">
        <v>2415030.9015299701</v>
      </c>
      <c r="AC28" s="5">
        <v>9365098.75781269</v>
      </c>
      <c r="AD28" s="5">
        <v>9241816.0077896807</v>
      </c>
      <c r="AE28" s="5">
        <v>9222152.6075788103</v>
      </c>
      <c r="AF28" s="5">
        <v>9730448.8025963698</v>
      </c>
      <c r="AG28">
        <f t="shared" si="1"/>
        <v>9389879.0439443886</v>
      </c>
      <c r="AH28">
        <f t="shared" si="2"/>
        <v>235695.17264204079</v>
      </c>
      <c r="AI28">
        <f t="shared" si="3"/>
        <v>2.5100980698366138E-2</v>
      </c>
    </row>
    <row r="29" spans="1:35" x14ac:dyDescent="0.45">
      <c r="A29" s="5" t="s">
        <v>61</v>
      </c>
      <c r="B29" s="2">
        <f t="shared" si="0"/>
        <v>58308315.300414324</v>
      </c>
      <c r="C29" s="2">
        <v>50414780.850108176</v>
      </c>
      <c r="D29" s="2">
        <v>7.010683619544153E-2</v>
      </c>
      <c r="E29" s="5">
        <v>66097329.361507997</v>
      </c>
      <c r="F29" s="5">
        <v>53856188.441284902</v>
      </c>
      <c r="G29" s="5">
        <v>40361496.609134398</v>
      </c>
      <c r="H29" s="5">
        <v>40636131.413272299</v>
      </c>
      <c r="I29" s="5">
        <v>61526115.4831236</v>
      </c>
      <c r="J29" s="5">
        <v>62314574.556265399</v>
      </c>
      <c r="K29" s="5">
        <v>85410759.748505399</v>
      </c>
      <c r="L29" s="5">
        <v>64045883.377205603</v>
      </c>
      <c r="M29" s="5">
        <v>53239016.608230598</v>
      </c>
      <c r="N29" s="5">
        <v>53926463.208229601</v>
      </c>
      <c r="O29" s="5">
        <v>8966023.4058541991</v>
      </c>
      <c r="P29" s="5">
        <v>47317961.3814115</v>
      </c>
      <c r="Q29" s="5">
        <v>108695389.851382</v>
      </c>
      <c r="R29" s="5">
        <v>63880484.842022203</v>
      </c>
      <c r="S29" s="5">
        <v>70510520.085617006</v>
      </c>
      <c r="T29" s="5">
        <v>43477958.038361497</v>
      </c>
      <c r="U29" s="5">
        <v>59869365.557039298</v>
      </c>
      <c r="V29" s="5">
        <v>42016716.377906501</v>
      </c>
      <c r="W29" s="5">
        <v>61780028.323651798</v>
      </c>
      <c r="X29" s="5">
        <v>49880393.172455996</v>
      </c>
      <c r="Y29" s="5">
        <v>82559285.719410405</v>
      </c>
      <c r="Z29" s="5">
        <v>57409851.833157197</v>
      </c>
      <c r="AA29" s="5">
        <v>68014405.901957393</v>
      </c>
      <c r="AB29" s="5">
        <v>53607223.912956797</v>
      </c>
      <c r="AC29" s="5">
        <v>47993431.7415023</v>
      </c>
      <c r="AD29" s="5">
        <v>54713555.977045402</v>
      </c>
      <c r="AE29" s="5">
        <v>47091573.399069197</v>
      </c>
      <c r="AF29" s="5">
        <v>51860562.282815799</v>
      </c>
      <c r="AG29">
        <f t="shared" si="1"/>
        <v>50414780.850108176</v>
      </c>
      <c r="AH29">
        <f t="shared" si="2"/>
        <v>3534420.7828876167</v>
      </c>
      <c r="AI29">
        <f t="shared" si="3"/>
        <v>7.010683619544153E-2</v>
      </c>
    </row>
    <row r="30" spans="1:35" x14ac:dyDescent="0.45">
      <c r="A30" s="5" t="s">
        <v>62</v>
      </c>
      <c r="B30" s="2">
        <f t="shared" si="0"/>
        <v>33624672.412736841</v>
      </c>
      <c r="C30" s="2">
        <v>34136213.339799173</v>
      </c>
      <c r="D30" s="2">
        <v>6.5150273229740943E-2</v>
      </c>
      <c r="E30" s="5">
        <v>32158106.0119</v>
      </c>
      <c r="F30" s="5">
        <v>30135318.720586602</v>
      </c>
      <c r="G30" s="5">
        <v>39162808.974857301</v>
      </c>
      <c r="H30" s="5">
        <v>58424585.520713203</v>
      </c>
      <c r="I30" s="5">
        <v>42837377.448803701</v>
      </c>
      <c r="J30" s="5">
        <v>51681696.589272797</v>
      </c>
      <c r="K30" s="5">
        <v>35391214.616841897</v>
      </c>
      <c r="L30" s="5">
        <v>44406994.298580401</v>
      </c>
      <c r="M30" s="5">
        <v>30360194.671729598</v>
      </c>
      <c r="N30" s="5">
        <v>28735880.469726998</v>
      </c>
      <c r="O30" s="5">
        <v>14099050.311925899</v>
      </c>
      <c r="P30" s="5">
        <v>41556512.864925303</v>
      </c>
      <c r="Q30" s="5">
        <v>37151897.975127898</v>
      </c>
      <c r="R30" s="5">
        <v>8841858.44573416</v>
      </c>
      <c r="S30" s="5">
        <v>21960743.696057301</v>
      </c>
      <c r="T30" s="5">
        <v>54899617.049534701</v>
      </c>
      <c r="U30" s="5">
        <v>30244019.076182</v>
      </c>
      <c r="V30" s="5">
        <v>8340109.4586584298</v>
      </c>
      <c r="W30" s="5">
        <v>37257007.759213701</v>
      </c>
      <c r="X30" s="5">
        <v>41793147.3670936</v>
      </c>
      <c r="Y30" s="5">
        <v>40421329.153887503</v>
      </c>
      <c r="Z30" s="5">
        <v>32307689.243952699</v>
      </c>
      <c r="AA30" s="5">
        <v>30639968.674877301</v>
      </c>
      <c r="AB30" s="5">
        <v>14185009.505501</v>
      </c>
      <c r="AC30" s="5">
        <v>31071584.007472999</v>
      </c>
      <c r="AD30" s="5">
        <v>34162226.667367399</v>
      </c>
      <c r="AE30" s="5">
        <v>36299371.580103897</v>
      </c>
      <c r="AF30" s="5">
        <v>35011671.104252398</v>
      </c>
      <c r="AG30">
        <f t="shared" si="1"/>
        <v>34136213.339799173</v>
      </c>
      <c r="AH30">
        <f t="shared" si="2"/>
        <v>2223983.6261166437</v>
      </c>
      <c r="AI30">
        <f t="shared" si="3"/>
        <v>6.5150273229740943E-2</v>
      </c>
    </row>
    <row r="31" spans="1:35" x14ac:dyDescent="0.45">
      <c r="A31" s="5" t="s">
        <v>63</v>
      </c>
      <c r="B31" s="2">
        <f t="shared" si="0"/>
        <v>4693086.8824318005</v>
      </c>
      <c r="C31" s="2">
        <v>2577841.9512629379</v>
      </c>
      <c r="D31" s="2">
        <v>2.6418633736127791E-2</v>
      </c>
      <c r="E31" s="5">
        <v>1910170.7316417501</v>
      </c>
      <c r="F31" s="5">
        <v>2877579.2338429298</v>
      </c>
      <c r="G31" s="5">
        <v>3524902.1911648</v>
      </c>
      <c r="H31" s="5">
        <v>18454155.248176198</v>
      </c>
      <c r="I31" s="5">
        <v>4131161.9829215999</v>
      </c>
      <c r="J31" s="5">
        <v>7427539.2856813604</v>
      </c>
      <c r="K31" s="5">
        <v>195426.331005121</v>
      </c>
      <c r="L31" s="5">
        <v>3894399.93382979</v>
      </c>
      <c r="M31" s="5">
        <v>5248177.8975829296</v>
      </c>
      <c r="N31" s="5">
        <v>1679099.88655662</v>
      </c>
      <c r="O31" s="5">
        <v>5710127.5948092099</v>
      </c>
      <c r="P31" s="5">
        <v>4512859.3629049901</v>
      </c>
      <c r="Q31" s="5">
        <v>4649112.8143656198</v>
      </c>
      <c r="R31" s="5">
        <v>182771.83535859</v>
      </c>
      <c r="S31" s="5">
        <v>300265.10231894098</v>
      </c>
      <c r="T31" s="5">
        <v>8795489.4618717507</v>
      </c>
      <c r="U31" s="5">
        <v>4910379.5896121096</v>
      </c>
      <c r="V31" s="5">
        <v>3092417.99222962</v>
      </c>
      <c r="W31" s="5">
        <v>2402813.5317178802</v>
      </c>
      <c r="X31" s="5">
        <v>11172027.580097901</v>
      </c>
      <c r="Y31" s="5">
        <v>4052766.9117804202</v>
      </c>
      <c r="Z31" s="5">
        <v>8528455.7861970495</v>
      </c>
      <c r="AA31" s="5">
        <v>291316.42565882002</v>
      </c>
      <c r="AB31" s="5">
        <v>4690668.4670371898</v>
      </c>
      <c r="AC31" s="5">
        <v>2589966.963221</v>
      </c>
      <c r="AD31" s="5">
        <v>2595652.2677066401</v>
      </c>
      <c r="AE31" s="5">
        <v>2482246.14039414</v>
      </c>
      <c r="AF31" s="5">
        <v>2643502.4337299699</v>
      </c>
      <c r="AG31">
        <f t="shared" si="1"/>
        <v>2577841.9512629379</v>
      </c>
      <c r="AH31">
        <f t="shared" si="2"/>
        <v>68103.062340040546</v>
      </c>
      <c r="AI31">
        <f t="shared" si="3"/>
        <v>2.6418633736127791E-2</v>
      </c>
    </row>
    <row r="32" spans="1:35" x14ac:dyDescent="0.45">
      <c r="A32" s="5" t="s">
        <v>64</v>
      </c>
      <c r="B32" s="2">
        <f t="shared" si="0"/>
        <v>50826075.721418113</v>
      </c>
      <c r="C32" s="2">
        <v>44485137.933686696</v>
      </c>
      <c r="D32" s="2">
        <v>5.5966244123703948E-2</v>
      </c>
      <c r="E32" s="5">
        <v>57520713.596543603</v>
      </c>
      <c r="F32" s="5">
        <v>63321346.502553999</v>
      </c>
      <c r="G32" s="5">
        <v>56546541.451531298</v>
      </c>
      <c r="H32" s="5">
        <v>71781185.408150703</v>
      </c>
      <c r="I32" s="5">
        <v>9222177.3827876095</v>
      </c>
      <c r="J32" s="5">
        <v>24667526.268322598</v>
      </c>
      <c r="K32" s="5">
        <v>68337485.552708</v>
      </c>
      <c r="L32" s="5">
        <v>21775476.4817346</v>
      </c>
      <c r="M32" s="5">
        <v>53215172.729506902</v>
      </c>
      <c r="N32" s="5">
        <v>63410014.461920001</v>
      </c>
      <c r="O32" s="5">
        <v>45089550.284998402</v>
      </c>
      <c r="P32" s="5">
        <v>72473960.766930804</v>
      </c>
      <c r="Q32" s="5">
        <v>43197615.085890099</v>
      </c>
      <c r="R32" s="5">
        <v>75204270.861449093</v>
      </c>
      <c r="S32" s="5">
        <v>66910056.730746798</v>
      </c>
      <c r="T32" s="5">
        <v>29439039.2393439</v>
      </c>
      <c r="U32" s="5">
        <v>61428051.8783793</v>
      </c>
      <c r="V32" s="5">
        <v>61487808.210845299</v>
      </c>
      <c r="W32" s="5">
        <v>46794136.406222597</v>
      </c>
      <c r="X32" s="5">
        <v>73346005.431113198</v>
      </c>
      <c r="Y32" s="5">
        <v>10217101.738086101</v>
      </c>
      <c r="Z32" s="5">
        <v>71263743.200120196</v>
      </c>
      <c r="AA32" s="5">
        <v>61568256.327256501</v>
      </c>
      <c r="AB32" s="5">
        <v>11608581.316893</v>
      </c>
      <c r="AC32" s="5">
        <v>41106178.665393099</v>
      </c>
      <c r="AD32" s="5">
        <v>44113342.470941797</v>
      </c>
      <c r="AE32" s="5">
        <v>46413588.748838797</v>
      </c>
      <c r="AF32" s="5">
        <v>46307441.849573098</v>
      </c>
      <c r="AG32">
        <f t="shared" si="1"/>
        <v>44485137.933686696</v>
      </c>
      <c r="AH32">
        <f t="shared" si="2"/>
        <v>2489666.0894733528</v>
      </c>
      <c r="AI32">
        <f t="shared" si="3"/>
        <v>5.5966244123703948E-2</v>
      </c>
    </row>
    <row r="33" spans="1:35" x14ac:dyDescent="0.45">
      <c r="A33" s="5" t="s">
        <v>65</v>
      </c>
      <c r="B33" s="2">
        <f t="shared" si="0"/>
        <v>3047236.8166704695</v>
      </c>
      <c r="C33" s="2">
        <v>3035918.4907085574</v>
      </c>
      <c r="D33" s="2">
        <v>9.9164892913319244E-2</v>
      </c>
      <c r="E33" s="5">
        <v>2901210.5989479101</v>
      </c>
      <c r="F33" s="5">
        <v>2194115.2381321099</v>
      </c>
      <c r="G33" s="5">
        <v>2144155.82827221</v>
      </c>
      <c r="H33" s="5">
        <v>3647409.0285400301</v>
      </c>
      <c r="I33" s="5">
        <v>2149966.1900720699</v>
      </c>
      <c r="J33" s="5">
        <v>1982805.2083959901</v>
      </c>
      <c r="K33" s="5">
        <v>4228721.3549883496</v>
      </c>
      <c r="L33" s="5">
        <v>2156425.5994571</v>
      </c>
      <c r="M33" s="5">
        <v>5736012.8676709402</v>
      </c>
      <c r="N33" s="5">
        <v>2841938.7601834801</v>
      </c>
      <c r="O33" s="5">
        <v>3118711.6401550602</v>
      </c>
      <c r="P33" s="5">
        <v>2779919.9095352502</v>
      </c>
      <c r="Q33" s="5">
        <v>2649990.42345428</v>
      </c>
      <c r="R33" s="5">
        <v>4969984.8895294098</v>
      </c>
      <c r="S33" s="5">
        <v>3176788.00651561</v>
      </c>
      <c r="T33" s="5">
        <v>4453166.7427845905</v>
      </c>
      <c r="U33" s="5">
        <v>3755526.64250017</v>
      </c>
      <c r="V33" s="5">
        <v>2107028.6408426198</v>
      </c>
      <c r="W33" s="5">
        <v>3852462.3814876499</v>
      </c>
      <c r="X33" s="5">
        <v>3265788.3643378098</v>
      </c>
      <c r="Y33" s="5">
        <v>1895722.92696591</v>
      </c>
      <c r="Z33" s="5">
        <v>2799240.2689378201</v>
      </c>
      <c r="AA33" s="5">
        <v>1996913.1621504501</v>
      </c>
      <c r="AB33" s="5">
        <v>2329678.9262344702</v>
      </c>
      <c r="AC33" s="5">
        <v>2725888.3192444998</v>
      </c>
      <c r="AD33" s="5">
        <v>3442881.7714888002</v>
      </c>
      <c r="AE33" s="5">
        <v>3039745.6902754102</v>
      </c>
      <c r="AF33" s="5">
        <v>2935158.18182552</v>
      </c>
      <c r="AG33">
        <f t="shared" si="1"/>
        <v>3035918.4907085574</v>
      </c>
      <c r="AH33">
        <f t="shared" si="2"/>
        <v>301056.53202467988</v>
      </c>
      <c r="AI33">
        <f t="shared" si="3"/>
        <v>9.9164892913319244E-2</v>
      </c>
    </row>
    <row r="34" spans="1:35" x14ac:dyDescent="0.45">
      <c r="A34" s="5" t="s">
        <v>66</v>
      </c>
      <c r="B34" s="2">
        <f t="shared" si="0"/>
        <v>1291224.2164073826</v>
      </c>
      <c r="C34" s="2">
        <v>1256737.0955542475</v>
      </c>
      <c r="D34" s="2">
        <v>3.9832422731050005E-2</v>
      </c>
      <c r="E34" s="5">
        <v>725379.04688313405</v>
      </c>
      <c r="F34" s="5">
        <v>617103.49249810795</v>
      </c>
      <c r="G34" s="5">
        <v>876503.50167029095</v>
      </c>
      <c r="H34" s="5">
        <v>822901.95751353295</v>
      </c>
      <c r="I34" s="5">
        <v>3175348.2257622899</v>
      </c>
      <c r="J34" s="5">
        <v>1140061.9695059699</v>
      </c>
      <c r="K34" s="5">
        <v>1102478.3332169801</v>
      </c>
      <c r="L34" s="5">
        <v>915393.17791260697</v>
      </c>
      <c r="M34" s="5">
        <v>1704804.04325962</v>
      </c>
      <c r="N34" s="5">
        <v>721664.31554219103</v>
      </c>
      <c r="O34" s="5">
        <v>1626778.6837286099</v>
      </c>
      <c r="P34" s="5">
        <v>1008453.39411251</v>
      </c>
      <c r="Q34" s="5">
        <v>2172865.6658713799</v>
      </c>
      <c r="R34" s="5">
        <v>814481.57092386601</v>
      </c>
      <c r="S34" s="5">
        <v>699516.20589439198</v>
      </c>
      <c r="T34" s="5">
        <v>2376005.5817413302</v>
      </c>
      <c r="U34" s="5">
        <v>1012549.92416747</v>
      </c>
      <c r="V34" s="5">
        <v>1691696.0272520899</v>
      </c>
      <c r="W34" s="5">
        <v>447624.26424804103</v>
      </c>
      <c r="X34" s="5">
        <v>924890.91289710498</v>
      </c>
      <c r="Y34" s="5">
        <v>2724181.0767511199</v>
      </c>
      <c r="Z34" s="5">
        <v>1230691.1400055699</v>
      </c>
      <c r="AA34" s="5">
        <v>1063688.28020242</v>
      </c>
      <c r="AB34" s="5">
        <v>1394320.40221656</v>
      </c>
      <c r="AC34" s="5">
        <v>1326323.6403159001</v>
      </c>
      <c r="AD34" s="5">
        <v>1232093.69411235</v>
      </c>
      <c r="AE34" s="5">
        <v>1211263.9167215801</v>
      </c>
      <c r="AF34" s="5">
        <v>1257267.1310671601</v>
      </c>
      <c r="AG34">
        <f t="shared" si="1"/>
        <v>1256737.0955542475</v>
      </c>
      <c r="AH34">
        <f t="shared" si="2"/>
        <v>50058.883251908766</v>
      </c>
      <c r="AI34">
        <f t="shared" si="3"/>
        <v>3.9832422731050005E-2</v>
      </c>
    </row>
    <row r="35" spans="1:35" x14ac:dyDescent="0.45">
      <c r="A35" s="5" t="s">
        <v>67</v>
      </c>
      <c r="B35" s="2">
        <f t="shared" si="0"/>
        <v>1075003.0105457727</v>
      </c>
      <c r="C35" s="2">
        <v>538267.40341338399</v>
      </c>
      <c r="D35" s="2">
        <v>9.153067902057091E-2</v>
      </c>
      <c r="E35" s="5">
        <v>2041529.0574394499</v>
      </c>
      <c r="F35" s="5">
        <v>1232877.0972112601</v>
      </c>
      <c r="G35" s="5">
        <v>680830.56238192902</v>
      </c>
      <c r="H35" s="5">
        <v>1816749.18935725</v>
      </c>
      <c r="I35" s="5">
        <v>97558.0388298053</v>
      </c>
      <c r="J35" s="5">
        <v>372346.52396163798</v>
      </c>
      <c r="K35" s="5">
        <v>1216741.90630285</v>
      </c>
      <c r="L35" s="5">
        <v>483061.23132964497</v>
      </c>
      <c r="M35" s="5">
        <v>327943.28555814398</v>
      </c>
      <c r="N35" s="5">
        <v>1677533.3073841501</v>
      </c>
      <c r="O35" s="5">
        <v>1118663.11345728</v>
      </c>
      <c r="P35" s="5">
        <v>1533627.4253294801</v>
      </c>
      <c r="Q35" s="5">
        <v>76383.321535168405</v>
      </c>
      <c r="R35" s="5">
        <v>1054602.9319094301</v>
      </c>
      <c r="S35" s="5">
        <v>487337.52681598498</v>
      </c>
      <c r="T35" s="5">
        <v>401101.43550133199</v>
      </c>
      <c r="U35" s="5">
        <v>2888119.0624818201</v>
      </c>
      <c r="V35" s="5">
        <v>733724.84643157397</v>
      </c>
      <c r="W35" s="5">
        <v>4598518.4326520804</v>
      </c>
      <c r="X35" s="5">
        <v>715897.83571103995</v>
      </c>
      <c r="Y35" s="5">
        <v>162001.73638864199</v>
      </c>
      <c r="Z35" s="5">
        <v>1337468.94851713</v>
      </c>
      <c r="AA35" s="5">
        <v>255558.29915581399</v>
      </c>
      <c r="AB35" s="5">
        <v>489897.13745565002</v>
      </c>
      <c r="AC35" s="5">
        <v>519137.14554547699</v>
      </c>
      <c r="AD35" s="5">
        <v>516957.46178307798</v>
      </c>
      <c r="AE35" s="5">
        <v>505363.98394372402</v>
      </c>
      <c r="AF35" s="5">
        <v>611611.02238125703</v>
      </c>
      <c r="AG35">
        <f t="shared" si="1"/>
        <v>538267.40341338399</v>
      </c>
      <c r="AH35">
        <f t="shared" si="2"/>
        <v>49267.980929066602</v>
      </c>
      <c r="AI35">
        <f t="shared" si="3"/>
        <v>9.153067902057091E-2</v>
      </c>
    </row>
    <row r="36" spans="1:35" x14ac:dyDescent="0.45">
      <c r="A36" s="5" t="s">
        <v>68</v>
      </c>
      <c r="B36" s="2">
        <f t="shared" si="0"/>
        <v>230982889.37451112</v>
      </c>
      <c r="C36" s="2">
        <v>203924438.66876125</v>
      </c>
      <c r="D36" s="2">
        <v>6.6282434023106854E-3</v>
      </c>
      <c r="E36" s="5">
        <v>293342375.71030402</v>
      </c>
      <c r="F36" s="5">
        <v>313813937.24974602</v>
      </c>
      <c r="G36" s="5">
        <v>278441210.45422602</v>
      </c>
      <c r="H36" s="5">
        <v>337858309.62412</v>
      </c>
      <c r="I36" s="5">
        <v>21419356.7782926</v>
      </c>
      <c r="J36" s="5">
        <v>106386473.936499</v>
      </c>
      <c r="K36" s="5">
        <v>314953064.35792297</v>
      </c>
      <c r="L36" s="5">
        <v>32943980.668257002</v>
      </c>
      <c r="M36" s="5">
        <v>265061045.101208</v>
      </c>
      <c r="N36" s="5">
        <v>308204072.12074202</v>
      </c>
      <c r="O36" s="5">
        <v>161013864.930305</v>
      </c>
      <c r="P36" s="5">
        <v>341834916.12341398</v>
      </c>
      <c r="Q36" s="5">
        <v>196951320.52863199</v>
      </c>
      <c r="R36" s="5">
        <v>328159082.59645802</v>
      </c>
      <c r="S36" s="5">
        <v>305429155.90333998</v>
      </c>
      <c r="T36" s="5">
        <v>86134410.529138893</v>
      </c>
      <c r="U36" s="5">
        <v>312130416.01379502</v>
      </c>
      <c r="V36" s="5">
        <v>306887497.10029399</v>
      </c>
      <c r="W36" s="5">
        <v>216367505.61405799</v>
      </c>
      <c r="X36" s="5">
        <v>352897107.71500599</v>
      </c>
      <c r="Y36" s="5">
        <v>15670901.954882201</v>
      </c>
      <c r="Z36" s="5">
        <v>330018635.18402803</v>
      </c>
      <c r="AA36" s="5">
        <v>283328330.09967101</v>
      </c>
      <c r="AB36" s="5">
        <v>34342374.693928003</v>
      </c>
      <c r="AC36" s="5">
        <v>203222331.59764099</v>
      </c>
      <c r="AD36" s="5">
        <v>202734388.62622401</v>
      </c>
      <c r="AE36" s="5">
        <v>205814354.64893299</v>
      </c>
      <c r="AF36" s="5">
        <v>203926679.80224699</v>
      </c>
      <c r="AG36">
        <f t="shared" si="1"/>
        <v>203924438.66876125</v>
      </c>
      <c r="AH36">
        <f t="shared" si="2"/>
        <v>1351660.8151761268</v>
      </c>
      <c r="AI36">
        <f t="shared" si="3"/>
        <v>6.6282434023106854E-3</v>
      </c>
    </row>
    <row r="37" spans="1:35" x14ac:dyDescent="0.45">
      <c r="A37" s="5" t="s">
        <v>373</v>
      </c>
      <c r="B37" s="2">
        <f t="shared" si="0"/>
        <v>71669014.228138074</v>
      </c>
      <c r="C37" s="2">
        <v>78438259.192520231</v>
      </c>
      <c r="D37" s="2">
        <v>6.1013978565917823E-2</v>
      </c>
      <c r="E37" s="5">
        <v>37159042.374290504</v>
      </c>
      <c r="F37" s="5">
        <v>44195847.393281199</v>
      </c>
      <c r="G37" s="5">
        <v>69221717.614495099</v>
      </c>
      <c r="H37" s="5">
        <v>157365778.85244</v>
      </c>
      <c r="I37" s="5">
        <v>138823247.12863201</v>
      </c>
      <c r="J37" s="5">
        <v>93902364.168285906</v>
      </c>
      <c r="K37" s="5">
        <v>49162129.434619501</v>
      </c>
      <c r="L37" s="5">
        <v>36214090.814046502</v>
      </c>
      <c r="M37" s="5">
        <v>97944862.069568694</v>
      </c>
      <c r="N37" s="5">
        <v>49159720.295849703</v>
      </c>
      <c r="O37" s="5">
        <v>52432562.371240199</v>
      </c>
      <c r="P37" s="5">
        <v>76042311.361110806</v>
      </c>
      <c r="Q37" s="5">
        <v>81787101.198053598</v>
      </c>
      <c r="R37" s="5">
        <v>37460074.522212699</v>
      </c>
      <c r="S37" s="5">
        <v>50056406.408660598</v>
      </c>
      <c r="T37" s="5">
        <v>80077011.826123998</v>
      </c>
      <c r="U37" s="5">
        <v>49236799.147445098</v>
      </c>
      <c r="V37" s="5">
        <v>68798710.1970644</v>
      </c>
      <c r="W37" s="5">
        <v>36176057.905993097</v>
      </c>
      <c r="X37" s="5">
        <v>90831522.045466796</v>
      </c>
      <c r="Y37" s="5">
        <v>104079726.848812</v>
      </c>
      <c r="Z37" s="5">
        <v>94037322.233350903</v>
      </c>
      <c r="AA37" s="5">
        <v>51672498.4124415</v>
      </c>
      <c r="AB37" s="5">
        <v>74219436.851828396</v>
      </c>
      <c r="AC37" s="5">
        <v>74840649.300541803</v>
      </c>
      <c r="AD37" s="5">
        <v>74667558.015144303</v>
      </c>
      <c r="AE37" s="5">
        <v>84806211.074567601</v>
      </c>
      <c r="AF37" s="5">
        <v>79438618.379827201</v>
      </c>
      <c r="AG37">
        <f t="shared" si="1"/>
        <v>78438259.192520231</v>
      </c>
      <c r="AH37">
        <f t="shared" si="2"/>
        <v>4785830.2651203359</v>
      </c>
      <c r="AI37">
        <f t="shared" si="3"/>
        <v>6.1013978565917823E-2</v>
      </c>
    </row>
    <row r="38" spans="1:35" x14ac:dyDescent="0.45">
      <c r="A38" s="5" t="s">
        <v>69</v>
      </c>
      <c r="B38" s="2">
        <f t="shared" si="0"/>
        <v>18100461.836907979</v>
      </c>
      <c r="C38" s="2">
        <v>17486234.542107999</v>
      </c>
      <c r="D38" s="2">
        <v>2.6824907320655244E-2</v>
      </c>
      <c r="E38" s="5">
        <v>15281308.3393276</v>
      </c>
      <c r="F38" s="5">
        <v>19907251.062805101</v>
      </c>
      <c r="G38" s="5">
        <v>18018563.335620899</v>
      </c>
      <c r="H38" s="5">
        <v>26202247.505629301</v>
      </c>
      <c r="I38" s="5">
        <v>20030601.2878103</v>
      </c>
      <c r="J38" s="5">
        <v>22862402.4187015</v>
      </c>
      <c r="K38" s="5">
        <v>24906790.639212899</v>
      </c>
      <c r="L38" s="5">
        <v>18511712.9532535</v>
      </c>
      <c r="M38" s="5">
        <v>16924315.053881198</v>
      </c>
      <c r="N38" s="5">
        <v>16942508.5851858</v>
      </c>
      <c r="O38" s="5">
        <v>8848538.9153389707</v>
      </c>
      <c r="P38" s="5">
        <v>22831312.0741923</v>
      </c>
      <c r="Q38" s="5">
        <v>12531274.4654484</v>
      </c>
      <c r="R38" s="5">
        <v>22671726.2669308</v>
      </c>
      <c r="S38" s="5">
        <v>20535482.644607201</v>
      </c>
      <c r="T38" s="5">
        <v>1587028.3730822799</v>
      </c>
      <c r="U38" s="5">
        <v>19666667.147004999</v>
      </c>
      <c r="V38" s="5">
        <v>23191562.540008299</v>
      </c>
      <c r="W38" s="5">
        <v>14174014.806121901</v>
      </c>
      <c r="X38" s="5">
        <v>26086275.372845698</v>
      </c>
      <c r="Y38" s="5">
        <v>20292931.631621599</v>
      </c>
      <c r="Z38" s="5">
        <v>22172908.603843201</v>
      </c>
      <c r="AA38" s="5">
        <v>20064071.5656537</v>
      </c>
      <c r="AB38" s="5">
        <v>169588.49766409601</v>
      </c>
      <c r="AC38" s="5">
        <v>18139269.584239502</v>
      </c>
      <c r="AD38" s="5">
        <v>17375482.179186001</v>
      </c>
      <c r="AE38" s="5">
        <v>17022331.198310301</v>
      </c>
      <c r="AF38" s="5">
        <v>17407855.206696201</v>
      </c>
      <c r="AG38">
        <f t="shared" si="1"/>
        <v>17486234.542107999</v>
      </c>
      <c r="AH38">
        <f t="shared" si="2"/>
        <v>469066.62097928749</v>
      </c>
      <c r="AI38">
        <f t="shared" si="3"/>
        <v>2.6824907320655244E-2</v>
      </c>
    </row>
    <row r="39" spans="1:35" x14ac:dyDescent="0.45">
      <c r="A39" s="5" t="s">
        <v>70</v>
      </c>
      <c r="B39" s="2">
        <f t="shared" si="0"/>
        <v>3148504.0144071602</v>
      </c>
      <c r="C39" s="2">
        <v>2163891.4095185623</v>
      </c>
      <c r="D39" s="2">
        <v>0.12534026785648142</v>
      </c>
      <c r="E39" s="5">
        <v>1356404.37772779</v>
      </c>
      <c r="F39" s="5">
        <v>1529652.6116413199</v>
      </c>
      <c r="G39" s="5">
        <v>1539584.37198927</v>
      </c>
      <c r="H39" s="5">
        <v>3608152.7933052401</v>
      </c>
      <c r="I39" s="5">
        <v>1543575.1146957199</v>
      </c>
      <c r="J39" s="5">
        <v>1971895.9800917001</v>
      </c>
      <c r="K39" s="5">
        <v>2218522.5804885002</v>
      </c>
      <c r="L39" s="5">
        <v>1615368.79608278</v>
      </c>
      <c r="M39" s="5">
        <v>2266804.8125481298</v>
      </c>
      <c r="N39" s="5">
        <v>1616183.7180224201</v>
      </c>
      <c r="O39" s="5">
        <v>22247470.644761201</v>
      </c>
      <c r="P39" s="5">
        <v>1577433.6239916401</v>
      </c>
      <c r="Q39" s="5">
        <v>4551947.3858771203</v>
      </c>
      <c r="R39" s="5">
        <v>2259858.1318224301</v>
      </c>
      <c r="S39" s="5">
        <v>5026329.5172667103</v>
      </c>
      <c r="T39" s="5">
        <v>4004903.4877889198</v>
      </c>
      <c r="U39" s="5">
        <v>2043838.43578721</v>
      </c>
      <c r="V39" s="5">
        <v>1883282.64431883</v>
      </c>
      <c r="W39" s="5">
        <v>1819406.49314765</v>
      </c>
      <c r="X39" s="5">
        <v>2919527.2910953802</v>
      </c>
      <c r="Y39" s="5">
        <v>1054204.4661111301</v>
      </c>
      <c r="Z39" s="5">
        <v>1094278.4615233899</v>
      </c>
      <c r="AA39" s="5">
        <v>3540815.74648403</v>
      </c>
      <c r="AB39" s="5">
        <v>2274654.8592033498</v>
      </c>
      <c r="AC39" s="5">
        <v>1811301.52296142</v>
      </c>
      <c r="AD39" s="5">
        <v>2126120.2297877399</v>
      </c>
      <c r="AE39" s="5">
        <v>2262252.1749799098</v>
      </c>
      <c r="AF39" s="5">
        <v>2455891.7103451798</v>
      </c>
      <c r="AG39">
        <f t="shared" si="1"/>
        <v>2163891.4095185623</v>
      </c>
      <c r="AH39">
        <f t="shared" si="2"/>
        <v>271222.72888139571</v>
      </c>
      <c r="AI39">
        <f t="shared" si="3"/>
        <v>0.12534026785648142</v>
      </c>
    </row>
    <row r="40" spans="1:35" x14ac:dyDescent="0.45">
      <c r="A40" s="5" t="s">
        <v>71</v>
      </c>
      <c r="B40" s="2">
        <f t="shared" si="0"/>
        <v>1873361.1165913043</v>
      </c>
      <c r="C40" s="2">
        <v>1639766.7692243776</v>
      </c>
      <c r="D40" s="2">
        <v>3.0559419559619175E-2</v>
      </c>
      <c r="E40" s="5">
        <v>2337385.0187862101</v>
      </c>
      <c r="F40" s="5">
        <v>1612556.0855443</v>
      </c>
      <c r="G40" s="5">
        <v>1457967.61089309</v>
      </c>
      <c r="H40" s="5">
        <v>2281494.9812197299</v>
      </c>
      <c r="I40" s="5">
        <v>1920093.5250395201</v>
      </c>
      <c r="J40" s="5">
        <v>1569995.50768412</v>
      </c>
      <c r="K40" s="5">
        <v>2078676.1006444599</v>
      </c>
      <c r="L40" s="5">
        <v>1545897.20288316</v>
      </c>
      <c r="M40" s="5">
        <v>1250970.3931060501</v>
      </c>
      <c r="N40" s="5">
        <v>1359856.95482448</v>
      </c>
      <c r="O40" s="5">
        <v>1909028.52991318</v>
      </c>
      <c r="P40" s="5">
        <v>1696183.30192024</v>
      </c>
      <c r="Q40" s="5">
        <v>1027939.2833348199</v>
      </c>
      <c r="R40" s="5">
        <v>2309247.2556981202</v>
      </c>
      <c r="S40" s="5">
        <v>2256867.0553506701</v>
      </c>
      <c r="T40" s="5">
        <v>4108467.6433508201</v>
      </c>
      <c r="U40" s="5">
        <v>3253891.5910352101</v>
      </c>
      <c r="V40" s="5">
        <v>1195174.6946083501</v>
      </c>
      <c r="W40" s="5">
        <v>1493960.5602603101</v>
      </c>
      <c r="X40" s="5">
        <v>1218503.0748739101</v>
      </c>
      <c r="Y40" s="5">
        <v>1676705.0888938</v>
      </c>
      <c r="Z40" s="5">
        <v>2023721.8120285701</v>
      </c>
      <c r="AA40" s="5">
        <v>1586857.8824396399</v>
      </c>
      <c r="AB40" s="5">
        <v>1789225.6438585301</v>
      </c>
      <c r="AC40" s="5">
        <v>1638316.9044977201</v>
      </c>
      <c r="AD40" s="5">
        <v>1647009.3716390899</v>
      </c>
      <c r="AE40" s="5">
        <v>1697951.4834328301</v>
      </c>
      <c r="AF40" s="5">
        <v>1575789.3173278701</v>
      </c>
      <c r="AG40">
        <f t="shared" si="1"/>
        <v>1639766.7692243776</v>
      </c>
      <c r="AH40">
        <f t="shared" si="2"/>
        <v>50110.320680648983</v>
      </c>
      <c r="AI40">
        <f t="shared" si="3"/>
        <v>3.0559419559619175E-2</v>
      </c>
    </row>
    <row r="41" spans="1:35" x14ac:dyDescent="0.45">
      <c r="A41" s="5" t="s">
        <v>72</v>
      </c>
      <c r="B41" s="2">
        <f t="shared" si="0"/>
        <v>14035426.110328292</v>
      </c>
      <c r="C41" s="2">
        <v>12320515.446591049</v>
      </c>
      <c r="D41" s="2">
        <v>5.1188357374120835E-2</v>
      </c>
      <c r="E41" s="5">
        <v>19881998.728196099</v>
      </c>
      <c r="F41" s="5">
        <v>8464040.2185145691</v>
      </c>
      <c r="G41" s="5">
        <v>10568163.872708401</v>
      </c>
      <c r="H41" s="5">
        <v>18808777.117219001</v>
      </c>
      <c r="I41" s="5">
        <v>12944465.7317314</v>
      </c>
      <c r="J41" s="5">
        <v>11737076.477007199</v>
      </c>
      <c r="K41" s="5">
        <v>13669630.5456216</v>
      </c>
      <c r="L41" s="5">
        <v>18762576.8060981</v>
      </c>
      <c r="M41" s="5">
        <v>12930745.1288293</v>
      </c>
      <c r="N41" s="5">
        <v>17874205.508593202</v>
      </c>
      <c r="O41" s="5">
        <v>4675758.9093551598</v>
      </c>
      <c r="P41" s="5">
        <v>7471159.5939943204</v>
      </c>
      <c r="Q41" s="5">
        <v>16400225.0814874</v>
      </c>
      <c r="R41" s="5">
        <v>22746005.098394498</v>
      </c>
      <c r="S41" s="5">
        <v>18731221.850310899</v>
      </c>
      <c r="T41" s="5">
        <v>7585306.2162661999</v>
      </c>
      <c r="U41" s="5">
        <v>14523714.3629911</v>
      </c>
      <c r="V41" s="5">
        <v>4916629.8244288703</v>
      </c>
      <c r="W41" s="5">
        <v>7454357.7627105303</v>
      </c>
      <c r="X41" s="5">
        <v>9746815.3156618606</v>
      </c>
      <c r="Y41" s="5">
        <v>20587219.424329199</v>
      </c>
      <c r="Z41" s="5">
        <v>13032083.8661115</v>
      </c>
      <c r="AA41" s="5">
        <v>20581647.713912498</v>
      </c>
      <c r="AB41" s="5">
        <v>22756401.493406199</v>
      </c>
      <c r="AC41" s="5">
        <v>12010287.6280664</v>
      </c>
      <c r="AD41" s="5">
        <v>12786317.0908489</v>
      </c>
      <c r="AE41" s="5">
        <v>11583976.562946299</v>
      </c>
      <c r="AF41" s="5">
        <v>12901480.5045026</v>
      </c>
      <c r="AG41">
        <f t="shared" si="1"/>
        <v>12320515.446591049</v>
      </c>
      <c r="AH41">
        <f t="shared" si="2"/>
        <v>630666.94771347858</v>
      </c>
      <c r="AI41">
        <f t="shared" si="3"/>
        <v>5.1188357374120835E-2</v>
      </c>
    </row>
    <row r="42" spans="1:35" x14ac:dyDescent="0.45">
      <c r="A42" s="5" t="s">
        <v>73</v>
      </c>
      <c r="B42" s="2">
        <f t="shared" si="0"/>
        <v>37806288.086714171</v>
      </c>
      <c r="C42" s="2">
        <v>40674952.563397676</v>
      </c>
      <c r="D42" s="2">
        <v>0.16314144830103686</v>
      </c>
      <c r="E42" s="5">
        <v>30818376.528545901</v>
      </c>
      <c r="F42" s="5">
        <v>31257297.044675998</v>
      </c>
      <c r="G42" s="5">
        <v>33932168.756655999</v>
      </c>
      <c r="H42" s="5">
        <v>19948103.917080902</v>
      </c>
      <c r="I42" s="5">
        <v>44346561.707377501</v>
      </c>
      <c r="J42" s="5">
        <v>41193410.897446699</v>
      </c>
      <c r="K42" s="5">
        <v>18386938.4399997</v>
      </c>
      <c r="L42" s="5">
        <v>50862112.394019999</v>
      </c>
      <c r="M42" s="5">
        <v>36287961.443423197</v>
      </c>
      <c r="N42" s="5">
        <v>44213235.741444901</v>
      </c>
      <c r="O42" s="5">
        <v>27903435.509780701</v>
      </c>
      <c r="P42" s="5">
        <v>49295624.817414902</v>
      </c>
      <c r="Q42" s="5">
        <v>39514943.179635197</v>
      </c>
      <c r="R42" s="5">
        <v>88420977.005252302</v>
      </c>
      <c r="S42" s="5">
        <v>33634863.613054901</v>
      </c>
      <c r="T42" s="5">
        <v>41711505.347778901</v>
      </c>
      <c r="U42" s="5">
        <v>33233989.622960899</v>
      </c>
      <c r="V42" s="5">
        <v>38466671.892183103</v>
      </c>
      <c r="W42" s="5">
        <v>32786805.2547401</v>
      </c>
      <c r="X42" s="5">
        <v>25951292.100239702</v>
      </c>
      <c r="Y42" s="5">
        <v>63126165.660594702</v>
      </c>
      <c r="Z42" s="5">
        <v>28799348.443840198</v>
      </c>
      <c r="AA42" s="5">
        <v>34828661.184224702</v>
      </c>
      <c r="AB42" s="5">
        <v>18430463.578768998</v>
      </c>
      <c r="AC42" s="5">
        <v>31568245.247903701</v>
      </c>
      <c r="AD42" s="5">
        <v>45643217.366055399</v>
      </c>
      <c r="AE42" s="5">
        <v>45565630.065239199</v>
      </c>
      <c r="AF42" s="5">
        <v>39922717.574392401</v>
      </c>
      <c r="AG42">
        <f t="shared" si="1"/>
        <v>40674952.563397676</v>
      </c>
      <c r="AH42">
        <f t="shared" si="2"/>
        <v>6635770.6707686689</v>
      </c>
      <c r="AI42">
        <f t="shared" si="3"/>
        <v>0.16314144830103686</v>
      </c>
    </row>
    <row r="43" spans="1:35" x14ac:dyDescent="0.45">
      <c r="A43" s="5" t="s">
        <v>74</v>
      </c>
      <c r="B43" s="2">
        <f t="shared" si="0"/>
        <v>28578332.253622849</v>
      </c>
      <c r="C43" s="2">
        <v>23787982.568871122</v>
      </c>
      <c r="D43" s="2">
        <v>7.2359155193407007E-2</v>
      </c>
      <c r="E43" s="5">
        <v>30684261.3614951</v>
      </c>
      <c r="F43" s="5">
        <v>35775752.972667597</v>
      </c>
      <c r="G43" s="5">
        <v>34407513.482558802</v>
      </c>
      <c r="H43" s="5">
        <v>11219833.592421699</v>
      </c>
      <c r="I43" s="5">
        <v>31450085.230580799</v>
      </c>
      <c r="J43" s="5">
        <v>18218010.986081298</v>
      </c>
      <c r="K43" s="5">
        <v>29016812.935424399</v>
      </c>
      <c r="L43" s="5">
        <v>35360790.331442803</v>
      </c>
      <c r="M43" s="5">
        <v>20103844.375891499</v>
      </c>
      <c r="N43" s="5">
        <v>37018824.017147698</v>
      </c>
      <c r="O43" s="5">
        <v>7046304.8584941896</v>
      </c>
      <c r="P43" s="5">
        <v>28587754.045955501</v>
      </c>
      <c r="Q43" s="5">
        <v>22237063.895219401</v>
      </c>
      <c r="R43" s="5">
        <v>36210385.731927499</v>
      </c>
      <c r="S43" s="5">
        <v>30981808.579825599</v>
      </c>
      <c r="T43" s="5">
        <v>66474078.337384298</v>
      </c>
      <c r="U43" s="5">
        <v>26202994.1732472</v>
      </c>
      <c r="V43" s="5">
        <v>29989138.3759683</v>
      </c>
      <c r="W43" s="5">
        <v>33095169.8058482</v>
      </c>
      <c r="X43" s="5">
        <v>24487137.356878899</v>
      </c>
      <c r="Y43" s="5">
        <v>28519034.697003901</v>
      </c>
      <c r="Z43" s="5">
        <v>22971790.400420599</v>
      </c>
      <c r="AA43" s="5">
        <v>9392921.8577158991</v>
      </c>
      <c r="AB43" s="5">
        <v>36428662.685347401</v>
      </c>
      <c r="AC43" s="5">
        <v>22477848.9415153</v>
      </c>
      <c r="AD43" s="5">
        <v>25219249.387696799</v>
      </c>
      <c r="AE43" s="5">
        <v>22128027.6937216</v>
      </c>
      <c r="AF43" s="5">
        <v>25326804.252550799</v>
      </c>
      <c r="AG43">
        <f t="shared" si="1"/>
        <v>23787982.568871122</v>
      </c>
      <c r="AH43">
        <f t="shared" si="2"/>
        <v>1721278.3224390063</v>
      </c>
      <c r="AI43">
        <f t="shared" si="3"/>
        <v>7.2359155193407007E-2</v>
      </c>
    </row>
    <row r="44" spans="1:35" x14ac:dyDescent="0.45">
      <c r="A44" s="5" t="s">
        <v>75</v>
      </c>
      <c r="B44" s="2">
        <f t="shared" si="0"/>
        <v>40266826.584943533</v>
      </c>
      <c r="C44" s="2">
        <v>33993654.397698551</v>
      </c>
      <c r="D44" s="2">
        <v>4.6049418086278861E-2</v>
      </c>
      <c r="E44" s="5">
        <v>38471283.213633098</v>
      </c>
      <c r="F44" s="5">
        <v>44143076.061458699</v>
      </c>
      <c r="G44" s="5">
        <v>36242089.343838498</v>
      </c>
      <c r="H44" s="5">
        <v>55117122.222386397</v>
      </c>
      <c r="I44" s="5">
        <v>27895538.789299801</v>
      </c>
      <c r="J44" s="5">
        <v>30472429.219353501</v>
      </c>
      <c r="K44" s="5">
        <v>48427197.717800498</v>
      </c>
      <c r="L44" s="5">
        <v>40514553.319099098</v>
      </c>
      <c r="M44" s="5">
        <v>26565588.8773573</v>
      </c>
      <c r="N44" s="5">
        <v>43405344.200943999</v>
      </c>
      <c r="O44" s="5">
        <v>41634320.394635998</v>
      </c>
      <c r="P44" s="5">
        <v>42478715.521041602</v>
      </c>
      <c r="Q44" s="5">
        <v>32775887.680020101</v>
      </c>
      <c r="R44" s="5">
        <v>65634244.703552201</v>
      </c>
      <c r="S44" s="5">
        <v>44686290.134555496</v>
      </c>
      <c r="T44" s="5">
        <v>37362085.644812301</v>
      </c>
      <c r="U44" s="5">
        <v>34703991.011995599</v>
      </c>
      <c r="V44" s="5">
        <v>32842468.721919999</v>
      </c>
      <c r="W44" s="5">
        <v>42270945.387730502</v>
      </c>
      <c r="X44" s="5">
        <v>32933004.813636299</v>
      </c>
      <c r="Y44" s="5">
        <v>48471993.040644303</v>
      </c>
      <c r="Z44" s="5">
        <v>38990171.101666003</v>
      </c>
      <c r="AA44" s="5">
        <v>33350265.839923799</v>
      </c>
      <c r="AB44" s="5">
        <v>47015231.077339903</v>
      </c>
      <c r="AC44" s="5">
        <v>31749493.698304001</v>
      </c>
      <c r="AD44" s="5">
        <v>34685804.591006197</v>
      </c>
      <c r="AE44" s="5">
        <v>34207689.293198101</v>
      </c>
      <c r="AF44" s="5">
        <v>35331630.008285902</v>
      </c>
      <c r="AG44">
        <f t="shared" si="1"/>
        <v>33993654.397698551</v>
      </c>
      <c r="AH44">
        <f t="shared" si="2"/>
        <v>1565388.0036400927</v>
      </c>
      <c r="AI44">
        <f t="shared" si="3"/>
        <v>4.6049418086278861E-2</v>
      </c>
    </row>
    <row r="45" spans="1:35" x14ac:dyDescent="0.45">
      <c r="A45" s="5" t="s">
        <v>76</v>
      </c>
      <c r="B45" s="2">
        <f t="shared" si="0"/>
        <v>366276512.99534005</v>
      </c>
      <c r="C45" s="2">
        <v>307588077.70531249</v>
      </c>
      <c r="D45" s="2">
        <v>6.5012713576908202E-2</v>
      </c>
      <c r="E45" s="5">
        <v>346883725.85656101</v>
      </c>
      <c r="F45" s="5">
        <v>282150801.950984</v>
      </c>
      <c r="G45" s="5">
        <v>433659888.114039</v>
      </c>
      <c r="H45" s="5">
        <v>624530020.51094103</v>
      </c>
      <c r="I45" s="5">
        <v>302647967.52027798</v>
      </c>
      <c r="J45" s="5">
        <v>378541564.66246802</v>
      </c>
      <c r="K45" s="5">
        <v>329485809.24515498</v>
      </c>
      <c r="L45" s="5">
        <v>395922117.79364997</v>
      </c>
      <c r="M45" s="5">
        <v>258240509.61265701</v>
      </c>
      <c r="N45" s="5">
        <v>270398840.07969099</v>
      </c>
      <c r="O45" s="5">
        <v>422500648.013924</v>
      </c>
      <c r="P45" s="5">
        <v>388590665.76243198</v>
      </c>
      <c r="Q45" s="5">
        <v>275948108.18845999</v>
      </c>
      <c r="R45" s="5">
        <v>532125131.10257</v>
      </c>
      <c r="S45" s="5">
        <v>395452796.815521</v>
      </c>
      <c r="T45" s="5">
        <v>372738473.450854</v>
      </c>
      <c r="U45" s="5">
        <v>254825219.04899001</v>
      </c>
      <c r="V45" s="5">
        <v>224741087.18669999</v>
      </c>
      <c r="W45" s="5">
        <v>364066116.09177101</v>
      </c>
      <c r="X45" s="5">
        <v>342907311.11312598</v>
      </c>
      <c r="Y45" s="5">
        <v>436116808.89994299</v>
      </c>
      <c r="Z45" s="5">
        <v>337315149.13926399</v>
      </c>
      <c r="AA45" s="5">
        <v>315975108.18139201</v>
      </c>
      <c r="AB45" s="5">
        <v>504872443.54679</v>
      </c>
      <c r="AC45" s="5">
        <v>282130704.93530601</v>
      </c>
      <c r="AD45" s="5">
        <v>308687304.96517003</v>
      </c>
      <c r="AE45" s="5">
        <v>308504145.95867801</v>
      </c>
      <c r="AF45" s="5">
        <v>331030154.96209598</v>
      </c>
      <c r="AG45">
        <f t="shared" si="1"/>
        <v>307588077.70531249</v>
      </c>
      <c r="AH45">
        <f t="shared" si="2"/>
        <v>19997135.595527265</v>
      </c>
      <c r="AI45">
        <f t="shared" si="3"/>
        <v>6.5012713576908202E-2</v>
      </c>
    </row>
    <row r="46" spans="1:35" x14ac:dyDescent="0.45">
      <c r="A46" s="5" t="s">
        <v>274</v>
      </c>
      <c r="B46" s="2">
        <f t="shared" si="0"/>
        <v>39985529.061309598</v>
      </c>
      <c r="C46" s="2">
        <v>36158187.653083824</v>
      </c>
      <c r="D46" s="2">
        <v>1.0622809914296663E-2</v>
      </c>
      <c r="E46" s="5">
        <v>36069576.059000403</v>
      </c>
      <c r="F46" s="5">
        <v>44015923.350928001</v>
      </c>
      <c r="G46" s="5">
        <v>36561083.954529896</v>
      </c>
      <c r="H46" s="5">
        <v>53147032.237152703</v>
      </c>
      <c r="I46" s="5">
        <v>53488996.100788303</v>
      </c>
      <c r="J46" s="5">
        <v>34214080.850607403</v>
      </c>
      <c r="K46" s="5">
        <v>41275759.643224597</v>
      </c>
      <c r="L46" s="5">
        <v>33568341.313792698</v>
      </c>
      <c r="M46" s="5">
        <v>45165333.396073699</v>
      </c>
      <c r="N46" s="5">
        <v>40707995.137067601</v>
      </c>
      <c r="O46" s="5">
        <v>11052425.724757301</v>
      </c>
      <c r="P46" s="5">
        <v>33559512.852501199</v>
      </c>
      <c r="Q46" s="5">
        <v>36107063.789432697</v>
      </c>
      <c r="R46" s="5">
        <v>22850236.9713884</v>
      </c>
      <c r="S46" s="5">
        <v>42953113.483417898</v>
      </c>
      <c r="T46" s="5">
        <v>69133847.724545702</v>
      </c>
      <c r="U46" s="5">
        <v>50109742.707367897</v>
      </c>
      <c r="V46" s="5">
        <v>28142986.4400068</v>
      </c>
      <c r="W46" s="5">
        <v>35268995.032718599</v>
      </c>
      <c r="X46" s="5">
        <v>62477178.341357</v>
      </c>
      <c r="Y46" s="5">
        <v>40937144.984462</v>
      </c>
      <c r="Z46" s="5">
        <v>38350459.979994699</v>
      </c>
      <c r="AA46" s="5">
        <v>35893537.831464902</v>
      </c>
      <c r="AB46" s="5">
        <v>34602329.564849898</v>
      </c>
      <c r="AC46" s="5">
        <v>35665251.776525497</v>
      </c>
      <c r="AD46" s="5">
        <v>36149146.012067303</v>
      </c>
      <c r="AE46" s="5">
        <v>36600936.376755297</v>
      </c>
      <c r="AF46" s="5">
        <v>36217416.446987197</v>
      </c>
      <c r="AG46">
        <f t="shared" si="1"/>
        <v>36158187.653083824</v>
      </c>
      <c r="AH46">
        <f t="shared" si="2"/>
        <v>384101.55428417801</v>
      </c>
      <c r="AI46">
        <f t="shared" si="3"/>
        <v>1.0622809914296663E-2</v>
      </c>
    </row>
    <row r="47" spans="1:35" x14ac:dyDescent="0.45">
      <c r="A47" s="5" t="s">
        <v>77</v>
      </c>
      <c r="B47" s="2">
        <f t="shared" si="0"/>
        <v>163606088.60820273</v>
      </c>
      <c r="C47" s="2">
        <v>121632048.17459899</v>
      </c>
      <c r="D47" s="2">
        <v>5.4805046305337397E-2</v>
      </c>
      <c r="E47" s="5">
        <v>97464966.329753399</v>
      </c>
      <c r="F47" s="5">
        <v>156883937.78721699</v>
      </c>
      <c r="G47" s="5">
        <v>112794271.854727</v>
      </c>
      <c r="H47" s="5">
        <v>45783448.755064398</v>
      </c>
      <c r="I47" s="5">
        <v>131428263.24998701</v>
      </c>
      <c r="J47" s="5">
        <v>121586884.954432</v>
      </c>
      <c r="K47" s="5">
        <v>238134648.84470499</v>
      </c>
      <c r="L47" s="5">
        <v>131501939.652998</v>
      </c>
      <c r="M47" s="5">
        <v>75590939.4962513</v>
      </c>
      <c r="N47" s="5">
        <v>191794969.52536601</v>
      </c>
      <c r="O47" s="5">
        <v>218977862.24164599</v>
      </c>
      <c r="P47" s="5">
        <v>205674905.916989</v>
      </c>
      <c r="Q47" s="5">
        <v>52100595.608268797</v>
      </c>
      <c r="R47" s="5">
        <v>43393663.434472904</v>
      </c>
      <c r="S47" s="5">
        <v>49097847.484120198</v>
      </c>
      <c r="T47" s="5">
        <v>1125795480.0392201</v>
      </c>
      <c r="U47" s="5">
        <v>62067449.549510702</v>
      </c>
      <c r="V47" s="5">
        <v>104478585.576969</v>
      </c>
      <c r="W47" s="5">
        <v>128769653.824772</v>
      </c>
      <c r="X47" s="5">
        <v>231294926.79138699</v>
      </c>
      <c r="Y47" s="5">
        <v>87724712.929958194</v>
      </c>
      <c r="Z47" s="5">
        <v>155193950.64021701</v>
      </c>
      <c r="AA47" s="5">
        <v>69047779.018178597</v>
      </c>
      <c r="AB47" s="5">
        <v>89964443.090655401</v>
      </c>
      <c r="AC47" s="5">
        <v>112762042.775931</v>
      </c>
      <c r="AD47" s="5">
        <v>124540621.873933</v>
      </c>
      <c r="AE47" s="5">
        <v>120844306.88542999</v>
      </c>
      <c r="AF47" s="5">
        <v>128381221.163102</v>
      </c>
      <c r="AG47">
        <f t="shared" si="1"/>
        <v>121632048.17459899</v>
      </c>
      <c r="AH47">
        <f t="shared" si="2"/>
        <v>6666050.032421927</v>
      </c>
      <c r="AI47">
        <f t="shared" si="3"/>
        <v>5.4805046305337397E-2</v>
      </c>
    </row>
    <row r="48" spans="1:35" x14ac:dyDescent="0.45">
      <c r="A48" s="5" t="s">
        <v>275</v>
      </c>
      <c r="B48" s="2">
        <f t="shared" si="0"/>
        <v>63069271.974592052</v>
      </c>
      <c r="C48" s="2">
        <v>44336412.710103497</v>
      </c>
      <c r="D48" s="2">
        <v>3.166515152918626E-2</v>
      </c>
      <c r="E48" s="5">
        <v>51937276.689418197</v>
      </c>
      <c r="F48" s="5">
        <v>80162723.485176399</v>
      </c>
      <c r="G48" s="5">
        <v>51047641.926791899</v>
      </c>
      <c r="H48" s="5">
        <v>59306789.063423</v>
      </c>
      <c r="I48" s="5">
        <v>70089242.758965999</v>
      </c>
      <c r="J48" s="5">
        <v>28800631.7466636</v>
      </c>
      <c r="K48" s="5">
        <v>39073254.914222397</v>
      </c>
      <c r="L48" s="5">
        <v>74568867.847675994</v>
      </c>
      <c r="M48" s="5">
        <v>36640314.956805401</v>
      </c>
      <c r="N48" s="5">
        <v>72787878.569873795</v>
      </c>
      <c r="O48" s="5">
        <v>55458337.390135899</v>
      </c>
      <c r="P48" s="5">
        <v>61349746.503995001</v>
      </c>
      <c r="Q48" s="5">
        <v>67963327.778530404</v>
      </c>
      <c r="R48" s="5">
        <v>41878485.469576403</v>
      </c>
      <c r="S48" s="5">
        <v>43412817.532235399</v>
      </c>
      <c r="T48" s="5">
        <v>230413413.14984399</v>
      </c>
      <c r="U48" s="5">
        <v>37432997.882814802</v>
      </c>
      <c r="V48" s="5">
        <v>55032216.807226099</v>
      </c>
      <c r="W48" s="5">
        <v>67960749.266641393</v>
      </c>
      <c r="X48" s="5">
        <v>44876225.322471</v>
      </c>
      <c r="Y48" s="5">
        <v>77637591.284789503</v>
      </c>
      <c r="Z48" s="5">
        <v>44762935.978373498</v>
      </c>
      <c r="AA48" s="5">
        <v>43196429.268215202</v>
      </c>
      <c r="AB48" s="5">
        <v>77872631.796343997</v>
      </c>
      <c r="AC48" s="5">
        <v>43490888.386134803</v>
      </c>
      <c r="AD48" s="5">
        <v>43137878.964396402</v>
      </c>
      <c r="AE48" s="5">
        <v>46272905.075914197</v>
      </c>
      <c r="AF48" s="5">
        <v>44443978.4139686</v>
      </c>
      <c r="AG48">
        <f t="shared" si="1"/>
        <v>44336412.710103497</v>
      </c>
      <c r="AH48">
        <f t="shared" si="2"/>
        <v>1403919.2267259669</v>
      </c>
      <c r="AI48">
        <f t="shared" si="3"/>
        <v>3.166515152918626E-2</v>
      </c>
    </row>
    <row r="49" spans="1:35" x14ac:dyDescent="0.45">
      <c r="A49" s="5" t="s">
        <v>78</v>
      </c>
      <c r="B49" s="2">
        <f t="shared" si="0"/>
        <v>33544650.355325703</v>
      </c>
      <c r="C49" s="2">
        <v>27887956.575792126</v>
      </c>
      <c r="D49" s="2">
        <v>7.9195764418487288E-2</v>
      </c>
      <c r="E49" s="5">
        <v>36540738.787317201</v>
      </c>
      <c r="F49" s="5">
        <v>32761503.027299199</v>
      </c>
      <c r="G49" s="5">
        <v>29510838.353067901</v>
      </c>
      <c r="H49" s="5">
        <v>16763576.240389699</v>
      </c>
      <c r="I49" s="5">
        <v>38407682.1571915</v>
      </c>
      <c r="J49" s="5">
        <v>25953035.702871699</v>
      </c>
      <c r="K49" s="5">
        <v>21752933.184158999</v>
      </c>
      <c r="L49" s="5">
        <v>29588473.091389898</v>
      </c>
      <c r="M49" s="5">
        <v>52508529.324158899</v>
      </c>
      <c r="N49" s="5">
        <v>27780399.058882602</v>
      </c>
      <c r="O49" s="5">
        <v>19446831.6254705</v>
      </c>
      <c r="P49" s="5">
        <v>26702525.499021798</v>
      </c>
      <c r="Q49" s="5">
        <v>31290757.921833999</v>
      </c>
      <c r="R49" s="5">
        <v>20028562.044647101</v>
      </c>
      <c r="S49" s="5">
        <v>23993317.057027299</v>
      </c>
      <c r="T49" s="5">
        <v>109664984.736719</v>
      </c>
      <c r="U49" s="5">
        <v>23873510.7879816</v>
      </c>
      <c r="V49" s="5">
        <v>35402917.915555201</v>
      </c>
      <c r="W49" s="5">
        <v>20308459.6351377</v>
      </c>
      <c r="X49" s="5">
        <v>47010448.119979799</v>
      </c>
      <c r="Y49" s="5">
        <v>39378487.631218903</v>
      </c>
      <c r="Z49" s="5">
        <v>31468458.326134302</v>
      </c>
      <c r="AA49" s="5">
        <v>32340922.072477199</v>
      </c>
      <c r="AB49" s="5">
        <v>32593716.2278849</v>
      </c>
      <c r="AC49" s="5">
        <v>25568648.957858</v>
      </c>
      <c r="AD49" s="5">
        <v>28293429.8140264</v>
      </c>
      <c r="AE49" s="5">
        <v>30749981.508133199</v>
      </c>
      <c r="AF49" s="5">
        <v>26939766.023150899</v>
      </c>
      <c r="AG49">
        <f t="shared" si="1"/>
        <v>27887956.575792126</v>
      </c>
      <c r="AH49">
        <f t="shared" si="2"/>
        <v>2208608.0390894366</v>
      </c>
      <c r="AI49">
        <f t="shared" si="3"/>
        <v>7.9195764418487288E-2</v>
      </c>
    </row>
    <row r="50" spans="1:35" x14ac:dyDescent="0.45">
      <c r="A50" s="5" t="s">
        <v>276</v>
      </c>
      <c r="B50" s="2">
        <f t="shared" si="0"/>
        <v>476686510.44731802</v>
      </c>
      <c r="C50" s="2">
        <v>472902302.52076197</v>
      </c>
      <c r="D50" s="2">
        <v>5.1856717599163937E-2</v>
      </c>
      <c r="E50" s="5">
        <v>814064181.886608</v>
      </c>
      <c r="F50" s="5">
        <v>473316424.47171497</v>
      </c>
      <c r="G50" s="5">
        <v>231771968.95105001</v>
      </c>
      <c r="H50" s="5">
        <v>197394850.15748</v>
      </c>
      <c r="I50" s="5">
        <v>573509588.35435903</v>
      </c>
      <c r="J50" s="5">
        <v>593265588.28064096</v>
      </c>
      <c r="K50" s="5">
        <v>538424267.96092403</v>
      </c>
      <c r="L50" s="5">
        <v>437117501.08742499</v>
      </c>
      <c r="M50" s="5">
        <v>718180934.49414897</v>
      </c>
      <c r="N50" s="5">
        <v>372562166.84847498</v>
      </c>
      <c r="O50" s="5">
        <v>252142568.04750201</v>
      </c>
      <c r="P50" s="5">
        <v>419653602.35182399</v>
      </c>
      <c r="Q50" s="5">
        <v>294695594.83552498</v>
      </c>
      <c r="R50" s="5">
        <v>432156490.87156099</v>
      </c>
      <c r="S50" s="5">
        <v>292494922.916933</v>
      </c>
      <c r="T50" s="5">
        <v>456832064.71261299</v>
      </c>
      <c r="U50" s="5">
        <v>1026076256.0886199</v>
      </c>
      <c r="V50" s="5">
        <v>449726417.74815798</v>
      </c>
      <c r="W50" s="5">
        <v>356029745.830607</v>
      </c>
      <c r="X50" s="5">
        <v>622205859.537727</v>
      </c>
      <c r="Y50" s="5">
        <v>350508147.860865</v>
      </c>
      <c r="Z50" s="5">
        <v>560308747.70538604</v>
      </c>
      <c r="AA50" s="5">
        <v>413984752.27380902</v>
      </c>
      <c r="AB50" s="5">
        <v>564053607.46167803</v>
      </c>
      <c r="AC50" s="5">
        <v>444527044.704234</v>
      </c>
      <c r="AD50" s="5">
        <v>461704125.29940099</v>
      </c>
      <c r="AE50" s="5">
        <v>499418562.71894097</v>
      </c>
      <c r="AF50" s="5">
        <v>485959477.36047202</v>
      </c>
      <c r="AG50">
        <f t="shared" si="1"/>
        <v>472902302.52076197</v>
      </c>
      <c r="AH50">
        <f t="shared" si="2"/>
        <v>24523161.153813545</v>
      </c>
      <c r="AI50">
        <f t="shared" si="3"/>
        <v>5.1856717599163937E-2</v>
      </c>
    </row>
    <row r="51" spans="1:35" x14ac:dyDescent="0.45">
      <c r="A51" s="5" t="s">
        <v>277</v>
      </c>
      <c r="B51" s="2">
        <f t="shared" si="0"/>
        <v>775920.50882793881</v>
      </c>
      <c r="C51" s="2">
        <v>404021.28024451202</v>
      </c>
      <c r="D51" s="2">
        <v>4.9480468902189871E-2</v>
      </c>
      <c r="E51" s="5">
        <v>947678.73921796901</v>
      </c>
      <c r="F51" s="5">
        <v>909880.99415909895</v>
      </c>
      <c r="G51" s="5">
        <v>376148.61377433699</v>
      </c>
      <c r="H51" s="5">
        <v>1206388.63697807</v>
      </c>
      <c r="I51" s="5">
        <v>98091.449618654398</v>
      </c>
      <c r="J51" s="5">
        <v>89742.199289234195</v>
      </c>
      <c r="K51" s="5">
        <v>629932.77546248795</v>
      </c>
      <c r="L51" s="5">
        <v>675353.11506143096</v>
      </c>
      <c r="M51" s="5">
        <v>1594696.1591706499</v>
      </c>
      <c r="N51" s="5">
        <v>847663.41733492899</v>
      </c>
      <c r="O51" s="5">
        <v>456120.88821305201</v>
      </c>
      <c r="P51" s="5">
        <v>1138973.3801178201</v>
      </c>
      <c r="Q51" s="5">
        <v>620633.43421481003</v>
      </c>
      <c r="R51" s="5">
        <v>345640.74664546101</v>
      </c>
      <c r="S51" s="5">
        <v>320346.16773398197</v>
      </c>
      <c r="T51" s="5">
        <v>3733337.4665907598</v>
      </c>
      <c r="U51" s="5">
        <v>592885.61857608706</v>
      </c>
      <c r="V51" s="5">
        <v>1193670.01195921</v>
      </c>
      <c r="W51" s="5">
        <v>531049.65940841299</v>
      </c>
      <c r="X51" s="5">
        <v>363536.98297465499</v>
      </c>
      <c r="Y51" s="5">
        <v>765130.25271680404</v>
      </c>
      <c r="Z51" s="5">
        <v>342772.61284515099</v>
      </c>
      <c r="AA51" s="5">
        <v>238915.978176359</v>
      </c>
      <c r="AB51" s="5">
        <v>603502.91163110198</v>
      </c>
      <c r="AC51" s="5">
        <v>375211.196578036</v>
      </c>
      <c r="AD51" s="5">
        <v>412161.47429762798</v>
      </c>
      <c r="AE51" s="5">
        <v>421028.32640905899</v>
      </c>
      <c r="AF51" s="5">
        <v>407684.12369332497</v>
      </c>
      <c r="AG51">
        <f t="shared" si="1"/>
        <v>404021.28024451202</v>
      </c>
      <c r="AH51">
        <f t="shared" si="2"/>
        <v>19991.162392961516</v>
      </c>
      <c r="AI51">
        <f t="shared" si="3"/>
        <v>4.9480468902189871E-2</v>
      </c>
    </row>
    <row r="52" spans="1:35" x14ac:dyDescent="0.45">
      <c r="A52" s="5" t="s">
        <v>278</v>
      </c>
      <c r="B52" s="2">
        <f t="shared" si="0"/>
        <v>22102608.942171358</v>
      </c>
      <c r="C52" s="2">
        <v>17810549.146198649</v>
      </c>
      <c r="D52" s="2">
        <v>5.136818009261257E-2</v>
      </c>
      <c r="E52" s="5">
        <v>13611922.309676901</v>
      </c>
      <c r="F52" s="5">
        <v>11401246.2167887</v>
      </c>
      <c r="G52" s="5">
        <v>12193556.1552277</v>
      </c>
      <c r="H52" s="5">
        <v>5902381.0131401801</v>
      </c>
      <c r="I52" s="5">
        <v>5105583.1560674701</v>
      </c>
      <c r="J52" s="5">
        <v>25009968.476885699</v>
      </c>
      <c r="K52" s="5">
        <v>14490994.139000401</v>
      </c>
      <c r="L52" s="5">
        <v>11414805.220784299</v>
      </c>
      <c r="M52" s="5">
        <v>25744441.548199199</v>
      </c>
      <c r="N52" s="5">
        <v>10090079.7130682</v>
      </c>
      <c r="O52" s="5">
        <v>166994219.81990299</v>
      </c>
      <c r="P52" s="5">
        <v>22783304.400598601</v>
      </c>
      <c r="Q52" s="5">
        <v>19865146.856409699</v>
      </c>
      <c r="R52" s="5">
        <v>13744075.0415729</v>
      </c>
      <c r="S52" s="5">
        <v>11274408.7247645</v>
      </c>
      <c r="T52" s="5">
        <v>16223533.07877</v>
      </c>
      <c r="U52" s="5">
        <v>16420591.7564077</v>
      </c>
      <c r="V52" s="5">
        <v>27067031.345320199</v>
      </c>
      <c r="W52" s="5">
        <v>8039008.11119965</v>
      </c>
      <c r="X52" s="5">
        <v>39705133.198342197</v>
      </c>
      <c r="Y52" s="5">
        <v>11373718.995526301</v>
      </c>
      <c r="Z52" s="5">
        <v>19945526.489489</v>
      </c>
      <c r="AA52" s="5">
        <v>11964173.003237501</v>
      </c>
      <c r="AB52" s="5">
        <v>10097765.8417325</v>
      </c>
      <c r="AC52" s="5">
        <v>18113584.784561899</v>
      </c>
      <c r="AD52" s="5">
        <v>16451275.9712651</v>
      </c>
      <c r="AE52" s="5">
        <v>18421819.214102399</v>
      </c>
      <c r="AF52" s="5">
        <v>18255516.614865199</v>
      </c>
      <c r="AG52">
        <f t="shared" si="1"/>
        <v>17810549.146198649</v>
      </c>
      <c r="AH52">
        <f t="shared" si="2"/>
        <v>914895.49609025929</v>
      </c>
      <c r="AI52">
        <f t="shared" si="3"/>
        <v>5.136818009261257E-2</v>
      </c>
    </row>
    <row r="53" spans="1:35" x14ac:dyDescent="0.45">
      <c r="A53" s="5" t="s">
        <v>279</v>
      </c>
      <c r="B53" s="2">
        <f t="shared" si="0"/>
        <v>333596419.38213319</v>
      </c>
      <c r="C53" s="2">
        <v>292635862.64611298</v>
      </c>
      <c r="D53" s="2">
        <v>7.0073493789371749E-2</v>
      </c>
      <c r="E53" s="5">
        <v>387968732.69322002</v>
      </c>
      <c r="F53" s="5">
        <v>398410731.22098702</v>
      </c>
      <c r="G53" s="5">
        <v>278378282.94308901</v>
      </c>
      <c r="H53" s="5">
        <v>374316473.867926</v>
      </c>
      <c r="I53" s="5">
        <v>351420247.372805</v>
      </c>
      <c r="J53" s="5">
        <v>200169916.902284</v>
      </c>
      <c r="K53" s="5">
        <v>289559333.73698699</v>
      </c>
      <c r="L53" s="5">
        <v>372116257.57894999</v>
      </c>
      <c r="M53" s="5">
        <v>301593726.33443499</v>
      </c>
      <c r="N53" s="5">
        <v>359163777.30523503</v>
      </c>
      <c r="O53" s="5">
        <v>202852002.313164</v>
      </c>
      <c r="P53" s="5">
        <v>366047768.26755297</v>
      </c>
      <c r="Q53" s="5">
        <v>312393561.25916702</v>
      </c>
      <c r="R53" s="5">
        <v>378840972.72163099</v>
      </c>
      <c r="S53" s="5">
        <v>321462926.50973803</v>
      </c>
      <c r="T53" s="5">
        <v>479597444.46562999</v>
      </c>
      <c r="U53" s="5">
        <v>418959553.03988099</v>
      </c>
      <c r="V53" s="5">
        <v>382154524.80357701</v>
      </c>
      <c r="W53" s="5">
        <v>310415133.41453701</v>
      </c>
      <c r="X53" s="5">
        <v>331754462.38029599</v>
      </c>
      <c r="Y53" s="5">
        <v>333388012.63109398</v>
      </c>
      <c r="Z53" s="5">
        <v>260895553.384175</v>
      </c>
      <c r="AA53" s="5">
        <v>259938853.931115</v>
      </c>
      <c r="AB53" s="5">
        <v>334515816.09372002</v>
      </c>
      <c r="AC53" s="5">
        <v>299072389.76439101</v>
      </c>
      <c r="AD53" s="5">
        <v>300157716.661578</v>
      </c>
      <c r="AE53" s="5">
        <v>262569176.91557401</v>
      </c>
      <c r="AF53" s="5">
        <v>308744167.24290901</v>
      </c>
      <c r="AG53">
        <f t="shared" si="1"/>
        <v>292635862.64611298</v>
      </c>
      <c r="AH53">
        <f t="shared" si="2"/>
        <v>20506017.303679843</v>
      </c>
      <c r="AI53">
        <f t="shared" si="3"/>
        <v>7.0073493789371749E-2</v>
      </c>
    </row>
    <row r="54" spans="1:35" x14ac:dyDescent="0.45">
      <c r="A54" s="5" t="s">
        <v>79</v>
      </c>
      <c r="B54" s="2">
        <f t="shared" si="0"/>
        <v>15567783.259270586</v>
      </c>
      <c r="C54" s="2">
        <v>9493769.2552824803</v>
      </c>
      <c r="D54" s="2">
        <v>8.4579775236845789E-2</v>
      </c>
      <c r="E54" s="5">
        <v>7887945.1092735203</v>
      </c>
      <c r="F54" s="5">
        <v>8343257.8519163299</v>
      </c>
      <c r="G54" s="5">
        <v>8267196.4996874304</v>
      </c>
      <c r="H54" s="5">
        <v>17741730.9199677</v>
      </c>
      <c r="I54" s="5">
        <v>9163685.6369449701</v>
      </c>
      <c r="J54" s="5">
        <v>7199181.0775345303</v>
      </c>
      <c r="K54" s="5">
        <v>8106558.6113615604</v>
      </c>
      <c r="L54" s="5">
        <v>9115766.9450032897</v>
      </c>
      <c r="M54" s="5">
        <v>5505135.8325883104</v>
      </c>
      <c r="N54" s="5">
        <v>4298129.5906470995</v>
      </c>
      <c r="O54" s="5">
        <v>15823811.796253899</v>
      </c>
      <c r="P54" s="5">
        <v>8151372.1986767603</v>
      </c>
      <c r="Q54" s="5">
        <v>5441518.4295903901</v>
      </c>
      <c r="R54" s="5">
        <v>8812970.4216303304</v>
      </c>
      <c r="S54" s="5">
        <v>6960630.2698011799</v>
      </c>
      <c r="T54" s="5">
        <v>176829348.68492201</v>
      </c>
      <c r="U54" s="5">
        <v>7867221.2569649499</v>
      </c>
      <c r="V54" s="5">
        <v>6943136.3588525802</v>
      </c>
      <c r="W54" s="5">
        <v>8325889.5916815205</v>
      </c>
      <c r="X54" s="5">
        <v>13510653.6570882</v>
      </c>
      <c r="Y54" s="5">
        <v>5923307.6058162097</v>
      </c>
      <c r="Z54" s="5">
        <v>9729525.7274280097</v>
      </c>
      <c r="AA54" s="5">
        <v>6822646.6274800403</v>
      </c>
      <c r="AB54" s="5">
        <v>6856177.5213832101</v>
      </c>
      <c r="AC54" s="5">
        <v>8347676.7454411797</v>
      </c>
      <c r="AD54" s="5">
        <v>10018422.158563999</v>
      </c>
      <c r="AE54" s="5">
        <v>9528398.0144520495</v>
      </c>
      <c r="AF54" s="5">
        <v>10080580.1026727</v>
      </c>
      <c r="AG54">
        <f t="shared" si="1"/>
        <v>9493769.2552824803</v>
      </c>
      <c r="AH54">
        <f t="shared" si="2"/>
        <v>802980.86976226897</v>
      </c>
      <c r="AI54">
        <f t="shared" si="3"/>
        <v>8.4579775236845789E-2</v>
      </c>
    </row>
    <row r="55" spans="1:35" x14ac:dyDescent="0.45">
      <c r="A55" s="5" t="s">
        <v>280</v>
      </c>
      <c r="B55" s="2">
        <f t="shared" si="0"/>
        <v>46227380.039220579</v>
      </c>
      <c r="C55" s="2">
        <v>48317284.616370201</v>
      </c>
      <c r="D55" s="2">
        <v>2.5881843967609345E-2</v>
      </c>
      <c r="E55" s="5">
        <v>28937393.559222002</v>
      </c>
      <c r="F55" s="5">
        <v>24268200.5468463</v>
      </c>
      <c r="G55" s="5">
        <v>30991161.0108632</v>
      </c>
      <c r="H55" s="5">
        <v>32671573.070278399</v>
      </c>
      <c r="I55" s="5">
        <v>209686136.100761</v>
      </c>
      <c r="J55" s="5">
        <v>22935296.9326014</v>
      </c>
      <c r="K55" s="5">
        <v>24284148.4905705</v>
      </c>
      <c r="L55" s="5">
        <v>24662601.626445901</v>
      </c>
      <c r="M55" s="5">
        <v>30655230.556457698</v>
      </c>
      <c r="N55" s="5">
        <v>25041822.622255199</v>
      </c>
      <c r="O55" s="5">
        <v>16775962.8264881</v>
      </c>
      <c r="P55" s="5">
        <v>25183891.340173502</v>
      </c>
      <c r="Q55" s="5">
        <v>159226726.28881499</v>
      </c>
      <c r="R55" s="5">
        <v>26488214.186613299</v>
      </c>
      <c r="S55" s="5">
        <v>22337064.802572802</v>
      </c>
      <c r="T55" s="5">
        <v>26682078.717165601</v>
      </c>
      <c r="U55" s="5">
        <v>26361498.296354</v>
      </c>
      <c r="V55" s="5">
        <v>27327524.025603801</v>
      </c>
      <c r="W55" s="5">
        <v>41274982.186327301</v>
      </c>
      <c r="X55" s="5">
        <v>23446266.764309801</v>
      </c>
      <c r="Y55" s="5">
        <v>188118602.151887</v>
      </c>
      <c r="Z55" s="5">
        <v>24928278.840276401</v>
      </c>
      <c r="AA55" s="5">
        <v>24047427.3038144</v>
      </c>
      <c r="AB55" s="5">
        <v>23125038.6945915</v>
      </c>
      <c r="AC55" s="5">
        <v>47622224.875077598</v>
      </c>
      <c r="AD55" s="5">
        <v>47251997.933809899</v>
      </c>
      <c r="AE55" s="5">
        <v>48324474.291647799</v>
      </c>
      <c r="AF55" s="5">
        <v>50070441.364945501</v>
      </c>
      <c r="AG55">
        <f t="shared" si="1"/>
        <v>48317284.616370201</v>
      </c>
      <c r="AH55">
        <f t="shared" si="2"/>
        <v>1250540.4213794649</v>
      </c>
      <c r="AI55">
        <f t="shared" si="3"/>
        <v>2.5881843967609345E-2</v>
      </c>
    </row>
    <row r="56" spans="1:35" x14ac:dyDescent="0.45">
      <c r="A56" s="5" t="s">
        <v>80</v>
      </c>
      <c r="B56" s="2">
        <f t="shared" si="0"/>
        <v>51334954.017755188</v>
      </c>
      <c r="C56" s="2">
        <v>42731643.444587499</v>
      </c>
      <c r="D56" s="2">
        <v>3.1650592469075554E-2</v>
      </c>
      <c r="E56" s="5">
        <v>54474758.936060399</v>
      </c>
      <c r="F56" s="5">
        <v>54643777.533310503</v>
      </c>
      <c r="G56" s="5">
        <v>49215936.6319611</v>
      </c>
      <c r="H56" s="5">
        <v>108725570.995217</v>
      </c>
      <c r="I56" s="5">
        <v>41478840.178006403</v>
      </c>
      <c r="J56" s="5">
        <v>45280301.507944003</v>
      </c>
      <c r="K56" s="5">
        <v>56482670.0298234</v>
      </c>
      <c r="L56" s="5">
        <v>73449211.667014301</v>
      </c>
      <c r="M56" s="5">
        <v>41683649.504776098</v>
      </c>
      <c r="N56" s="5">
        <v>45532044.153336398</v>
      </c>
      <c r="O56" s="5">
        <v>36252428.763235196</v>
      </c>
      <c r="P56" s="5">
        <v>61424772.042924702</v>
      </c>
      <c r="Q56" s="5">
        <v>30024645.604104601</v>
      </c>
      <c r="R56" s="5">
        <v>51686413.120737903</v>
      </c>
      <c r="S56" s="5">
        <v>49726980.4972478</v>
      </c>
      <c r="T56" s="5">
        <v>25125731.269500401</v>
      </c>
      <c r="U56" s="5">
        <v>44484470.363464698</v>
      </c>
      <c r="V56" s="5">
        <v>43098427.8115004</v>
      </c>
      <c r="W56" s="5">
        <v>40205508.353811704</v>
      </c>
      <c r="X56" s="5">
        <v>53485886.093328297</v>
      </c>
      <c r="Y56" s="5">
        <v>36301062.790914997</v>
      </c>
      <c r="Z56" s="5">
        <v>48856287.468681403</v>
      </c>
      <c r="AA56" s="5">
        <v>64493588.2088691</v>
      </c>
      <c r="AB56" s="5">
        <v>75905932.900353894</v>
      </c>
      <c r="AC56" s="5">
        <v>40803734.711799502</v>
      </c>
      <c r="AD56" s="5">
        <v>43739417.466640599</v>
      </c>
      <c r="AE56" s="5">
        <v>43599053.907694601</v>
      </c>
      <c r="AF56" s="5">
        <v>42784367.692215301</v>
      </c>
      <c r="AG56">
        <f t="shared" si="1"/>
        <v>42731643.444587499</v>
      </c>
      <c r="AH56">
        <f t="shared" si="2"/>
        <v>1352481.8321984829</v>
      </c>
      <c r="AI56">
        <f t="shared" si="3"/>
        <v>3.1650592469075554E-2</v>
      </c>
    </row>
    <row r="57" spans="1:35" x14ac:dyDescent="0.45">
      <c r="A57" s="5" t="s">
        <v>281</v>
      </c>
      <c r="B57" s="2">
        <f t="shared" si="0"/>
        <v>31827454.631214369</v>
      </c>
      <c r="C57" s="2">
        <v>16312368.217100952</v>
      </c>
      <c r="D57" s="2">
        <v>0.11354000578647545</v>
      </c>
      <c r="E57" s="5">
        <v>7856641.0999620697</v>
      </c>
      <c r="F57" s="5">
        <v>6682761.4787563104</v>
      </c>
      <c r="G57" s="5">
        <v>6671187.7095367098</v>
      </c>
      <c r="H57" s="5">
        <v>8572017.8323938102</v>
      </c>
      <c r="I57" s="5">
        <v>7896233.1502948198</v>
      </c>
      <c r="J57" s="5">
        <v>6625376.0906664999</v>
      </c>
      <c r="K57" s="5">
        <v>6870853.5003761696</v>
      </c>
      <c r="L57" s="5">
        <v>6492123.64511743</v>
      </c>
      <c r="M57" s="5">
        <v>10064020.756440399</v>
      </c>
      <c r="N57" s="5">
        <v>8863273.6377096307</v>
      </c>
      <c r="O57" s="5">
        <v>499399162.76363403</v>
      </c>
      <c r="P57" s="5">
        <v>30213956.8729393</v>
      </c>
      <c r="Q57" s="5">
        <v>12197608.622919301</v>
      </c>
      <c r="R57" s="5">
        <v>10627879.3365754</v>
      </c>
      <c r="S57" s="5">
        <v>3898283.1900152802</v>
      </c>
      <c r="T57" s="5">
        <v>59823986.056018703</v>
      </c>
      <c r="U57" s="5">
        <v>9821782.1354747191</v>
      </c>
      <c r="V57" s="5">
        <v>7290440.0253561102</v>
      </c>
      <c r="W57" s="5">
        <v>18669816.675081201</v>
      </c>
      <c r="X57" s="5">
        <v>4870566.1529606897</v>
      </c>
      <c r="Y57" s="5">
        <v>9073868.2385795992</v>
      </c>
      <c r="Z57" s="5">
        <v>8392222.2979826704</v>
      </c>
      <c r="AA57" s="5">
        <v>7131490.2112055896</v>
      </c>
      <c r="AB57" s="5">
        <v>5853359.6691483399</v>
      </c>
      <c r="AC57" s="5">
        <v>17771379.204507701</v>
      </c>
      <c r="AD57" s="5">
        <v>14077347.5278296</v>
      </c>
      <c r="AE57" s="5">
        <v>15503341.724137399</v>
      </c>
      <c r="AF57" s="5">
        <v>17897404.411929101</v>
      </c>
      <c r="AG57">
        <f t="shared" si="1"/>
        <v>16312368.217100952</v>
      </c>
      <c r="AH57">
        <f t="shared" si="2"/>
        <v>1852106.3817607604</v>
      </c>
      <c r="AI57">
        <f t="shared" si="3"/>
        <v>0.11354000578647545</v>
      </c>
    </row>
    <row r="58" spans="1:35" x14ac:dyDescent="0.45">
      <c r="A58" s="5" t="s">
        <v>81</v>
      </c>
      <c r="B58" s="2">
        <f t="shared" si="0"/>
        <v>25285817.603967708</v>
      </c>
      <c r="C58" s="2">
        <v>29888712.669606127</v>
      </c>
      <c r="D58" s="2">
        <v>2.9176455345650092E-2</v>
      </c>
      <c r="E58" s="5">
        <v>19841039.288121901</v>
      </c>
      <c r="F58" s="5">
        <v>19324299.547400199</v>
      </c>
      <c r="G58" s="5">
        <v>24221353.546560299</v>
      </c>
      <c r="H58" s="5">
        <v>5352806.9500797903</v>
      </c>
      <c r="I58" s="5">
        <v>54431409.9633485</v>
      </c>
      <c r="J58" s="5">
        <v>34723498.126039699</v>
      </c>
      <c r="K58" s="5">
        <v>6329609.3675555699</v>
      </c>
      <c r="L58" s="5">
        <v>33334242.709235098</v>
      </c>
      <c r="M58" s="5">
        <v>33277153.833333001</v>
      </c>
      <c r="N58" s="5">
        <v>19233877.858121999</v>
      </c>
      <c r="O58" s="5">
        <v>34187439.4415465</v>
      </c>
      <c r="P58" s="5">
        <v>6248207.6502678804</v>
      </c>
      <c r="Q58" s="5">
        <v>48256846.1049788</v>
      </c>
      <c r="R58" s="5">
        <v>6748999.13600899</v>
      </c>
      <c r="S58" s="5">
        <v>25313902.6143528</v>
      </c>
      <c r="T58" s="5">
        <v>26475649.038741</v>
      </c>
      <c r="U58" s="5">
        <v>20767802.0515095</v>
      </c>
      <c r="V58" s="5">
        <v>31951225.4864133</v>
      </c>
      <c r="W58" s="5">
        <v>17858153.931279302</v>
      </c>
      <c r="X58" s="5">
        <v>10364539.0703358</v>
      </c>
      <c r="Y58" s="5">
        <v>50115335.148918003</v>
      </c>
      <c r="Z58" s="5">
        <v>11366330.5211793</v>
      </c>
      <c r="AA58" s="5">
        <v>36676147.095481098</v>
      </c>
      <c r="AB58" s="5">
        <v>30459754.014416698</v>
      </c>
      <c r="AC58" s="5">
        <v>30670587.402889099</v>
      </c>
      <c r="AD58" s="5">
        <v>30580422.271296099</v>
      </c>
      <c r="AE58" s="5">
        <v>29382008.119897701</v>
      </c>
      <c r="AF58" s="5">
        <v>28921832.884341601</v>
      </c>
      <c r="AG58">
        <f t="shared" si="1"/>
        <v>29888712.669606127</v>
      </c>
      <c r="AH58">
        <f t="shared" si="2"/>
        <v>872046.69054372935</v>
      </c>
      <c r="AI58">
        <f t="shared" si="3"/>
        <v>2.9176455345650092E-2</v>
      </c>
    </row>
    <row r="59" spans="1:35" x14ac:dyDescent="0.45">
      <c r="A59" s="5" t="s">
        <v>82</v>
      </c>
      <c r="B59" s="2">
        <f t="shared" si="0"/>
        <v>23997694.156758349</v>
      </c>
      <c r="C59" s="2">
        <v>26115813.624472301</v>
      </c>
      <c r="D59" s="2">
        <v>0.11405324532870702</v>
      </c>
      <c r="E59" s="5">
        <v>5262902.7153907605</v>
      </c>
      <c r="F59" s="5">
        <v>13509973.248741601</v>
      </c>
      <c r="G59" s="5">
        <v>28101767.1201251</v>
      </c>
      <c r="H59" s="5">
        <v>17390889.7731557</v>
      </c>
      <c r="I59" s="5">
        <v>40331505.6398656</v>
      </c>
      <c r="J59" s="5">
        <v>45231255.227908097</v>
      </c>
      <c r="K59" s="5">
        <v>11556128.0354886</v>
      </c>
      <c r="L59" s="5">
        <v>21543409.8953829</v>
      </c>
      <c r="M59" s="5">
        <v>34277459.077613302</v>
      </c>
      <c r="N59" s="5">
        <v>7494565.0288237203</v>
      </c>
      <c r="O59" s="5">
        <v>10602282.175810199</v>
      </c>
      <c r="P59" s="5">
        <v>18016298.524632201</v>
      </c>
      <c r="Q59" s="5">
        <v>42075593.089079998</v>
      </c>
      <c r="R59" s="5">
        <v>16888477.311121602</v>
      </c>
      <c r="S59" s="5">
        <v>23782947.801193699</v>
      </c>
      <c r="T59" s="5">
        <v>26499952.660358999</v>
      </c>
      <c r="U59" s="5">
        <v>21938490.889163502</v>
      </c>
      <c r="V59" s="5">
        <v>32550137.539036602</v>
      </c>
      <c r="W59" s="5">
        <v>4597733.3551858999</v>
      </c>
      <c r="X59" s="5">
        <v>43259593.977309696</v>
      </c>
      <c r="Y59" s="5">
        <v>25634408.185104501</v>
      </c>
      <c r="Z59" s="5">
        <v>31392967.808674801</v>
      </c>
      <c r="AA59" s="5">
        <v>35828605.062895603</v>
      </c>
      <c r="AB59" s="5">
        <v>18177315.620137699</v>
      </c>
      <c r="AC59" s="5">
        <v>25068426.816928498</v>
      </c>
      <c r="AD59" s="5">
        <v>22381409.4076715</v>
      </c>
      <c r="AE59" s="5">
        <v>28241664.394966699</v>
      </c>
      <c r="AF59" s="5">
        <v>28771753.878322501</v>
      </c>
      <c r="AG59">
        <f t="shared" si="1"/>
        <v>26115813.624472301</v>
      </c>
      <c r="AH59">
        <f t="shared" si="2"/>
        <v>2978593.2982707284</v>
      </c>
      <c r="AI59">
        <f t="shared" si="3"/>
        <v>0.11405324532870702</v>
      </c>
    </row>
    <row r="60" spans="1:35" x14ac:dyDescent="0.45">
      <c r="A60" s="5" t="s">
        <v>83</v>
      </c>
      <c r="B60" s="2">
        <f t="shared" si="0"/>
        <v>25457758.96049593</v>
      </c>
      <c r="C60" s="2">
        <v>28687167.730041701</v>
      </c>
      <c r="D60" s="2">
        <v>7.3217045454682453E-2</v>
      </c>
      <c r="E60" s="5">
        <v>17227114.160704698</v>
      </c>
      <c r="F60" s="5">
        <v>25460614.327335101</v>
      </c>
      <c r="G60" s="5">
        <v>23136941.141011499</v>
      </c>
      <c r="H60" s="5">
        <v>19532323.490297601</v>
      </c>
      <c r="I60" s="5">
        <v>29228650.301477298</v>
      </c>
      <c r="J60" s="5">
        <v>36585375.104883999</v>
      </c>
      <c r="K60" s="5">
        <v>41948439.898470402</v>
      </c>
      <c r="L60" s="5">
        <v>29307116.7523029</v>
      </c>
      <c r="M60" s="5">
        <v>38776648.068980798</v>
      </c>
      <c r="N60" s="5">
        <v>27356227.761644099</v>
      </c>
      <c r="O60" s="5">
        <v>7314440.9991933098</v>
      </c>
      <c r="P60" s="5">
        <v>32815828.475446001</v>
      </c>
      <c r="Q60" s="5">
        <v>14178416.0688744</v>
      </c>
      <c r="R60" s="5">
        <v>8899072.0404503699</v>
      </c>
      <c r="S60" s="5">
        <v>8281142.6180313602</v>
      </c>
      <c r="T60" s="5">
        <v>25492999.285643801</v>
      </c>
      <c r="U60" s="5">
        <v>36808253.452685103</v>
      </c>
      <c r="V60" s="5">
        <v>23089943.296848301</v>
      </c>
      <c r="W60" s="5">
        <v>25867016.343835101</v>
      </c>
      <c r="X60" s="5">
        <v>38269310.944615804</v>
      </c>
      <c r="Y60" s="5">
        <v>25418651.504168801</v>
      </c>
      <c r="Z60" s="5">
        <v>31153266.0532277</v>
      </c>
      <c r="AA60" s="5">
        <v>32488148.907795701</v>
      </c>
      <c r="AB60" s="5">
        <v>12350274.0539781</v>
      </c>
      <c r="AC60" s="5">
        <v>31775104.429432102</v>
      </c>
      <c r="AD60" s="5">
        <v>28199694.489401001</v>
      </c>
      <c r="AE60" s="5">
        <v>27587836.346182901</v>
      </c>
      <c r="AF60" s="5">
        <v>27186035.655150801</v>
      </c>
      <c r="AG60">
        <f t="shared" si="1"/>
        <v>28687167.730041701</v>
      </c>
      <c r="AH60">
        <f t="shared" si="2"/>
        <v>2100389.663656563</v>
      </c>
      <c r="AI60">
        <f t="shared" si="3"/>
        <v>7.3217045454682453E-2</v>
      </c>
    </row>
    <row r="61" spans="1:35" x14ac:dyDescent="0.45">
      <c r="A61" s="5" t="s">
        <v>84</v>
      </c>
      <c r="B61" s="2">
        <f t="shared" si="0"/>
        <v>72141825.094518468</v>
      </c>
      <c r="C61" s="2">
        <v>53079962.017116398</v>
      </c>
      <c r="D61" s="2">
        <v>5.2296826399076179E-2</v>
      </c>
      <c r="E61" s="5">
        <v>37980566.108376399</v>
      </c>
      <c r="F61" s="5">
        <v>61209089.892901197</v>
      </c>
      <c r="G61" s="5">
        <v>32691190.1516832</v>
      </c>
      <c r="H61" s="5">
        <v>46189708.449962899</v>
      </c>
      <c r="I61" s="5">
        <v>39009028.006308101</v>
      </c>
      <c r="J61" s="5">
        <v>98151025.376763001</v>
      </c>
      <c r="K61" s="5">
        <v>3833193.1319934102</v>
      </c>
      <c r="L61" s="5">
        <v>26776615.8146533</v>
      </c>
      <c r="M61" s="5">
        <v>89258129.8118072</v>
      </c>
      <c r="N61" s="5">
        <v>7416274.4037790904</v>
      </c>
      <c r="O61" s="5">
        <v>151247584.959227</v>
      </c>
      <c r="P61" s="5">
        <v>17725823.0821779</v>
      </c>
      <c r="Q61" s="5">
        <v>30922024.416298099</v>
      </c>
      <c r="R61" s="5">
        <v>62557339.971091799</v>
      </c>
      <c r="S61" s="5">
        <v>19721166.652157102</v>
      </c>
      <c r="T61" s="5">
        <v>597797994.979599</v>
      </c>
      <c r="U61" s="5">
        <v>80499656.859260499</v>
      </c>
      <c r="V61" s="5">
        <v>38694023.317243896</v>
      </c>
      <c r="W61" s="5">
        <v>38738303.302514002</v>
      </c>
      <c r="X61" s="5">
        <v>112895532.168734</v>
      </c>
      <c r="Y61" s="5">
        <v>27864007.987191599</v>
      </c>
      <c r="Z61" s="5">
        <v>69857960.440270603</v>
      </c>
      <c r="AA61" s="5">
        <v>35447193.390091799</v>
      </c>
      <c r="AB61" s="5">
        <v>4920369.5943578798</v>
      </c>
      <c r="AC61" s="5">
        <v>49356934.573501803</v>
      </c>
      <c r="AD61" s="5">
        <v>55180813.433428101</v>
      </c>
      <c r="AE61" s="5">
        <v>52563109.763286799</v>
      </c>
      <c r="AF61" s="5">
        <v>55218990.298248902</v>
      </c>
      <c r="AG61">
        <f t="shared" si="1"/>
        <v>53079962.017116398</v>
      </c>
      <c r="AH61">
        <f t="shared" si="2"/>
        <v>2775913.5588786937</v>
      </c>
      <c r="AI61">
        <f t="shared" si="3"/>
        <v>5.2296826399076179E-2</v>
      </c>
    </row>
    <row r="62" spans="1:35" x14ac:dyDescent="0.45">
      <c r="A62" s="5" t="s">
        <v>85</v>
      </c>
      <c r="B62" s="2">
        <f t="shared" si="0"/>
        <v>32140083.314122971</v>
      </c>
      <c r="C62" s="2">
        <v>32623006.079833023</v>
      </c>
      <c r="D62" s="2">
        <v>1.4467140450729646E-2</v>
      </c>
      <c r="E62" s="5">
        <v>17064178.8630086</v>
      </c>
      <c r="F62" s="5">
        <v>31358656.649962701</v>
      </c>
      <c r="G62" s="5">
        <v>11270560.2195064</v>
      </c>
      <c r="H62" s="5">
        <v>23300860.5422532</v>
      </c>
      <c r="I62" s="5">
        <v>21441011.1539164</v>
      </c>
      <c r="J62" s="5">
        <v>35517360.899986103</v>
      </c>
      <c r="K62" s="5">
        <v>59469111.7355875</v>
      </c>
      <c r="L62" s="5">
        <v>19077832.809250399</v>
      </c>
      <c r="M62" s="5">
        <v>48325083.766518503</v>
      </c>
      <c r="N62" s="5">
        <v>24839350.652734701</v>
      </c>
      <c r="O62" s="5">
        <v>24324827.562113401</v>
      </c>
      <c r="P62" s="5">
        <v>44931699.027210802</v>
      </c>
      <c r="Q62" s="5">
        <v>27692843.282695699</v>
      </c>
      <c r="R62" s="5">
        <v>24360966.522269901</v>
      </c>
      <c r="S62" s="5">
        <v>27027179.3391429</v>
      </c>
      <c r="T62" s="5">
        <v>50629697.211312398</v>
      </c>
      <c r="U62" s="5">
        <v>60013150.603736997</v>
      </c>
      <c r="V62" s="5">
        <v>28373631.295508798</v>
      </c>
      <c r="W62" s="5">
        <v>30735994.270205501</v>
      </c>
      <c r="X62" s="5">
        <v>49798880.462673001</v>
      </c>
      <c r="Y62" s="5">
        <v>16603172.935444999</v>
      </c>
      <c r="Z62" s="5">
        <v>33182957.0241214</v>
      </c>
      <c r="AA62" s="5">
        <v>32794888.145672102</v>
      </c>
      <c r="AB62" s="5">
        <v>29228104.564119</v>
      </c>
      <c r="AC62" s="5">
        <v>31921113.192209002</v>
      </c>
      <c r="AD62" s="5">
        <v>32791681.806610201</v>
      </c>
      <c r="AE62" s="5">
        <v>32839725.334609199</v>
      </c>
      <c r="AF62" s="5">
        <v>32939503.985903699</v>
      </c>
      <c r="AG62">
        <f t="shared" si="1"/>
        <v>32623006.079833023</v>
      </c>
      <c r="AH62">
        <f t="shared" si="2"/>
        <v>471961.61088195152</v>
      </c>
      <c r="AI62">
        <f t="shared" si="3"/>
        <v>1.4467140450729646E-2</v>
      </c>
    </row>
    <row r="63" spans="1:35" x14ac:dyDescent="0.45">
      <c r="A63" s="5" t="s">
        <v>86</v>
      </c>
      <c r="B63" s="2">
        <f t="shared" si="0"/>
        <v>57885906.774711542</v>
      </c>
      <c r="C63" s="2">
        <v>50000675.744052902</v>
      </c>
      <c r="D63" s="2">
        <v>7.9237838820623269E-2</v>
      </c>
      <c r="E63" s="5">
        <v>36884576.632171899</v>
      </c>
      <c r="F63" s="5">
        <v>42553214.4257465</v>
      </c>
      <c r="G63" s="5">
        <v>41592268.997665703</v>
      </c>
      <c r="H63" s="5">
        <v>25382448.342842799</v>
      </c>
      <c r="I63" s="5">
        <v>58898532.526474804</v>
      </c>
      <c r="J63" s="5">
        <v>33050579.059150402</v>
      </c>
      <c r="K63" s="5">
        <v>72319691.398665607</v>
      </c>
      <c r="L63" s="5">
        <v>51922919.815573297</v>
      </c>
      <c r="M63" s="5">
        <v>31805849.2822823</v>
      </c>
      <c r="N63" s="5">
        <v>39902985.626782499</v>
      </c>
      <c r="O63" s="5">
        <v>135058020.172968</v>
      </c>
      <c r="P63" s="5">
        <v>57799928.4938896</v>
      </c>
      <c r="Q63" s="5">
        <v>83587807.318709895</v>
      </c>
      <c r="R63" s="5">
        <v>46696457.4011079</v>
      </c>
      <c r="S63" s="5">
        <v>46084786.328613698</v>
      </c>
      <c r="T63" s="5">
        <v>100400968.714499</v>
      </c>
      <c r="U63" s="5">
        <v>59625323.777469903</v>
      </c>
      <c r="V63" s="5">
        <v>33820404.402256101</v>
      </c>
      <c r="W63" s="5">
        <v>77425623.762736797</v>
      </c>
      <c r="X63" s="5">
        <v>27227907.970582899</v>
      </c>
      <c r="Y63" s="5">
        <v>94984105.150950894</v>
      </c>
      <c r="Z63" s="5">
        <v>58776206.145489603</v>
      </c>
      <c r="AA63" s="5">
        <v>70755675.933106706</v>
      </c>
      <c r="AB63" s="5">
        <v>62705480.913340203</v>
      </c>
      <c r="AC63" s="5">
        <v>44645984.727019899</v>
      </c>
      <c r="AD63" s="5">
        <v>52508136.472373202</v>
      </c>
      <c r="AE63" s="5">
        <v>49414614.205397896</v>
      </c>
      <c r="AF63" s="5">
        <v>53433967.571420603</v>
      </c>
      <c r="AG63">
        <f t="shared" si="1"/>
        <v>50000675.744052902</v>
      </c>
      <c r="AH63">
        <f t="shared" si="2"/>
        <v>3961945.4855295112</v>
      </c>
      <c r="AI63">
        <f t="shared" si="3"/>
        <v>7.9237838820623269E-2</v>
      </c>
    </row>
    <row r="64" spans="1:35" x14ac:dyDescent="0.45">
      <c r="A64" s="5" t="s">
        <v>282</v>
      </c>
      <c r="B64" s="2">
        <f t="shared" si="0"/>
        <v>60073818.186720349</v>
      </c>
      <c r="C64" s="2">
        <v>60096131.784294501</v>
      </c>
      <c r="D64" s="2">
        <v>6.850700845865508E-2</v>
      </c>
      <c r="E64" s="5">
        <v>65961750.739041299</v>
      </c>
      <c r="F64" s="5">
        <v>57141316.808120802</v>
      </c>
      <c r="G64" s="5">
        <v>56033145.824232303</v>
      </c>
      <c r="H64" s="5">
        <v>76936792.682861596</v>
      </c>
      <c r="I64" s="5">
        <v>39091930.685550801</v>
      </c>
      <c r="J64" s="5">
        <v>9254398.7613899205</v>
      </c>
      <c r="K64" s="5">
        <v>21507799.2776151</v>
      </c>
      <c r="L64" s="5">
        <v>72095908.368745506</v>
      </c>
      <c r="M64" s="5">
        <v>33109793.2812186</v>
      </c>
      <c r="N64" s="5">
        <v>25505062.717403799</v>
      </c>
      <c r="O64" s="5">
        <v>91282360.128673896</v>
      </c>
      <c r="P64" s="5">
        <v>31658878.791135501</v>
      </c>
      <c r="Q64" s="5">
        <v>118603364.25236601</v>
      </c>
      <c r="R64" s="5">
        <v>52611139.354537301</v>
      </c>
      <c r="S64" s="5">
        <v>74301859.6770778</v>
      </c>
      <c r="T64" s="5">
        <v>104611886.64763799</v>
      </c>
      <c r="U64" s="5">
        <v>61172560.914348803</v>
      </c>
      <c r="V64" s="5">
        <v>39353014.877638198</v>
      </c>
      <c r="W64" s="5">
        <v>22579159.430144802</v>
      </c>
      <c r="X64" s="5">
        <v>32140463.388089899</v>
      </c>
      <c r="Y64" s="5">
        <v>140048867.14348099</v>
      </c>
      <c r="Z64" s="5">
        <v>86636080.976089701</v>
      </c>
      <c r="AA64" s="5">
        <v>68475874.114025697</v>
      </c>
      <c r="AB64" s="5">
        <v>61658227.639862202</v>
      </c>
      <c r="AC64" s="5">
        <v>55349734.687435701</v>
      </c>
      <c r="AD64" s="5">
        <v>58147442.787318401</v>
      </c>
      <c r="AE64" s="5">
        <v>64471161.388795704</v>
      </c>
      <c r="AF64" s="5">
        <v>62416188.273628198</v>
      </c>
      <c r="AG64">
        <f t="shared" si="1"/>
        <v>60096131.784294501</v>
      </c>
      <c r="AH64">
        <f t="shared" si="2"/>
        <v>4117006.2084791139</v>
      </c>
      <c r="AI64">
        <f t="shared" si="3"/>
        <v>6.850700845865508E-2</v>
      </c>
    </row>
    <row r="65" spans="1:35" x14ac:dyDescent="0.45">
      <c r="A65" s="5" t="s">
        <v>87</v>
      </c>
      <c r="B65" s="2">
        <f t="shared" si="0"/>
        <v>784983645.8516016</v>
      </c>
      <c r="C65" s="2">
        <v>698020069.5638845</v>
      </c>
      <c r="D65" s="2">
        <v>8.1696044807236523E-2</v>
      </c>
      <c r="E65" s="5">
        <v>786629711.13840604</v>
      </c>
      <c r="F65" s="5">
        <v>727693061.81429696</v>
      </c>
      <c r="G65" s="5">
        <v>789282208.887586</v>
      </c>
      <c r="H65" s="5">
        <v>597201675.54854298</v>
      </c>
      <c r="I65" s="5">
        <v>675857770.89492595</v>
      </c>
      <c r="J65" s="5">
        <v>632623500.68707895</v>
      </c>
      <c r="K65" s="5">
        <v>965153119.71930695</v>
      </c>
      <c r="L65" s="5">
        <v>971535258.98066795</v>
      </c>
      <c r="M65" s="5">
        <v>574816915.596609</v>
      </c>
      <c r="N65" s="5">
        <v>831780195.35480201</v>
      </c>
      <c r="O65" s="5">
        <v>855938781.63506997</v>
      </c>
      <c r="P65" s="5">
        <v>872245140.12962997</v>
      </c>
      <c r="Q65" s="5">
        <v>597896118.64356506</v>
      </c>
      <c r="R65" s="5">
        <v>989269050.36996806</v>
      </c>
      <c r="S65" s="5">
        <v>889804477.29730904</v>
      </c>
      <c r="T65" s="5">
        <v>945271706.48527503</v>
      </c>
      <c r="U65" s="5">
        <v>689794372.06054497</v>
      </c>
      <c r="V65" s="5">
        <v>718090318.47083294</v>
      </c>
      <c r="W65" s="5">
        <v>841525948.67498899</v>
      </c>
      <c r="X65" s="5">
        <v>714608724.65515399</v>
      </c>
      <c r="Y65" s="5">
        <v>714480959.91036701</v>
      </c>
      <c r="Z65" s="5">
        <v>838871414.42981803</v>
      </c>
      <c r="AA65" s="5">
        <v>663524527.52279103</v>
      </c>
      <c r="AB65" s="5">
        <v>955712541.53089797</v>
      </c>
      <c r="AC65" s="5">
        <v>621057117.62894201</v>
      </c>
      <c r="AD65" s="5">
        <v>707217669.81686902</v>
      </c>
      <c r="AE65" s="5">
        <v>704960655.10877502</v>
      </c>
      <c r="AF65" s="5">
        <v>758844835.70095205</v>
      </c>
      <c r="AG65">
        <f t="shared" si="1"/>
        <v>698020069.5638845</v>
      </c>
      <c r="AH65">
        <f t="shared" si="2"/>
        <v>57025478.879441462</v>
      </c>
      <c r="AI65">
        <f t="shared" si="3"/>
        <v>8.1696044807236523E-2</v>
      </c>
    </row>
    <row r="66" spans="1:35" x14ac:dyDescent="0.45">
      <c r="A66" s="5" t="s">
        <v>88</v>
      </c>
      <c r="B66" s="2">
        <f t="shared" ref="B66:B129" si="4">AVERAGE(E66:AB66)</f>
        <v>22753330.095398437</v>
      </c>
      <c r="C66" s="2">
        <v>25921778.683325101</v>
      </c>
      <c r="D66" s="2">
        <v>7.1888385184343401E-3</v>
      </c>
      <c r="E66" s="5">
        <v>72300796.313485906</v>
      </c>
      <c r="F66" s="5">
        <v>18999189.955992699</v>
      </c>
      <c r="G66" s="5">
        <v>5825017.8297349904</v>
      </c>
      <c r="H66" s="5">
        <v>46788229.185685202</v>
      </c>
      <c r="I66" s="5">
        <v>36823316.247581199</v>
      </c>
      <c r="J66" s="5">
        <v>6783728.48438951</v>
      </c>
      <c r="K66" s="5">
        <v>8028820.24740062</v>
      </c>
      <c r="L66" s="5">
        <v>5790216.0857307799</v>
      </c>
      <c r="M66" s="5">
        <v>69940155.408752993</v>
      </c>
      <c r="N66" s="5">
        <v>6673207.4722288102</v>
      </c>
      <c r="O66" s="5">
        <v>25011403.218855899</v>
      </c>
      <c r="P66" s="5">
        <v>7796993.7540637599</v>
      </c>
      <c r="Q66" s="5">
        <v>21655333.911960199</v>
      </c>
      <c r="R66" s="5">
        <v>7816989.1649958696</v>
      </c>
      <c r="S66" s="5">
        <v>21938175.393980499</v>
      </c>
      <c r="T66" s="5">
        <v>22396562.429322001</v>
      </c>
      <c r="U66" s="5">
        <v>70669631.309311301</v>
      </c>
      <c r="V66" s="5">
        <v>7945460.5244650804</v>
      </c>
      <c r="W66" s="5">
        <v>15910279.583362799</v>
      </c>
      <c r="X66" s="5">
        <v>5498017.3252313295</v>
      </c>
      <c r="Y66" s="5">
        <v>24034635.274548899</v>
      </c>
      <c r="Z66" s="5">
        <v>5970566.9069830403</v>
      </c>
      <c r="AA66" s="5">
        <v>9140319.3263149392</v>
      </c>
      <c r="AB66" s="5">
        <v>22342876.935184099</v>
      </c>
      <c r="AC66" s="5">
        <v>25847167.599489599</v>
      </c>
      <c r="AD66" s="5">
        <v>26185567.3160071</v>
      </c>
      <c r="AE66" s="5">
        <v>25901791.591324899</v>
      </c>
      <c r="AF66" s="5">
        <v>25752588.2264788</v>
      </c>
      <c r="AG66">
        <f t="shared" ref="AG66:AG129" si="5">AVERAGE(AC66:AF66)</f>
        <v>25921778.683325101</v>
      </c>
      <c r="AH66">
        <f t="shared" ref="AH66:AH129" si="6">STDEV(AC66:AF66)</f>
        <v>186347.48106501767</v>
      </c>
      <c r="AI66">
        <f t="shared" ref="AI66:AI129" si="7">AH66/AG66</f>
        <v>7.1888385184343401E-3</v>
      </c>
    </row>
    <row r="67" spans="1:35" x14ac:dyDescent="0.45">
      <c r="A67" s="5" t="s">
        <v>89</v>
      </c>
      <c r="B67" s="2">
        <f t="shared" si="4"/>
        <v>5263646.2603098489</v>
      </c>
      <c r="C67" s="2">
        <v>4209923.2375616729</v>
      </c>
      <c r="D67" s="2">
        <v>0.10627625809920282</v>
      </c>
      <c r="E67" s="5">
        <v>2639342.8973042001</v>
      </c>
      <c r="F67" s="5">
        <v>8935877.4963858891</v>
      </c>
      <c r="G67" s="5">
        <v>4094003.2578380099</v>
      </c>
      <c r="H67" s="5">
        <v>2476160.1933919098</v>
      </c>
      <c r="I67" s="5">
        <v>9549139.9185268097</v>
      </c>
      <c r="J67" s="5">
        <v>6331754.1362632401</v>
      </c>
      <c r="K67" s="5">
        <v>6580416.4831097499</v>
      </c>
      <c r="L67" s="5">
        <v>4101972.7504955502</v>
      </c>
      <c r="M67" s="5">
        <v>2982877.4684772301</v>
      </c>
      <c r="N67" s="5">
        <v>7629633.49334192</v>
      </c>
      <c r="O67" s="5">
        <v>1453848.40124751</v>
      </c>
      <c r="P67" s="5">
        <v>4240905.9799752496</v>
      </c>
      <c r="Q67" s="5">
        <v>2974657.4594395799</v>
      </c>
      <c r="R67" s="5">
        <v>7916139.0019081002</v>
      </c>
      <c r="S67" s="5">
        <v>5063719.24944288</v>
      </c>
      <c r="T67" s="5">
        <v>2754468.2559858798</v>
      </c>
      <c r="U67" s="5">
        <v>2323913.0112563502</v>
      </c>
      <c r="V67" s="5">
        <v>5831389.6016460396</v>
      </c>
      <c r="W67" s="5">
        <v>3684809.5092800399</v>
      </c>
      <c r="X67" s="5">
        <v>5025321.1307774</v>
      </c>
      <c r="Y67" s="5">
        <v>6364904.3542130198</v>
      </c>
      <c r="Z67" s="5">
        <v>6617265.7239243304</v>
      </c>
      <c r="AA67" s="5">
        <v>9969911.5322009996</v>
      </c>
      <c r="AB67" s="5">
        <v>6785078.9410044895</v>
      </c>
      <c r="AC67" s="5">
        <v>3607081.8193839001</v>
      </c>
      <c r="AD67" s="5">
        <v>4688061.8036071602</v>
      </c>
      <c r="AE67" s="5">
        <v>4291387.2651594197</v>
      </c>
      <c r="AF67" s="5">
        <v>4253162.0620962102</v>
      </c>
      <c r="AG67">
        <f t="shared" si="5"/>
        <v>4209923.2375616729</v>
      </c>
      <c r="AH67">
        <f t="shared" si="6"/>
        <v>447414.88857293595</v>
      </c>
      <c r="AI67">
        <f t="shared" si="7"/>
        <v>0.10627625809920282</v>
      </c>
    </row>
    <row r="68" spans="1:35" x14ac:dyDescent="0.45">
      <c r="A68" s="5" t="s">
        <v>283</v>
      </c>
      <c r="B68" s="2">
        <f t="shared" si="4"/>
        <v>209633272.85035205</v>
      </c>
      <c r="C68" s="2">
        <v>205922108.71647874</v>
      </c>
      <c r="D68" s="2">
        <v>5.6172285642439986E-2</v>
      </c>
      <c r="E68" s="5">
        <v>65873108.680822603</v>
      </c>
      <c r="F68" s="5">
        <v>92661051.024431005</v>
      </c>
      <c r="G68" s="5">
        <v>150561324.69797799</v>
      </c>
      <c r="H68" s="5">
        <v>185146300.305426</v>
      </c>
      <c r="I68" s="5">
        <v>456486830.96472102</v>
      </c>
      <c r="J68" s="5">
        <v>378950831.20073998</v>
      </c>
      <c r="K68" s="5">
        <v>111070847.26508801</v>
      </c>
      <c r="L68" s="5">
        <v>185616910.87413901</v>
      </c>
      <c r="M68" s="5">
        <v>244856402.93563399</v>
      </c>
      <c r="N68" s="5">
        <v>70226499.602753401</v>
      </c>
      <c r="O68" s="5">
        <v>188052024.18139401</v>
      </c>
      <c r="P68" s="5">
        <v>91092673.272835404</v>
      </c>
      <c r="Q68" s="5">
        <v>523123917.00344801</v>
      </c>
      <c r="R68" s="5">
        <v>102447560.648072</v>
      </c>
      <c r="S68" s="5">
        <v>223711271.760075</v>
      </c>
      <c r="T68" s="5">
        <v>276753628.27002603</v>
      </c>
      <c r="U68" s="5">
        <v>166585487.32469499</v>
      </c>
      <c r="V68" s="5">
        <v>142928251.837859</v>
      </c>
      <c r="W68" s="5">
        <v>106155371.87943</v>
      </c>
      <c r="X68" s="5">
        <v>234340360.53400701</v>
      </c>
      <c r="Y68" s="5">
        <v>216461846.97337899</v>
      </c>
      <c r="Z68" s="5">
        <v>230708725.47137299</v>
      </c>
      <c r="AA68" s="5">
        <v>464771680.52628899</v>
      </c>
      <c r="AB68" s="5">
        <v>122615641.173833</v>
      </c>
      <c r="AC68" s="5">
        <v>189679879.657076</v>
      </c>
      <c r="AD68" s="5">
        <v>205779642.082196</v>
      </c>
      <c r="AE68" s="5">
        <v>212823128.626416</v>
      </c>
      <c r="AF68" s="5">
        <v>215405784.500227</v>
      </c>
      <c r="AG68">
        <f t="shared" si="5"/>
        <v>205922108.71647874</v>
      </c>
      <c r="AH68">
        <f t="shared" si="6"/>
        <v>11567115.510915624</v>
      </c>
      <c r="AI68">
        <f t="shared" si="7"/>
        <v>5.6172285642439986E-2</v>
      </c>
    </row>
    <row r="69" spans="1:35" x14ac:dyDescent="0.45">
      <c r="A69" s="5" t="s">
        <v>90</v>
      </c>
      <c r="B69" s="2">
        <f t="shared" si="4"/>
        <v>78067095.051195636</v>
      </c>
      <c r="C69" s="2">
        <v>71150938.814349711</v>
      </c>
      <c r="D69" s="2">
        <v>6.8033300163835617E-2</v>
      </c>
      <c r="E69" s="5">
        <v>69495529.239730701</v>
      </c>
      <c r="F69" s="5">
        <v>79252472.114671603</v>
      </c>
      <c r="G69" s="5">
        <v>81178272.509319097</v>
      </c>
      <c r="H69" s="5">
        <v>110280249.998133</v>
      </c>
      <c r="I69" s="5">
        <v>53313603.047368698</v>
      </c>
      <c r="J69" s="5">
        <v>58222857.353337899</v>
      </c>
      <c r="K69" s="5">
        <v>103095070.048987</v>
      </c>
      <c r="L69" s="5">
        <v>76347046.379192397</v>
      </c>
      <c r="M69" s="5">
        <v>58143822.485641703</v>
      </c>
      <c r="N69" s="5">
        <v>94360280.272682801</v>
      </c>
      <c r="O69" s="5">
        <v>127270302.801615</v>
      </c>
      <c r="P69" s="5">
        <v>33299366.970409401</v>
      </c>
      <c r="Q69" s="5">
        <v>61200582.483765498</v>
      </c>
      <c r="R69" s="5">
        <v>82939639.313052297</v>
      </c>
      <c r="S69" s="5">
        <v>106956272.71202099</v>
      </c>
      <c r="T69" s="5">
        <v>134348602.03304699</v>
      </c>
      <c r="U69" s="5">
        <v>60508583.545051299</v>
      </c>
      <c r="V69" s="5">
        <v>69266531.644511297</v>
      </c>
      <c r="W69" s="5">
        <v>95859143.296377599</v>
      </c>
      <c r="X69" s="5">
        <v>88332249.853648201</v>
      </c>
      <c r="Y69" s="5">
        <v>58188250.1478002</v>
      </c>
      <c r="Z69" s="5">
        <v>75360593.485149696</v>
      </c>
      <c r="AA69" s="5">
        <v>67387396.867631897</v>
      </c>
      <c r="AB69" s="5">
        <v>29003562.625550099</v>
      </c>
      <c r="AC69" s="5">
        <v>64668622.504786603</v>
      </c>
      <c r="AD69" s="5">
        <v>70990899.967720807</v>
      </c>
      <c r="AE69" s="5">
        <v>72713038.439192295</v>
      </c>
      <c r="AF69" s="5">
        <v>76231194.345699102</v>
      </c>
      <c r="AG69">
        <f t="shared" si="5"/>
        <v>71150938.814349711</v>
      </c>
      <c r="AH69">
        <f t="shared" si="6"/>
        <v>4840633.1772953561</v>
      </c>
      <c r="AI69">
        <f t="shared" si="7"/>
        <v>6.8033300163835617E-2</v>
      </c>
    </row>
    <row r="70" spans="1:35" x14ac:dyDescent="0.45">
      <c r="A70" s="5" t="s">
        <v>284</v>
      </c>
      <c r="B70" s="2">
        <f t="shared" si="4"/>
        <v>40888715.029593118</v>
      </c>
      <c r="C70" s="2">
        <v>34077565.560642324</v>
      </c>
      <c r="D70" s="2">
        <v>4.4024074715731928E-2</v>
      </c>
      <c r="E70" s="5">
        <v>49406514.586765803</v>
      </c>
      <c r="F70" s="5">
        <v>42779528.871453702</v>
      </c>
      <c r="G70" s="5">
        <v>40062805.343073703</v>
      </c>
      <c r="H70" s="5">
        <v>33529981.5276764</v>
      </c>
      <c r="I70" s="5">
        <v>35301413.389200903</v>
      </c>
      <c r="J70" s="5">
        <v>31155354.6892973</v>
      </c>
      <c r="K70" s="5">
        <v>53569089.666339003</v>
      </c>
      <c r="L70" s="5">
        <v>40141883.398695298</v>
      </c>
      <c r="M70" s="5">
        <v>37110199.265976198</v>
      </c>
      <c r="N70" s="5">
        <v>46526679.7270317</v>
      </c>
      <c r="O70" s="5">
        <v>37645443.707201898</v>
      </c>
      <c r="P70" s="5">
        <v>41707415.294713803</v>
      </c>
      <c r="Q70" s="5">
        <v>29312281.439200301</v>
      </c>
      <c r="R70" s="5">
        <v>41562962.770161599</v>
      </c>
      <c r="S70" s="5">
        <v>44814007.557147197</v>
      </c>
      <c r="T70" s="5">
        <v>40631909.505008303</v>
      </c>
      <c r="U70" s="5">
        <v>40975272.113760702</v>
      </c>
      <c r="V70" s="5">
        <v>44592418.797225296</v>
      </c>
      <c r="W70" s="5">
        <v>41370909.382069297</v>
      </c>
      <c r="X70" s="5">
        <v>37124680.147368401</v>
      </c>
      <c r="Y70" s="5">
        <v>40179997.5786478</v>
      </c>
      <c r="Z70" s="5">
        <v>42921709.136792898</v>
      </c>
      <c r="AA70" s="5">
        <v>40587836.774343401</v>
      </c>
      <c r="AB70" s="5">
        <v>48318866.041083798</v>
      </c>
      <c r="AC70" s="5">
        <v>32402427.755665701</v>
      </c>
      <c r="AD70" s="5">
        <v>33775675.002831303</v>
      </c>
      <c r="AE70" s="5">
        <v>36040901.4299445</v>
      </c>
      <c r="AF70" s="5">
        <v>34091258.054127797</v>
      </c>
      <c r="AG70">
        <f t="shared" si="5"/>
        <v>34077565.560642324</v>
      </c>
      <c r="AH70">
        <f t="shared" si="6"/>
        <v>1500233.2923719708</v>
      </c>
      <c r="AI70">
        <f t="shared" si="7"/>
        <v>4.4024074715731928E-2</v>
      </c>
    </row>
    <row r="71" spans="1:35" x14ac:dyDescent="0.45">
      <c r="A71" s="5" t="s">
        <v>285</v>
      </c>
      <c r="B71" s="2">
        <f t="shared" si="4"/>
        <v>66396248.708351843</v>
      </c>
      <c r="C71" s="2">
        <v>54648979.099591225</v>
      </c>
      <c r="D71" s="2">
        <v>0.14900023869540624</v>
      </c>
      <c r="E71" s="5">
        <v>61679075.9393254</v>
      </c>
      <c r="F71" s="5">
        <v>78221414.574880794</v>
      </c>
      <c r="G71" s="5">
        <v>56650873.413725697</v>
      </c>
      <c r="H71" s="5">
        <v>53965386.559924804</v>
      </c>
      <c r="I71" s="5">
        <v>75828856.760695294</v>
      </c>
      <c r="J71" s="5">
        <v>81644022.790533096</v>
      </c>
      <c r="K71" s="5">
        <v>52412586.0347398</v>
      </c>
      <c r="L71" s="5">
        <v>65471494.139601797</v>
      </c>
      <c r="M71" s="5">
        <v>61952044.875257</v>
      </c>
      <c r="N71" s="5">
        <v>44220292.475484803</v>
      </c>
      <c r="O71" s="5">
        <v>35324746.973815799</v>
      </c>
      <c r="P71" s="5">
        <v>28883093.786025699</v>
      </c>
      <c r="Q71" s="5">
        <v>49254023.507075101</v>
      </c>
      <c r="R71" s="5">
        <v>94562887.146360293</v>
      </c>
      <c r="S71" s="5">
        <v>64524340.790741801</v>
      </c>
      <c r="T71" s="5">
        <v>237320762.41631699</v>
      </c>
      <c r="U71" s="5">
        <v>58990374.960465796</v>
      </c>
      <c r="V71" s="5">
        <v>49218674.043984003</v>
      </c>
      <c r="W71" s="5">
        <v>41102615.3585651</v>
      </c>
      <c r="X71" s="5">
        <v>58518609.139015697</v>
      </c>
      <c r="Y71" s="5">
        <v>9789517.9799929094</v>
      </c>
      <c r="Z71" s="5">
        <v>90363024.669651493</v>
      </c>
      <c r="AA71" s="5">
        <v>79559360.221627906</v>
      </c>
      <c r="AB71" s="5">
        <v>64051890.442637198</v>
      </c>
      <c r="AC71" s="5">
        <v>47300748.2023037</v>
      </c>
      <c r="AD71" s="5">
        <v>47907436.322479203</v>
      </c>
      <c r="AE71" s="5">
        <v>61373345.6957241</v>
      </c>
      <c r="AF71" s="5">
        <v>62014386.177857898</v>
      </c>
      <c r="AG71">
        <f t="shared" si="5"/>
        <v>54648979.099591225</v>
      </c>
      <c r="AH71">
        <f t="shared" si="6"/>
        <v>8142710.9302993594</v>
      </c>
      <c r="AI71">
        <f t="shared" si="7"/>
        <v>0.14900023869540624</v>
      </c>
    </row>
    <row r="72" spans="1:35" x14ac:dyDescent="0.45">
      <c r="A72" s="5" t="s">
        <v>286</v>
      </c>
      <c r="B72" s="2">
        <f t="shared" si="4"/>
        <v>13308497.85687382</v>
      </c>
      <c r="C72" s="2">
        <v>9829001.5740250051</v>
      </c>
      <c r="D72" s="2">
        <v>7.2004255659828681E-2</v>
      </c>
      <c r="E72" s="5">
        <v>6664747.1779255299</v>
      </c>
      <c r="F72" s="5">
        <v>6489188.8125453098</v>
      </c>
      <c r="G72" s="5">
        <v>9030870.8546040691</v>
      </c>
      <c r="H72" s="5">
        <v>6559799.3139284104</v>
      </c>
      <c r="I72" s="5">
        <v>10916638.1644729</v>
      </c>
      <c r="J72" s="5">
        <v>9667570.3730565291</v>
      </c>
      <c r="K72" s="5">
        <v>10544172.8531825</v>
      </c>
      <c r="L72" s="5">
        <v>9405784.06164217</v>
      </c>
      <c r="M72" s="5">
        <v>10710342.2446611</v>
      </c>
      <c r="N72" s="5">
        <v>9454431.92516643</v>
      </c>
      <c r="O72" s="5">
        <v>49516898.929958798</v>
      </c>
      <c r="P72" s="5">
        <v>9898467.98092857</v>
      </c>
      <c r="Q72" s="5">
        <v>13772448.4572051</v>
      </c>
      <c r="R72" s="5">
        <v>11720255.1037577</v>
      </c>
      <c r="S72" s="5">
        <v>12521700.035861799</v>
      </c>
      <c r="T72" s="5">
        <v>49187465.171255603</v>
      </c>
      <c r="U72" s="5">
        <v>8884683.0259148497</v>
      </c>
      <c r="V72" s="5">
        <v>10316372.5880893</v>
      </c>
      <c r="W72" s="5">
        <v>17312263.303389899</v>
      </c>
      <c r="X72" s="5">
        <v>7815873.7877091803</v>
      </c>
      <c r="Y72" s="5">
        <v>8266497.1851507099</v>
      </c>
      <c r="Z72" s="5">
        <v>9106717.3034877107</v>
      </c>
      <c r="AA72" s="5">
        <v>14696085.389579499</v>
      </c>
      <c r="AB72" s="5">
        <v>6944674.5214981101</v>
      </c>
      <c r="AC72" s="5">
        <v>8841174.2530698702</v>
      </c>
      <c r="AD72" s="5">
        <v>9796136.9246741496</v>
      </c>
      <c r="AE72" s="5">
        <v>10388622.618819401</v>
      </c>
      <c r="AF72" s="5">
        <v>10290072.4995366</v>
      </c>
      <c r="AG72">
        <f t="shared" si="5"/>
        <v>9829001.5740250051</v>
      </c>
      <c r="AH72">
        <f t="shared" si="6"/>
        <v>707729.94221695501</v>
      </c>
      <c r="AI72">
        <f t="shared" si="7"/>
        <v>7.2004255659828681E-2</v>
      </c>
    </row>
    <row r="73" spans="1:35" x14ac:dyDescent="0.45">
      <c r="A73" s="5" t="s">
        <v>91</v>
      </c>
      <c r="B73" s="2">
        <f t="shared" si="4"/>
        <v>29284728.038153555</v>
      </c>
      <c r="C73" s="2">
        <v>25540754.300285649</v>
      </c>
      <c r="D73" s="2">
        <v>4.4859556544890586E-2</v>
      </c>
      <c r="E73" s="5">
        <v>23165174.506542299</v>
      </c>
      <c r="F73" s="5">
        <v>16473672.177216301</v>
      </c>
      <c r="G73" s="5">
        <v>29572686.8372606</v>
      </c>
      <c r="H73" s="5">
        <v>16030868.947857801</v>
      </c>
      <c r="I73" s="5">
        <v>26398803.1667905</v>
      </c>
      <c r="J73" s="5">
        <v>19071580.6614304</v>
      </c>
      <c r="K73" s="5">
        <v>31630378.839966498</v>
      </c>
      <c r="L73" s="5">
        <v>34138687.714966901</v>
      </c>
      <c r="M73" s="5">
        <v>25216183.832159299</v>
      </c>
      <c r="N73" s="5">
        <v>19917795.1574688</v>
      </c>
      <c r="O73" s="5">
        <v>39165903.192864299</v>
      </c>
      <c r="P73" s="5">
        <v>32699128.874744002</v>
      </c>
      <c r="Q73" s="5">
        <v>43645481.575033396</v>
      </c>
      <c r="R73" s="5">
        <v>24360528.757107701</v>
      </c>
      <c r="S73" s="5">
        <v>46402953.734584197</v>
      </c>
      <c r="T73" s="5">
        <v>46236041.467570297</v>
      </c>
      <c r="U73" s="5">
        <v>24006588.6076313</v>
      </c>
      <c r="V73" s="5">
        <v>15159893.948409799</v>
      </c>
      <c r="W73" s="5">
        <v>26249573.030589599</v>
      </c>
      <c r="X73" s="5">
        <v>23500047.010574199</v>
      </c>
      <c r="Y73" s="5">
        <v>47490600.317376502</v>
      </c>
      <c r="Z73" s="5">
        <v>23629458.892340802</v>
      </c>
      <c r="AA73" s="5">
        <v>35119671.181810401</v>
      </c>
      <c r="AB73" s="5">
        <v>33551770.4833894</v>
      </c>
      <c r="AC73" s="5">
        <v>24460790.9980071</v>
      </c>
      <c r="AD73" s="5">
        <v>24741861.418345399</v>
      </c>
      <c r="AE73" s="5">
        <v>26909488.288967699</v>
      </c>
      <c r="AF73" s="5">
        <v>26050876.4958224</v>
      </c>
      <c r="AG73">
        <f t="shared" si="5"/>
        <v>25540754.300285649</v>
      </c>
      <c r="AH73">
        <f t="shared" si="6"/>
        <v>1145746.9117328215</v>
      </c>
      <c r="AI73">
        <f t="shared" si="7"/>
        <v>4.4859556544890586E-2</v>
      </c>
    </row>
    <row r="74" spans="1:35" x14ac:dyDescent="0.45">
      <c r="A74" s="5" t="s">
        <v>92</v>
      </c>
      <c r="B74" s="2">
        <f t="shared" si="4"/>
        <v>11259089.664753335</v>
      </c>
      <c r="C74" s="2">
        <v>8622900.8839472067</v>
      </c>
      <c r="D74" s="2">
        <v>3.3432394401917191E-2</v>
      </c>
      <c r="E74" s="5">
        <v>13404007.365887601</v>
      </c>
      <c r="F74" s="5">
        <v>6838053.49434336</v>
      </c>
      <c r="G74" s="5">
        <v>9064524.1276726406</v>
      </c>
      <c r="H74" s="5">
        <v>8243209.4319896996</v>
      </c>
      <c r="I74" s="5">
        <v>10934980.1696166</v>
      </c>
      <c r="J74" s="5">
        <v>13960908.271201599</v>
      </c>
      <c r="K74" s="5">
        <v>14934008.7974621</v>
      </c>
      <c r="L74" s="5">
        <v>9004616.0734063908</v>
      </c>
      <c r="M74" s="5">
        <v>13924055.807189601</v>
      </c>
      <c r="N74" s="5">
        <v>15703994.6320443</v>
      </c>
      <c r="O74" s="5">
        <v>13595096.944940001</v>
      </c>
      <c r="P74" s="5">
        <v>15415021.7690323</v>
      </c>
      <c r="Q74" s="5">
        <v>18246012.832499102</v>
      </c>
      <c r="R74" s="5">
        <v>6000154.2889964599</v>
      </c>
      <c r="S74" s="5">
        <v>15114756.5639273</v>
      </c>
      <c r="T74" s="5">
        <v>9540326.4783353601</v>
      </c>
      <c r="U74" s="5">
        <v>7834973.4377237596</v>
      </c>
      <c r="V74" s="5">
        <v>8707586.4524016399</v>
      </c>
      <c r="W74" s="5">
        <v>5563588.3834571401</v>
      </c>
      <c r="X74" s="5">
        <v>7054705.0687803999</v>
      </c>
      <c r="Y74" s="5">
        <v>10316203.094061101</v>
      </c>
      <c r="Z74" s="5">
        <v>11585540.739420099</v>
      </c>
      <c r="AA74" s="5">
        <v>14798142.4065414</v>
      </c>
      <c r="AB74" s="5">
        <v>10433685.3231501</v>
      </c>
      <c r="AC74" s="5">
        <v>8928431.7320197895</v>
      </c>
      <c r="AD74" s="5">
        <v>8693252.4274715707</v>
      </c>
      <c r="AE74" s="5">
        <v>8234483.8103578398</v>
      </c>
      <c r="AF74" s="5">
        <v>8635435.5659396295</v>
      </c>
      <c r="AG74">
        <f t="shared" si="5"/>
        <v>8622900.8839472067</v>
      </c>
      <c r="AH74">
        <f t="shared" si="6"/>
        <v>288284.22324076341</v>
      </c>
      <c r="AI74">
        <f t="shared" si="7"/>
        <v>3.3432394401917191E-2</v>
      </c>
    </row>
    <row r="75" spans="1:35" x14ac:dyDescent="0.45">
      <c r="A75" s="5" t="s">
        <v>93</v>
      </c>
      <c r="B75" s="2">
        <f t="shared" si="4"/>
        <v>1920047063.6358755</v>
      </c>
      <c r="C75" s="2">
        <v>1575344537.3985975</v>
      </c>
      <c r="D75" s="2">
        <v>6.7344784159000054E-2</v>
      </c>
      <c r="E75" s="5">
        <v>2273931278.50209</v>
      </c>
      <c r="F75" s="5">
        <v>2025136959.66959</v>
      </c>
      <c r="G75" s="5">
        <v>1914934946.1135099</v>
      </c>
      <c r="H75" s="5">
        <v>3715748583.69032</v>
      </c>
      <c r="I75" s="5">
        <v>84421949.960254505</v>
      </c>
      <c r="J75" s="5">
        <v>1804667411.9268701</v>
      </c>
      <c r="K75" s="5">
        <v>2592721817.5991302</v>
      </c>
      <c r="L75" s="5">
        <v>2193662455.96064</v>
      </c>
      <c r="M75" s="5">
        <v>1457263963.5294499</v>
      </c>
      <c r="N75" s="5">
        <v>1667999003.26104</v>
      </c>
      <c r="O75" s="5">
        <v>2230992174.09582</v>
      </c>
      <c r="P75" s="5">
        <v>1845767866.59904</v>
      </c>
      <c r="Q75" s="5">
        <v>157840917.75259799</v>
      </c>
      <c r="R75" s="5">
        <v>3575334676.7747998</v>
      </c>
      <c r="S75" s="5">
        <v>2343811340.3487802</v>
      </c>
      <c r="T75" s="5">
        <v>2236364610.6201401</v>
      </c>
      <c r="U75" s="5">
        <v>1911215841.6710801</v>
      </c>
      <c r="V75" s="5">
        <v>1909826481.9391699</v>
      </c>
      <c r="W75" s="5">
        <v>2008509313.4395499</v>
      </c>
      <c r="X75" s="5">
        <v>1994272855.1352501</v>
      </c>
      <c r="Y75" s="5">
        <v>110366504.110441</v>
      </c>
      <c r="Z75" s="5">
        <v>2527539735.5062399</v>
      </c>
      <c r="AA75" s="5">
        <v>1680896669.7049201</v>
      </c>
      <c r="AB75" s="5">
        <v>1817902169.35028</v>
      </c>
      <c r="AC75" s="5">
        <v>1684058353.2185199</v>
      </c>
      <c r="AD75" s="5">
        <v>1630204816.9512999</v>
      </c>
      <c r="AE75" s="5">
        <v>1546280662.42893</v>
      </c>
      <c r="AF75" s="5">
        <v>1440834316.99564</v>
      </c>
      <c r="AG75">
        <f t="shared" si="5"/>
        <v>1575344537.3985975</v>
      </c>
      <c r="AH75">
        <f t="shared" si="6"/>
        <v>106091237.84716833</v>
      </c>
      <c r="AI75">
        <f t="shared" si="7"/>
        <v>6.7344784159000054E-2</v>
      </c>
    </row>
    <row r="76" spans="1:35" x14ac:dyDescent="0.45">
      <c r="A76" s="5" t="s">
        <v>94</v>
      </c>
      <c r="B76" s="2">
        <f t="shared" si="4"/>
        <v>395721435.31940347</v>
      </c>
      <c r="C76" s="2">
        <v>373350631.77563655</v>
      </c>
      <c r="D76" s="2">
        <v>7.2564024458482521E-2</v>
      </c>
      <c r="E76" s="5">
        <v>410398762.21323699</v>
      </c>
      <c r="F76" s="5">
        <v>514050939.60863298</v>
      </c>
      <c r="G76" s="5">
        <v>423494664.86486298</v>
      </c>
      <c r="H76" s="5">
        <v>437812013.75084698</v>
      </c>
      <c r="I76" s="5">
        <v>408370108.205127</v>
      </c>
      <c r="J76" s="5">
        <v>334497742.85113001</v>
      </c>
      <c r="K76" s="5">
        <v>360501265.85706502</v>
      </c>
      <c r="L76" s="5">
        <v>360979840.25514901</v>
      </c>
      <c r="M76" s="5">
        <v>449617378.369582</v>
      </c>
      <c r="N76" s="5">
        <v>208345890.38973901</v>
      </c>
      <c r="O76" s="5">
        <v>175742120.00805601</v>
      </c>
      <c r="P76" s="5">
        <v>326622032.40712398</v>
      </c>
      <c r="Q76" s="5">
        <v>465802336.89180201</v>
      </c>
      <c r="R76" s="5">
        <v>350516543.56759399</v>
      </c>
      <c r="S76" s="5">
        <v>428900624.76450902</v>
      </c>
      <c r="T76" s="5">
        <v>438483687.32617998</v>
      </c>
      <c r="U76" s="5">
        <v>584376098.20916998</v>
      </c>
      <c r="V76" s="5">
        <v>321622526.848903</v>
      </c>
      <c r="W76" s="5">
        <v>463189796.32146698</v>
      </c>
      <c r="X76" s="5">
        <v>489397049.84502703</v>
      </c>
      <c r="Y76" s="5">
        <v>238664923.28744501</v>
      </c>
      <c r="Z76" s="5">
        <v>559203710.65669096</v>
      </c>
      <c r="AA76" s="5">
        <v>352043634.46128303</v>
      </c>
      <c r="AB76" s="5">
        <v>394680756.70506001</v>
      </c>
      <c r="AC76" s="5">
        <v>401005971.24370599</v>
      </c>
      <c r="AD76" s="5">
        <v>336066430.09085602</v>
      </c>
      <c r="AE76" s="5">
        <v>378719072.748914</v>
      </c>
      <c r="AF76" s="5">
        <v>377611053.01907003</v>
      </c>
      <c r="AG76">
        <f t="shared" si="5"/>
        <v>373350631.77563655</v>
      </c>
      <c r="AH76">
        <f t="shared" si="6"/>
        <v>27091824.375757191</v>
      </c>
      <c r="AI76">
        <f t="shared" si="7"/>
        <v>7.2564024458482521E-2</v>
      </c>
    </row>
    <row r="77" spans="1:35" x14ac:dyDescent="0.45">
      <c r="A77" s="5" t="s">
        <v>95</v>
      </c>
      <c r="B77" s="2">
        <f t="shared" si="4"/>
        <v>6075345.2394793881</v>
      </c>
      <c r="C77" s="2">
        <v>5079185.6244257474</v>
      </c>
      <c r="D77" s="2">
        <v>0.22511490409353233</v>
      </c>
      <c r="E77" s="5">
        <v>5467049.4890706297</v>
      </c>
      <c r="F77" s="5">
        <v>1571808.6051038499</v>
      </c>
      <c r="G77" s="5">
        <v>804679.65487007203</v>
      </c>
      <c r="H77" s="5">
        <v>26460813.235941201</v>
      </c>
      <c r="I77" s="5">
        <v>9104409.9562917091</v>
      </c>
      <c r="J77" s="5">
        <v>804426.55209731997</v>
      </c>
      <c r="K77" s="5">
        <v>1127367.11003504</v>
      </c>
      <c r="L77" s="5">
        <v>1702567.48587734</v>
      </c>
      <c r="M77" s="5">
        <v>10605049.761060899</v>
      </c>
      <c r="N77" s="5">
        <v>1304488.9658655699</v>
      </c>
      <c r="O77" s="5">
        <v>17844612.239472099</v>
      </c>
      <c r="P77" s="5">
        <v>883546.60323906096</v>
      </c>
      <c r="Q77" s="5">
        <v>1932170.5091091399</v>
      </c>
      <c r="R77" s="5">
        <v>1442193.3569578901</v>
      </c>
      <c r="S77" s="5">
        <v>997701.51677913405</v>
      </c>
      <c r="T77" s="5">
        <v>17721247.750460301</v>
      </c>
      <c r="U77" s="5">
        <v>10867372.005759999</v>
      </c>
      <c r="V77" s="5">
        <v>19669925.2092732</v>
      </c>
      <c r="W77" s="5">
        <v>962179.39539476403</v>
      </c>
      <c r="X77" s="5">
        <v>4375519.3267330099</v>
      </c>
      <c r="Y77" s="5">
        <v>4252942.1518147998</v>
      </c>
      <c r="Z77" s="5">
        <v>1433494.24708444</v>
      </c>
      <c r="AA77" s="5">
        <v>986934.48055074096</v>
      </c>
      <c r="AB77" s="5">
        <v>3485786.1386631099</v>
      </c>
      <c r="AC77" s="5">
        <v>6545452.0384774702</v>
      </c>
      <c r="AD77" s="5">
        <v>4216713.1533937398</v>
      </c>
      <c r="AE77" s="5">
        <v>4126898.8481728998</v>
      </c>
      <c r="AF77" s="5">
        <v>5427678.4576588804</v>
      </c>
      <c r="AG77">
        <f t="shared" si="5"/>
        <v>5079185.6244257474</v>
      </c>
      <c r="AH77">
        <f t="shared" si="6"/>
        <v>1143400.3847158502</v>
      </c>
      <c r="AI77">
        <f t="shared" si="7"/>
        <v>0.22511490409353233</v>
      </c>
    </row>
    <row r="78" spans="1:35" x14ac:dyDescent="0.45">
      <c r="A78" s="5" t="s">
        <v>96</v>
      </c>
      <c r="B78" s="2">
        <f t="shared" si="4"/>
        <v>77330495.988247827</v>
      </c>
      <c r="C78" s="2">
        <v>86103692.865193605</v>
      </c>
      <c r="D78" s="2">
        <v>6.101372174069716E-3</v>
      </c>
      <c r="E78" s="5">
        <v>85956025.006910294</v>
      </c>
      <c r="F78" s="5">
        <v>66445528.997263402</v>
      </c>
      <c r="G78" s="5">
        <v>89664996.1215211</v>
      </c>
      <c r="H78" s="5">
        <v>40395195.160674997</v>
      </c>
      <c r="I78" s="5">
        <v>56101497.006515399</v>
      </c>
      <c r="J78" s="5">
        <v>68324484.444983795</v>
      </c>
      <c r="K78" s="5">
        <v>131675808.93243</v>
      </c>
      <c r="L78" s="5">
        <v>66788189.846555598</v>
      </c>
      <c r="M78" s="5">
        <v>99971170.237525806</v>
      </c>
      <c r="N78" s="5">
        <v>103675013.10730401</v>
      </c>
      <c r="O78" s="5">
        <v>28474637.253944799</v>
      </c>
      <c r="P78" s="5">
        <v>86583863.832217798</v>
      </c>
      <c r="Q78" s="5">
        <v>48630157.668907501</v>
      </c>
      <c r="R78" s="5">
        <v>45970288.5769023</v>
      </c>
      <c r="S78" s="5">
        <v>97410169.977829501</v>
      </c>
      <c r="T78" s="5">
        <v>30560433.714767601</v>
      </c>
      <c r="U78" s="5">
        <v>130203688.502032</v>
      </c>
      <c r="V78" s="5">
        <v>71880522.885965094</v>
      </c>
      <c r="W78" s="5">
        <v>113795013.492053</v>
      </c>
      <c r="X78" s="5">
        <v>95490500.067392603</v>
      </c>
      <c r="Y78" s="5">
        <v>50520909.196122199</v>
      </c>
      <c r="Z78" s="5">
        <v>114108766.424558</v>
      </c>
      <c r="AA78" s="5">
        <v>84853531.555748403</v>
      </c>
      <c r="AB78" s="5">
        <v>48451511.707822599</v>
      </c>
      <c r="AC78" s="5">
        <v>86096479.709773704</v>
      </c>
      <c r="AD78" s="5">
        <v>86718214.910623193</v>
      </c>
      <c r="AE78" s="5">
        <v>85435430.014083803</v>
      </c>
      <c r="AF78" s="5">
        <v>86164646.826293707</v>
      </c>
      <c r="AG78">
        <f t="shared" si="5"/>
        <v>86103692.865193605</v>
      </c>
      <c r="AH78">
        <f t="shared" si="6"/>
        <v>525350.6757323374</v>
      </c>
      <c r="AI78">
        <f t="shared" si="7"/>
        <v>6.101372174069716E-3</v>
      </c>
    </row>
    <row r="79" spans="1:35" x14ac:dyDescent="0.45">
      <c r="A79" s="5" t="s">
        <v>97</v>
      </c>
      <c r="B79" s="2">
        <f t="shared" si="4"/>
        <v>21497513.354623388</v>
      </c>
      <c r="C79" s="2">
        <v>22622183.325544272</v>
      </c>
      <c r="D79" s="2">
        <v>4.3445833996990278E-2</v>
      </c>
      <c r="E79" s="5">
        <v>18733822.987638399</v>
      </c>
      <c r="F79" s="5">
        <v>25451122.446651101</v>
      </c>
      <c r="G79" s="5">
        <v>13907922.080275999</v>
      </c>
      <c r="H79" s="5">
        <v>17493952.106068</v>
      </c>
      <c r="I79" s="5">
        <v>20958016.255827598</v>
      </c>
      <c r="J79" s="5">
        <v>23761922.286656901</v>
      </c>
      <c r="K79" s="5">
        <v>26879374.954815499</v>
      </c>
      <c r="L79" s="5">
        <v>24009891.277690001</v>
      </c>
      <c r="M79" s="5">
        <v>20981115.307020199</v>
      </c>
      <c r="N79" s="5">
        <v>22224733.545668699</v>
      </c>
      <c r="O79" s="5">
        <v>10929374.747773901</v>
      </c>
      <c r="P79" s="5">
        <v>20098286.945348799</v>
      </c>
      <c r="Q79" s="5">
        <v>20738472.5638282</v>
      </c>
      <c r="R79" s="5">
        <v>24386270.9069543</v>
      </c>
      <c r="S79" s="5">
        <v>26591002.270122901</v>
      </c>
      <c r="T79" s="5">
        <v>20645468.6127734</v>
      </c>
      <c r="U79" s="5">
        <v>27199211.8325071</v>
      </c>
      <c r="V79" s="5">
        <v>19873351.179277498</v>
      </c>
      <c r="W79" s="5">
        <v>22826072.5904117</v>
      </c>
      <c r="X79" s="5">
        <v>20735597.111370999</v>
      </c>
      <c r="Y79" s="5">
        <v>14953093.274622099</v>
      </c>
      <c r="Z79" s="5">
        <v>25758911.420464601</v>
      </c>
      <c r="AA79" s="5">
        <v>27000425.077237699</v>
      </c>
      <c r="AB79" s="5">
        <v>19802908.7299558</v>
      </c>
      <c r="AC79" s="5">
        <v>23501278.526201598</v>
      </c>
      <c r="AD79" s="5">
        <v>22777172.422114801</v>
      </c>
      <c r="AE79" s="5">
        <v>22990134.3987929</v>
      </c>
      <c r="AF79" s="5">
        <v>21220147.955067798</v>
      </c>
      <c r="AG79">
        <f t="shared" si="5"/>
        <v>22622183.325544272</v>
      </c>
      <c r="AH79">
        <f t="shared" si="6"/>
        <v>982839.62141107791</v>
      </c>
      <c r="AI79">
        <f t="shared" si="7"/>
        <v>4.3445833996990278E-2</v>
      </c>
    </row>
    <row r="80" spans="1:35" x14ac:dyDescent="0.45">
      <c r="A80" s="5" t="s">
        <v>287</v>
      </c>
      <c r="B80" s="2">
        <f t="shared" si="4"/>
        <v>155502047.3899599</v>
      </c>
      <c r="C80" s="2">
        <v>117896913.91370924</v>
      </c>
      <c r="D80" s="2">
        <v>5.5583962887476121E-2</v>
      </c>
      <c r="E80" s="5">
        <v>38527639.587489702</v>
      </c>
      <c r="F80" s="5">
        <v>139928866.03051201</v>
      </c>
      <c r="G80" s="5">
        <v>106651488.77928901</v>
      </c>
      <c r="H80" s="5">
        <v>540775033.98288798</v>
      </c>
      <c r="I80" s="5">
        <v>65125215.523683198</v>
      </c>
      <c r="J80" s="5">
        <v>51273962.237687699</v>
      </c>
      <c r="K80" s="5">
        <v>35596202.2659427</v>
      </c>
      <c r="L80" s="5">
        <v>162190816.05430299</v>
      </c>
      <c r="M80" s="5">
        <v>47287411.637023799</v>
      </c>
      <c r="N80" s="5">
        <v>199478145.23391399</v>
      </c>
      <c r="O80" s="5">
        <v>591335914.26497102</v>
      </c>
      <c r="P80" s="5">
        <v>56797393.525101699</v>
      </c>
      <c r="Q80" s="5">
        <v>173655618.60090101</v>
      </c>
      <c r="R80" s="5">
        <v>196243959.917559</v>
      </c>
      <c r="S80" s="5">
        <v>285662801.48966801</v>
      </c>
      <c r="T80" s="5">
        <v>282074327.754673</v>
      </c>
      <c r="U80" s="5">
        <v>72328519.084152594</v>
      </c>
      <c r="V80" s="5">
        <v>187569038.230685</v>
      </c>
      <c r="W80" s="5">
        <v>22079926.955356698</v>
      </c>
      <c r="X80" s="5">
        <v>104013842.607656</v>
      </c>
      <c r="Y80" s="5">
        <v>276904941.831801</v>
      </c>
      <c r="Z80" s="5">
        <v>34407945.571403399</v>
      </c>
      <c r="AA80" s="5">
        <v>26052902.3003993</v>
      </c>
      <c r="AB80" s="5">
        <v>36087223.891976699</v>
      </c>
      <c r="AC80" s="5">
        <v>111445382.301955</v>
      </c>
      <c r="AD80" s="5">
        <v>113098018.874134</v>
      </c>
      <c r="AE80" s="5">
        <v>122853281.309383</v>
      </c>
      <c r="AF80" s="5">
        <v>124190973.169365</v>
      </c>
      <c r="AG80">
        <f t="shared" si="5"/>
        <v>117896913.91370924</v>
      </c>
      <c r="AH80">
        <f t="shared" si="6"/>
        <v>6553177.6875275811</v>
      </c>
      <c r="AI80">
        <f t="shared" si="7"/>
        <v>5.5583962887476121E-2</v>
      </c>
    </row>
    <row r="81" spans="1:35" x14ac:dyDescent="0.45">
      <c r="A81" s="5" t="s">
        <v>98</v>
      </c>
      <c r="B81" s="2">
        <f t="shared" si="4"/>
        <v>1650129.1930387793</v>
      </c>
      <c r="C81" s="2">
        <v>1680011.3353833901</v>
      </c>
      <c r="D81" s="2">
        <v>4.7462708711301108E-2</v>
      </c>
      <c r="E81" s="5">
        <v>1523919.3963850201</v>
      </c>
      <c r="F81" s="5">
        <v>1515114.9177942199</v>
      </c>
      <c r="G81" s="5">
        <v>2537661.7159706699</v>
      </c>
      <c r="H81" s="5">
        <v>600407.43533572799</v>
      </c>
      <c r="I81" s="5">
        <v>2836803.8378053298</v>
      </c>
      <c r="J81" s="5">
        <v>1881159.3546070999</v>
      </c>
      <c r="K81" s="5">
        <v>878819.45328112994</v>
      </c>
      <c r="L81" s="5">
        <v>2083270.29603312</v>
      </c>
      <c r="M81" s="5">
        <v>3276894.5337520898</v>
      </c>
      <c r="N81" s="5">
        <v>773769.36406927695</v>
      </c>
      <c r="O81" s="5">
        <v>1316592.9467175701</v>
      </c>
      <c r="P81" s="5">
        <v>1065402.97122543</v>
      </c>
      <c r="Q81" s="5">
        <v>2411373.31569312</v>
      </c>
      <c r="R81" s="5">
        <v>1070870.67552218</v>
      </c>
      <c r="S81" s="5">
        <v>1138905.65787493</v>
      </c>
      <c r="T81" s="5">
        <v>1246008.7150673999</v>
      </c>
      <c r="U81" s="5">
        <v>1873366.94429097</v>
      </c>
      <c r="V81" s="5">
        <v>1956830.5272363401</v>
      </c>
      <c r="W81" s="5">
        <v>1178848.6068214299</v>
      </c>
      <c r="X81" s="5">
        <v>2263802.59296634</v>
      </c>
      <c r="Y81" s="5">
        <v>1787976.00228548</v>
      </c>
      <c r="Z81" s="5">
        <v>1632955.3392998499</v>
      </c>
      <c r="AA81" s="5">
        <v>1644877.03507559</v>
      </c>
      <c r="AB81" s="5">
        <v>1107468.9978203899</v>
      </c>
      <c r="AC81" s="5">
        <v>1640989.1263046099</v>
      </c>
      <c r="AD81" s="5">
        <v>1778671.6772372699</v>
      </c>
      <c r="AE81" s="5">
        <v>1595240.2746773399</v>
      </c>
      <c r="AF81" s="5">
        <v>1705144.26331434</v>
      </c>
      <c r="AG81">
        <f t="shared" si="5"/>
        <v>1680011.3353833901</v>
      </c>
      <c r="AH81">
        <f t="shared" si="6"/>
        <v>79737.888642985839</v>
      </c>
      <c r="AI81">
        <f t="shared" si="7"/>
        <v>4.7462708711301108E-2</v>
      </c>
    </row>
    <row r="82" spans="1:35" x14ac:dyDescent="0.45">
      <c r="A82" s="5" t="s">
        <v>99</v>
      </c>
      <c r="B82" s="2">
        <f t="shared" si="4"/>
        <v>147444766.17526969</v>
      </c>
      <c r="C82" s="2">
        <v>106373405.03074667</v>
      </c>
      <c r="D82" s="2">
        <v>6.2390474538048905E-2</v>
      </c>
      <c r="E82" s="5">
        <v>122750506.48329</v>
      </c>
      <c r="F82" s="5">
        <v>121819917.026583</v>
      </c>
      <c r="G82" s="5">
        <v>109963879.924081</v>
      </c>
      <c r="H82" s="5">
        <v>168716730.56085399</v>
      </c>
      <c r="I82" s="5">
        <v>100051373.817297</v>
      </c>
      <c r="J82" s="5">
        <v>91087316.425340205</v>
      </c>
      <c r="K82" s="5">
        <v>138796052.10624701</v>
      </c>
      <c r="L82" s="5">
        <v>139103380.787348</v>
      </c>
      <c r="M82" s="5">
        <v>87147198.903473407</v>
      </c>
      <c r="N82" s="5">
        <v>119479418.46539401</v>
      </c>
      <c r="O82" s="5">
        <v>378850157.65645999</v>
      </c>
      <c r="P82" s="5">
        <v>112157844.393913</v>
      </c>
      <c r="Q82" s="5">
        <v>87635996.894673601</v>
      </c>
      <c r="R82" s="5">
        <v>189833723.51661801</v>
      </c>
      <c r="S82" s="5">
        <v>118621411.917771</v>
      </c>
      <c r="T82" s="5">
        <v>553388700.87680304</v>
      </c>
      <c r="U82" s="5">
        <v>100098600.60476901</v>
      </c>
      <c r="V82" s="5">
        <v>105866912.690477</v>
      </c>
      <c r="W82" s="5">
        <v>117262489.89257599</v>
      </c>
      <c r="X82" s="5">
        <v>125581566.56080399</v>
      </c>
      <c r="Y82" s="5">
        <v>92155083.7012918</v>
      </c>
      <c r="Z82" s="5">
        <v>115898743.953464</v>
      </c>
      <c r="AA82" s="5">
        <v>108498104.598175</v>
      </c>
      <c r="AB82" s="5">
        <v>133909276.448769</v>
      </c>
      <c r="AC82" s="5">
        <v>99566233.997418702</v>
      </c>
      <c r="AD82" s="5">
        <v>110710650.291421</v>
      </c>
      <c r="AE82" s="5">
        <v>101954284.83035199</v>
      </c>
      <c r="AF82" s="5">
        <v>113262451.003795</v>
      </c>
      <c r="AG82">
        <f t="shared" si="5"/>
        <v>106373405.03074667</v>
      </c>
      <c r="AH82">
        <f t="shared" si="6"/>
        <v>6636687.2180963634</v>
      </c>
      <c r="AI82">
        <f t="shared" si="7"/>
        <v>6.2390474538048905E-2</v>
      </c>
    </row>
    <row r="83" spans="1:35" x14ac:dyDescent="0.45">
      <c r="A83" s="5" t="s">
        <v>100</v>
      </c>
      <c r="B83" s="2">
        <f t="shared" si="4"/>
        <v>89028090.649951607</v>
      </c>
      <c r="C83" s="2">
        <v>99479692.268985599</v>
      </c>
      <c r="D83" s="2">
        <v>0.13574009336988141</v>
      </c>
      <c r="E83" s="5">
        <v>92801156.543241605</v>
      </c>
      <c r="F83" s="5">
        <v>133719010.527154</v>
      </c>
      <c r="G83" s="5">
        <v>54232971.3316001</v>
      </c>
      <c r="H83" s="5">
        <v>66134760.583627</v>
      </c>
      <c r="I83" s="5">
        <v>154111598.18984199</v>
      </c>
      <c r="J83" s="5">
        <v>111308036.414755</v>
      </c>
      <c r="K83" s="5">
        <v>82806641.739243299</v>
      </c>
      <c r="L83" s="5">
        <v>100266584.022246</v>
      </c>
      <c r="M83" s="5">
        <v>104769833.35303099</v>
      </c>
      <c r="N83" s="5">
        <v>44764880.883227602</v>
      </c>
      <c r="O83" s="5">
        <v>91479327.012140304</v>
      </c>
      <c r="P83" s="5">
        <v>18236937.775079899</v>
      </c>
      <c r="Q83" s="5">
        <v>95437753.109510601</v>
      </c>
      <c r="R83" s="5">
        <v>83147853.3511585</v>
      </c>
      <c r="S83" s="5">
        <v>141767259.67431301</v>
      </c>
      <c r="T83" s="5">
        <v>89167491.508837104</v>
      </c>
      <c r="U83" s="5">
        <v>113385883.969814</v>
      </c>
      <c r="V83" s="5">
        <v>72041849.558878496</v>
      </c>
      <c r="W83" s="5">
        <v>82025778.764899597</v>
      </c>
      <c r="X83" s="5">
        <v>84104900.931096405</v>
      </c>
      <c r="Y83" s="5">
        <v>66226116.330886401</v>
      </c>
      <c r="Z83" s="5">
        <v>74679634.352718204</v>
      </c>
      <c r="AA83" s="5">
        <v>108299770.590488</v>
      </c>
      <c r="AB83" s="5">
        <v>71758145.081050605</v>
      </c>
      <c r="AC83" s="5">
        <v>96218102.173324898</v>
      </c>
      <c r="AD83" s="5">
        <v>119382798.341392</v>
      </c>
      <c r="AE83" s="5">
        <v>92102969.799422696</v>
      </c>
      <c r="AF83" s="5">
        <v>90214898.761802807</v>
      </c>
      <c r="AG83">
        <f t="shared" si="5"/>
        <v>99479692.268985599</v>
      </c>
      <c r="AH83">
        <f t="shared" si="6"/>
        <v>13503382.716999175</v>
      </c>
      <c r="AI83">
        <f t="shared" si="7"/>
        <v>0.13574009336988141</v>
      </c>
    </row>
    <row r="84" spans="1:35" x14ac:dyDescent="0.45">
      <c r="A84" s="5" t="s">
        <v>435</v>
      </c>
      <c r="B84" s="2">
        <f t="shared" si="4"/>
        <v>117130766.46963085</v>
      </c>
      <c r="C84" s="2">
        <v>101582466.46948245</v>
      </c>
      <c r="D84" s="2">
        <v>1.9669146795877321E-2</v>
      </c>
      <c r="E84" s="5">
        <v>79107250.291050494</v>
      </c>
      <c r="F84" s="5">
        <v>95008427.584666595</v>
      </c>
      <c r="G84" s="5">
        <v>56506100.780163899</v>
      </c>
      <c r="H84" s="5">
        <v>246524726.32971501</v>
      </c>
      <c r="I84" s="5">
        <v>45647790.563068002</v>
      </c>
      <c r="J84" s="5">
        <v>39944089.523049504</v>
      </c>
      <c r="K84" s="5">
        <v>231343892.36664599</v>
      </c>
      <c r="L84" s="5">
        <v>68932562.989898905</v>
      </c>
      <c r="M84" s="5">
        <v>115347528.703601</v>
      </c>
      <c r="N84" s="5">
        <v>143954576.54498199</v>
      </c>
      <c r="O84" s="5">
        <v>88614997.701842204</v>
      </c>
      <c r="P84" s="5">
        <v>244104094.61377099</v>
      </c>
      <c r="Q84" s="5">
        <v>87022510.785054103</v>
      </c>
      <c r="R84" s="5">
        <v>42329519.698886603</v>
      </c>
      <c r="S84" s="5">
        <v>51922651.332871802</v>
      </c>
      <c r="T84" s="5">
        <v>485889742.57856399</v>
      </c>
      <c r="U84" s="5">
        <v>210448560.80559701</v>
      </c>
      <c r="V84" s="5">
        <v>92007670.640441701</v>
      </c>
      <c r="W84" s="5">
        <v>79868066.759954199</v>
      </c>
      <c r="X84" s="5">
        <v>116395021.87644</v>
      </c>
      <c r="Y84" s="5">
        <v>21003884.202804402</v>
      </c>
      <c r="Z84" s="5">
        <v>38733468.594340503</v>
      </c>
      <c r="AA84" s="5">
        <v>56282423.874110103</v>
      </c>
      <c r="AB84" s="5">
        <v>74198836.129620895</v>
      </c>
      <c r="AC84" s="5">
        <v>103442875.008993</v>
      </c>
      <c r="AD84" s="5">
        <v>98748314.300242797</v>
      </c>
      <c r="AE84" s="5">
        <v>102002742.19750001</v>
      </c>
      <c r="AF84" s="5">
        <v>102135934.37119401</v>
      </c>
      <c r="AG84">
        <f t="shared" si="5"/>
        <v>101582466.46948245</v>
      </c>
      <c r="AH84">
        <f t="shared" si="6"/>
        <v>1998040.444875536</v>
      </c>
      <c r="AI84">
        <f t="shared" si="7"/>
        <v>1.9669146795877321E-2</v>
      </c>
    </row>
    <row r="85" spans="1:35" x14ac:dyDescent="0.45">
      <c r="A85" s="5" t="s">
        <v>101</v>
      </c>
      <c r="B85" s="2">
        <f t="shared" si="4"/>
        <v>184531673.11600116</v>
      </c>
      <c r="C85" s="2">
        <v>158535826.99344599</v>
      </c>
      <c r="D85" s="2">
        <v>7.8104303025141056E-2</v>
      </c>
      <c r="E85" s="5">
        <v>14974874.0710898</v>
      </c>
      <c r="F85" s="5">
        <v>95140295.341183707</v>
      </c>
      <c r="G85" s="5">
        <v>10531572.6434092</v>
      </c>
      <c r="H85" s="5">
        <v>1221936129.61356</v>
      </c>
      <c r="I85" s="5">
        <v>33165227.074701399</v>
      </c>
      <c r="J85" s="5">
        <v>348775117.285909</v>
      </c>
      <c r="K85" s="5">
        <v>101407868.819337</v>
      </c>
      <c r="L85" s="5">
        <v>15207006.8267716</v>
      </c>
      <c r="M85" s="5">
        <v>51089417.949429996</v>
      </c>
      <c r="N85" s="5">
        <v>678702328.36877298</v>
      </c>
      <c r="O85" s="5">
        <v>41464462.6785625</v>
      </c>
      <c r="P85" s="5">
        <v>158653551.79434699</v>
      </c>
      <c r="Q85" s="5">
        <v>17875534.368939199</v>
      </c>
      <c r="R85" s="5">
        <v>256126008.05453601</v>
      </c>
      <c r="S85" s="5">
        <v>942027175.71144903</v>
      </c>
      <c r="T85" s="5">
        <v>36100967.771447703</v>
      </c>
      <c r="U85" s="5">
        <v>41180717.8965813</v>
      </c>
      <c r="V85" s="5">
        <v>112466168.361017</v>
      </c>
      <c r="W85" s="5">
        <v>8686899.9626873899</v>
      </c>
      <c r="X85" s="5">
        <v>34967639.977218501</v>
      </c>
      <c r="Y85" s="5">
        <v>70067861.111868307</v>
      </c>
      <c r="Z85" s="5">
        <v>99693528.607279301</v>
      </c>
      <c r="AA85" s="5">
        <v>24746483.229683001</v>
      </c>
      <c r="AB85" s="5">
        <v>13773317.264247101</v>
      </c>
      <c r="AC85" s="5">
        <v>142164931.220364</v>
      </c>
      <c r="AD85" s="5">
        <v>156762901.48708701</v>
      </c>
      <c r="AE85" s="5">
        <v>164127961.03773499</v>
      </c>
      <c r="AF85" s="5">
        <v>171087514.228598</v>
      </c>
      <c r="AG85">
        <f t="shared" si="5"/>
        <v>158535826.99344599</v>
      </c>
      <c r="AH85">
        <f t="shared" si="6"/>
        <v>12382330.271837443</v>
      </c>
      <c r="AI85">
        <f t="shared" si="7"/>
        <v>7.8104303025141056E-2</v>
      </c>
    </row>
    <row r="86" spans="1:35" x14ac:dyDescent="0.45">
      <c r="A86" s="5" t="s">
        <v>102</v>
      </c>
      <c r="B86" s="2">
        <f t="shared" si="4"/>
        <v>238212737.95737302</v>
      </c>
      <c r="C86" s="2">
        <v>215685996.34136122</v>
      </c>
      <c r="D86" s="2">
        <v>7.0763506769720208E-2</v>
      </c>
      <c r="E86" s="5">
        <v>122355107.465794</v>
      </c>
      <c r="F86" s="5">
        <v>10113905.9745903</v>
      </c>
      <c r="G86" s="5">
        <v>19160884.123306599</v>
      </c>
      <c r="H86" s="5">
        <v>19562957.8394816</v>
      </c>
      <c r="I86" s="5">
        <v>29803526.7645774</v>
      </c>
      <c r="J86" s="5">
        <v>23904528.272045098</v>
      </c>
      <c r="K86" s="5">
        <v>873070142.01258802</v>
      </c>
      <c r="L86" s="5">
        <v>55397074.184231304</v>
      </c>
      <c r="M86" s="5">
        <v>344090438.315611</v>
      </c>
      <c r="N86" s="5">
        <v>13390720.036095999</v>
      </c>
      <c r="O86" s="5">
        <v>33705152.311774001</v>
      </c>
      <c r="P86" s="5">
        <v>758487276.21192503</v>
      </c>
      <c r="Q86" s="5">
        <v>20946684.993824001</v>
      </c>
      <c r="R86" s="5">
        <v>18236647.6003066</v>
      </c>
      <c r="S86" s="5">
        <v>1136269477.3020501</v>
      </c>
      <c r="T86" s="5">
        <v>45921208.739255801</v>
      </c>
      <c r="U86" s="5">
        <v>350662113.29480898</v>
      </c>
      <c r="V86" s="5">
        <v>13361924.334617199</v>
      </c>
      <c r="W86" s="5">
        <v>15623676.3088778</v>
      </c>
      <c r="X86" s="5">
        <v>728886242.695912</v>
      </c>
      <c r="Y86" s="5">
        <v>48552116.406903498</v>
      </c>
      <c r="Z86" s="5">
        <v>24176846.674640998</v>
      </c>
      <c r="AA86" s="5">
        <v>979589235.562451</v>
      </c>
      <c r="AB86" s="5">
        <v>31837823.551284701</v>
      </c>
      <c r="AC86" s="5">
        <v>194759052.47603399</v>
      </c>
      <c r="AD86" s="5">
        <v>215185192.59799799</v>
      </c>
      <c r="AE86" s="5">
        <v>222457292.70522299</v>
      </c>
      <c r="AF86" s="5">
        <v>230342447.58618999</v>
      </c>
      <c r="AG86">
        <f t="shared" si="5"/>
        <v>215685996.34136122</v>
      </c>
      <c r="AH86">
        <f t="shared" si="6"/>
        <v>15262697.462235764</v>
      </c>
      <c r="AI86">
        <f t="shared" si="7"/>
        <v>7.0763506769720208E-2</v>
      </c>
    </row>
    <row r="87" spans="1:35" x14ac:dyDescent="0.45">
      <c r="A87" s="5" t="s">
        <v>103</v>
      </c>
      <c r="B87" s="2">
        <f t="shared" si="4"/>
        <v>311182496.78598601</v>
      </c>
      <c r="C87" s="2">
        <v>238687905.93611827</v>
      </c>
      <c r="D87" s="2">
        <v>1.2716061315297849E-2</v>
      </c>
      <c r="E87" s="5">
        <v>29028299.306534801</v>
      </c>
      <c r="F87" s="5">
        <v>399233705.32352698</v>
      </c>
      <c r="G87" s="5">
        <v>378066685.356067</v>
      </c>
      <c r="H87" s="5">
        <v>1087675405.7644</v>
      </c>
      <c r="I87" s="5">
        <v>324609849.12279701</v>
      </c>
      <c r="J87" s="5">
        <v>250079353.51739401</v>
      </c>
      <c r="K87" s="5">
        <v>52112177.186783299</v>
      </c>
      <c r="L87" s="5">
        <v>678754120.77790201</v>
      </c>
      <c r="M87" s="5">
        <v>30904461.249755301</v>
      </c>
      <c r="N87" s="5">
        <v>471333800.39876801</v>
      </c>
      <c r="O87" s="5">
        <v>238123255.83640301</v>
      </c>
      <c r="P87" s="5">
        <v>46928019.984229498</v>
      </c>
      <c r="Q87" s="5">
        <v>252221706.08099899</v>
      </c>
      <c r="R87" s="5">
        <v>770584576.60938096</v>
      </c>
      <c r="S87" s="5">
        <v>49584420.847140603</v>
      </c>
      <c r="T87" s="5">
        <v>344587925.58174402</v>
      </c>
      <c r="U87" s="5">
        <v>18648276.1169983</v>
      </c>
      <c r="V87" s="5">
        <v>316493075.308258</v>
      </c>
      <c r="W87" s="5">
        <v>447908120.18772298</v>
      </c>
      <c r="X87" s="5">
        <v>38305786.248981804</v>
      </c>
      <c r="Y87" s="5">
        <v>343870504.80551499</v>
      </c>
      <c r="Z87" s="5">
        <v>365224026.024342</v>
      </c>
      <c r="AA87" s="5">
        <v>41057102.515399598</v>
      </c>
      <c r="AB87" s="5">
        <v>493045268.71262097</v>
      </c>
      <c r="AC87" s="5">
        <v>234894695.261228</v>
      </c>
      <c r="AD87" s="5">
        <v>239861553.89806801</v>
      </c>
      <c r="AE87" s="5">
        <v>242051929.30344099</v>
      </c>
      <c r="AF87" s="5">
        <v>237943445.28173599</v>
      </c>
      <c r="AG87">
        <f t="shared" si="5"/>
        <v>238687905.93611827</v>
      </c>
      <c r="AH87">
        <f t="shared" si="6"/>
        <v>3035170.0471037254</v>
      </c>
      <c r="AI87">
        <f t="shared" si="7"/>
        <v>1.2716061315297849E-2</v>
      </c>
    </row>
    <row r="88" spans="1:35" x14ac:dyDescent="0.45">
      <c r="A88" s="5" t="s">
        <v>104</v>
      </c>
      <c r="B88" s="2">
        <f t="shared" si="4"/>
        <v>11973553.679351276</v>
      </c>
      <c r="C88" s="2">
        <v>13103838.143924849</v>
      </c>
      <c r="D88" s="2">
        <v>0.10673902781421502</v>
      </c>
      <c r="E88" s="5">
        <v>2285715.0411327002</v>
      </c>
      <c r="F88" s="5">
        <v>1247742.88128691</v>
      </c>
      <c r="G88" s="5">
        <v>1594653.8568726401</v>
      </c>
      <c r="H88" s="5">
        <v>3383588.81595498</v>
      </c>
      <c r="I88" s="5">
        <v>2156455.6815506699</v>
      </c>
      <c r="J88" s="5">
        <v>1782748.22332028</v>
      </c>
      <c r="K88" s="5">
        <v>2292769.1843710998</v>
      </c>
      <c r="L88" s="5">
        <v>2941833.7855088799</v>
      </c>
      <c r="M88" s="5">
        <v>1680337.4628121001</v>
      </c>
      <c r="N88" s="5">
        <v>3006237.5422635302</v>
      </c>
      <c r="O88" s="5">
        <v>890149.48825172801</v>
      </c>
      <c r="P88" s="5">
        <v>2683768.8604809102</v>
      </c>
      <c r="Q88" s="5">
        <v>231088254.07281601</v>
      </c>
      <c r="R88" s="5">
        <v>2220340.96481039</v>
      </c>
      <c r="S88" s="5">
        <v>3278997.19377359</v>
      </c>
      <c r="T88" s="5">
        <v>7997686.2383701103</v>
      </c>
      <c r="U88" s="5">
        <v>1799110.5143430601</v>
      </c>
      <c r="V88" s="5">
        <v>1374620.5798541401</v>
      </c>
      <c r="W88" s="5">
        <v>1910163.4731048699</v>
      </c>
      <c r="X88" s="5">
        <v>1394723.6030399899</v>
      </c>
      <c r="Y88" s="5">
        <v>3621187.4227611502</v>
      </c>
      <c r="Z88" s="5">
        <v>1897134.6836021401</v>
      </c>
      <c r="AA88" s="5">
        <v>2102471.6777037499</v>
      </c>
      <c r="AB88" s="5">
        <v>2734597.0564449402</v>
      </c>
      <c r="AC88" s="5">
        <v>11447032.192891899</v>
      </c>
      <c r="AD88" s="5">
        <v>12452375.981365699</v>
      </c>
      <c r="AE88" s="5">
        <v>14391293.8432444</v>
      </c>
      <c r="AF88" s="5">
        <v>14124650.5581974</v>
      </c>
      <c r="AG88">
        <f t="shared" si="5"/>
        <v>13103838.143924849</v>
      </c>
      <c r="AH88">
        <f t="shared" si="6"/>
        <v>1398690.9441173661</v>
      </c>
      <c r="AI88">
        <f t="shared" si="7"/>
        <v>0.10673902781421502</v>
      </c>
    </row>
    <row r="89" spans="1:35" x14ac:dyDescent="0.45">
      <c r="A89" s="5" t="s">
        <v>105</v>
      </c>
      <c r="B89" s="2">
        <f t="shared" si="4"/>
        <v>51115886.893443108</v>
      </c>
      <c r="C89" s="2">
        <v>37542866.644711629</v>
      </c>
      <c r="D89" s="2">
        <v>6.7748509695915865E-2</v>
      </c>
      <c r="E89" s="5">
        <v>26382759.606724501</v>
      </c>
      <c r="F89" s="5">
        <v>30216571.232702099</v>
      </c>
      <c r="G89" s="5">
        <v>45940520.241121598</v>
      </c>
      <c r="H89" s="5">
        <v>84901890.242464796</v>
      </c>
      <c r="I89" s="5">
        <v>23703312.515369799</v>
      </c>
      <c r="J89" s="5">
        <v>34962317.990543202</v>
      </c>
      <c r="K89" s="5">
        <v>32276732.762532901</v>
      </c>
      <c r="L89" s="5">
        <v>52604903.815087698</v>
      </c>
      <c r="M89" s="5">
        <v>41449629.319021501</v>
      </c>
      <c r="N89" s="5">
        <v>25605246.956969202</v>
      </c>
      <c r="O89" s="5">
        <v>97479382.860544905</v>
      </c>
      <c r="P89" s="5">
        <v>43575409.954750903</v>
      </c>
      <c r="Q89" s="5">
        <v>45519618.818578698</v>
      </c>
      <c r="R89" s="5">
        <v>75380202.789395303</v>
      </c>
      <c r="S89" s="5">
        <v>57796627.688276999</v>
      </c>
      <c r="T89" s="5">
        <v>181589200.18011501</v>
      </c>
      <c r="U89" s="5">
        <v>26988584.754262101</v>
      </c>
      <c r="V89" s="5">
        <v>27461997.059692401</v>
      </c>
      <c r="W89" s="5">
        <v>40758893.528351903</v>
      </c>
      <c r="X89" s="5">
        <v>57763325.740076199</v>
      </c>
      <c r="Y89" s="5">
        <v>37041309.029233597</v>
      </c>
      <c r="Z89" s="5">
        <v>48216763.951904602</v>
      </c>
      <c r="AA89" s="5">
        <v>48517212.1169568</v>
      </c>
      <c r="AB89" s="5">
        <v>40648872.287958004</v>
      </c>
      <c r="AC89" s="5">
        <v>34191420.9340894</v>
      </c>
      <c r="AD89" s="5">
        <v>37002919.040666699</v>
      </c>
      <c r="AE89" s="5">
        <v>39093236.844179802</v>
      </c>
      <c r="AF89" s="5">
        <v>39883889.759910598</v>
      </c>
      <c r="AG89">
        <f t="shared" si="5"/>
        <v>37542866.644711629</v>
      </c>
      <c r="AH89">
        <f t="shared" si="6"/>
        <v>2543473.2648917222</v>
      </c>
      <c r="AI89">
        <f t="shared" si="7"/>
        <v>6.7748509695915865E-2</v>
      </c>
    </row>
    <row r="90" spans="1:35" x14ac:dyDescent="0.45">
      <c r="A90" s="5" t="s">
        <v>106</v>
      </c>
      <c r="B90" s="2">
        <f t="shared" si="4"/>
        <v>8085882.2133771451</v>
      </c>
      <c r="C90" s="2">
        <v>6915609.6133387676</v>
      </c>
      <c r="D90" s="2">
        <v>2.5344691017407887E-2</v>
      </c>
      <c r="E90" s="5">
        <v>3788692.1175577599</v>
      </c>
      <c r="F90" s="5">
        <v>2596874.2823732002</v>
      </c>
      <c r="G90" s="5">
        <v>15550591.234798601</v>
      </c>
      <c r="H90" s="5">
        <v>2343949.9597283402</v>
      </c>
      <c r="I90" s="5">
        <v>15150184.267996199</v>
      </c>
      <c r="J90" s="5">
        <v>9567339.3173675109</v>
      </c>
      <c r="K90" s="5">
        <v>2900600.6011600401</v>
      </c>
      <c r="L90" s="5">
        <v>12465720.285814701</v>
      </c>
      <c r="M90" s="5">
        <v>8445984.4952726699</v>
      </c>
      <c r="N90" s="5">
        <v>1448867.24720049</v>
      </c>
      <c r="O90" s="5">
        <v>5492295.9035352599</v>
      </c>
      <c r="P90" s="5">
        <v>1829040.9442403901</v>
      </c>
      <c r="Q90" s="5">
        <v>16094649.3538101</v>
      </c>
      <c r="R90" s="5">
        <v>2914474.0633105901</v>
      </c>
      <c r="S90" s="5">
        <v>13613196.772270299</v>
      </c>
      <c r="T90" s="5">
        <v>4093546.36533943</v>
      </c>
      <c r="U90" s="5">
        <v>8188410.8466958003</v>
      </c>
      <c r="V90" s="5">
        <v>15385924.949191401</v>
      </c>
      <c r="W90" s="5">
        <v>3591041.4016439798</v>
      </c>
      <c r="X90" s="5">
        <v>6489502.7134390296</v>
      </c>
      <c r="Y90" s="5">
        <v>6909300.0662309099</v>
      </c>
      <c r="Z90" s="5">
        <v>9574430.2549462598</v>
      </c>
      <c r="AA90" s="5">
        <v>15631427.209476599</v>
      </c>
      <c r="AB90" s="5">
        <v>9995128.4676518906</v>
      </c>
      <c r="AC90" s="5">
        <v>6869836.5001477599</v>
      </c>
      <c r="AD90" s="5">
        <v>6737190.9966316801</v>
      </c>
      <c r="AE90" s="5">
        <v>7156359.2130623804</v>
      </c>
      <c r="AF90" s="5">
        <v>6899051.7435132498</v>
      </c>
      <c r="AG90">
        <f t="shared" si="5"/>
        <v>6915609.6133387676</v>
      </c>
      <c r="AH90">
        <f t="shared" si="6"/>
        <v>175273.9888470867</v>
      </c>
      <c r="AI90">
        <f t="shared" si="7"/>
        <v>2.5344691017407887E-2</v>
      </c>
    </row>
    <row r="91" spans="1:35" x14ac:dyDescent="0.45">
      <c r="A91" s="5" t="s">
        <v>107</v>
      </c>
      <c r="B91" s="2">
        <f t="shared" si="4"/>
        <v>723404.63145443809</v>
      </c>
      <c r="C91" s="2">
        <v>851274.34145297646</v>
      </c>
      <c r="D91" s="2">
        <v>5.8638750116866076E-2</v>
      </c>
      <c r="E91" s="5">
        <v>49052.110684140302</v>
      </c>
      <c r="F91" s="5">
        <v>47730.134023973696</v>
      </c>
      <c r="G91" s="5">
        <v>758980.28640525602</v>
      </c>
      <c r="H91" s="5">
        <v>577231.35048506805</v>
      </c>
      <c r="I91" s="5">
        <v>2553412.0688631302</v>
      </c>
      <c r="J91" s="5">
        <v>1313919.0221370601</v>
      </c>
      <c r="K91" s="5">
        <v>149192.89715643899</v>
      </c>
      <c r="L91" s="5">
        <v>526918.47732814203</v>
      </c>
      <c r="M91" s="5">
        <v>1242274.8740465201</v>
      </c>
      <c r="N91" s="5">
        <v>46800.464679250799</v>
      </c>
      <c r="O91" s="5">
        <v>84210.546672787197</v>
      </c>
      <c r="P91" s="5">
        <v>59491.454245833404</v>
      </c>
      <c r="Q91" s="5">
        <v>3245110.68254381</v>
      </c>
      <c r="R91" s="5">
        <v>41608.3638722287</v>
      </c>
      <c r="S91" s="5">
        <v>1275933.9665225099</v>
      </c>
      <c r="T91" s="5">
        <v>461870.01719051303</v>
      </c>
      <c r="U91" s="5">
        <v>54854.368872413397</v>
      </c>
      <c r="V91" s="5">
        <v>496099.73778515903</v>
      </c>
      <c r="W91" s="5">
        <v>41326.265052778501</v>
      </c>
      <c r="X91" s="5">
        <v>260899.962930779</v>
      </c>
      <c r="Y91" s="5">
        <v>705422.52927831304</v>
      </c>
      <c r="Z91" s="5">
        <v>840246.32733203296</v>
      </c>
      <c r="AA91" s="5">
        <v>1970196.9745912801</v>
      </c>
      <c r="AB91" s="5">
        <v>558928.27220709797</v>
      </c>
      <c r="AC91" s="5">
        <v>820098.81753073004</v>
      </c>
      <c r="AD91" s="5">
        <v>855014.07253928098</v>
      </c>
      <c r="AE91" s="5">
        <v>809706.34857689799</v>
      </c>
      <c r="AF91" s="5">
        <v>920278.12716499704</v>
      </c>
      <c r="AG91">
        <f t="shared" si="5"/>
        <v>851274.34145297646</v>
      </c>
      <c r="AH91">
        <f t="shared" si="6"/>
        <v>49917.663389360816</v>
      </c>
      <c r="AI91">
        <f t="shared" si="7"/>
        <v>5.8638750116866076E-2</v>
      </c>
    </row>
    <row r="92" spans="1:35" x14ac:dyDescent="0.45">
      <c r="A92" s="5" t="s">
        <v>108</v>
      </c>
      <c r="B92" s="2">
        <f t="shared" si="4"/>
        <v>22585059.568717018</v>
      </c>
      <c r="C92" s="2">
        <v>20539963.528453976</v>
      </c>
      <c r="D92" s="2">
        <v>8.822659075092594E-2</v>
      </c>
      <c r="E92" s="5">
        <v>25585907.5997856</v>
      </c>
      <c r="F92" s="5">
        <v>21641239.844296802</v>
      </c>
      <c r="G92" s="5">
        <v>24454870.965128399</v>
      </c>
      <c r="H92" s="5">
        <v>18357694.454425599</v>
      </c>
      <c r="I92" s="5">
        <v>7939690.1652079597</v>
      </c>
      <c r="J92" s="5">
        <v>7177475.6076865001</v>
      </c>
      <c r="K92" s="5">
        <v>27165481.091635499</v>
      </c>
      <c r="L92" s="5">
        <v>26101944.702699199</v>
      </c>
      <c r="M92" s="5">
        <v>20718267.443584099</v>
      </c>
      <c r="N92" s="5">
        <v>23984667.646466501</v>
      </c>
      <c r="O92" s="5">
        <v>26684555.797248099</v>
      </c>
      <c r="P92" s="5">
        <v>10332493.579235001</v>
      </c>
      <c r="Q92" s="5">
        <v>8815387.6933631208</v>
      </c>
      <c r="R92" s="5">
        <v>22123900.775373898</v>
      </c>
      <c r="S92" s="5">
        <v>29315410.5712937</v>
      </c>
      <c r="T92" s="5">
        <v>46637170.952535599</v>
      </c>
      <c r="U92" s="5">
        <v>24934794.4091691</v>
      </c>
      <c r="V92" s="5">
        <v>22602746.768890999</v>
      </c>
      <c r="W92" s="5">
        <v>23217666.140170399</v>
      </c>
      <c r="X92" s="5">
        <v>27610975.0655501</v>
      </c>
      <c r="Y92" s="5">
        <v>11614326.702684101</v>
      </c>
      <c r="Z92" s="5">
        <v>28390637.896176301</v>
      </c>
      <c r="AA92" s="5">
        <v>26414345.6808904</v>
      </c>
      <c r="AB92" s="5">
        <v>30219778.0957116</v>
      </c>
      <c r="AC92" s="5">
        <v>18660634.448010299</v>
      </c>
      <c r="AD92" s="5">
        <v>20052017.4371185</v>
      </c>
      <c r="AE92" s="5">
        <v>23004211.452047199</v>
      </c>
      <c r="AF92" s="5">
        <v>20442990.776639901</v>
      </c>
      <c r="AG92">
        <f t="shared" si="5"/>
        <v>20539963.528453976</v>
      </c>
      <c r="AH92">
        <f t="shared" si="6"/>
        <v>1812170.9562638537</v>
      </c>
      <c r="AI92">
        <f t="shared" si="7"/>
        <v>8.822659075092594E-2</v>
      </c>
    </row>
    <row r="93" spans="1:35" x14ac:dyDescent="0.45">
      <c r="A93" s="5" t="s">
        <v>109</v>
      </c>
      <c r="B93" s="2">
        <f t="shared" si="4"/>
        <v>628069.95886154345</v>
      </c>
      <c r="C93" s="2">
        <v>413752.87886284676</v>
      </c>
      <c r="D93" s="2">
        <v>0.10627155044804257</v>
      </c>
      <c r="E93" s="5">
        <v>1205706.75450234</v>
      </c>
      <c r="F93" s="5">
        <v>490252.61721030599</v>
      </c>
      <c r="G93" s="5">
        <v>511897.14842902002</v>
      </c>
      <c r="H93" s="5">
        <v>665441.57490626397</v>
      </c>
      <c r="I93" s="5">
        <v>240612.74747672401</v>
      </c>
      <c r="J93" s="5">
        <v>158139.89627960001</v>
      </c>
      <c r="K93" s="5">
        <v>369962.85413404898</v>
      </c>
      <c r="L93" s="5">
        <v>1182157.50084213</v>
      </c>
      <c r="M93" s="5">
        <v>394143.38867333398</v>
      </c>
      <c r="N93" s="5">
        <v>939171.21400349902</v>
      </c>
      <c r="O93" s="5">
        <v>754433.71317460702</v>
      </c>
      <c r="P93" s="5">
        <v>527733.29834849201</v>
      </c>
      <c r="Q93" s="5">
        <v>682094.15286612499</v>
      </c>
      <c r="R93" s="5">
        <v>1381683.2955896601</v>
      </c>
      <c r="S93" s="5">
        <v>609045.66505889699</v>
      </c>
      <c r="T93" s="5">
        <v>381966.259188784</v>
      </c>
      <c r="U93" s="5">
        <v>337373.69357662398</v>
      </c>
      <c r="V93" s="5">
        <v>495042.24542986602</v>
      </c>
      <c r="W93" s="5">
        <v>649040.320961121</v>
      </c>
      <c r="X93" s="5">
        <v>286766.968322984</v>
      </c>
      <c r="Y93" s="5">
        <v>1220051.6034345201</v>
      </c>
      <c r="Z93" s="5">
        <v>506384.31029961299</v>
      </c>
      <c r="AA93" s="5">
        <v>143710.30178325099</v>
      </c>
      <c r="AB93" s="5">
        <v>940867.48818523099</v>
      </c>
      <c r="AC93" s="5">
        <v>398434.81093319698</v>
      </c>
      <c r="AD93" s="5">
        <v>383201.245212315</v>
      </c>
      <c r="AE93" s="5">
        <v>394378.95627277502</v>
      </c>
      <c r="AF93" s="5">
        <v>478996.50303309999</v>
      </c>
      <c r="AG93">
        <f t="shared" si="5"/>
        <v>413752.87886284676</v>
      </c>
      <c r="AH93">
        <f t="shared" si="6"/>
        <v>43970.159939095865</v>
      </c>
      <c r="AI93">
        <f t="shared" si="7"/>
        <v>0.10627155044804257</v>
      </c>
    </row>
    <row r="94" spans="1:35" x14ac:dyDescent="0.45">
      <c r="A94" s="5" t="s">
        <v>110</v>
      </c>
      <c r="B94" s="2">
        <f t="shared" si="4"/>
        <v>30062637.221893687</v>
      </c>
      <c r="C94" s="2">
        <v>32698791.943594351</v>
      </c>
      <c r="D94" s="2">
        <v>5.7515532314663394E-2</v>
      </c>
      <c r="E94" s="5">
        <v>23705362.531489301</v>
      </c>
      <c r="F94" s="5">
        <v>37975586.677673496</v>
      </c>
      <c r="G94" s="5">
        <v>28662546.860423401</v>
      </c>
      <c r="H94" s="5">
        <v>22610517.4099163</v>
      </c>
      <c r="I94" s="5">
        <v>31420725.114176098</v>
      </c>
      <c r="J94" s="5">
        <v>45235832.301721402</v>
      </c>
      <c r="K94" s="5">
        <v>19244338.721733999</v>
      </c>
      <c r="L94" s="5">
        <v>40215365.256843798</v>
      </c>
      <c r="M94" s="5">
        <v>29035286.341635</v>
      </c>
      <c r="N94" s="5">
        <v>37986860.520889901</v>
      </c>
      <c r="O94" s="5">
        <v>32962646.518095601</v>
      </c>
      <c r="P94" s="5">
        <v>31107553.678760201</v>
      </c>
      <c r="Q94" s="5">
        <v>9759390.4299575891</v>
      </c>
      <c r="R94" s="5">
        <v>6913705.9394763904</v>
      </c>
      <c r="S94" s="5">
        <v>35763803.553108104</v>
      </c>
      <c r="T94" s="5">
        <v>69538836.644035205</v>
      </c>
      <c r="U94" s="5">
        <v>19460933.1085274</v>
      </c>
      <c r="V94" s="5">
        <v>13561369.1400504</v>
      </c>
      <c r="W94" s="5">
        <v>28180632.460816</v>
      </c>
      <c r="X94" s="5">
        <v>32384519.479057498</v>
      </c>
      <c r="Y94" s="5">
        <v>30363684.245851401</v>
      </c>
      <c r="Z94" s="5">
        <v>44739697.702110603</v>
      </c>
      <c r="AA94" s="5">
        <v>38412444.9254198</v>
      </c>
      <c r="AB94" s="5">
        <v>12261653.763679599</v>
      </c>
      <c r="AC94" s="5">
        <v>30250663.265239999</v>
      </c>
      <c r="AD94" s="5">
        <v>32371835.337456498</v>
      </c>
      <c r="AE94" s="5">
        <v>33511798.670504998</v>
      </c>
      <c r="AF94" s="5">
        <v>34660870.501175903</v>
      </c>
      <c r="AG94">
        <f t="shared" si="5"/>
        <v>32698791.943594351</v>
      </c>
      <c r="AH94">
        <f t="shared" si="6"/>
        <v>1880688.4246822561</v>
      </c>
      <c r="AI94">
        <f t="shared" si="7"/>
        <v>5.7515532314663394E-2</v>
      </c>
    </row>
    <row r="95" spans="1:35" x14ac:dyDescent="0.45">
      <c r="A95" s="5" t="s">
        <v>368</v>
      </c>
      <c r="B95" s="2">
        <f t="shared" si="4"/>
        <v>28140901.137264084</v>
      </c>
      <c r="C95" s="2">
        <v>29529419.809645552</v>
      </c>
      <c r="D95" s="2">
        <v>3.5565578536888222E-2</v>
      </c>
      <c r="E95" s="5">
        <v>20497406.032534499</v>
      </c>
      <c r="F95" s="5">
        <v>25597559.8715427</v>
      </c>
      <c r="G95" s="5">
        <v>35468437.453663401</v>
      </c>
      <c r="H95" s="5">
        <v>50184378.268601</v>
      </c>
      <c r="I95" s="5">
        <v>16008092.1064907</v>
      </c>
      <c r="J95" s="5">
        <v>13233437.5020607</v>
      </c>
      <c r="K95" s="5">
        <v>26317218.036764499</v>
      </c>
      <c r="L95" s="5">
        <v>37780110.3968606</v>
      </c>
      <c r="M95" s="5">
        <v>22233500.4859652</v>
      </c>
      <c r="N95" s="5">
        <v>23484559.589975901</v>
      </c>
      <c r="O95" s="5">
        <v>35698388.878414601</v>
      </c>
      <c r="P95" s="5">
        <v>24576561.602704801</v>
      </c>
      <c r="Q95" s="5">
        <v>42811090.148209803</v>
      </c>
      <c r="R95" s="5">
        <v>34303276.853438899</v>
      </c>
      <c r="S95" s="5">
        <v>38508796.913174599</v>
      </c>
      <c r="T95" s="5">
        <v>26432585.377848901</v>
      </c>
      <c r="U95" s="5">
        <v>10632221.5825029</v>
      </c>
      <c r="V95" s="5">
        <v>22964061.139694098</v>
      </c>
      <c r="W95" s="5">
        <v>30330890.247103099</v>
      </c>
      <c r="X95" s="5">
        <v>23232652.053429</v>
      </c>
      <c r="Y95" s="5">
        <v>26204011.1651727</v>
      </c>
      <c r="Z95" s="5">
        <v>30993885.8822948</v>
      </c>
      <c r="AA95" s="5">
        <v>28112928.520666301</v>
      </c>
      <c r="AB95" s="5">
        <v>29775577.185224298</v>
      </c>
      <c r="AC95" s="5">
        <v>30730674.488453899</v>
      </c>
      <c r="AD95" s="5">
        <v>30077839.322422799</v>
      </c>
      <c r="AE95" s="5">
        <v>28523246.937332802</v>
      </c>
      <c r="AF95" s="5">
        <v>28785918.490372699</v>
      </c>
      <c r="AG95">
        <f t="shared" si="5"/>
        <v>29529419.809645552</v>
      </c>
      <c r="AH95">
        <f t="shared" si="6"/>
        <v>1050230.8993886916</v>
      </c>
      <c r="AI95">
        <f t="shared" si="7"/>
        <v>3.5565578536888222E-2</v>
      </c>
    </row>
    <row r="96" spans="1:35" x14ac:dyDescent="0.45">
      <c r="A96" s="5" t="s">
        <v>111</v>
      </c>
      <c r="B96" s="2">
        <f t="shared" si="4"/>
        <v>50400116.496968217</v>
      </c>
      <c r="C96" s="2">
        <v>50629614.736644126</v>
      </c>
      <c r="D96" s="2">
        <v>4.5525432811974804E-2</v>
      </c>
      <c r="E96" s="5">
        <v>40454221.925804697</v>
      </c>
      <c r="F96" s="5">
        <v>26046196.4871682</v>
      </c>
      <c r="G96" s="5">
        <v>58156003.335466899</v>
      </c>
      <c r="H96" s="5">
        <v>10065610.3456065</v>
      </c>
      <c r="I96" s="5">
        <v>60606699.117177702</v>
      </c>
      <c r="J96" s="5">
        <v>65263528.493133202</v>
      </c>
      <c r="K96" s="5">
        <v>33116478.423249699</v>
      </c>
      <c r="L96" s="5">
        <v>64297719.625163302</v>
      </c>
      <c r="M96" s="5">
        <v>85678256.116708294</v>
      </c>
      <c r="N96" s="5">
        <v>24631914.138104498</v>
      </c>
      <c r="O96" s="5">
        <v>19211453.516961399</v>
      </c>
      <c r="P96" s="5">
        <v>17534598.282451101</v>
      </c>
      <c r="Q96" s="5">
        <v>123344113.33179501</v>
      </c>
      <c r="R96" s="5">
        <v>23318823.7663959</v>
      </c>
      <c r="S96" s="5">
        <v>72850504.116378397</v>
      </c>
      <c r="T96" s="5">
        <v>39775611.770606503</v>
      </c>
      <c r="U96" s="5">
        <v>48119585.830599502</v>
      </c>
      <c r="V96" s="5">
        <v>39234424.148361899</v>
      </c>
      <c r="W96" s="5">
        <v>30799131.5267451</v>
      </c>
      <c r="X96" s="5">
        <v>42228709.116676301</v>
      </c>
      <c r="Y96" s="5">
        <v>70603275.111723393</v>
      </c>
      <c r="Z96" s="5">
        <v>47642653.089829803</v>
      </c>
      <c r="AA96" s="5">
        <v>112175337.06197301</v>
      </c>
      <c r="AB96" s="5">
        <v>54447947.249156602</v>
      </c>
      <c r="AC96" s="5">
        <v>53401455.800437897</v>
      </c>
      <c r="AD96" s="5">
        <v>51344786.313352697</v>
      </c>
      <c r="AE96" s="5">
        <v>49798242.1601009</v>
      </c>
      <c r="AF96" s="5">
        <v>47973974.672684997</v>
      </c>
      <c r="AG96">
        <f t="shared" si="5"/>
        <v>50629614.736644126</v>
      </c>
      <c r="AH96">
        <f t="shared" si="6"/>
        <v>2304935.1239892617</v>
      </c>
      <c r="AI96">
        <f t="shared" si="7"/>
        <v>4.5525432811974804E-2</v>
      </c>
    </row>
    <row r="97" spans="1:35" x14ac:dyDescent="0.45">
      <c r="A97" s="5" t="s">
        <v>288</v>
      </c>
      <c r="B97" s="2">
        <f t="shared" si="4"/>
        <v>900842325.37815678</v>
      </c>
      <c r="C97" s="2">
        <v>933469936.74777865</v>
      </c>
      <c r="D97" s="2">
        <v>3.8300828801218226E-2</v>
      </c>
      <c r="E97" s="5">
        <v>436311975.786928</v>
      </c>
      <c r="F97" s="5">
        <v>852068439.62747598</v>
      </c>
      <c r="G97" s="5">
        <v>352215063.18519998</v>
      </c>
      <c r="H97" s="5">
        <v>1194458950.93241</v>
      </c>
      <c r="I97" s="5">
        <v>955659312.43521798</v>
      </c>
      <c r="J97" s="5">
        <v>1794329257.88925</v>
      </c>
      <c r="K97" s="5">
        <v>616181912.95973694</v>
      </c>
      <c r="L97" s="5">
        <v>767419558.28231597</v>
      </c>
      <c r="M97" s="5">
        <v>815793044.42286694</v>
      </c>
      <c r="N97" s="5">
        <v>602095523.80638599</v>
      </c>
      <c r="O97" s="5">
        <v>465421239.31785202</v>
      </c>
      <c r="P97" s="5">
        <v>806118048.02441299</v>
      </c>
      <c r="Q97" s="5">
        <v>1012262369.01464</v>
      </c>
      <c r="R97" s="5">
        <v>1357991381.3970399</v>
      </c>
      <c r="S97" s="5">
        <v>761591745.460096</v>
      </c>
      <c r="T97" s="5">
        <v>896359320.55029595</v>
      </c>
      <c r="U97" s="5">
        <v>484210882.85442001</v>
      </c>
      <c r="V97" s="5">
        <v>819678432.31291199</v>
      </c>
      <c r="W97" s="5">
        <v>806813755.37272799</v>
      </c>
      <c r="X97" s="5">
        <v>1627870420.89676</v>
      </c>
      <c r="Y97" s="5">
        <v>748868246.96617901</v>
      </c>
      <c r="Z97" s="5">
        <v>1944314458.80604</v>
      </c>
      <c r="AA97" s="5">
        <v>616393317.81106997</v>
      </c>
      <c r="AB97" s="5">
        <v>885789150.96352899</v>
      </c>
      <c r="AC97" s="5">
        <v>949347603.84857702</v>
      </c>
      <c r="AD97" s="5">
        <v>918082746.48930705</v>
      </c>
      <c r="AE97" s="5">
        <v>974125642.66896403</v>
      </c>
      <c r="AF97" s="5">
        <v>892323753.984267</v>
      </c>
      <c r="AG97">
        <f t="shared" si="5"/>
        <v>933469936.74777865</v>
      </c>
      <c r="AH97">
        <f t="shared" si="6"/>
        <v>35752672.238460675</v>
      </c>
      <c r="AI97">
        <f t="shared" si="7"/>
        <v>3.8300828801218226E-2</v>
      </c>
    </row>
    <row r="98" spans="1:35" x14ac:dyDescent="0.45">
      <c r="A98" s="5" t="s">
        <v>112</v>
      </c>
      <c r="B98" s="2">
        <f t="shared" si="4"/>
        <v>25216589.958971743</v>
      </c>
      <c r="C98" s="2">
        <v>22317280.137419552</v>
      </c>
      <c r="D98" s="2">
        <v>6.4974088332940966E-2</v>
      </c>
      <c r="E98" s="5">
        <v>9299641.7692829594</v>
      </c>
      <c r="F98" s="5">
        <v>12849576.2379255</v>
      </c>
      <c r="G98" s="5">
        <v>21639499.506627899</v>
      </c>
      <c r="H98" s="5">
        <v>31942633.729500402</v>
      </c>
      <c r="I98" s="5">
        <v>118805078.83885901</v>
      </c>
      <c r="J98" s="5">
        <v>14762777.2489329</v>
      </c>
      <c r="K98" s="5">
        <v>12812716.8988555</v>
      </c>
      <c r="L98" s="5">
        <v>22145860.764319699</v>
      </c>
      <c r="M98" s="5">
        <v>17828159.1284055</v>
      </c>
      <c r="N98" s="5">
        <v>15761817.349819399</v>
      </c>
      <c r="O98" s="5">
        <v>45208476.641446702</v>
      </c>
      <c r="P98" s="5">
        <v>13761364.439142199</v>
      </c>
      <c r="Q98" s="5">
        <v>26849907.074438699</v>
      </c>
      <c r="R98" s="5">
        <v>12891859.749954499</v>
      </c>
      <c r="S98" s="5">
        <v>29683966.405230202</v>
      </c>
      <c r="T98" s="5">
        <v>27325272.2128403</v>
      </c>
      <c r="U98" s="5">
        <v>10384944.619405299</v>
      </c>
      <c r="V98" s="5">
        <v>20404177.7560343</v>
      </c>
      <c r="W98" s="5">
        <v>9972422.7402701695</v>
      </c>
      <c r="X98" s="5">
        <v>24576463.401572101</v>
      </c>
      <c r="Y98" s="5">
        <v>40168273.550297096</v>
      </c>
      <c r="Z98" s="5">
        <v>12224507.1916239</v>
      </c>
      <c r="AA98" s="5">
        <v>33996596.2329579</v>
      </c>
      <c r="AB98" s="5">
        <v>19902165.527579401</v>
      </c>
      <c r="AC98" s="5">
        <v>22989093.5416601</v>
      </c>
      <c r="AD98" s="5">
        <v>23943121.222933799</v>
      </c>
      <c r="AE98" s="5">
        <v>20632920.287024502</v>
      </c>
      <c r="AF98" s="5">
        <v>21703985.498059802</v>
      </c>
      <c r="AG98">
        <f t="shared" si="5"/>
        <v>22317280.137419552</v>
      </c>
      <c r="AH98">
        <f t="shared" si="6"/>
        <v>1450044.9309996869</v>
      </c>
      <c r="AI98">
        <f t="shared" si="7"/>
        <v>6.4974088332940966E-2</v>
      </c>
    </row>
    <row r="99" spans="1:35" x14ac:dyDescent="0.45">
      <c r="A99" s="5" t="s">
        <v>113</v>
      </c>
      <c r="B99" s="2">
        <f t="shared" si="4"/>
        <v>7346091.9350065244</v>
      </c>
      <c r="C99" s="2">
        <v>8580791.7876713928</v>
      </c>
      <c r="D99" s="2">
        <v>9.1525799988129458E-2</v>
      </c>
      <c r="E99" s="5">
        <v>6418762.4983693203</v>
      </c>
      <c r="F99" s="5">
        <v>4475410.2040676596</v>
      </c>
      <c r="G99" s="5">
        <v>5208794.9079002803</v>
      </c>
      <c r="H99" s="5">
        <v>1940030.0353445399</v>
      </c>
      <c r="I99" s="5">
        <v>13016795.245422101</v>
      </c>
      <c r="J99" s="5">
        <v>3660462.9786385498</v>
      </c>
      <c r="K99" s="5">
        <v>5761769.5551946303</v>
      </c>
      <c r="L99" s="5">
        <v>8474375.8177183401</v>
      </c>
      <c r="M99" s="5">
        <v>12113115.6108617</v>
      </c>
      <c r="N99" s="5">
        <v>6337351.8689288301</v>
      </c>
      <c r="O99" s="5">
        <v>5298667.2457223898</v>
      </c>
      <c r="P99" s="5">
        <v>1951495.8312068</v>
      </c>
      <c r="Q99" s="5">
        <v>22571073.163979098</v>
      </c>
      <c r="R99" s="5">
        <v>2917480.8728425298</v>
      </c>
      <c r="S99" s="5">
        <v>4705445.93730783</v>
      </c>
      <c r="T99" s="5">
        <v>2730261.49176133</v>
      </c>
      <c r="U99" s="5">
        <v>6597712.8396255402</v>
      </c>
      <c r="V99" s="5">
        <v>9596455.1201408207</v>
      </c>
      <c r="W99" s="5">
        <v>5184635.3833392998</v>
      </c>
      <c r="X99" s="5">
        <v>3644166.49024656</v>
      </c>
      <c r="Y99" s="5">
        <v>15363635.7247515</v>
      </c>
      <c r="Z99" s="5">
        <v>5493967.1352055501</v>
      </c>
      <c r="AA99" s="5">
        <v>10113319.601871699</v>
      </c>
      <c r="AB99" s="5">
        <v>12731020.8797097</v>
      </c>
      <c r="AC99" s="5">
        <v>9576716.1553889904</v>
      </c>
      <c r="AD99" s="5">
        <v>7656003.0270895297</v>
      </c>
      <c r="AE99" s="5">
        <v>8564708.7840783093</v>
      </c>
      <c r="AF99" s="5">
        <v>8525739.1841287408</v>
      </c>
      <c r="AG99">
        <f t="shared" si="5"/>
        <v>8580791.7876713928</v>
      </c>
      <c r="AH99">
        <f t="shared" si="6"/>
        <v>785363.83289819572</v>
      </c>
      <c r="AI99">
        <f t="shared" si="7"/>
        <v>9.1525799988129458E-2</v>
      </c>
    </row>
    <row r="100" spans="1:35" x14ac:dyDescent="0.45">
      <c r="A100" s="5" t="s">
        <v>114</v>
      </c>
      <c r="B100" s="2">
        <f t="shared" si="4"/>
        <v>121729758.07430661</v>
      </c>
      <c r="C100" s="2">
        <v>99533505.696999997</v>
      </c>
      <c r="D100" s="2">
        <v>7.5560658341190329E-2</v>
      </c>
      <c r="E100" s="5">
        <v>134196225.391022</v>
      </c>
      <c r="F100" s="5">
        <v>120974817.79901101</v>
      </c>
      <c r="G100" s="5">
        <v>74535026.202396199</v>
      </c>
      <c r="H100" s="5">
        <v>155042686.21457699</v>
      </c>
      <c r="I100" s="5">
        <v>97243318.355477706</v>
      </c>
      <c r="J100" s="5">
        <v>138114427.45748299</v>
      </c>
      <c r="K100" s="5">
        <v>94312315.512649104</v>
      </c>
      <c r="L100" s="5">
        <v>107061760.128612</v>
      </c>
      <c r="M100" s="5">
        <v>83030585.516431496</v>
      </c>
      <c r="N100" s="5">
        <v>110194392.184624</v>
      </c>
      <c r="O100" s="5">
        <v>235658444.62035099</v>
      </c>
      <c r="P100" s="5">
        <v>130002245.915989</v>
      </c>
      <c r="Q100" s="5">
        <v>88002172.465365499</v>
      </c>
      <c r="R100" s="5">
        <v>183102564.130229</v>
      </c>
      <c r="S100" s="5">
        <v>76845091.9368774</v>
      </c>
      <c r="T100" s="5">
        <v>126616202.33033</v>
      </c>
      <c r="U100" s="5">
        <v>144537265.44825199</v>
      </c>
      <c r="V100" s="5">
        <v>123852172.59091599</v>
      </c>
      <c r="W100" s="5">
        <v>172142335.778873</v>
      </c>
      <c r="X100" s="5">
        <v>181723144.37954</v>
      </c>
      <c r="Y100" s="5">
        <v>71245447.136014104</v>
      </c>
      <c r="Z100" s="5">
        <v>107196150.911192</v>
      </c>
      <c r="AA100" s="5">
        <v>86983309.765948102</v>
      </c>
      <c r="AB100" s="5">
        <v>78902091.611197993</v>
      </c>
      <c r="AC100" s="5">
        <v>88338363.692903996</v>
      </c>
      <c r="AD100" s="5">
        <v>102487958.796841</v>
      </c>
      <c r="AE100" s="5">
        <v>104568617.998496</v>
      </c>
      <c r="AF100" s="5">
        <v>102739082.299759</v>
      </c>
      <c r="AG100">
        <f t="shared" si="5"/>
        <v>99533505.696999997</v>
      </c>
      <c r="AH100">
        <f t="shared" si="6"/>
        <v>7520817.2174719376</v>
      </c>
      <c r="AI100">
        <f t="shared" si="7"/>
        <v>7.5560658341190329E-2</v>
      </c>
    </row>
    <row r="101" spans="1:35" x14ac:dyDescent="0.45">
      <c r="A101" s="5" t="s">
        <v>351</v>
      </c>
      <c r="B101" s="2">
        <f t="shared" si="4"/>
        <v>169321514.18589213</v>
      </c>
      <c r="C101" s="2">
        <v>148993890.93097228</v>
      </c>
      <c r="D101" s="2">
        <v>3.9896913454285511E-2</v>
      </c>
      <c r="E101" s="5">
        <v>224895235.16710499</v>
      </c>
      <c r="F101" s="5">
        <v>77147015.078442499</v>
      </c>
      <c r="G101" s="5">
        <v>202460450.02144399</v>
      </c>
      <c r="H101" s="5">
        <v>213737463.83918101</v>
      </c>
      <c r="I101" s="5">
        <v>289603389.61424297</v>
      </c>
      <c r="J101" s="5">
        <v>103059386.078668</v>
      </c>
      <c r="K101" s="5">
        <v>60238982.839937903</v>
      </c>
      <c r="L101" s="5">
        <v>194065402.39021301</v>
      </c>
      <c r="M101" s="5">
        <v>196481457.25608301</v>
      </c>
      <c r="N101" s="5">
        <v>121503674.71062399</v>
      </c>
      <c r="O101" s="5">
        <v>346356643.87257802</v>
      </c>
      <c r="P101" s="5">
        <v>299148108.46672899</v>
      </c>
      <c r="Q101" s="5">
        <v>187660457.82897401</v>
      </c>
      <c r="R101" s="5">
        <v>149132616.81156701</v>
      </c>
      <c r="S101" s="5">
        <v>51904109.567239001</v>
      </c>
      <c r="T101" s="5">
        <v>134843191.35451099</v>
      </c>
      <c r="U101" s="5">
        <v>213417401.26374599</v>
      </c>
      <c r="V101" s="5">
        <v>94471363.632460296</v>
      </c>
      <c r="W101" s="5">
        <v>189101626.557174</v>
      </c>
      <c r="X101" s="5">
        <v>269175586.71267802</v>
      </c>
      <c r="Y101" s="5">
        <v>254723108.784953</v>
      </c>
      <c r="Z101" s="5">
        <v>147159787.15571699</v>
      </c>
      <c r="AA101" s="5">
        <v>28955433.944042102</v>
      </c>
      <c r="AB101" s="5">
        <v>14474447.513101799</v>
      </c>
      <c r="AC101" s="5">
        <v>149112183.24911201</v>
      </c>
      <c r="AD101" s="5">
        <v>146553940.35724401</v>
      </c>
      <c r="AE101" s="5">
        <v>157131293.152652</v>
      </c>
      <c r="AF101" s="5">
        <v>143178146.964881</v>
      </c>
      <c r="AG101">
        <f t="shared" si="5"/>
        <v>148993890.93097228</v>
      </c>
      <c r="AH101">
        <f t="shared" si="6"/>
        <v>5944396.3716902556</v>
      </c>
      <c r="AI101">
        <f t="shared" si="7"/>
        <v>3.9896913454285511E-2</v>
      </c>
    </row>
    <row r="102" spans="1:35" x14ac:dyDescent="0.45">
      <c r="A102" s="5" t="s">
        <v>289</v>
      </c>
      <c r="B102" s="2">
        <f t="shared" si="4"/>
        <v>47096447.152755558</v>
      </c>
      <c r="C102" s="2">
        <v>42177067.507261299</v>
      </c>
      <c r="D102" s="2">
        <v>6.7677858966477294E-2</v>
      </c>
      <c r="E102" s="5">
        <v>39752251.364083402</v>
      </c>
      <c r="F102" s="5">
        <v>38583204.6981989</v>
      </c>
      <c r="G102" s="5">
        <v>69511722.015686706</v>
      </c>
      <c r="H102" s="5">
        <v>45600881.498236597</v>
      </c>
      <c r="I102" s="5">
        <v>17579452.309742399</v>
      </c>
      <c r="J102" s="5">
        <v>11065936.0880465</v>
      </c>
      <c r="K102" s="5">
        <v>41553519.254277602</v>
      </c>
      <c r="L102" s="5">
        <v>46528421.835774101</v>
      </c>
      <c r="M102" s="5">
        <v>47566842.341463901</v>
      </c>
      <c r="N102" s="5">
        <v>43164748.2100356</v>
      </c>
      <c r="O102" s="5">
        <v>6334289.8589498196</v>
      </c>
      <c r="P102" s="5">
        <v>64155722.1812336</v>
      </c>
      <c r="Q102" s="5">
        <v>82283348.142222598</v>
      </c>
      <c r="R102" s="5">
        <v>45686712.655563302</v>
      </c>
      <c r="S102" s="5">
        <v>88754942.165201396</v>
      </c>
      <c r="T102" s="5">
        <v>58082237.527580298</v>
      </c>
      <c r="U102" s="5">
        <v>27551306.668241698</v>
      </c>
      <c r="V102" s="5">
        <v>32094708.797551699</v>
      </c>
      <c r="W102" s="5">
        <v>76720435.111889496</v>
      </c>
      <c r="X102" s="5">
        <v>59756156.542521797</v>
      </c>
      <c r="Y102" s="5">
        <v>49727263.543170802</v>
      </c>
      <c r="Z102" s="5">
        <v>42588660.646888599</v>
      </c>
      <c r="AA102" s="5">
        <v>53738981.2330475</v>
      </c>
      <c r="AB102" s="5">
        <v>41932986.9765248</v>
      </c>
      <c r="AC102" s="5">
        <v>43867519.737152003</v>
      </c>
      <c r="AD102" s="5">
        <v>38044599.332059696</v>
      </c>
      <c r="AE102" s="5">
        <v>44271881.412667498</v>
      </c>
      <c r="AF102" s="5">
        <v>42524269.547165997</v>
      </c>
      <c r="AG102">
        <f t="shared" si="5"/>
        <v>42177067.507261299</v>
      </c>
      <c r="AH102">
        <f t="shared" si="6"/>
        <v>2854453.6263760221</v>
      </c>
      <c r="AI102">
        <f t="shared" si="7"/>
        <v>6.7677858966477294E-2</v>
      </c>
    </row>
    <row r="103" spans="1:35" x14ac:dyDescent="0.45">
      <c r="A103" s="5" t="s">
        <v>438</v>
      </c>
      <c r="B103" s="2">
        <f t="shared" si="4"/>
        <v>1815959301.2268791</v>
      </c>
      <c r="C103" s="2">
        <v>1832690764.4537101</v>
      </c>
      <c r="D103" s="2">
        <v>1.5805191763429153E-2</v>
      </c>
      <c r="E103" s="5">
        <v>187051558.917447</v>
      </c>
      <c r="F103" s="5">
        <v>1370227922.5850501</v>
      </c>
      <c r="G103" s="5">
        <v>2205497970.3493299</v>
      </c>
      <c r="H103" s="5">
        <v>147556990.161899</v>
      </c>
      <c r="I103" s="5">
        <v>2593924622.1939502</v>
      </c>
      <c r="J103" s="5">
        <v>1912875045.5678699</v>
      </c>
      <c r="K103" s="5">
        <v>346243813.14264399</v>
      </c>
      <c r="L103" s="5">
        <v>264966296.338936</v>
      </c>
      <c r="M103" s="5">
        <v>1515266880.4154501</v>
      </c>
      <c r="N103" s="5">
        <v>845103367.03894901</v>
      </c>
      <c r="O103" s="5">
        <v>6701753777.1187601</v>
      </c>
      <c r="P103" s="5">
        <v>2629031179.77946</v>
      </c>
      <c r="Q103" s="5">
        <v>2800605513.70155</v>
      </c>
      <c r="R103" s="5">
        <v>452898340.67804497</v>
      </c>
      <c r="S103" s="5">
        <v>219959714.24070999</v>
      </c>
      <c r="T103" s="5">
        <v>3658772937.8090601</v>
      </c>
      <c r="U103" s="5">
        <v>2691751383.1387801</v>
      </c>
      <c r="V103" s="5">
        <v>1476703360.3822801</v>
      </c>
      <c r="W103" s="5">
        <v>2936018493.42241</v>
      </c>
      <c r="X103" s="5">
        <v>1744860130.2212901</v>
      </c>
      <c r="Y103" s="5">
        <v>2982150554.0817399</v>
      </c>
      <c r="Z103" s="5">
        <v>3276430472.90412</v>
      </c>
      <c r="AA103" s="5">
        <v>264843143.39647201</v>
      </c>
      <c r="AB103" s="5">
        <v>358529761.858899</v>
      </c>
      <c r="AC103" s="5">
        <v>1806967977.5801599</v>
      </c>
      <c r="AD103" s="5">
        <v>1865008123.9900401</v>
      </c>
      <c r="AE103" s="5">
        <v>1849258960.96998</v>
      </c>
      <c r="AF103" s="5">
        <v>1809527995.2746601</v>
      </c>
      <c r="AG103">
        <f t="shared" si="5"/>
        <v>1832690764.4537101</v>
      </c>
      <c r="AH103">
        <f t="shared" si="6"/>
        <v>28966028.975256458</v>
      </c>
      <c r="AI103">
        <f t="shared" si="7"/>
        <v>1.5805191763429153E-2</v>
      </c>
    </row>
    <row r="104" spans="1:35" x14ac:dyDescent="0.45">
      <c r="A104" s="5" t="s">
        <v>115</v>
      </c>
      <c r="B104" s="2">
        <f t="shared" si="4"/>
        <v>74732581.169007704</v>
      </c>
      <c r="C104" s="2">
        <v>62983630.974049322</v>
      </c>
      <c r="D104" s="2">
        <v>4.7070243862322336E-2</v>
      </c>
      <c r="E104" s="5">
        <v>30165502.230822898</v>
      </c>
      <c r="F104" s="5">
        <v>56881365.581625499</v>
      </c>
      <c r="G104" s="5">
        <v>41769648.2857152</v>
      </c>
      <c r="H104" s="5">
        <v>52150406.067462102</v>
      </c>
      <c r="I104" s="5">
        <v>79199076.387386993</v>
      </c>
      <c r="J104" s="5">
        <v>46872887.781011902</v>
      </c>
      <c r="K104" s="5">
        <v>84801825.174881294</v>
      </c>
      <c r="L104" s="5">
        <v>26352188.323649101</v>
      </c>
      <c r="M104" s="5">
        <v>48985415.564163499</v>
      </c>
      <c r="N104" s="5">
        <v>97720236.294015795</v>
      </c>
      <c r="O104" s="5">
        <v>337949906.40893501</v>
      </c>
      <c r="P104" s="5">
        <v>76399783.143487602</v>
      </c>
      <c r="Q104" s="5">
        <v>75290869.437805504</v>
      </c>
      <c r="R104" s="5">
        <v>49172549.164793402</v>
      </c>
      <c r="S104" s="5">
        <v>99872750.818078801</v>
      </c>
      <c r="T104" s="5">
        <v>142249592.21183199</v>
      </c>
      <c r="U104" s="5">
        <v>64184957.585930899</v>
      </c>
      <c r="V104" s="5">
        <v>62722212.355601497</v>
      </c>
      <c r="W104" s="5">
        <v>94292857.9551934</v>
      </c>
      <c r="X104" s="5">
        <v>44312722.254862197</v>
      </c>
      <c r="Y104" s="5">
        <v>34863162.235087201</v>
      </c>
      <c r="Z104" s="5">
        <v>38796223.638159499</v>
      </c>
      <c r="AA104" s="5">
        <v>75805948.2975595</v>
      </c>
      <c r="AB104" s="5">
        <v>32769860.8581242</v>
      </c>
      <c r="AC104" s="5">
        <v>65335021.753970496</v>
      </c>
      <c r="AD104" s="5">
        <v>65418667.351215698</v>
      </c>
      <c r="AE104" s="5">
        <v>61904600.080450103</v>
      </c>
      <c r="AF104" s="5">
        <v>59276234.710561</v>
      </c>
      <c r="AG104">
        <f t="shared" si="5"/>
        <v>62983630.974049322</v>
      </c>
      <c r="AH104">
        <f t="shared" si="6"/>
        <v>2964654.86928302</v>
      </c>
      <c r="AI104">
        <f t="shared" si="7"/>
        <v>4.7070243862322336E-2</v>
      </c>
    </row>
    <row r="105" spans="1:35" x14ac:dyDescent="0.45">
      <c r="A105" s="5" t="s">
        <v>374</v>
      </c>
      <c r="B105" s="2">
        <f t="shared" si="4"/>
        <v>102376429.16820307</v>
      </c>
      <c r="C105" s="2">
        <v>89705684.254246891</v>
      </c>
      <c r="D105" s="2">
        <v>2.987238307620263E-2</v>
      </c>
      <c r="E105" s="5">
        <v>26899768.892090902</v>
      </c>
      <c r="F105" s="5">
        <v>38114306.704362698</v>
      </c>
      <c r="G105" s="5">
        <v>54768203.351768903</v>
      </c>
      <c r="H105" s="5">
        <v>155772677.36123499</v>
      </c>
      <c r="I105" s="5">
        <v>189107573.10385799</v>
      </c>
      <c r="J105" s="5">
        <v>129774484.763172</v>
      </c>
      <c r="K105" s="5">
        <v>46804840.516477503</v>
      </c>
      <c r="L105" s="5">
        <v>56939099.049799003</v>
      </c>
      <c r="M105" s="5">
        <v>89210188.898777798</v>
      </c>
      <c r="N105" s="5">
        <v>56859912.525573097</v>
      </c>
      <c r="O105" s="5">
        <v>433151720.905536</v>
      </c>
      <c r="P105" s="5">
        <v>45393282.236923598</v>
      </c>
      <c r="Q105" s="5">
        <v>168307278.74213701</v>
      </c>
      <c r="R105" s="5">
        <v>55714954.808815002</v>
      </c>
      <c r="S105" s="5">
        <v>72558775.4468638</v>
      </c>
      <c r="T105" s="5">
        <v>221673819.20947099</v>
      </c>
      <c r="U105" s="5">
        <v>73354497.152584195</v>
      </c>
      <c r="V105" s="5">
        <v>57049363.205602199</v>
      </c>
      <c r="W105" s="5">
        <v>70709590.602269202</v>
      </c>
      <c r="X105" s="5">
        <v>85242432.3620231</v>
      </c>
      <c r="Y105" s="5">
        <v>132653503.78138199</v>
      </c>
      <c r="Z105" s="5">
        <v>58540940.603177398</v>
      </c>
      <c r="AA105" s="5">
        <v>98906898.626752198</v>
      </c>
      <c r="AB105" s="5">
        <v>39526187.186221898</v>
      </c>
      <c r="AC105" s="5">
        <v>88067295.603287295</v>
      </c>
      <c r="AD105" s="5">
        <v>87196485.400928497</v>
      </c>
      <c r="AE105" s="5">
        <v>93186798.466094196</v>
      </c>
      <c r="AF105" s="5">
        <v>90372157.546677604</v>
      </c>
      <c r="AG105">
        <f t="shared" si="5"/>
        <v>89705684.254246891</v>
      </c>
      <c r="AH105">
        <f t="shared" si="6"/>
        <v>2679722.5641557416</v>
      </c>
      <c r="AI105">
        <f t="shared" si="7"/>
        <v>2.987238307620263E-2</v>
      </c>
    </row>
    <row r="106" spans="1:35" x14ac:dyDescent="0.45">
      <c r="A106" s="5" t="s">
        <v>116</v>
      </c>
      <c r="B106" s="2">
        <f t="shared" si="4"/>
        <v>9948057.7572034672</v>
      </c>
      <c r="C106" s="2">
        <v>8912458.3488248475</v>
      </c>
      <c r="D106" s="2">
        <v>4.9647350673473097E-2</v>
      </c>
      <c r="E106" s="5">
        <v>14103365.1967989</v>
      </c>
      <c r="F106" s="5">
        <v>9522634.6309255008</v>
      </c>
      <c r="G106" s="5">
        <v>8961020.0795134604</v>
      </c>
      <c r="H106" s="5">
        <v>14417566.454902301</v>
      </c>
      <c r="I106" s="5">
        <v>10191463.924862901</v>
      </c>
      <c r="J106" s="5">
        <v>6929945.4517520899</v>
      </c>
      <c r="K106" s="5">
        <v>9956325.3403736092</v>
      </c>
      <c r="L106" s="5">
        <v>13993672.684250301</v>
      </c>
      <c r="M106" s="5">
        <v>9139796.6896889899</v>
      </c>
      <c r="N106" s="5">
        <v>13154133.3882348</v>
      </c>
      <c r="O106" s="5">
        <v>2343165.1581918299</v>
      </c>
      <c r="P106" s="5">
        <v>8288906.3419010602</v>
      </c>
      <c r="Q106" s="5">
        <v>8034112.4004921997</v>
      </c>
      <c r="R106" s="5">
        <v>10792405.5131716</v>
      </c>
      <c r="S106" s="5">
        <v>13395126.979700699</v>
      </c>
      <c r="T106" s="5">
        <v>11074903.028266501</v>
      </c>
      <c r="U106" s="5">
        <v>12442880.3298919</v>
      </c>
      <c r="V106" s="5">
        <v>2886047.7151734801</v>
      </c>
      <c r="W106" s="5">
        <v>11544865.7315915</v>
      </c>
      <c r="X106" s="5">
        <v>6925622.9017668897</v>
      </c>
      <c r="Y106" s="5">
        <v>8583617.3897351492</v>
      </c>
      <c r="Z106" s="5">
        <v>11821566.2727786</v>
      </c>
      <c r="AA106" s="5">
        <v>10287038.921188099</v>
      </c>
      <c r="AB106" s="5">
        <v>9963203.6477308795</v>
      </c>
      <c r="AC106" s="5">
        <v>8424063.6105785798</v>
      </c>
      <c r="AD106" s="5">
        <v>8651895.5113015305</v>
      </c>
      <c r="AE106" s="5">
        <v>9271536.3671903405</v>
      </c>
      <c r="AF106" s="5">
        <v>9302337.9062289391</v>
      </c>
      <c r="AG106">
        <f t="shared" si="5"/>
        <v>8912458.3488248475</v>
      </c>
      <c r="AH106">
        <f t="shared" si="6"/>
        <v>442479.94500683021</v>
      </c>
      <c r="AI106">
        <f t="shared" si="7"/>
        <v>4.9647350673473097E-2</v>
      </c>
    </row>
    <row r="107" spans="1:35" x14ac:dyDescent="0.45">
      <c r="A107" s="5" t="s">
        <v>117</v>
      </c>
      <c r="B107" s="2">
        <f t="shared" si="4"/>
        <v>548869025.72340977</v>
      </c>
      <c r="C107" s="2">
        <v>549764139.77843404</v>
      </c>
      <c r="D107" s="2">
        <v>5.9931131110015447E-2</v>
      </c>
      <c r="E107" s="5">
        <v>631727956.18437004</v>
      </c>
      <c r="F107" s="5">
        <v>503551327.33189702</v>
      </c>
      <c r="G107" s="5">
        <v>262260137.64129499</v>
      </c>
      <c r="H107" s="5">
        <v>109385803.126734</v>
      </c>
      <c r="I107" s="5">
        <v>799997642.45778501</v>
      </c>
      <c r="J107" s="5">
        <v>1076028105.9093001</v>
      </c>
      <c r="K107" s="5">
        <v>446435633.62095797</v>
      </c>
      <c r="L107" s="5">
        <v>359162303.55924702</v>
      </c>
      <c r="M107" s="5">
        <v>1626406899.08974</v>
      </c>
      <c r="N107" s="5">
        <v>133154155.849024</v>
      </c>
      <c r="O107" s="5">
        <v>308949812.95580101</v>
      </c>
      <c r="P107" s="5">
        <v>259938282.27386701</v>
      </c>
      <c r="Q107" s="5">
        <v>456634824.03798401</v>
      </c>
      <c r="R107" s="5">
        <v>286597499.14250499</v>
      </c>
      <c r="S107" s="5">
        <v>206746864.866061</v>
      </c>
      <c r="T107" s="5">
        <v>871472510.30868399</v>
      </c>
      <c r="U107" s="5">
        <v>1463781355.5395601</v>
      </c>
      <c r="V107" s="5">
        <v>418368408.933658</v>
      </c>
      <c r="W107" s="5">
        <v>289092546.85188901</v>
      </c>
      <c r="X107" s="5">
        <v>937414020.24586105</v>
      </c>
      <c r="Y107" s="5">
        <v>162039164.43361199</v>
      </c>
      <c r="Z107" s="5">
        <v>735351063.08543301</v>
      </c>
      <c r="AA107" s="5">
        <v>624480587.00917006</v>
      </c>
      <c r="AB107" s="5">
        <v>203879712.90739799</v>
      </c>
      <c r="AC107" s="5">
        <v>517851024.83007401</v>
      </c>
      <c r="AD107" s="5">
        <v>529444771.82300001</v>
      </c>
      <c r="AE107" s="5">
        <v>591067048.66960597</v>
      </c>
      <c r="AF107" s="5">
        <v>560693713.79105604</v>
      </c>
      <c r="AG107">
        <f t="shared" si="5"/>
        <v>549764139.77843404</v>
      </c>
      <c r="AH107">
        <f t="shared" si="6"/>
        <v>32947986.740646187</v>
      </c>
      <c r="AI107">
        <f t="shared" si="7"/>
        <v>5.9931131110015447E-2</v>
      </c>
    </row>
    <row r="108" spans="1:35" x14ac:dyDescent="0.45">
      <c r="A108" s="5" t="s">
        <v>118</v>
      </c>
      <c r="B108" s="2">
        <f t="shared" si="4"/>
        <v>9891161.0742452629</v>
      </c>
      <c r="C108" s="2">
        <v>9263375.151429221</v>
      </c>
      <c r="D108" s="2">
        <v>8.2889618053674272E-2</v>
      </c>
      <c r="E108" s="5">
        <v>11498455.260539301</v>
      </c>
      <c r="F108" s="5">
        <v>7687325.4991361704</v>
      </c>
      <c r="G108" s="5">
        <v>7220979.4582283599</v>
      </c>
      <c r="H108" s="5">
        <v>8244876.7385107996</v>
      </c>
      <c r="I108" s="5">
        <v>12646849.7492474</v>
      </c>
      <c r="J108" s="5">
        <v>8787527.29758141</v>
      </c>
      <c r="K108" s="5">
        <v>7657743.2880175496</v>
      </c>
      <c r="L108" s="5">
        <v>10494267.046298699</v>
      </c>
      <c r="M108" s="5">
        <v>18063755.953988899</v>
      </c>
      <c r="N108" s="5">
        <v>8159858.8274041601</v>
      </c>
      <c r="O108" s="5">
        <v>14434543.436476</v>
      </c>
      <c r="P108" s="5">
        <v>8310440.8079351801</v>
      </c>
      <c r="Q108" s="5">
        <v>9882321.9536822997</v>
      </c>
      <c r="R108" s="5">
        <v>8944823.8580288105</v>
      </c>
      <c r="S108" s="5">
        <v>7645117.7641048301</v>
      </c>
      <c r="T108" s="5">
        <v>4519325.8993883803</v>
      </c>
      <c r="U108" s="5">
        <v>13251564.907524999</v>
      </c>
      <c r="V108" s="5">
        <v>10369397.1287349</v>
      </c>
      <c r="W108" s="5">
        <v>6614542.1289719203</v>
      </c>
      <c r="X108" s="5">
        <v>9964073.9760832302</v>
      </c>
      <c r="Y108" s="5">
        <v>12336834.397218799</v>
      </c>
      <c r="Z108" s="5">
        <v>10613968.406868599</v>
      </c>
      <c r="AA108" s="5">
        <v>11767916.452277601</v>
      </c>
      <c r="AB108" s="5">
        <v>8271355.5456380202</v>
      </c>
      <c r="AC108" s="5">
        <v>8726032.8351258896</v>
      </c>
      <c r="AD108" s="5">
        <v>10111175.853913199</v>
      </c>
      <c r="AE108" s="5">
        <v>9705234.2554086093</v>
      </c>
      <c r="AF108" s="5">
        <v>8511057.6612691898</v>
      </c>
      <c r="AG108">
        <f t="shared" si="5"/>
        <v>9263375.151429221</v>
      </c>
      <c r="AH108">
        <f t="shared" si="6"/>
        <v>767837.62818986515</v>
      </c>
      <c r="AI108">
        <f t="shared" si="7"/>
        <v>8.2889618053674272E-2</v>
      </c>
    </row>
    <row r="109" spans="1:35" x14ac:dyDescent="0.45">
      <c r="A109" s="5" t="s">
        <v>119</v>
      </c>
      <c r="B109" s="2">
        <f t="shared" si="4"/>
        <v>15014869.724845171</v>
      </c>
      <c r="C109" s="2">
        <v>15496275.454702076</v>
      </c>
      <c r="D109" s="2">
        <v>0.15129758205679666</v>
      </c>
      <c r="E109" s="5">
        <v>21014594.526540998</v>
      </c>
      <c r="F109" s="5">
        <v>21411682.937663101</v>
      </c>
      <c r="G109" s="5">
        <v>19176507.4469372</v>
      </c>
      <c r="H109" s="5">
        <v>10702037.013055701</v>
      </c>
      <c r="I109" s="5">
        <v>23821426.325782999</v>
      </c>
      <c r="J109" s="5">
        <v>15113517.418284699</v>
      </c>
      <c r="K109" s="5">
        <v>22681253.1818422</v>
      </c>
      <c r="L109" s="5">
        <v>12769522.693406399</v>
      </c>
      <c r="M109" s="5">
        <v>16661432.866822399</v>
      </c>
      <c r="N109" s="5">
        <v>17586099.5205734</v>
      </c>
      <c r="O109" s="5">
        <v>3193647.7384375501</v>
      </c>
      <c r="P109" s="5">
        <v>14112424.933139401</v>
      </c>
      <c r="Q109" s="5">
        <v>15403271.078619899</v>
      </c>
      <c r="R109" s="5">
        <v>5601523.4881211501</v>
      </c>
      <c r="S109" s="5">
        <v>12709433.1976522</v>
      </c>
      <c r="T109" s="5">
        <v>4770018.2747352002</v>
      </c>
      <c r="U109" s="5">
        <v>18710484.027486201</v>
      </c>
      <c r="V109" s="5">
        <v>7785338.0188199002</v>
      </c>
      <c r="W109" s="5">
        <v>16071355.5661211</v>
      </c>
      <c r="X109" s="5">
        <v>5868101.5491004903</v>
      </c>
      <c r="Y109" s="5">
        <v>21576148.66336</v>
      </c>
      <c r="Z109" s="5">
        <v>11527670.7474172</v>
      </c>
      <c r="AA109" s="5">
        <v>21221688.211203199</v>
      </c>
      <c r="AB109" s="5">
        <v>20867693.971161399</v>
      </c>
      <c r="AC109" s="5">
        <v>14998102.109983001</v>
      </c>
      <c r="AD109" s="5">
        <v>12380458.346072599</v>
      </c>
      <c r="AE109" s="5">
        <v>17259832.754528701</v>
      </c>
      <c r="AF109" s="5">
        <v>17346708.608224001</v>
      </c>
      <c r="AG109">
        <f t="shared" si="5"/>
        <v>15496275.454702076</v>
      </c>
      <c r="AH109">
        <f t="shared" si="6"/>
        <v>2344549.0071825115</v>
      </c>
      <c r="AI109">
        <f t="shared" si="7"/>
        <v>0.15129758205679666</v>
      </c>
    </row>
    <row r="110" spans="1:35" x14ac:dyDescent="0.45">
      <c r="A110" s="5" t="s">
        <v>120</v>
      </c>
      <c r="B110" s="2">
        <f t="shared" si="4"/>
        <v>31168081.740239725</v>
      </c>
      <c r="C110" s="2">
        <v>29578073.097905327</v>
      </c>
      <c r="D110" s="2">
        <v>3.5669012965543742E-2</v>
      </c>
      <c r="E110" s="5">
        <v>35235629.967603602</v>
      </c>
      <c r="F110" s="5">
        <v>34720700.074644499</v>
      </c>
      <c r="G110" s="5">
        <v>31940586.604459401</v>
      </c>
      <c r="H110" s="5">
        <v>29772795.177372798</v>
      </c>
      <c r="I110" s="5">
        <v>24569301.835496798</v>
      </c>
      <c r="J110" s="5">
        <v>29859226.192855299</v>
      </c>
      <c r="K110" s="5">
        <v>36156937.128966101</v>
      </c>
      <c r="L110" s="5">
        <v>24245413.002316002</v>
      </c>
      <c r="M110" s="5">
        <v>34941289.437463999</v>
      </c>
      <c r="N110" s="5">
        <v>29396841.347098202</v>
      </c>
      <c r="O110" s="5">
        <v>14115905.538664401</v>
      </c>
      <c r="P110" s="5">
        <v>40110906.679632597</v>
      </c>
      <c r="Q110" s="5">
        <v>30675074.515165102</v>
      </c>
      <c r="R110" s="5">
        <v>30139773.621511199</v>
      </c>
      <c r="S110" s="5">
        <v>36643330.403856099</v>
      </c>
      <c r="T110" s="5">
        <v>21089959.6962975</v>
      </c>
      <c r="U110" s="5">
        <v>31000680.821174499</v>
      </c>
      <c r="V110" s="5">
        <v>33441072.084619898</v>
      </c>
      <c r="W110" s="5">
        <v>24426326.919952601</v>
      </c>
      <c r="X110" s="5">
        <v>42762426.498927198</v>
      </c>
      <c r="Y110" s="5">
        <v>31395168.897546802</v>
      </c>
      <c r="Z110" s="5">
        <v>35639731.621818498</v>
      </c>
      <c r="AA110" s="5">
        <v>28978234.0531202</v>
      </c>
      <c r="AB110" s="5">
        <v>36776649.645189904</v>
      </c>
      <c r="AC110" s="5">
        <v>30140937.446603499</v>
      </c>
      <c r="AD110" s="5">
        <v>28717032.1219869</v>
      </c>
      <c r="AE110" s="5">
        <v>28669677.753838401</v>
      </c>
      <c r="AF110" s="5">
        <v>30784645.069192499</v>
      </c>
      <c r="AG110">
        <f t="shared" si="5"/>
        <v>29578073.097905327</v>
      </c>
      <c r="AH110">
        <f t="shared" si="6"/>
        <v>1055020.6728249856</v>
      </c>
      <c r="AI110">
        <f t="shared" si="7"/>
        <v>3.5669012965543742E-2</v>
      </c>
    </row>
    <row r="111" spans="1:35" x14ac:dyDescent="0.45">
      <c r="A111" s="5" t="s">
        <v>121</v>
      </c>
      <c r="B111" s="2">
        <f t="shared" si="4"/>
        <v>6090363.9825026952</v>
      </c>
      <c r="C111" s="2">
        <v>5481069.4046664825</v>
      </c>
      <c r="D111" s="2">
        <v>5.8756423686524138E-2</v>
      </c>
      <c r="E111" s="5">
        <v>3281100.22432577</v>
      </c>
      <c r="F111" s="5">
        <v>4324829.4029494701</v>
      </c>
      <c r="G111" s="5">
        <v>3904976.0323243998</v>
      </c>
      <c r="H111" s="5">
        <v>18666566.932257101</v>
      </c>
      <c r="I111" s="5">
        <v>4826414.4769834299</v>
      </c>
      <c r="J111" s="5">
        <v>7393052.0057249302</v>
      </c>
      <c r="K111" s="5">
        <v>3910569.0669222502</v>
      </c>
      <c r="L111" s="5">
        <v>4765777.2727580899</v>
      </c>
      <c r="M111" s="5">
        <v>507097.54510601598</v>
      </c>
      <c r="N111" s="5">
        <v>13131572.8470465</v>
      </c>
      <c r="O111" s="5">
        <v>7652705.4146282598</v>
      </c>
      <c r="P111" s="5">
        <v>15897162.268498899</v>
      </c>
      <c r="Q111" s="5">
        <v>3956756.0606252002</v>
      </c>
      <c r="R111" s="5">
        <v>8646119.7106424104</v>
      </c>
      <c r="S111" s="5">
        <v>3745385.8425276801</v>
      </c>
      <c r="T111" s="5">
        <v>2519998.6450687801</v>
      </c>
      <c r="U111" s="5">
        <v>5105039.1531683896</v>
      </c>
      <c r="V111" s="5">
        <v>7356977.4609611603</v>
      </c>
      <c r="W111" s="5">
        <v>5466834.27645755</v>
      </c>
      <c r="X111" s="5">
        <v>3743187.38580616</v>
      </c>
      <c r="Y111" s="5">
        <v>3733934.2270647599</v>
      </c>
      <c r="Z111" s="5">
        <v>4571537.5185535802</v>
      </c>
      <c r="AA111" s="5">
        <v>4035292.2499761698</v>
      </c>
      <c r="AB111" s="5">
        <v>5025849.5596877597</v>
      </c>
      <c r="AC111" s="5">
        <v>5488107.3217796404</v>
      </c>
      <c r="AD111" s="5">
        <v>5809223.3067461802</v>
      </c>
      <c r="AE111" s="5">
        <v>5042149.4090599502</v>
      </c>
      <c r="AF111" s="5">
        <v>5584797.5810801601</v>
      </c>
      <c r="AG111">
        <f t="shared" si="5"/>
        <v>5481069.4046664825</v>
      </c>
      <c r="AH111">
        <f t="shared" si="6"/>
        <v>322048.03619582846</v>
      </c>
      <c r="AI111">
        <f t="shared" si="7"/>
        <v>5.8756423686524138E-2</v>
      </c>
    </row>
    <row r="112" spans="1:35" x14ac:dyDescent="0.45">
      <c r="A112" s="5" t="s">
        <v>122</v>
      </c>
      <c r="B112" s="2">
        <f t="shared" si="4"/>
        <v>5528067.8436842533</v>
      </c>
      <c r="C112" s="2">
        <v>5566171.5308726327</v>
      </c>
      <c r="D112" s="2">
        <v>2.998327183035757E-2</v>
      </c>
      <c r="E112" s="5">
        <v>7969994.8119786801</v>
      </c>
      <c r="F112" s="5">
        <v>4684094.8353814203</v>
      </c>
      <c r="G112" s="5">
        <v>4884767.2700370997</v>
      </c>
      <c r="H112" s="5">
        <v>594758.30728555704</v>
      </c>
      <c r="I112" s="5">
        <v>8558189.3189146109</v>
      </c>
      <c r="J112" s="5">
        <v>5123265.0506249201</v>
      </c>
      <c r="K112" s="5">
        <v>7948312.4462707099</v>
      </c>
      <c r="L112" s="5">
        <v>5751687.9405716797</v>
      </c>
      <c r="M112" s="5">
        <v>9357267.2371112797</v>
      </c>
      <c r="N112" s="5">
        <v>6153733.1255960502</v>
      </c>
      <c r="O112" s="5">
        <v>3787329.54630931</v>
      </c>
      <c r="P112" s="5">
        <v>5520547.8194236299</v>
      </c>
      <c r="Q112" s="5">
        <v>851904.030057539</v>
      </c>
      <c r="R112" s="5">
        <v>3191639.2032899498</v>
      </c>
      <c r="S112" s="5">
        <v>3879261.5176099101</v>
      </c>
      <c r="T112" s="5">
        <v>7150663.0469617201</v>
      </c>
      <c r="U112" s="5">
        <v>7734829.4097638996</v>
      </c>
      <c r="V112" s="5">
        <v>9097835.2387459893</v>
      </c>
      <c r="W112" s="5">
        <v>3533603.6855398598</v>
      </c>
      <c r="X112" s="5">
        <v>3686374.12677396</v>
      </c>
      <c r="Y112" s="5">
        <v>568347.00574280298</v>
      </c>
      <c r="Z112" s="5">
        <v>7755396.8135697199</v>
      </c>
      <c r="AA112" s="5">
        <v>6304370.00008382</v>
      </c>
      <c r="AB112" s="5">
        <v>8585456.4607779607</v>
      </c>
      <c r="AC112" s="5">
        <v>5709317.1555190003</v>
      </c>
      <c r="AD112" s="5">
        <v>5704780.0391832804</v>
      </c>
      <c r="AE112" s="5">
        <v>5379670.0797301698</v>
      </c>
      <c r="AF112" s="5">
        <v>5470918.8490580805</v>
      </c>
      <c r="AG112">
        <f t="shared" si="5"/>
        <v>5566171.5308726327</v>
      </c>
      <c r="AH112">
        <f t="shared" si="6"/>
        <v>166892.03406455167</v>
      </c>
      <c r="AI112">
        <f t="shared" si="7"/>
        <v>2.998327183035757E-2</v>
      </c>
    </row>
    <row r="113" spans="1:35" x14ac:dyDescent="0.45">
      <c r="A113" s="5" t="s">
        <v>123</v>
      </c>
      <c r="B113" s="2">
        <f t="shared" si="4"/>
        <v>35284616.552757181</v>
      </c>
      <c r="C113" s="2">
        <v>35379014.030336373</v>
      </c>
      <c r="D113" s="2">
        <v>8.3293385660577451E-2</v>
      </c>
      <c r="E113" s="5">
        <v>7095127.5439562798</v>
      </c>
      <c r="F113" s="5">
        <v>8516293.8872360196</v>
      </c>
      <c r="G113" s="5">
        <v>72576712.648170903</v>
      </c>
      <c r="H113" s="5">
        <v>74020011.492785603</v>
      </c>
      <c r="I113" s="5">
        <v>74652133.447943002</v>
      </c>
      <c r="J113" s="5">
        <v>11059020.298349001</v>
      </c>
      <c r="K113" s="5">
        <v>19077042.7400163</v>
      </c>
      <c r="L113" s="5">
        <v>73714566.359612897</v>
      </c>
      <c r="M113" s="5">
        <v>6107334.4316970501</v>
      </c>
      <c r="N113" s="5">
        <v>5872375.9292231398</v>
      </c>
      <c r="O113" s="5">
        <v>49731350.327322997</v>
      </c>
      <c r="P113" s="5">
        <v>47551776.125216097</v>
      </c>
      <c r="Q113" s="5">
        <v>24218513.096401099</v>
      </c>
      <c r="R113" s="5">
        <v>5284705.2633091398</v>
      </c>
      <c r="S113" s="5">
        <v>10261727.3398335</v>
      </c>
      <c r="T113" s="5">
        <v>60621980.995545797</v>
      </c>
      <c r="U113" s="5">
        <v>6519238.5404818701</v>
      </c>
      <c r="V113" s="5">
        <v>7005623.1824716805</v>
      </c>
      <c r="W113" s="5">
        <v>61340720.032026</v>
      </c>
      <c r="X113" s="5">
        <v>98887887.319615901</v>
      </c>
      <c r="Y113" s="5">
        <v>27648151.946521498</v>
      </c>
      <c r="Z113" s="5">
        <v>7023713.8194010798</v>
      </c>
      <c r="AA113" s="5">
        <v>9653969.7822388299</v>
      </c>
      <c r="AB113" s="5">
        <v>78390820.716796696</v>
      </c>
      <c r="AC113" s="5">
        <v>31152391.388324</v>
      </c>
      <c r="AD113" s="5">
        <v>35748650.958575003</v>
      </c>
      <c r="AE113" s="5">
        <v>36754144.301230498</v>
      </c>
      <c r="AF113" s="5">
        <v>37860869.473215997</v>
      </c>
      <c r="AG113">
        <f t="shared" si="5"/>
        <v>35379014.030336373</v>
      </c>
      <c r="AH113">
        <f t="shared" si="6"/>
        <v>2946837.8599197883</v>
      </c>
      <c r="AI113">
        <f t="shared" si="7"/>
        <v>8.3293385660577451E-2</v>
      </c>
    </row>
    <row r="114" spans="1:35" x14ac:dyDescent="0.45">
      <c r="A114" s="5" t="s">
        <v>434</v>
      </c>
      <c r="B114" s="2">
        <f t="shared" si="4"/>
        <v>26804188.41557068</v>
      </c>
      <c r="C114" s="2">
        <v>30145094.784653723</v>
      </c>
      <c r="D114" s="2">
        <v>5.4555181698817179E-2</v>
      </c>
      <c r="E114" s="5">
        <v>11222771.6002813</v>
      </c>
      <c r="F114" s="5">
        <v>27373704.228146799</v>
      </c>
      <c r="G114" s="5">
        <v>10916183.345577501</v>
      </c>
      <c r="H114" s="5">
        <v>17970060.630536001</v>
      </c>
      <c r="I114" s="5">
        <v>33177384.232498199</v>
      </c>
      <c r="J114" s="5">
        <v>40846588.854305297</v>
      </c>
      <c r="K114" s="5">
        <v>40814598.02651</v>
      </c>
      <c r="L114" s="5">
        <v>25882730.457765501</v>
      </c>
      <c r="M114" s="5">
        <v>56000874.6184908</v>
      </c>
      <c r="N114" s="5">
        <v>18634952.320512801</v>
      </c>
      <c r="O114" s="5">
        <v>12181510.4835047</v>
      </c>
      <c r="P114" s="5">
        <v>20780139.346427102</v>
      </c>
      <c r="Q114" s="5">
        <v>29499545.2441696</v>
      </c>
      <c r="R114" s="5">
        <v>22529351.412358701</v>
      </c>
      <c r="S114" s="5">
        <v>23759063.193296898</v>
      </c>
      <c r="T114" s="5">
        <v>9193461.5920003597</v>
      </c>
      <c r="U114" s="5">
        <v>45045470.061291099</v>
      </c>
      <c r="V114" s="5">
        <v>27658867.272604499</v>
      </c>
      <c r="W114" s="5">
        <v>26384446.232909501</v>
      </c>
      <c r="X114" s="5">
        <v>37348960.3640389</v>
      </c>
      <c r="Y114" s="5">
        <v>20553128.8825415</v>
      </c>
      <c r="Z114" s="5">
        <v>19497259.831912301</v>
      </c>
      <c r="AA114" s="5">
        <v>35138172.896098197</v>
      </c>
      <c r="AB114" s="5">
        <v>30891296.845918801</v>
      </c>
      <c r="AC114" s="5">
        <v>27965055.8224026</v>
      </c>
      <c r="AD114" s="5">
        <v>29873568.674084</v>
      </c>
      <c r="AE114" s="5">
        <v>31746683.507836599</v>
      </c>
      <c r="AF114" s="5">
        <v>30995071.134291701</v>
      </c>
      <c r="AG114">
        <f t="shared" si="5"/>
        <v>30145094.784653723</v>
      </c>
      <c r="AH114">
        <f t="shared" si="6"/>
        <v>1644571.12330485</v>
      </c>
      <c r="AI114">
        <f t="shared" si="7"/>
        <v>5.4555181698817179E-2</v>
      </c>
    </row>
    <row r="115" spans="1:35" x14ac:dyDescent="0.45">
      <c r="A115" s="5" t="s">
        <v>124</v>
      </c>
      <c r="B115" s="2">
        <f t="shared" si="4"/>
        <v>108325570.8436818</v>
      </c>
      <c r="C115" s="2">
        <v>90370741.828832895</v>
      </c>
      <c r="D115" s="2">
        <v>4.1616846913473497E-2</v>
      </c>
      <c r="E115" s="5">
        <v>129068551.321182</v>
      </c>
      <c r="F115" s="5">
        <v>140817856.45921499</v>
      </c>
      <c r="G115" s="5">
        <v>156252136.75512299</v>
      </c>
      <c r="H115" s="5">
        <v>60428396.788605303</v>
      </c>
      <c r="I115" s="5">
        <v>93337400.480532393</v>
      </c>
      <c r="J115" s="5">
        <v>51043226.9108871</v>
      </c>
      <c r="K115" s="5">
        <v>170315922.791293</v>
      </c>
      <c r="L115" s="5">
        <v>109563572.023524</v>
      </c>
      <c r="M115" s="5">
        <v>87886743.685917303</v>
      </c>
      <c r="N115" s="5">
        <v>109066428.073779</v>
      </c>
      <c r="O115" s="5">
        <v>34111584.2020391</v>
      </c>
      <c r="P115" s="5">
        <v>81045153.836157903</v>
      </c>
      <c r="Q115" s="5">
        <v>77725502.777487397</v>
      </c>
      <c r="R115" s="5">
        <v>125068103.751828</v>
      </c>
      <c r="S115" s="5">
        <v>181251776.35143</v>
      </c>
      <c r="T115" s="5">
        <v>55521538.516889699</v>
      </c>
      <c r="U115" s="5">
        <v>109597079.310277</v>
      </c>
      <c r="V115" s="5">
        <v>92980511.254266694</v>
      </c>
      <c r="W115" s="5">
        <v>125482885.938997</v>
      </c>
      <c r="X115" s="5">
        <v>106399485.78174999</v>
      </c>
      <c r="Y115" s="5">
        <v>121606457.905913</v>
      </c>
      <c r="Z115" s="5">
        <v>89671826.785989299</v>
      </c>
      <c r="AA115" s="5">
        <v>170896336.12219301</v>
      </c>
      <c r="AB115" s="5">
        <v>120675222.423087</v>
      </c>
      <c r="AC115" s="5">
        <v>85298090.053185701</v>
      </c>
      <c r="AD115" s="5">
        <v>92574514.495101601</v>
      </c>
      <c r="AE115" s="5">
        <v>89839159.307061493</v>
      </c>
      <c r="AF115" s="5">
        <v>93771203.459982798</v>
      </c>
      <c r="AG115">
        <f t="shared" si="5"/>
        <v>90370741.828832895</v>
      </c>
      <c r="AH115">
        <f t="shared" si="6"/>
        <v>3760945.3281475748</v>
      </c>
      <c r="AI115">
        <f t="shared" si="7"/>
        <v>4.1616846913473497E-2</v>
      </c>
    </row>
    <row r="116" spans="1:35" x14ac:dyDescent="0.45">
      <c r="A116" s="5" t="s">
        <v>357</v>
      </c>
      <c r="B116" s="2">
        <f t="shared" si="4"/>
        <v>281730789.15899402</v>
      </c>
      <c r="C116" s="2">
        <v>167911123.9579685</v>
      </c>
      <c r="D116" s="2">
        <v>6.1251207878715637E-2</v>
      </c>
      <c r="E116" s="5">
        <v>37339363.947604202</v>
      </c>
      <c r="F116" s="5">
        <v>182959270.26921299</v>
      </c>
      <c r="G116" s="5">
        <v>244900607.47908199</v>
      </c>
      <c r="H116" s="5">
        <v>599935414.28696299</v>
      </c>
      <c r="I116" s="5">
        <v>97388879.142001003</v>
      </c>
      <c r="J116" s="5">
        <v>122338809.640203</v>
      </c>
      <c r="K116" s="5">
        <v>100970395.05945399</v>
      </c>
      <c r="L116" s="5">
        <v>1004949514.7595299</v>
      </c>
      <c r="M116" s="5">
        <v>26487414.4372756</v>
      </c>
      <c r="N116" s="5">
        <v>503443401.05376601</v>
      </c>
      <c r="O116" s="5">
        <v>68420724.472064093</v>
      </c>
      <c r="P116" s="5">
        <v>111594888.320841</v>
      </c>
      <c r="Q116" s="5">
        <v>330347024.85457402</v>
      </c>
      <c r="R116" s="5">
        <v>874786029.24198198</v>
      </c>
      <c r="S116" s="5">
        <v>108336591.64435799</v>
      </c>
      <c r="T116" s="5">
        <v>202312843.65443099</v>
      </c>
      <c r="U116" s="5">
        <v>36383712.527579397</v>
      </c>
      <c r="V116" s="5">
        <v>205380366.489638</v>
      </c>
      <c r="W116" s="5">
        <v>388608856.732234</v>
      </c>
      <c r="X116" s="5">
        <v>14378700.0994562</v>
      </c>
      <c r="Y116" s="5">
        <v>735355564.10392499</v>
      </c>
      <c r="Z116" s="5">
        <v>220920054.11088201</v>
      </c>
      <c r="AA116" s="5">
        <v>24715122.539662998</v>
      </c>
      <c r="AB116" s="5">
        <v>519285390.94913799</v>
      </c>
      <c r="AC116" s="5">
        <v>158978282.02827299</v>
      </c>
      <c r="AD116" s="5">
        <v>161997538.10324499</v>
      </c>
      <c r="AE116" s="5">
        <v>182129720.152749</v>
      </c>
      <c r="AF116" s="5">
        <v>168538955.547607</v>
      </c>
      <c r="AG116">
        <f t="shared" si="5"/>
        <v>167911123.9579685</v>
      </c>
      <c r="AH116">
        <f t="shared" si="6"/>
        <v>10284759.158698319</v>
      </c>
      <c r="AI116">
        <f t="shared" si="7"/>
        <v>6.1251207878715637E-2</v>
      </c>
    </row>
    <row r="117" spans="1:35" x14ac:dyDescent="0.45">
      <c r="A117" s="5" t="s">
        <v>125</v>
      </c>
      <c r="B117" s="2">
        <f t="shared" si="4"/>
        <v>17767876.79365455</v>
      </c>
      <c r="C117" s="2">
        <v>13574457.668652624</v>
      </c>
      <c r="D117" s="2">
        <v>4.0984787279124364E-2</v>
      </c>
      <c r="E117" s="5">
        <v>14157255.961522801</v>
      </c>
      <c r="F117" s="5">
        <v>15418290.0259021</v>
      </c>
      <c r="G117" s="5">
        <v>6883680.35473538</v>
      </c>
      <c r="H117" s="5">
        <v>22193162.452382501</v>
      </c>
      <c r="I117" s="5">
        <v>6457196.9131728904</v>
      </c>
      <c r="J117" s="5">
        <v>10134025.428158401</v>
      </c>
      <c r="K117" s="5">
        <v>16679931.493639899</v>
      </c>
      <c r="L117" s="5">
        <v>12044817.7149608</v>
      </c>
      <c r="M117" s="5">
        <v>12098945.205040799</v>
      </c>
      <c r="N117" s="5">
        <v>17486146.4876533</v>
      </c>
      <c r="O117" s="5">
        <v>31398542.313527498</v>
      </c>
      <c r="P117" s="5">
        <v>22915425.801334798</v>
      </c>
      <c r="Q117" s="5">
        <v>22468586.864123601</v>
      </c>
      <c r="R117" s="5">
        <v>23145476.447403301</v>
      </c>
      <c r="S117" s="5">
        <v>10793927.6013132</v>
      </c>
      <c r="T117" s="5">
        <v>70788550.618041903</v>
      </c>
      <c r="U117" s="5">
        <v>19743745.416559201</v>
      </c>
      <c r="V117" s="5">
        <v>11621687.9287482</v>
      </c>
      <c r="W117" s="5">
        <v>28465324.7706028</v>
      </c>
      <c r="X117" s="5">
        <v>9836911.3243910708</v>
      </c>
      <c r="Y117" s="5">
        <v>7735996.4955960801</v>
      </c>
      <c r="Z117" s="5">
        <v>13428947.621585799</v>
      </c>
      <c r="AA117" s="5">
        <v>8867059.5563778207</v>
      </c>
      <c r="AB117" s="5">
        <v>11665408.250934999</v>
      </c>
      <c r="AC117" s="5">
        <v>14020305.2356869</v>
      </c>
      <c r="AD117" s="5">
        <v>13181021.6020294</v>
      </c>
      <c r="AE117" s="5">
        <v>14083797.438800201</v>
      </c>
      <c r="AF117" s="5">
        <v>13012706.398094</v>
      </c>
      <c r="AG117">
        <f t="shared" si="5"/>
        <v>13574457.668652624</v>
      </c>
      <c r="AH117">
        <f t="shared" si="6"/>
        <v>556346.25997920625</v>
      </c>
      <c r="AI117">
        <f t="shared" si="7"/>
        <v>4.0984787279124364E-2</v>
      </c>
    </row>
    <row r="118" spans="1:35" x14ac:dyDescent="0.45">
      <c r="A118" s="5" t="s">
        <v>126</v>
      </c>
      <c r="B118" s="2">
        <f t="shared" si="4"/>
        <v>4345867035.1385889</v>
      </c>
      <c r="C118" s="2">
        <v>6510881060.9816055</v>
      </c>
      <c r="D118" s="2">
        <v>4.0724847140953639E-2</v>
      </c>
      <c r="E118" s="5">
        <v>5238747024.3722</v>
      </c>
      <c r="F118" s="5">
        <v>595623264.62607598</v>
      </c>
      <c r="G118" s="5">
        <v>417760975.636127</v>
      </c>
      <c r="H118" s="5">
        <v>1832749622.14644</v>
      </c>
      <c r="I118" s="5">
        <v>257631498.391137</v>
      </c>
      <c r="J118" s="5">
        <v>14590012897.8291</v>
      </c>
      <c r="K118" s="5">
        <v>586235939.69014502</v>
      </c>
      <c r="L118" s="5">
        <v>615271340.89634097</v>
      </c>
      <c r="M118" s="5">
        <v>8067302296.4660301</v>
      </c>
      <c r="N118" s="5">
        <v>908376818.54210806</v>
      </c>
      <c r="O118" s="5">
        <v>25785648159.966499</v>
      </c>
      <c r="P118" s="5">
        <v>3211262975.9831901</v>
      </c>
      <c r="Q118" s="5">
        <v>9279490991.8282795</v>
      </c>
      <c r="R118" s="5">
        <v>3006972670.0798402</v>
      </c>
      <c r="S118" s="5">
        <v>278490853.66944301</v>
      </c>
      <c r="T118" s="5">
        <v>2485813188.3221598</v>
      </c>
      <c r="U118" s="5">
        <v>7019931215.7519999</v>
      </c>
      <c r="V118" s="5">
        <v>477478103.02135402</v>
      </c>
      <c r="W118" s="5">
        <v>2052675207.4621601</v>
      </c>
      <c r="X118" s="5">
        <v>1107961310.1201601</v>
      </c>
      <c r="Y118" s="5">
        <v>235889983.686225</v>
      </c>
      <c r="Z118" s="5">
        <v>15721402676.7889</v>
      </c>
      <c r="AA118" s="5">
        <v>93353656.194163799</v>
      </c>
      <c r="AB118" s="5">
        <v>434726171.85606998</v>
      </c>
      <c r="AC118" s="5">
        <v>6423814753.3132696</v>
      </c>
      <c r="AD118" s="5">
        <v>6733531307.1438303</v>
      </c>
      <c r="AE118" s="5">
        <v>6174225030.6558104</v>
      </c>
      <c r="AF118" s="5">
        <v>6711953152.8135099</v>
      </c>
      <c r="AG118">
        <f t="shared" si="5"/>
        <v>6510881060.9816055</v>
      </c>
      <c r="AH118">
        <f t="shared" si="6"/>
        <v>265154635.96140593</v>
      </c>
      <c r="AI118">
        <f t="shared" si="7"/>
        <v>4.0724847140953639E-2</v>
      </c>
    </row>
    <row r="119" spans="1:35" x14ac:dyDescent="0.45">
      <c r="A119" s="5" t="s">
        <v>127</v>
      </c>
      <c r="B119" s="2">
        <f t="shared" si="4"/>
        <v>137776313.69259802</v>
      </c>
      <c r="C119" s="2">
        <v>143387489.83295202</v>
      </c>
      <c r="D119" s="2">
        <v>5.6324912009767115E-2</v>
      </c>
      <c r="E119" s="5">
        <v>89591179.909276396</v>
      </c>
      <c r="F119" s="5">
        <v>52187797.040416703</v>
      </c>
      <c r="G119" s="5">
        <v>116685875.618191</v>
      </c>
      <c r="H119" s="5">
        <v>41667173.7416462</v>
      </c>
      <c r="I119" s="5">
        <v>126929389.91350301</v>
      </c>
      <c r="J119" s="5">
        <v>292172837.82059097</v>
      </c>
      <c r="K119" s="5">
        <v>53185996.219848402</v>
      </c>
      <c r="L119" s="5">
        <v>104939276.501627</v>
      </c>
      <c r="M119" s="5">
        <v>198973988.91422701</v>
      </c>
      <c r="N119" s="5">
        <v>50742319.443897203</v>
      </c>
      <c r="O119" s="5">
        <v>46531729.798984997</v>
      </c>
      <c r="P119" s="5">
        <v>25761144.228914101</v>
      </c>
      <c r="Q119" s="5">
        <v>359702739.85188001</v>
      </c>
      <c r="R119" s="5">
        <v>41935567.567578197</v>
      </c>
      <c r="S119" s="5">
        <v>185514520.59082201</v>
      </c>
      <c r="T119" s="5">
        <v>301437852.18618399</v>
      </c>
      <c r="U119" s="5">
        <v>125048315.584758</v>
      </c>
      <c r="V119" s="5">
        <v>84479561.254423603</v>
      </c>
      <c r="W119" s="5">
        <v>47166729.948019601</v>
      </c>
      <c r="X119" s="5">
        <v>365596496.94816297</v>
      </c>
      <c r="Y119" s="5">
        <v>65442557.395414501</v>
      </c>
      <c r="Z119" s="5">
        <v>189806760.483769</v>
      </c>
      <c r="AA119" s="5">
        <v>288202398.64195597</v>
      </c>
      <c r="AB119" s="5">
        <v>52929319.018262498</v>
      </c>
      <c r="AC119" s="5">
        <v>135120344.85394701</v>
      </c>
      <c r="AD119" s="5">
        <v>144738771.65578201</v>
      </c>
      <c r="AE119" s="5">
        <v>139718253.63181901</v>
      </c>
      <c r="AF119" s="5">
        <v>153972589.19025999</v>
      </c>
      <c r="AG119">
        <f t="shared" si="5"/>
        <v>143387489.83295202</v>
      </c>
      <c r="AH119">
        <f t="shared" si="6"/>
        <v>8076287.7481423998</v>
      </c>
      <c r="AI119">
        <f t="shared" si="7"/>
        <v>5.6324912009767115E-2</v>
      </c>
    </row>
    <row r="120" spans="1:35" x14ac:dyDescent="0.45">
      <c r="A120" s="5" t="s">
        <v>369</v>
      </c>
      <c r="B120" s="2">
        <f t="shared" si="4"/>
        <v>200306764.22128102</v>
      </c>
      <c r="C120" s="2">
        <v>172549344.19036776</v>
      </c>
      <c r="D120" s="2">
        <v>5.8866937209267819E-2</v>
      </c>
      <c r="E120" s="5">
        <v>295561164.31976199</v>
      </c>
      <c r="F120" s="5">
        <v>70739865.692690194</v>
      </c>
      <c r="G120" s="5">
        <v>49381034.955426797</v>
      </c>
      <c r="H120" s="5">
        <v>131779671.444979</v>
      </c>
      <c r="I120" s="5">
        <v>4724858.8170086397</v>
      </c>
      <c r="J120" s="5">
        <v>80499966.86789</v>
      </c>
      <c r="K120" s="5">
        <v>390164148.14298999</v>
      </c>
      <c r="L120" s="5">
        <v>519869934.37479901</v>
      </c>
      <c r="M120" s="5">
        <v>141555063.26015899</v>
      </c>
      <c r="N120" s="5">
        <v>133544508.33299001</v>
      </c>
      <c r="O120" s="5">
        <v>150524179.32552099</v>
      </c>
      <c r="P120" s="5">
        <v>48754840.477978997</v>
      </c>
      <c r="Q120" s="5">
        <v>188235945.25595599</v>
      </c>
      <c r="R120" s="5">
        <v>166754370.93567801</v>
      </c>
      <c r="S120" s="5">
        <v>620170825.84641898</v>
      </c>
      <c r="T120" s="5">
        <v>246646769.897701</v>
      </c>
      <c r="U120" s="5">
        <v>48175059.743766502</v>
      </c>
      <c r="V120" s="5">
        <v>51007873.943259902</v>
      </c>
      <c r="W120" s="5">
        <v>46801784.993076302</v>
      </c>
      <c r="X120" s="5">
        <v>41517950.442316703</v>
      </c>
      <c r="Y120" s="5">
        <v>108288211.642197</v>
      </c>
      <c r="Z120" s="5">
        <v>60270772.0997587</v>
      </c>
      <c r="AA120" s="5">
        <v>800050200.44407201</v>
      </c>
      <c r="AB120" s="5">
        <v>412343340.05434901</v>
      </c>
      <c r="AC120" s="5">
        <v>187081479.97429699</v>
      </c>
      <c r="AD120" s="5">
        <v>171966063.396063</v>
      </c>
      <c r="AE120" s="5">
        <v>164977843.52230701</v>
      </c>
      <c r="AF120" s="5">
        <v>166171989.86880401</v>
      </c>
      <c r="AG120">
        <f t="shared" si="5"/>
        <v>172549344.19036776</v>
      </c>
      <c r="AH120">
        <f t="shared" si="6"/>
        <v>10157451.409954719</v>
      </c>
      <c r="AI120">
        <f t="shared" si="7"/>
        <v>5.8866937209267819E-2</v>
      </c>
    </row>
    <row r="121" spans="1:35" x14ac:dyDescent="0.45">
      <c r="A121" s="5" t="s">
        <v>290</v>
      </c>
      <c r="B121" s="2">
        <f t="shared" si="4"/>
        <v>28073209.213396579</v>
      </c>
      <c r="C121" s="2">
        <v>22516059.419083875</v>
      </c>
      <c r="D121" s="2">
        <v>0.22154588476748821</v>
      </c>
      <c r="E121" s="5">
        <v>38338711.518509597</v>
      </c>
      <c r="F121" s="5">
        <v>23353886.437626701</v>
      </c>
      <c r="G121" s="5">
        <v>32393528.782622501</v>
      </c>
      <c r="H121" s="5">
        <v>8755735.2721186709</v>
      </c>
      <c r="I121" s="5">
        <v>27742541.362002902</v>
      </c>
      <c r="J121" s="5">
        <v>10742974.3689448</v>
      </c>
      <c r="K121" s="5">
        <v>34106080.897278801</v>
      </c>
      <c r="L121" s="5">
        <v>28993009.896863598</v>
      </c>
      <c r="M121" s="5">
        <v>20580561.903488498</v>
      </c>
      <c r="N121" s="5">
        <v>39005257.396017902</v>
      </c>
      <c r="O121" s="5">
        <v>30430866.2931883</v>
      </c>
      <c r="P121" s="5">
        <v>36572054.0040887</v>
      </c>
      <c r="Q121" s="5">
        <v>23455866.151578698</v>
      </c>
      <c r="R121" s="5">
        <v>9863844.0982628409</v>
      </c>
      <c r="S121" s="5">
        <v>31381647.347993899</v>
      </c>
      <c r="T121" s="5">
        <v>43238116.217008799</v>
      </c>
      <c r="U121" s="5">
        <v>40440675.335512199</v>
      </c>
      <c r="V121" s="5">
        <v>29984305.8785992</v>
      </c>
      <c r="W121" s="5">
        <v>44381571.3844833</v>
      </c>
      <c r="X121" s="5">
        <v>29943373.023814298</v>
      </c>
      <c r="Y121" s="5">
        <v>19465330.938999798</v>
      </c>
      <c r="Z121" s="5">
        <v>26321533.215482902</v>
      </c>
      <c r="AA121" s="5">
        <v>21890803.339366101</v>
      </c>
      <c r="AB121" s="5">
        <v>22374746.0576648</v>
      </c>
      <c r="AC121" s="5">
        <v>25308370.491348099</v>
      </c>
      <c r="AD121" s="5">
        <v>25200315.629205499</v>
      </c>
      <c r="AE121" s="5">
        <v>15052736.630716501</v>
      </c>
      <c r="AF121" s="5">
        <v>24502814.925065398</v>
      </c>
      <c r="AG121">
        <f t="shared" si="5"/>
        <v>22516059.419083875</v>
      </c>
      <c r="AH121">
        <f t="shared" si="6"/>
        <v>4988340.3054782739</v>
      </c>
      <c r="AI121">
        <f t="shared" si="7"/>
        <v>0.22154588476748821</v>
      </c>
    </row>
    <row r="122" spans="1:35" x14ac:dyDescent="0.45">
      <c r="A122" s="5" t="s">
        <v>128</v>
      </c>
      <c r="B122" s="2">
        <f t="shared" si="4"/>
        <v>40487424.699111961</v>
      </c>
      <c r="C122" s="2">
        <v>33641307.287971772</v>
      </c>
      <c r="D122" s="2">
        <v>0.11315672349335711</v>
      </c>
      <c r="E122" s="5">
        <v>22596361.241983902</v>
      </c>
      <c r="F122" s="5">
        <v>26644178.316611402</v>
      </c>
      <c r="G122" s="5">
        <v>28319275.406722799</v>
      </c>
      <c r="H122" s="5">
        <v>24802747.995944198</v>
      </c>
      <c r="I122" s="5">
        <v>37796549.876831099</v>
      </c>
      <c r="J122" s="5">
        <v>21215304.540268902</v>
      </c>
      <c r="K122" s="5">
        <v>48030933.874944799</v>
      </c>
      <c r="L122" s="5">
        <v>39960486.228814602</v>
      </c>
      <c r="M122" s="5">
        <v>18421291.254103702</v>
      </c>
      <c r="N122" s="5">
        <v>24644542.482009001</v>
      </c>
      <c r="O122" s="5">
        <v>110591809.193359</v>
      </c>
      <c r="P122" s="5">
        <v>39555686.695481002</v>
      </c>
      <c r="Q122" s="5">
        <v>58891512.506936803</v>
      </c>
      <c r="R122" s="5">
        <v>35163028.616720296</v>
      </c>
      <c r="S122" s="5">
        <v>32890708.783848099</v>
      </c>
      <c r="T122" s="5">
        <v>73171337.706157804</v>
      </c>
      <c r="U122" s="5">
        <v>34570268.017425299</v>
      </c>
      <c r="V122" s="5">
        <v>21031861.000117902</v>
      </c>
      <c r="W122" s="5">
        <v>53850022.956313901</v>
      </c>
      <c r="X122" s="5">
        <v>20741478.020894799</v>
      </c>
      <c r="Y122" s="5">
        <v>63629687.331901401</v>
      </c>
      <c r="Z122" s="5">
        <v>40221197.593254998</v>
      </c>
      <c r="AA122" s="5">
        <v>49204179.327441201</v>
      </c>
      <c r="AB122" s="5">
        <v>45753743.810600102</v>
      </c>
      <c r="AC122" s="5">
        <v>28356977.465966001</v>
      </c>
      <c r="AD122" s="5">
        <v>33636214.4328923</v>
      </c>
      <c r="AE122" s="5">
        <v>35402659.416609898</v>
      </c>
      <c r="AF122" s="5">
        <v>37169377.836418897</v>
      </c>
      <c r="AG122">
        <f t="shared" si="5"/>
        <v>33641307.287971772</v>
      </c>
      <c r="AH122">
        <f t="shared" si="6"/>
        <v>3806740.1067400812</v>
      </c>
      <c r="AI122">
        <f t="shared" si="7"/>
        <v>0.11315672349335711</v>
      </c>
    </row>
    <row r="123" spans="1:35" x14ac:dyDescent="0.45">
      <c r="A123" s="5" t="s">
        <v>129</v>
      </c>
      <c r="B123" s="2">
        <f t="shared" si="4"/>
        <v>289327187.07222056</v>
      </c>
      <c r="C123" s="2">
        <v>217247441.38943851</v>
      </c>
      <c r="D123" s="2">
        <v>2.4746818804259298E-2</v>
      </c>
      <c r="E123" s="5">
        <v>256477394.025617</v>
      </c>
      <c r="F123" s="5">
        <v>228903742.00370699</v>
      </c>
      <c r="G123" s="5">
        <v>157289505.11244801</v>
      </c>
      <c r="H123" s="5">
        <v>398452150.79675698</v>
      </c>
      <c r="I123" s="5">
        <v>195918644.464598</v>
      </c>
      <c r="J123" s="5">
        <v>266916343.368498</v>
      </c>
      <c r="K123" s="5">
        <v>303192372.05225003</v>
      </c>
      <c r="L123" s="5">
        <v>383378174.60385901</v>
      </c>
      <c r="M123" s="5">
        <v>185049796.097808</v>
      </c>
      <c r="N123" s="5">
        <v>187261473.703116</v>
      </c>
      <c r="O123" s="5">
        <v>172933690.84438199</v>
      </c>
      <c r="P123" s="5">
        <v>152843573.34227201</v>
      </c>
      <c r="Q123" s="5">
        <v>277853753.67388099</v>
      </c>
      <c r="R123" s="5">
        <v>1238449967.1092899</v>
      </c>
      <c r="S123" s="5">
        <v>245564942.749814</v>
      </c>
      <c r="T123" s="5">
        <v>363311686.76738</v>
      </c>
      <c r="U123" s="5">
        <v>201377865.655256</v>
      </c>
      <c r="V123" s="5">
        <v>252324256.271808</v>
      </c>
      <c r="W123" s="5">
        <v>278709344.86290199</v>
      </c>
      <c r="X123" s="5">
        <v>209102427.685689</v>
      </c>
      <c r="Y123" s="5">
        <v>350778613.65591598</v>
      </c>
      <c r="Z123" s="5">
        <v>237091990.35925201</v>
      </c>
      <c r="AA123" s="5">
        <v>230359117.623602</v>
      </c>
      <c r="AB123" s="5">
        <v>170311662.903193</v>
      </c>
      <c r="AC123" s="5">
        <v>210761858.82137299</v>
      </c>
      <c r="AD123" s="5">
        <v>217664919.46989599</v>
      </c>
      <c r="AE123" s="5">
        <v>216671644.751165</v>
      </c>
      <c r="AF123" s="5">
        <v>223891342.51532</v>
      </c>
      <c r="AG123">
        <f t="shared" si="5"/>
        <v>217247441.38943851</v>
      </c>
      <c r="AH123">
        <f t="shared" si="6"/>
        <v>5376183.0677533764</v>
      </c>
      <c r="AI123">
        <f t="shared" si="7"/>
        <v>2.4746818804259298E-2</v>
      </c>
    </row>
    <row r="124" spans="1:35" x14ac:dyDescent="0.45">
      <c r="A124" s="5" t="s">
        <v>130</v>
      </c>
      <c r="B124" s="2">
        <f t="shared" si="4"/>
        <v>916524987.16887176</v>
      </c>
      <c r="C124" s="2">
        <v>685914128.38779521</v>
      </c>
      <c r="D124" s="2">
        <v>5.2016372486496015E-2</v>
      </c>
      <c r="E124" s="5">
        <v>688783052.54435694</v>
      </c>
      <c r="F124" s="5">
        <v>1187487767.6205399</v>
      </c>
      <c r="G124" s="5">
        <v>586020698.54249299</v>
      </c>
      <c r="H124" s="5">
        <v>396133014.74602598</v>
      </c>
      <c r="I124" s="5">
        <v>577723482.05377698</v>
      </c>
      <c r="J124" s="5">
        <v>752350917.52828896</v>
      </c>
      <c r="K124" s="5">
        <v>1228840698.52563</v>
      </c>
      <c r="L124" s="5">
        <v>798939762.94855905</v>
      </c>
      <c r="M124" s="5">
        <v>423515827.828839</v>
      </c>
      <c r="N124" s="5">
        <v>1265130542.68433</v>
      </c>
      <c r="O124" s="5">
        <v>955347022.12281501</v>
      </c>
      <c r="P124" s="5">
        <v>992907276.43184698</v>
      </c>
      <c r="Q124" s="5">
        <v>303655223.25485599</v>
      </c>
      <c r="R124" s="5">
        <v>616725614.58907998</v>
      </c>
      <c r="S124" s="5">
        <v>384977230.03123999</v>
      </c>
      <c r="T124" s="5">
        <v>5823717000.5795002</v>
      </c>
      <c r="U124" s="5">
        <v>463224349.30398899</v>
      </c>
      <c r="V124" s="5">
        <v>763542389.766289</v>
      </c>
      <c r="W124" s="5">
        <v>661798948.91659606</v>
      </c>
      <c r="X124" s="5">
        <v>971264480.08024204</v>
      </c>
      <c r="Y124" s="5">
        <v>388662743.85734999</v>
      </c>
      <c r="Z124" s="5">
        <v>776653840.52976298</v>
      </c>
      <c r="AA124" s="5">
        <v>479598123.19543397</v>
      </c>
      <c r="AB124" s="5">
        <v>509599684.37108201</v>
      </c>
      <c r="AC124" s="5">
        <v>652014659.08268094</v>
      </c>
      <c r="AD124" s="5">
        <v>715050818.92047405</v>
      </c>
      <c r="AE124" s="5">
        <v>658216787.85638404</v>
      </c>
      <c r="AF124" s="5">
        <v>718374247.69164205</v>
      </c>
      <c r="AG124">
        <f t="shared" si="5"/>
        <v>685914128.38779521</v>
      </c>
      <c r="AH124">
        <f t="shared" si="6"/>
        <v>35678764.795969807</v>
      </c>
      <c r="AI124">
        <f t="shared" si="7"/>
        <v>5.2016372486496015E-2</v>
      </c>
    </row>
    <row r="125" spans="1:35" x14ac:dyDescent="0.45">
      <c r="A125" s="5" t="s">
        <v>131</v>
      </c>
      <c r="B125" s="2">
        <f t="shared" si="4"/>
        <v>554083775.0256716</v>
      </c>
      <c r="C125" s="2">
        <v>554291957.95607555</v>
      </c>
      <c r="D125" s="2">
        <v>3.0769787810932092E-2</v>
      </c>
      <c r="E125" s="5">
        <v>572900548.140926</v>
      </c>
      <c r="F125" s="5">
        <v>542915603.33540905</v>
      </c>
      <c r="G125" s="5">
        <v>619569324.44403303</v>
      </c>
      <c r="H125" s="5">
        <v>165570546.33779001</v>
      </c>
      <c r="I125" s="5">
        <v>525259290.13297701</v>
      </c>
      <c r="J125" s="5">
        <v>365792133.83428597</v>
      </c>
      <c r="K125" s="5">
        <v>602782659.49240804</v>
      </c>
      <c r="L125" s="5">
        <v>620240249.72780704</v>
      </c>
      <c r="M125" s="5">
        <v>599498040.98943102</v>
      </c>
      <c r="N125" s="5">
        <v>648064355.32569206</v>
      </c>
      <c r="O125" s="5">
        <v>1273279741.579</v>
      </c>
      <c r="P125" s="5">
        <v>487519652.12452298</v>
      </c>
      <c r="Q125" s="5">
        <v>595473702.98633802</v>
      </c>
      <c r="R125" s="5">
        <v>271955873.87009299</v>
      </c>
      <c r="S125" s="5">
        <v>563841401.77095306</v>
      </c>
      <c r="T125" s="5">
        <v>349030658.38551599</v>
      </c>
      <c r="U125" s="5">
        <v>514870411.59143001</v>
      </c>
      <c r="V125" s="5">
        <v>820850026.30092704</v>
      </c>
      <c r="W125" s="5">
        <v>405142501.308303</v>
      </c>
      <c r="X125" s="5">
        <v>344472125.72955799</v>
      </c>
      <c r="Y125" s="5">
        <v>549899616.53654802</v>
      </c>
      <c r="Z125" s="5">
        <v>560483363.42668903</v>
      </c>
      <c r="AA125" s="5">
        <v>553076112.18334901</v>
      </c>
      <c r="AB125" s="5">
        <v>745522661.06212902</v>
      </c>
      <c r="AC125" s="5">
        <v>532298730.37608302</v>
      </c>
      <c r="AD125" s="5">
        <v>553867849.44123101</v>
      </c>
      <c r="AE125" s="5">
        <v>573792619.17662597</v>
      </c>
      <c r="AF125" s="5">
        <v>557208632.83036196</v>
      </c>
      <c r="AG125">
        <f t="shared" si="5"/>
        <v>554291957.95607555</v>
      </c>
      <c r="AH125">
        <f t="shared" si="6"/>
        <v>17055445.931614537</v>
      </c>
      <c r="AI125">
        <f t="shared" si="7"/>
        <v>3.0769787810932092E-2</v>
      </c>
    </row>
    <row r="126" spans="1:35" x14ac:dyDescent="0.45">
      <c r="A126" s="5" t="s">
        <v>375</v>
      </c>
      <c r="B126" s="2">
        <f t="shared" si="4"/>
        <v>34126512.651715331</v>
      </c>
      <c r="C126" s="2">
        <v>23493357.760314878</v>
      </c>
      <c r="D126" s="2">
        <v>8.6506111877190428E-2</v>
      </c>
      <c r="E126" s="5">
        <v>47342385.243031502</v>
      </c>
      <c r="F126" s="5">
        <v>43164754.350737199</v>
      </c>
      <c r="G126" s="5">
        <v>28768743.673026901</v>
      </c>
      <c r="H126" s="5">
        <v>40856433.847437099</v>
      </c>
      <c r="I126" s="5">
        <v>26711117.3993669</v>
      </c>
      <c r="J126" s="5">
        <v>28033039.020802502</v>
      </c>
      <c r="K126" s="5">
        <v>34212130.146452896</v>
      </c>
      <c r="L126" s="5">
        <v>37424779.949604303</v>
      </c>
      <c r="M126" s="5">
        <v>25338213.163157798</v>
      </c>
      <c r="N126" s="5">
        <v>30318358.735732399</v>
      </c>
      <c r="O126" s="5">
        <v>47013983.444481596</v>
      </c>
      <c r="P126" s="5">
        <v>22978249.552131299</v>
      </c>
      <c r="Q126" s="5">
        <v>23398216.424784999</v>
      </c>
      <c r="R126" s="5">
        <v>26085339.179583602</v>
      </c>
      <c r="S126" s="5">
        <v>16710173.552059799</v>
      </c>
      <c r="T126" s="5">
        <v>99319286.837889999</v>
      </c>
      <c r="U126" s="5">
        <v>19663937.2560849</v>
      </c>
      <c r="V126" s="5">
        <v>30334293.165100101</v>
      </c>
      <c r="W126" s="5">
        <v>31808766.103233501</v>
      </c>
      <c r="X126" s="5">
        <v>28448087.6324131</v>
      </c>
      <c r="Y126" s="5">
        <v>30553439.635260701</v>
      </c>
      <c r="Z126" s="5">
        <v>30498656.9981994</v>
      </c>
      <c r="AA126" s="5">
        <v>29069490.669303101</v>
      </c>
      <c r="AB126" s="5">
        <v>40984427.661292396</v>
      </c>
      <c r="AC126" s="5">
        <v>21134490.708883502</v>
      </c>
      <c r="AD126" s="5">
        <v>22470589.281769101</v>
      </c>
      <c r="AE126" s="5">
        <v>25361550.018406101</v>
      </c>
      <c r="AF126" s="5">
        <v>25006801.032200798</v>
      </c>
      <c r="AG126">
        <f t="shared" si="5"/>
        <v>23493357.760314878</v>
      </c>
      <c r="AH126">
        <f t="shared" si="6"/>
        <v>2032319.0347846588</v>
      </c>
      <c r="AI126">
        <f t="shared" si="7"/>
        <v>8.6506111877190428E-2</v>
      </c>
    </row>
    <row r="127" spans="1:35" x14ac:dyDescent="0.45">
      <c r="A127" s="5" t="s">
        <v>132</v>
      </c>
      <c r="B127" s="2">
        <f t="shared" si="4"/>
        <v>9582736.6573164873</v>
      </c>
      <c r="C127" s="2">
        <v>5494944.2445446672</v>
      </c>
      <c r="D127" s="2">
        <v>5.8601589228806074E-2</v>
      </c>
      <c r="E127" s="5">
        <v>17052665.074355599</v>
      </c>
      <c r="F127" s="5">
        <v>12125876.646126101</v>
      </c>
      <c r="G127" s="5">
        <v>6360680.9664506102</v>
      </c>
      <c r="H127" s="5">
        <v>4418599.0898687597</v>
      </c>
      <c r="I127" s="5">
        <v>1869165.30562318</v>
      </c>
      <c r="J127" s="5">
        <v>2237518.89308056</v>
      </c>
      <c r="K127" s="5">
        <v>5056815.3933963003</v>
      </c>
      <c r="L127" s="5">
        <v>8177841.9249861296</v>
      </c>
      <c r="M127" s="5">
        <v>6651236.9039436802</v>
      </c>
      <c r="N127" s="5">
        <v>8669145.0939606801</v>
      </c>
      <c r="O127" s="5">
        <v>8648208.8988231998</v>
      </c>
      <c r="P127" s="5">
        <v>6726783.0328314202</v>
      </c>
      <c r="Q127" s="5">
        <v>2199195.10393797</v>
      </c>
      <c r="R127" s="5">
        <v>10277648.856321801</v>
      </c>
      <c r="S127" s="5">
        <v>2692024.7478246298</v>
      </c>
      <c r="T127" s="5">
        <v>62590840.817097299</v>
      </c>
      <c r="U127" s="5">
        <v>17884776.582837202</v>
      </c>
      <c r="V127" s="5">
        <v>8551756.7862143796</v>
      </c>
      <c r="W127" s="5">
        <v>10811101.4264476</v>
      </c>
      <c r="X127" s="5">
        <v>9514564.4834449496</v>
      </c>
      <c r="Y127" s="5">
        <v>1579719.6767328801</v>
      </c>
      <c r="Z127" s="5">
        <v>3455892.6166002201</v>
      </c>
      <c r="AA127" s="5">
        <v>1673998.3593614299</v>
      </c>
      <c r="AB127" s="5">
        <v>10759623.0953291</v>
      </c>
      <c r="AC127" s="5">
        <v>5263357.8063189602</v>
      </c>
      <c r="AD127" s="5">
        <v>5866517.9532766901</v>
      </c>
      <c r="AE127" s="5">
        <v>5659021.7164154397</v>
      </c>
      <c r="AF127" s="5">
        <v>5190879.5021675797</v>
      </c>
      <c r="AG127">
        <f t="shared" si="5"/>
        <v>5494944.2445446672</v>
      </c>
      <c r="AH127">
        <f t="shared" si="6"/>
        <v>322012.46545399871</v>
      </c>
      <c r="AI127">
        <f t="shared" si="7"/>
        <v>5.8601589228806074E-2</v>
      </c>
    </row>
    <row r="128" spans="1:35" x14ac:dyDescent="0.45">
      <c r="A128" s="5" t="s">
        <v>133</v>
      </c>
      <c r="B128" s="2">
        <f t="shared" si="4"/>
        <v>44337627.981155977</v>
      </c>
      <c r="C128" s="2">
        <v>26307519.750147875</v>
      </c>
      <c r="D128" s="2">
        <v>6.146533859798485E-2</v>
      </c>
      <c r="E128" s="5">
        <v>73940208.889541894</v>
      </c>
      <c r="F128" s="5">
        <v>57755211.316114701</v>
      </c>
      <c r="G128" s="5">
        <v>32289967.843955599</v>
      </c>
      <c r="H128" s="5">
        <v>23311606.191239599</v>
      </c>
      <c r="I128" s="5">
        <v>29447639.245398499</v>
      </c>
      <c r="J128" s="5">
        <v>12122975.5541395</v>
      </c>
      <c r="K128" s="5">
        <v>24268926.6439703</v>
      </c>
      <c r="L128" s="5">
        <v>39067778.407832801</v>
      </c>
      <c r="M128" s="5">
        <v>30898216.517012801</v>
      </c>
      <c r="N128" s="5">
        <v>36938736.378397398</v>
      </c>
      <c r="O128" s="5">
        <v>49540612.0136071</v>
      </c>
      <c r="P128" s="5">
        <v>31360060.089939501</v>
      </c>
      <c r="Q128" s="5">
        <v>11239788.1436667</v>
      </c>
      <c r="R128" s="5">
        <v>46223085.518877201</v>
      </c>
      <c r="S128" s="5">
        <v>13811445.239982501</v>
      </c>
      <c r="T128" s="5">
        <v>247511688.50434101</v>
      </c>
      <c r="U128" s="5">
        <v>82222085.5704595</v>
      </c>
      <c r="V128" s="5">
        <v>40608189.236602597</v>
      </c>
      <c r="W128" s="5">
        <v>46939085.8587716</v>
      </c>
      <c r="X128" s="5">
        <v>46292018.130322397</v>
      </c>
      <c r="Y128" s="5">
        <v>7605463.7334813401</v>
      </c>
      <c r="Z128" s="5">
        <v>17430922.345239699</v>
      </c>
      <c r="AA128" s="5">
        <v>8365418.5042152796</v>
      </c>
      <c r="AB128" s="5">
        <v>54911941.670634203</v>
      </c>
      <c r="AC128" s="5">
        <v>24504914.379041102</v>
      </c>
      <c r="AD128" s="5">
        <v>27248314.564465601</v>
      </c>
      <c r="AE128" s="5">
        <v>25446482.076017398</v>
      </c>
      <c r="AF128" s="5">
        <v>28030367.9810674</v>
      </c>
      <c r="AG128">
        <f t="shared" si="5"/>
        <v>26307519.750147875</v>
      </c>
      <c r="AH128">
        <f t="shared" si="6"/>
        <v>1617000.6091160129</v>
      </c>
      <c r="AI128">
        <f t="shared" si="7"/>
        <v>6.146533859798485E-2</v>
      </c>
    </row>
    <row r="129" spans="1:35" x14ac:dyDescent="0.45">
      <c r="A129" s="5" t="s">
        <v>140</v>
      </c>
      <c r="B129" s="2">
        <f t="shared" si="4"/>
        <v>329002985.30148989</v>
      </c>
      <c r="C129" s="2">
        <v>230824607.07679474</v>
      </c>
      <c r="D129" s="2">
        <v>1.2103906672878743E-2</v>
      </c>
      <c r="E129" s="5">
        <v>352885292.930094</v>
      </c>
      <c r="F129" s="5">
        <v>42747960.370261699</v>
      </c>
      <c r="G129" s="5">
        <v>20405559.015999001</v>
      </c>
      <c r="H129" s="5">
        <v>1750884139.86813</v>
      </c>
      <c r="I129" s="5">
        <v>125460861.117954</v>
      </c>
      <c r="J129" s="5">
        <v>32088469.834052298</v>
      </c>
      <c r="K129" s="5">
        <v>12254156.2276897</v>
      </c>
      <c r="L129" s="5">
        <v>23590563.297667298</v>
      </c>
      <c r="M129" s="5">
        <v>243324614.45856699</v>
      </c>
      <c r="N129" s="5">
        <v>35784881.942754</v>
      </c>
      <c r="O129" s="5">
        <v>2324034870.6174102</v>
      </c>
      <c r="P129" s="5">
        <v>938995386.61677396</v>
      </c>
      <c r="Q129" s="5">
        <v>12616493.1965329</v>
      </c>
      <c r="R129" s="5">
        <v>54013984.383683898</v>
      </c>
      <c r="S129" s="5">
        <v>21502186.451354198</v>
      </c>
      <c r="T129" s="5">
        <v>296988782.30767</v>
      </c>
      <c r="U129" s="5">
        <v>509087116.245538</v>
      </c>
      <c r="V129" s="5">
        <v>217324614.566798</v>
      </c>
      <c r="W129" s="5">
        <v>44881292.174303003</v>
      </c>
      <c r="X129" s="5">
        <v>677014559.39933503</v>
      </c>
      <c r="Y129" s="5">
        <v>23475303.214882899</v>
      </c>
      <c r="Z129" s="5">
        <v>102682310.617044</v>
      </c>
      <c r="AA129" s="5">
        <v>26737970.407251202</v>
      </c>
      <c r="AB129" s="5">
        <v>7290277.9740111204</v>
      </c>
      <c r="AC129" s="5">
        <v>226929306.95695901</v>
      </c>
      <c r="AD129" s="5">
        <v>232904176.320099</v>
      </c>
      <c r="AE129" s="5">
        <v>232798042.18511501</v>
      </c>
      <c r="AF129" s="5">
        <v>230666902.84500599</v>
      </c>
      <c r="AG129">
        <f t="shared" si="5"/>
        <v>230824607.07679474</v>
      </c>
      <c r="AH129">
        <f t="shared" si="6"/>
        <v>2793879.5018614298</v>
      </c>
      <c r="AI129">
        <f t="shared" si="7"/>
        <v>1.2103906672878743E-2</v>
      </c>
    </row>
    <row r="130" spans="1:35" x14ac:dyDescent="0.45">
      <c r="A130" s="5" t="s">
        <v>417</v>
      </c>
      <c r="B130" s="2">
        <f t="shared" ref="B130:B193" si="8">AVERAGE(E130:AB130)</f>
        <v>153549025.72799039</v>
      </c>
      <c r="C130" s="2">
        <v>145013819.30298275</v>
      </c>
      <c r="D130" s="2">
        <v>2.5247451183198877E-2</v>
      </c>
      <c r="E130" s="5">
        <v>99098035.133398697</v>
      </c>
      <c r="F130" s="5">
        <v>130631539.869654</v>
      </c>
      <c r="G130" s="5">
        <v>196641513.55434</v>
      </c>
      <c r="H130" s="5">
        <v>201266559.90507701</v>
      </c>
      <c r="I130" s="5">
        <v>242685497.18397999</v>
      </c>
      <c r="J130" s="5">
        <v>116432624.984495</v>
      </c>
      <c r="K130" s="5">
        <v>87406202.449925706</v>
      </c>
      <c r="L130" s="5">
        <v>174538222.71783599</v>
      </c>
      <c r="M130" s="5">
        <v>140376031.010618</v>
      </c>
      <c r="N130" s="5">
        <v>101801921.30065</v>
      </c>
      <c r="O130" s="5">
        <v>45587952.384895101</v>
      </c>
      <c r="P130" s="5">
        <v>129964090.906224</v>
      </c>
      <c r="Q130" s="5">
        <v>280230061.34156799</v>
      </c>
      <c r="R130" s="5">
        <v>52041331.604247302</v>
      </c>
      <c r="S130" s="5">
        <v>209996957.926965</v>
      </c>
      <c r="T130" s="5">
        <v>103905623.657572</v>
      </c>
      <c r="U130" s="5">
        <v>111147984.527301</v>
      </c>
      <c r="V130" s="5">
        <v>233178197.138657</v>
      </c>
      <c r="W130" s="5">
        <v>122314719.609559</v>
      </c>
      <c r="X130" s="5">
        <v>120528784.72448801</v>
      </c>
      <c r="Y130" s="5">
        <v>196016406.822864</v>
      </c>
      <c r="Z130" s="5">
        <v>130777466.51773401</v>
      </c>
      <c r="AA130" s="5">
        <v>265517205.06721401</v>
      </c>
      <c r="AB130" s="5">
        <v>193091687.132507</v>
      </c>
      <c r="AC130" s="5">
        <v>141973848.552403</v>
      </c>
      <c r="AD130" s="5">
        <v>141715104.17745599</v>
      </c>
      <c r="AE130" s="5">
        <v>148209501.57790601</v>
      </c>
      <c r="AF130" s="5">
        <v>148156822.90416601</v>
      </c>
      <c r="AG130">
        <f t="shared" ref="AG130:AG193" si="9">AVERAGE(AC130:AF130)</f>
        <v>145013819.30298275</v>
      </c>
      <c r="AH130">
        <f t="shared" ref="AH130:AH193" si="10">STDEV(AC130:AF130)</f>
        <v>3661229.32374128</v>
      </c>
      <c r="AI130">
        <f t="shared" ref="AI130:AI193" si="11">AH130/AG130</f>
        <v>2.5247451183198877E-2</v>
      </c>
    </row>
    <row r="131" spans="1:35" x14ac:dyDescent="0.45">
      <c r="A131" s="5" t="s">
        <v>418</v>
      </c>
      <c r="B131" s="2">
        <f t="shared" si="8"/>
        <v>18688623.832234927</v>
      </c>
      <c r="C131" s="2">
        <v>17141514.732876875</v>
      </c>
      <c r="D131" s="2">
        <v>1.9501701769306073E-2</v>
      </c>
      <c r="E131" s="5">
        <v>3651426.5079483101</v>
      </c>
      <c r="F131" s="5">
        <v>6714777.6209054897</v>
      </c>
      <c r="G131" s="5">
        <v>10211050.150782</v>
      </c>
      <c r="H131" s="5">
        <v>30793122.695121299</v>
      </c>
      <c r="I131" s="5">
        <v>42201253.271251</v>
      </c>
      <c r="J131" s="5">
        <v>27275989.408071801</v>
      </c>
      <c r="K131" s="5">
        <v>6982284.6306037903</v>
      </c>
      <c r="L131" s="5">
        <v>7762908.1623307103</v>
      </c>
      <c r="M131" s="5">
        <v>14371101.6014845</v>
      </c>
      <c r="N131" s="5">
        <v>9085013.0688547697</v>
      </c>
      <c r="O131" s="5">
        <v>82930825.430932596</v>
      </c>
      <c r="P131" s="5">
        <v>9934526.1955456696</v>
      </c>
      <c r="Q131" s="5">
        <v>25939501.252133001</v>
      </c>
      <c r="R131" s="5">
        <v>8503135.0915374607</v>
      </c>
      <c r="S131" s="5">
        <v>10143857.5710693</v>
      </c>
      <c r="T131" s="5">
        <v>47668848.551077597</v>
      </c>
      <c r="U131" s="5">
        <v>12875593.615860101</v>
      </c>
      <c r="V131" s="5">
        <v>9438646.2584901303</v>
      </c>
      <c r="W131" s="5">
        <v>9955869.0840974506</v>
      </c>
      <c r="X131" s="5">
        <v>20340111.876613501</v>
      </c>
      <c r="Y131" s="5">
        <v>19603334.520889699</v>
      </c>
      <c r="Z131" s="5">
        <v>10604743.142067101</v>
      </c>
      <c r="AA131" s="5">
        <v>15164826.819551401</v>
      </c>
      <c r="AB131" s="5">
        <v>6374225.4464195203</v>
      </c>
      <c r="AC131" s="5">
        <v>16929768.442761298</v>
      </c>
      <c r="AD131" s="5">
        <v>17634311.199656099</v>
      </c>
      <c r="AE131" s="5">
        <v>17064500.9479893</v>
      </c>
      <c r="AF131" s="5">
        <v>16937478.341100801</v>
      </c>
      <c r="AG131">
        <f t="shared" si="9"/>
        <v>17141514.732876875</v>
      </c>
      <c r="AH131">
        <f t="shared" si="10"/>
        <v>334288.70819473109</v>
      </c>
      <c r="AI131">
        <f t="shared" si="11"/>
        <v>1.9501701769306073E-2</v>
      </c>
    </row>
    <row r="132" spans="1:35" x14ac:dyDescent="0.45">
      <c r="A132" s="5" t="s">
        <v>141</v>
      </c>
      <c r="B132" s="2">
        <f t="shared" si="8"/>
        <v>19698162.123662278</v>
      </c>
      <c r="C132" s="2">
        <v>17574465.813833099</v>
      </c>
      <c r="D132" s="2">
        <v>3.7711221251678917E-2</v>
      </c>
      <c r="E132" s="5">
        <v>22736243.640152998</v>
      </c>
      <c r="F132" s="5">
        <v>13268074.322351901</v>
      </c>
      <c r="G132" s="5">
        <v>12587940.2997836</v>
      </c>
      <c r="H132" s="5">
        <v>28610098.1073476</v>
      </c>
      <c r="I132" s="5">
        <v>16859145.793031901</v>
      </c>
      <c r="J132" s="5">
        <v>24061198.572143301</v>
      </c>
      <c r="K132" s="5">
        <v>22133930.005064201</v>
      </c>
      <c r="L132" s="5">
        <v>26364581.314472601</v>
      </c>
      <c r="M132" s="5">
        <v>24560227.328954998</v>
      </c>
      <c r="N132" s="5">
        <v>13839915.3557657</v>
      </c>
      <c r="O132" s="5">
        <v>14224263.3804555</v>
      </c>
      <c r="P132" s="5">
        <v>14310944.5513076</v>
      </c>
      <c r="Q132" s="5">
        <v>23936557.865901601</v>
      </c>
      <c r="R132" s="5">
        <v>16772314.1791749</v>
      </c>
      <c r="S132" s="5">
        <v>28277108.730959199</v>
      </c>
      <c r="T132" s="5">
        <v>13666234.897907199</v>
      </c>
      <c r="U132" s="5">
        <v>14393868.8306731</v>
      </c>
      <c r="V132" s="5">
        <v>13494663.982416499</v>
      </c>
      <c r="W132" s="5">
        <v>11711630.1779308</v>
      </c>
      <c r="X132" s="5">
        <v>15656036.083764501</v>
      </c>
      <c r="Y132" s="5">
        <v>22260943.233238202</v>
      </c>
      <c r="Z132" s="5">
        <v>19517712.049968001</v>
      </c>
      <c r="AA132" s="5">
        <v>34150510.785696097</v>
      </c>
      <c r="AB132" s="5">
        <v>25361747.479432698</v>
      </c>
      <c r="AC132" s="5">
        <v>16599896.537257301</v>
      </c>
      <c r="AD132" s="5">
        <v>18071141.518066399</v>
      </c>
      <c r="AE132" s="5">
        <v>17872858.7591585</v>
      </c>
      <c r="AF132" s="5">
        <v>17753966.440850198</v>
      </c>
      <c r="AG132">
        <f t="shared" si="9"/>
        <v>17574465.813833099</v>
      </c>
      <c r="AH132">
        <f t="shared" si="10"/>
        <v>662754.56868552743</v>
      </c>
      <c r="AI132">
        <f t="shared" si="11"/>
        <v>3.7711221251678917E-2</v>
      </c>
    </row>
    <row r="133" spans="1:35" x14ac:dyDescent="0.45">
      <c r="A133" s="5" t="s">
        <v>142</v>
      </c>
      <c r="B133" s="2">
        <f t="shared" si="8"/>
        <v>1018910.0998749185</v>
      </c>
      <c r="C133" s="2">
        <v>657374.99929667544</v>
      </c>
      <c r="D133" s="2">
        <v>6.1270714692551069E-2</v>
      </c>
      <c r="E133" s="5">
        <v>822831.23376082</v>
      </c>
      <c r="F133" s="5">
        <v>773100.38976389798</v>
      </c>
      <c r="G133" s="5">
        <v>570763.29684200895</v>
      </c>
      <c r="H133" s="5">
        <v>328766.18629686499</v>
      </c>
      <c r="I133" s="5">
        <v>707357.16560361197</v>
      </c>
      <c r="J133" s="5">
        <v>559634.85628698801</v>
      </c>
      <c r="K133" s="5">
        <v>1154126.9057392699</v>
      </c>
      <c r="L133" s="5">
        <v>493050.74717726599</v>
      </c>
      <c r="M133" s="5">
        <v>928288.11719956598</v>
      </c>
      <c r="N133" s="5">
        <v>637082.922469054</v>
      </c>
      <c r="O133" s="5">
        <v>446266.77443766501</v>
      </c>
      <c r="P133" s="5">
        <v>934523.70247273694</v>
      </c>
      <c r="Q133" s="5">
        <v>604580.84015262395</v>
      </c>
      <c r="R133" s="5">
        <v>432340.70824560203</v>
      </c>
      <c r="S133" s="5">
        <v>654803.97090476996</v>
      </c>
      <c r="T133" s="5">
        <v>515111.39374693198</v>
      </c>
      <c r="U133" s="5">
        <v>1089552.75991931</v>
      </c>
      <c r="V133" s="5">
        <v>8977635.7773640398</v>
      </c>
      <c r="W133" s="5">
        <v>832759.27319766302</v>
      </c>
      <c r="X133" s="5">
        <v>679018.07722297695</v>
      </c>
      <c r="Y133" s="5">
        <v>342509.11814098799</v>
      </c>
      <c r="Z133" s="5">
        <v>764984.98266308603</v>
      </c>
      <c r="AA133" s="5">
        <v>607895.82120091305</v>
      </c>
      <c r="AB133" s="5">
        <v>596857.37618939194</v>
      </c>
      <c r="AC133" s="5">
        <v>703151.07889542298</v>
      </c>
      <c r="AD133" s="5">
        <v>629516.02925222903</v>
      </c>
      <c r="AE133" s="5">
        <v>678705.29678003502</v>
      </c>
      <c r="AF133" s="5">
        <v>618127.59225901496</v>
      </c>
      <c r="AG133">
        <f t="shared" si="9"/>
        <v>657374.99929667544</v>
      </c>
      <c r="AH133">
        <f t="shared" si="10"/>
        <v>40277.83602792256</v>
      </c>
      <c r="AI133">
        <f t="shared" si="11"/>
        <v>6.1270714692551069E-2</v>
      </c>
    </row>
    <row r="134" spans="1:35" x14ac:dyDescent="0.45">
      <c r="A134" s="5" t="s">
        <v>143</v>
      </c>
      <c r="B134" s="2">
        <f t="shared" si="8"/>
        <v>549277057.80597353</v>
      </c>
      <c r="C134" s="2">
        <v>434405810.23167121</v>
      </c>
      <c r="D134" s="2">
        <v>7.4921734282337782E-2</v>
      </c>
      <c r="E134" s="5">
        <v>563972774.383986</v>
      </c>
      <c r="F134" s="5">
        <v>533878782.10492003</v>
      </c>
      <c r="G134" s="5">
        <v>718118619.01076198</v>
      </c>
      <c r="H134" s="5">
        <v>1086705330.2762401</v>
      </c>
      <c r="I134" s="5">
        <v>320755978.129839</v>
      </c>
      <c r="J134" s="5">
        <v>334146701.668957</v>
      </c>
      <c r="K134" s="5">
        <v>609228199.78293002</v>
      </c>
      <c r="L134" s="5">
        <v>579852686.52534294</v>
      </c>
      <c r="M134" s="5">
        <v>274758336.30135298</v>
      </c>
      <c r="N134" s="5">
        <v>621147043.07551396</v>
      </c>
      <c r="O134" s="5">
        <v>971346109.85345995</v>
      </c>
      <c r="P134" s="5">
        <v>485704803.631504</v>
      </c>
      <c r="Q134" s="5">
        <v>324051306.80780399</v>
      </c>
      <c r="R134" s="5">
        <v>996188710.032354</v>
      </c>
      <c r="S134" s="5">
        <v>569210407.44093394</v>
      </c>
      <c r="T134" s="5">
        <v>674296739.65254498</v>
      </c>
      <c r="U134" s="5">
        <v>405591281.09263402</v>
      </c>
      <c r="V134" s="5">
        <v>383898825.78765601</v>
      </c>
      <c r="W134" s="5">
        <v>753399228.99687505</v>
      </c>
      <c r="X134" s="5">
        <v>398713083.11229098</v>
      </c>
      <c r="Y134" s="5">
        <v>306793897.70089</v>
      </c>
      <c r="Z134" s="5">
        <v>513568817.38941902</v>
      </c>
      <c r="AA134" s="5">
        <v>348287454.52475399</v>
      </c>
      <c r="AB134" s="5">
        <v>409034270.06040001</v>
      </c>
      <c r="AC134" s="5">
        <v>388158611.87122101</v>
      </c>
      <c r="AD134" s="5">
        <v>461887709.14171398</v>
      </c>
      <c r="AE134" s="5">
        <v>451126213.939686</v>
      </c>
      <c r="AF134" s="5">
        <v>436450705.97406399</v>
      </c>
      <c r="AG134">
        <f t="shared" si="9"/>
        <v>434405810.23167121</v>
      </c>
      <c r="AH134">
        <f t="shared" si="10"/>
        <v>32546436.684880923</v>
      </c>
      <c r="AI134">
        <f t="shared" si="11"/>
        <v>7.4921734282337782E-2</v>
      </c>
    </row>
    <row r="135" spans="1:35" x14ac:dyDescent="0.45">
      <c r="A135" s="5" t="s">
        <v>295</v>
      </c>
      <c r="B135" s="2">
        <f t="shared" si="8"/>
        <v>13617000.708695179</v>
      </c>
      <c r="C135" s="2">
        <v>11194418.795714948</v>
      </c>
      <c r="D135" s="2">
        <v>5.3627359194383155E-2</v>
      </c>
      <c r="E135" s="5">
        <v>10705168.4760659</v>
      </c>
      <c r="F135" s="5">
        <v>5157702.1932512699</v>
      </c>
      <c r="G135" s="5">
        <v>8913766.6114677805</v>
      </c>
      <c r="H135" s="5">
        <v>1754726.2437634</v>
      </c>
      <c r="I135" s="5">
        <v>11980070.5722731</v>
      </c>
      <c r="J135" s="5">
        <v>11599592.079423601</v>
      </c>
      <c r="K135" s="5">
        <v>16090026.808521001</v>
      </c>
      <c r="L135" s="5">
        <v>9160846.1024739407</v>
      </c>
      <c r="M135" s="5">
        <v>13814865.9028387</v>
      </c>
      <c r="N135" s="5">
        <v>7068625.4070445597</v>
      </c>
      <c r="O135" s="5">
        <v>14862456.057673199</v>
      </c>
      <c r="P135" s="5">
        <v>12211101.4085782</v>
      </c>
      <c r="Q135" s="5">
        <v>36860092.1026977</v>
      </c>
      <c r="R135" s="5">
        <v>8943187.2142200805</v>
      </c>
      <c r="S135" s="5">
        <v>14382284.7970453</v>
      </c>
      <c r="T135" s="5">
        <v>40232270.028068297</v>
      </c>
      <c r="U135" s="5">
        <v>15512753.5041734</v>
      </c>
      <c r="V135" s="5">
        <v>6463092.2655680403</v>
      </c>
      <c r="W135" s="5">
        <v>11617809.3441552</v>
      </c>
      <c r="X135" s="5">
        <v>6455006.4913368197</v>
      </c>
      <c r="Y135" s="5">
        <v>28020261.361487601</v>
      </c>
      <c r="Z135" s="5">
        <v>10677098.0585934</v>
      </c>
      <c r="AA135" s="5">
        <v>13685886.1494096</v>
      </c>
      <c r="AB135" s="5">
        <v>10639327.8285542</v>
      </c>
      <c r="AC135" s="5">
        <v>10521503.1741721</v>
      </c>
      <c r="AD135" s="5">
        <v>11166687.134146599</v>
      </c>
      <c r="AE135" s="5">
        <v>11981858.073236199</v>
      </c>
      <c r="AF135" s="5">
        <v>11107626.801304899</v>
      </c>
      <c r="AG135">
        <f t="shared" si="9"/>
        <v>11194418.795714948</v>
      </c>
      <c r="AH135">
        <f t="shared" si="10"/>
        <v>600327.11773015966</v>
      </c>
      <c r="AI135">
        <f t="shared" si="11"/>
        <v>5.3627359194383155E-2</v>
      </c>
    </row>
    <row r="136" spans="1:35" x14ac:dyDescent="0.45">
      <c r="A136" s="5" t="s">
        <v>382</v>
      </c>
      <c r="B136" s="2">
        <f t="shared" si="8"/>
        <v>17690810.733986225</v>
      </c>
      <c r="C136" s="2">
        <v>15494138.442699952</v>
      </c>
      <c r="D136" s="2">
        <v>0.19838131902543876</v>
      </c>
      <c r="E136" s="5">
        <v>21883718.341834299</v>
      </c>
      <c r="F136" s="5">
        <v>11912114.422312999</v>
      </c>
      <c r="G136" s="5">
        <v>23597354.971396901</v>
      </c>
      <c r="H136" s="5">
        <v>5613983.86495627</v>
      </c>
      <c r="I136" s="5">
        <v>6085419.0733747398</v>
      </c>
      <c r="J136" s="5">
        <v>7299218.0064872298</v>
      </c>
      <c r="K136" s="5">
        <v>22502399.321678899</v>
      </c>
      <c r="L136" s="5">
        <v>17511381.884822901</v>
      </c>
      <c r="M136" s="5">
        <v>10891662.392170001</v>
      </c>
      <c r="N136" s="5">
        <v>15006798.6110096</v>
      </c>
      <c r="O136" s="5">
        <v>73142400.489822298</v>
      </c>
      <c r="P136" s="5">
        <v>12516956.9218888</v>
      </c>
      <c r="Q136" s="5">
        <v>19639608.986221399</v>
      </c>
      <c r="R136" s="5">
        <v>9271692.3254160509</v>
      </c>
      <c r="S136" s="5">
        <v>48688040.623436697</v>
      </c>
      <c r="T136" s="5">
        <v>7501240.2665676698</v>
      </c>
      <c r="U136" s="5">
        <v>10376562.0606909</v>
      </c>
      <c r="V136" s="5">
        <v>9890704.6793970391</v>
      </c>
      <c r="W136" s="5">
        <v>24011709.756106898</v>
      </c>
      <c r="X136" s="5">
        <v>4991735.7418332603</v>
      </c>
      <c r="Y136" s="5">
        <v>21200686.058452699</v>
      </c>
      <c r="Z136" s="5">
        <v>8777733.1161430608</v>
      </c>
      <c r="AA136" s="5">
        <v>20522954.222675599</v>
      </c>
      <c r="AB136" s="5">
        <v>11743381.4769731</v>
      </c>
      <c r="AC136" s="5">
        <v>17221643.7710924</v>
      </c>
      <c r="AD136" s="5">
        <v>18907844.2703893</v>
      </c>
      <c r="AE136" s="5">
        <v>13418550.5953131</v>
      </c>
      <c r="AF136" s="5">
        <v>12428515.134005001</v>
      </c>
      <c r="AG136">
        <f t="shared" si="9"/>
        <v>15494138.442699952</v>
      </c>
      <c r="AH136">
        <f t="shared" si="10"/>
        <v>3073747.6214255742</v>
      </c>
      <c r="AI136">
        <f t="shared" si="11"/>
        <v>0.19838131902543876</v>
      </c>
    </row>
    <row r="137" spans="1:35" x14ac:dyDescent="0.45">
      <c r="A137" s="5" t="s">
        <v>296</v>
      </c>
      <c r="B137" s="2">
        <f t="shared" si="8"/>
        <v>38352937.276361704</v>
      </c>
      <c r="C137" s="2">
        <v>46264465.21742332</v>
      </c>
      <c r="D137" s="2">
        <v>2.6161796637160596E-2</v>
      </c>
      <c r="E137" s="5">
        <v>1678017.20783796</v>
      </c>
      <c r="F137" s="5">
        <v>2672989.2960120998</v>
      </c>
      <c r="G137" s="5">
        <v>58100961.260083601</v>
      </c>
      <c r="H137" s="5">
        <v>1970086.67793574</v>
      </c>
      <c r="I137" s="5">
        <v>95036267.195663497</v>
      </c>
      <c r="J137" s="5">
        <v>234896428.238666</v>
      </c>
      <c r="K137" s="5">
        <v>3538301.7623364599</v>
      </c>
      <c r="L137" s="5">
        <v>15126900.064441301</v>
      </c>
      <c r="M137" s="5">
        <v>129775370.366373</v>
      </c>
      <c r="N137" s="5">
        <v>846061.47223787801</v>
      </c>
      <c r="O137" s="5">
        <v>315199.66014186898</v>
      </c>
      <c r="P137" s="5">
        <v>2362718.4425925598</v>
      </c>
      <c r="Q137" s="5">
        <v>55944616.5780674</v>
      </c>
      <c r="R137" s="5">
        <v>1039156.6109228</v>
      </c>
      <c r="S137" s="5">
        <v>24490572.162699901</v>
      </c>
      <c r="T137" s="5">
        <v>262878.51002977102</v>
      </c>
      <c r="U137" s="5">
        <v>11646327.601542</v>
      </c>
      <c r="V137" s="5">
        <v>46602826.1632898</v>
      </c>
      <c r="W137" s="5">
        <v>1843972.9851738799</v>
      </c>
      <c r="X137" s="5">
        <v>127628412.635693</v>
      </c>
      <c r="Y137" s="5">
        <v>12137370.498501001</v>
      </c>
      <c r="Z137" s="5">
        <v>36184997.582300499</v>
      </c>
      <c r="AA137" s="5">
        <v>47065569.4831357</v>
      </c>
      <c r="AB137" s="5">
        <v>9304492.1770033706</v>
      </c>
      <c r="AC137" s="5">
        <v>44759783.359259002</v>
      </c>
      <c r="AD137" s="5">
        <v>45908083.876737103</v>
      </c>
      <c r="AE137" s="5">
        <v>47563827.289108701</v>
      </c>
      <c r="AF137" s="5">
        <v>46826166.344588503</v>
      </c>
      <c r="AG137">
        <f t="shared" si="9"/>
        <v>46264465.21742332</v>
      </c>
      <c r="AH137">
        <f t="shared" si="10"/>
        <v>1210361.5305452188</v>
      </c>
      <c r="AI137">
        <f t="shared" si="11"/>
        <v>2.6161796637160596E-2</v>
      </c>
    </row>
    <row r="138" spans="1:35" x14ac:dyDescent="0.45">
      <c r="A138" s="5" t="s">
        <v>144</v>
      </c>
      <c r="B138" s="2">
        <f t="shared" si="8"/>
        <v>29829922.458494712</v>
      </c>
      <c r="C138" s="2">
        <v>28501990.101458602</v>
      </c>
      <c r="D138" s="2">
        <v>0.11570372186319808</v>
      </c>
      <c r="E138" s="5">
        <v>28868641.980753399</v>
      </c>
      <c r="F138" s="5">
        <v>27373748.571954999</v>
      </c>
      <c r="G138" s="5">
        <v>30427413.6843987</v>
      </c>
      <c r="H138" s="5">
        <v>26251134.0413507</v>
      </c>
      <c r="I138" s="5">
        <v>23841081.935638599</v>
      </c>
      <c r="J138" s="5">
        <v>34813117.280148603</v>
      </c>
      <c r="K138" s="5">
        <v>28498240.7501394</v>
      </c>
      <c r="L138" s="5">
        <v>31799639.799024001</v>
      </c>
      <c r="M138" s="5">
        <v>34390105.946778402</v>
      </c>
      <c r="N138" s="5">
        <v>26351426.466715701</v>
      </c>
      <c r="O138" s="5">
        <v>30299463.471740801</v>
      </c>
      <c r="P138" s="5">
        <v>27746682.192047901</v>
      </c>
      <c r="Q138" s="5">
        <v>29125138.1853774</v>
      </c>
      <c r="R138" s="5">
        <v>27551070.704559501</v>
      </c>
      <c r="S138" s="5">
        <v>34986926.077781901</v>
      </c>
      <c r="T138" s="5">
        <v>28544050.176762599</v>
      </c>
      <c r="U138" s="5">
        <v>28301624.849452302</v>
      </c>
      <c r="V138" s="5">
        <v>30310422.522622898</v>
      </c>
      <c r="W138" s="5">
        <v>29705352.551348198</v>
      </c>
      <c r="X138" s="5">
        <v>31106103.3388457</v>
      </c>
      <c r="Y138" s="5">
        <v>29354457.785712302</v>
      </c>
      <c r="Z138" s="5">
        <v>27852648.153642099</v>
      </c>
      <c r="AA138" s="5">
        <v>34536679.3877756</v>
      </c>
      <c r="AB138" s="5">
        <v>33882969.149301499</v>
      </c>
      <c r="AC138" s="5">
        <v>30986031.955830202</v>
      </c>
      <c r="AD138" s="5">
        <v>23758785.549599599</v>
      </c>
      <c r="AE138" s="5">
        <v>30469969.546847399</v>
      </c>
      <c r="AF138" s="5">
        <v>28793173.353557199</v>
      </c>
      <c r="AG138">
        <f t="shared" si="9"/>
        <v>28501990.101458602</v>
      </c>
      <c r="AH138">
        <f t="shared" si="10"/>
        <v>3297786.3352467907</v>
      </c>
      <c r="AI138">
        <f t="shared" si="11"/>
        <v>0.11570372186319808</v>
      </c>
    </row>
    <row r="139" spans="1:35" x14ac:dyDescent="0.45">
      <c r="A139" s="5" t="s">
        <v>145</v>
      </c>
      <c r="B139" s="2">
        <f t="shared" si="8"/>
        <v>157060178.21004391</v>
      </c>
      <c r="C139" s="2">
        <v>123305323.12200475</v>
      </c>
      <c r="D139" s="2">
        <v>8.9514587604765966E-2</v>
      </c>
      <c r="E139" s="5">
        <v>118840716.557235</v>
      </c>
      <c r="F139" s="5">
        <v>94579608.423080504</v>
      </c>
      <c r="G139" s="5">
        <v>285749335.42331803</v>
      </c>
      <c r="H139" s="5">
        <v>96405829.121834204</v>
      </c>
      <c r="I139" s="5">
        <v>245610619.67609</v>
      </c>
      <c r="J139" s="5">
        <v>124220723.137008</v>
      </c>
      <c r="K139" s="5">
        <v>77606307.323508605</v>
      </c>
      <c r="L139" s="5">
        <v>114207144.311611</v>
      </c>
      <c r="M139" s="5">
        <v>130539973.308926</v>
      </c>
      <c r="N139" s="5">
        <v>145576117.86860999</v>
      </c>
      <c r="O139" s="5">
        <v>365272319.38226497</v>
      </c>
      <c r="P139" s="5">
        <v>83407756.666849196</v>
      </c>
      <c r="Q139" s="5">
        <v>215449621.77443799</v>
      </c>
      <c r="R139" s="5">
        <v>202870352.57228401</v>
      </c>
      <c r="S139" s="5">
        <v>191559701.357474</v>
      </c>
      <c r="T139" s="5">
        <v>119094066.613297</v>
      </c>
      <c r="U139" s="5">
        <v>97436720.534614295</v>
      </c>
      <c r="V139" s="5">
        <v>58910747.999785103</v>
      </c>
      <c r="W139" s="5">
        <v>329262043.55458599</v>
      </c>
      <c r="X139" s="5">
        <v>119795299.258926</v>
      </c>
      <c r="Y139" s="5">
        <v>180546717.215159</v>
      </c>
      <c r="Z139" s="5">
        <v>151703403.30447099</v>
      </c>
      <c r="AA139" s="5">
        <v>140464727.294168</v>
      </c>
      <c r="AB139" s="5">
        <v>80334424.361516297</v>
      </c>
      <c r="AC139" s="5">
        <v>123256497.042989</v>
      </c>
      <c r="AD139" s="5">
        <v>127622631.85678799</v>
      </c>
      <c r="AE139" s="5">
        <v>134166003.80203401</v>
      </c>
      <c r="AF139" s="5">
        <v>108176159.786208</v>
      </c>
      <c r="AG139">
        <f t="shared" si="9"/>
        <v>123305323.12200475</v>
      </c>
      <c r="AH139">
        <f t="shared" si="10"/>
        <v>11037625.148738669</v>
      </c>
      <c r="AI139">
        <f t="shared" si="11"/>
        <v>8.9514587604765966E-2</v>
      </c>
    </row>
    <row r="140" spans="1:35" x14ac:dyDescent="0.45">
      <c r="A140" s="5" t="s">
        <v>146</v>
      </c>
      <c r="B140" s="2">
        <f t="shared" si="8"/>
        <v>6912552.2499701725</v>
      </c>
      <c r="C140" s="2">
        <v>5688918.0914649051</v>
      </c>
      <c r="D140" s="2">
        <v>0.15091700430504496</v>
      </c>
      <c r="E140" s="5">
        <v>6491509.4719912298</v>
      </c>
      <c r="F140" s="5">
        <v>5481073.9894190896</v>
      </c>
      <c r="G140" s="5">
        <v>5523734.3933278099</v>
      </c>
      <c r="H140" s="5">
        <v>10335703.2545285</v>
      </c>
      <c r="I140" s="5">
        <v>6350920.7662885301</v>
      </c>
      <c r="J140" s="5">
        <v>4871707.85261478</v>
      </c>
      <c r="K140" s="5">
        <v>6076647.3220108403</v>
      </c>
      <c r="L140" s="5">
        <v>6108078.4972352497</v>
      </c>
      <c r="M140" s="5">
        <v>5603574.9773984998</v>
      </c>
      <c r="N140" s="5">
        <v>2426260.2394092302</v>
      </c>
      <c r="O140" s="5">
        <v>7679927.8799987296</v>
      </c>
      <c r="P140" s="5">
        <v>4133920.0780935502</v>
      </c>
      <c r="Q140" s="5">
        <v>5306876.1548369601</v>
      </c>
      <c r="R140" s="5">
        <v>6099298.7467978597</v>
      </c>
      <c r="S140" s="5">
        <v>7076869.5797462398</v>
      </c>
      <c r="T140" s="5">
        <v>16635324.7684674</v>
      </c>
      <c r="U140" s="5">
        <v>6768607.5995824402</v>
      </c>
      <c r="V140" s="5">
        <v>11421670.214942001</v>
      </c>
      <c r="W140" s="5">
        <v>6856134.6661606301</v>
      </c>
      <c r="X140" s="5">
        <v>7411105.8358843699</v>
      </c>
      <c r="Y140" s="5">
        <v>6690212.8197833197</v>
      </c>
      <c r="Z140" s="5">
        <v>8267882.6088602999</v>
      </c>
      <c r="AA140" s="5">
        <v>6991405.5280925501</v>
      </c>
      <c r="AB140" s="5">
        <v>5292806.7538139699</v>
      </c>
      <c r="AC140" s="5">
        <v>5559156.4950270196</v>
      </c>
      <c r="AD140" s="5">
        <v>6333532.2874869304</v>
      </c>
      <c r="AE140" s="5">
        <v>4524175.6306724604</v>
      </c>
      <c r="AF140" s="5">
        <v>6338807.9526732098</v>
      </c>
      <c r="AG140">
        <f t="shared" si="9"/>
        <v>5688918.0914649051</v>
      </c>
      <c r="AH140">
        <f t="shared" si="10"/>
        <v>858554.47610065725</v>
      </c>
      <c r="AI140">
        <f t="shared" si="11"/>
        <v>0.15091700430504496</v>
      </c>
    </row>
    <row r="141" spans="1:35" x14ac:dyDescent="0.45">
      <c r="A141" s="5" t="s">
        <v>420</v>
      </c>
      <c r="B141" s="2">
        <f t="shared" si="8"/>
        <v>26531585.224127352</v>
      </c>
      <c r="C141" s="2">
        <v>20628057.412151024</v>
      </c>
      <c r="D141" s="2">
        <v>9.5722115835765471E-3</v>
      </c>
      <c r="E141" s="5">
        <v>6627740.04763145</v>
      </c>
      <c r="F141" s="5">
        <v>8667036.1700085793</v>
      </c>
      <c r="G141" s="5">
        <v>2312101.91509492</v>
      </c>
      <c r="H141" s="5">
        <v>122315992.37484799</v>
      </c>
      <c r="I141" s="5">
        <v>13190255.378641101</v>
      </c>
      <c r="J141" s="5">
        <v>10931186.006582201</v>
      </c>
      <c r="K141" s="5">
        <v>9753293.4207446706</v>
      </c>
      <c r="L141" s="5">
        <v>80412966.1981062</v>
      </c>
      <c r="M141" s="5">
        <v>13195362.680424601</v>
      </c>
      <c r="N141" s="5">
        <v>6668670.0809650002</v>
      </c>
      <c r="O141" s="5">
        <v>101938173.929149</v>
      </c>
      <c r="P141" s="5">
        <v>6921005.7907715105</v>
      </c>
      <c r="Q141" s="5">
        <v>12623560.3930762</v>
      </c>
      <c r="R141" s="5">
        <v>5495028.0848669596</v>
      </c>
      <c r="S141" s="5">
        <v>3386469.92791432</v>
      </c>
      <c r="T141" s="5">
        <v>60505189.371210501</v>
      </c>
      <c r="U141" s="5">
        <v>9681753.9757252205</v>
      </c>
      <c r="V141" s="5">
        <v>9396601.3885436505</v>
      </c>
      <c r="W141" s="5">
        <v>8531887.1520527992</v>
      </c>
      <c r="X141" s="5">
        <v>2957948.38256709</v>
      </c>
      <c r="Y141" s="5">
        <v>13303009.946518101</v>
      </c>
      <c r="Z141" s="5">
        <v>7964020.4019047599</v>
      </c>
      <c r="AA141" s="5">
        <v>14137169.438929699</v>
      </c>
      <c r="AB141" s="5">
        <v>105841622.92278001</v>
      </c>
      <c r="AC141" s="5">
        <v>20781120.8604283</v>
      </c>
      <c r="AD141" s="5">
        <v>20813718.0889671</v>
      </c>
      <c r="AE141" s="5">
        <v>20487862.5175879</v>
      </c>
      <c r="AF141" s="5">
        <v>20429528.181620799</v>
      </c>
      <c r="AG141">
        <f t="shared" si="9"/>
        <v>20628057.412151024</v>
      </c>
      <c r="AH141">
        <f t="shared" si="10"/>
        <v>197456.13010727408</v>
      </c>
      <c r="AI141">
        <f t="shared" si="11"/>
        <v>9.5722115835765471E-3</v>
      </c>
    </row>
    <row r="142" spans="1:35" x14ac:dyDescent="0.45">
      <c r="A142" s="5" t="s">
        <v>298</v>
      </c>
      <c r="B142" s="2">
        <f t="shared" si="8"/>
        <v>85243941.81590651</v>
      </c>
      <c r="C142" s="2">
        <v>51863241.206680574</v>
      </c>
      <c r="D142" s="2">
        <v>0.18692623595425997</v>
      </c>
      <c r="E142" s="5">
        <v>70367015.654218301</v>
      </c>
      <c r="F142" s="5">
        <v>32964311.3025386</v>
      </c>
      <c r="G142" s="5">
        <v>27768439.828659602</v>
      </c>
      <c r="H142" s="5">
        <v>193483586.281396</v>
      </c>
      <c r="I142" s="5">
        <v>8892833.2909677308</v>
      </c>
      <c r="J142" s="5">
        <v>13449804.3992109</v>
      </c>
      <c r="K142" s="5">
        <v>57785007.547415197</v>
      </c>
      <c r="L142" s="5">
        <v>48539049.7515698</v>
      </c>
      <c r="M142" s="5">
        <v>13378849.0507733</v>
      </c>
      <c r="N142" s="5">
        <v>68767360.783430398</v>
      </c>
      <c r="O142" s="5">
        <v>969872141.64631999</v>
      </c>
      <c r="P142" s="5">
        <v>54081749.121740296</v>
      </c>
      <c r="Q142" s="5">
        <v>21193354.429879598</v>
      </c>
      <c r="R142" s="5">
        <v>37310352.217709497</v>
      </c>
      <c r="S142" s="5">
        <v>79289849.867262706</v>
      </c>
      <c r="T142" s="5">
        <v>100403629.62026601</v>
      </c>
      <c r="U142" s="5">
        <v>31976430.9327797</v>
      </c>
      <c r="V142" s="5">
        <v>20583381.1447367</v>
      </c>
      <c r="W142" s="5">
        <v>76881635.170230493</v>
      </c>
      <c r="X142" s="5">
        <v>30059893.343353398</v>
      </c>
      <c r="Y142" s="5">
        <v>19952706.7181678</v>
      </c>
      <c r="Z142" s="5">
        <v>21026383.1350406</v>
      </c>
      <c r="AA142" s="5">
        <v>23165401.289356198</v>
      </c>
      <c r="AB142" s="5">
        <v>24661437.054733202</v>
      </c>
      <c r="AC142" s="5">
        <v>56380815.339395598</v>
      </c>
      <c r="AD142" s="5">
        <v>55668938.226163998</v>
      </c>
      <c r="AE142" s="5">
        <v>58007565.247116096</v>
      </c>
      <c r="AF142" s="5">
        <v>37395646.014046602</v>
      </c>
      <c r="AG142">
        <f t="shared" si="9"/>
        <v>51863241.206680574</v>
      </c>
      <c r="AH142">
        <f t="shared" si="10"/>
        <v>9694600.4631526712</v>
      </c>
      <c r="AI142">
        <f t="shared" si="11"/>
        <v>0.18692623595425997</v>
      </c>
    </row>
    <row r="143" spans="1:35" x14ac:dyDescent="0.45">
      <c r="A143" s="5" t="s">
        <v>155</v>
      </c>
      <c r="B143" s="2">
        <f t="shared" si="8"/>
        <v>159495520.59943491</v>
      </c>
      <c r="C143" s="2">
        <v>117256599.34761676</v>
      </c>
      <c r="D143" s="2">
        <v>2.3769341234657595E-2</v>
      </c>
      <c r="E143" s="5">
        <v>111385336.257972</v>
      </c>
      <c r="F143" s="5">
        <v>112805896.259369</v>
      </c>
      <c r="G143" s="5">
        <v>149754245.78094199</v>
      </c>
      <c r="H143" s="5">
        <v>209759349.725041</v>
      </c>
      <c r="I143" s="5">
        <v>61442372.714818798</v>
      </c>
      <c r="J143" s="5">
        <v>89797065.504074201</v>
      </c>
      <c r="K143" s="5">
        <v>114354147.726483</v>
      </c>
      <c r="L143" s="5">
        <v>170048705.82894599</v>
      </c>
      <c r="M143" s="5">
        <v>115956640.24201</v>
      </c>
      <c r="N143" s="5">
        <v>114791720.808651</v>
      </c>
      <c r="O143" s="5">
        <v>388082723.61628997</v>
      </c>
      <c r="P143" s="5">
        <v>142424240.369822</v>
      </c>
      <c r="Q143" s="5">
        <v>139299503.80837199</v>
      </c>
      <c r="R143" s="5">
        <v>223818773.10325801</v>
      </c>
      <c r="S143" s="5">
        <v>173931614.909399</v>
      </c>
      <c r="T143" s="5">
        <v>518229077.95553797</v>
      </c>
      <c r="U143" s="5">
        <v>85150807.758019596</v>
      </c>
      <c r="V143" s="5">
        <v>92544986.208505496</v>
      </c>
      <c r="W143" s="5">
        <v>150086201.00674999</v>
      </c>
      <c r="X143" s="5">
        <v>146852267.036338</v>
      </c>
      <c r="Y143" s="5">
        <v>116095197.545407</v>
      </c>
      <c r="Z143" s="5">
        <v>135280373.49764699</v>
      </c>
      <c r="AA143" s="5">
        <v>138498310.86944899</v>
      </c>
      <c r="AB143" s="5">
        <v>127502935.85333601</v>
      </c>
      <c r="AC143" s="5">
        <v>114916823.482713</v>
      </c>
      <c r="AD143" s="5">
        <v>114799070.558943</v>
      </c>
      <c r="AE143" s="5">
        <v>120031361.44927999</v>
      </c>
      <c r="AF143" s="5">
        <v>119279141.89953101</v>
      </c>
      <c r="AG143">
        <f t="shared" si="9"/>
        <v>117256599.34761676</v>
      </c>
      <c r="AH143">
        <f t="shared" si="10"/>
        <v>2787112.1219090321</v>
      </c>
      <c r="AI143">
        <f t="shared" si="11"/>
        <v>2.3769341234657595E-2</v>
      </c>
    </row>
    <row r="144" spans="1:35" x14ac:dyDescent="0.45">
      <c r="A144" s="5" t="s">
        <v>300</v>
      </c>
      <c r="B144" s="2">
        <f t="shared" si="8"/>
        <v>95896680.448267415</v>
      </c>
      <c r="C144" s="2">
        <v>72415919.333798274</v>
      </c>
      <c r="D144" s="2">
        <v>1.0003359029452468E-2</v>
      </c>
      <c r="E144" s="5">
        <v>3809423.1259321999</v>
      </c>
      <c r="F144" s="5">
        <v>190294036.87788999</v>
      </c>
      <c r="G144" s="5">
        <v>147813132.83189601</v>
      </c>
      <c r="H144" s="5">
        <v>4821618.6123129698</v>
      </c>
      <c r="I144" s="5">
        <v>75559441.408052906</v>
      </c>
      <c r="J144" s="5">
        <v>89718337.595692903</v>
      </c>
      <c r="K144" s="5">
        <v>161401529.41004899</v>
      </c>
      <c r="L144" s="5">
        <v>147792894.86549401</v>
      </c>
      <c r="M144" s="5">
        <v>2780454.8825531998</v>
      </c>
      <c r="N144" s="5">
        <v>123080526.933696</v>
      </c>
      <c r="O144" s="5">
        <v>10902662.3513826</v>
      </c>
      <c r="P144" s="5">
        <v>5237006.6203792701</v>
      </c>
      <c r="Q144" s="5">
        <v>104680949.742182</v>
      </c>
      <c r="R144" s="5">
        <v>174613761.518549</v>
      </c>
      <c r="S144" s="5">
        <v>162597987.13019499</v>
      </c>
      <c r="T144" s="5">
        <v>315110355.34034997</v>
      </c>
      <c r="U144" s="5">
        <v>3210586.1436117301</v>
      </c>
      <c r="V144" s="5">
        <v>3208353.6357055702</v>
      </c>
      <c r="W144" s="5">
        <v>234979375.96636999</v>
      </c>
      <c r="X144" s="5">
        <v>3368873.2043213402</v>
      </c>
      <c r="Y144" s="5">
        <v>29967736.686545402</v>
      </c>
      <c r="Z144" s="5">
        <v>160510760.63377199</v>
      </c>
      <c r="AA144" s="5">
        <v>53201345.563851103</v>
      </c>
      <c r="AB144" s="5">
        <v>92859179.677634105</v>
      </c>
      <c r="AC144" s="5">
        <v>71861699.475061402</v>
      </c>
      <c r="AD144" s="5">
        <v>71724777.087720394</v>
      </c>
      <c r="AE144" s="5">
        <v>73122194.780190706</v>
      </c>
      <c r="AF144" s="5">
        <v>72955005.992220595</v>
      </c>
      <c r="AG144">
        <f t="shared" si="9"/>
        <v>72415919.333798274</v>
      </c>
      <c r="AH144">
        <f t="shared" si="10"/>
        <v>724402.44054385251</v>
      </c>
      <c r="AI144">
        <f t="shared" si="11"/>
        <v>1.0003359029452468E-2</v>
      </c>
    </row>
    <row r="145" spans="1:35" x14ac:dyDescent="0.45">
      <c r="A145" s="5" t="s">
        <v>421</v>
      </c>
      <c r="B145" s="2">
        <f t="shared" si="8"/>
        <v>4800606.4363932079</v>
      </c>
      <c r="C145" s="2">
        <v>4071584.0525087574</v>
      </c>
      <c r="D145" s="2">
        <v>1.8251989651480539E-2</v>
      </c>
      <c r="E145" s="5">
        <v>6919349.0062267203</v>
      </c>
      <c r="F145" s="5">
        <v>222174.53980788399</v>
      </c>
      <c r="G145" s="5">
        <v>5616999.8084549103</v>
      </c>
      <c r="H145" s="5">
        <v>231060.465116509</v>
      </c>
      <c r="I145" s="5">
        <v>8077749.3306494802</v>
      </c>
      <c r="J145" s="5">
        <v>205741.30265812701</v>
      </c>
      <c r="K145" s="5">
        <v>6877973.0511318399</v>
      </c>
      <c r="L145" s="5">
        <v>7084868.2276572296</v>
      </c>
      <c r="M145" s="5">
        <v>3656927.2776865</v>
      </c>
      <c r="N145" s="5">
        <v>354510.24255611002</v>
      </c>
      <c r="O145" s="5">
        <v>10136457.357891999</v>
      </c>
      <c r="P145" s="5">
        <v>7131709.5638113096</v>
      </c>
      <c r="Q145" s="5">
        <v>5503369.2381302603</v>
      </c>
      <c r="R145" s="5">
        <v>193935.88625802301</v>
      </c>
      <c r="S145" s="5">
        <v>1128450.75660462</v>
      </c>
      <c r="T145" s="5">
        <v>7253721.2718449403</v>
      </c>
      <c r="U145" s="5">
        <v>6436702.6003649402</v>
      </c>
      <c r="V145" s="5">
        <v>382598.478720101</v>
      </c>
      <c r="W145" s="5">
        <v>11107690.900197599</v>
      </c>
      <c r="X145" s="5">
        <v>3956202.8962089098</v>
      </c>
      <c r="Y145" s="5">
        <v>5797595.6676907903</v>
      </c>
      <c r="Z145" s="5">
        <v>2359399.7458651899</v>
      </c>
      <c r="AA145" s="5">
        <v>6465986.94941804</v>
      </c>
      <c r="AB145" s="5">
        <v>8113379.9084849497</v>
      </c>
      <c r="AC145" s="5">
        <v>3961434.5743068</v>
      </c>
      <c r="AD145" s="5">
        <v>4118272.0864023999</v>
      </c>
      <c r="AE145" s="5">
        <v>4114305.26309552</v>
      </c>
      <c r="AF145" s="5">
        <v>4092324.2862303099</v>
      </c>
      <c r="AG145">
        <f t="shared" si="9"/>
        <v>4071584.0525087574</v>
      </c>
      <c r="AH145">
        <f t="shared" si="10"/>
        <v>74314.509991523038</v>
      </c>
      <c r="AI145">
        <f t="shared" si="11"/>
        <v>1.8251989651480539E-2</v>
      </c>
    </row>
    <row r="146" spans="1:35" x14ac:dyDescent="0.45">
      <c r="A146" s="5" t="s">
        <v>157</v>
      </c>
      <c r="B146" s="2">
        <f t="shared" si="8"/>
        <v>2024593.9261565171</v>
      </c>
      <c r="C146" s="2">
        <v>2371427.1621729075</v>
      </c>
      <c r="D146" s="2">
        <v>0.12807518732365761</v>
      </c>
      <c r="E146" s="5">
        <v>365209.22512598999</v>
      </c>
      <c r="F146" s="5">
        <v>1136797.68712862</v>
      </c>
      <c r="G146" s="5">
        <v>1132460.8545641699</v>
      </c>
      <c r="H146" s="5">
        <v>8421298.2894819602</v>
      </c>
      <c r="I146" s="5">
        <v>6678124.5601538597</v>
      </c>
      <c r="J146" s="5">
        <v>977266.12829022796</v>
      </c>
      <c r="K146" s="5">
        <v>330758.708853252</v>
      </c>
      <c r="L146" s="5">
        <v>618717.7980217</v>
      </c>
      <c r="M146" s="5">
        <v>609442.47205493599</v>
      </c>
      <c r="N146" s="5">
        <v>1364448.68569619</v>
      </c>
      <c r="O146" s="5">
        <v>5344862.5877796104</v>
      </c>
      <c r="P146" s="5">
        <v>1097356.0646586099</v>
      </c>
      <c r="Q146" s="5">
        <v>5029444.3844832899</v>
      </c>
      <c r="R146" s="5">
        <v>2204860.0751227401</v>
      </c>
      <c r="S146" s="5">
        <v>1389692.6549893799</v>
      </c>
      <c r="T146" s="5">
        <v>2551244.5068129702</v>
      </c>
      <c r="U146" s="5">
        <v>898518.337935791</v>
      </c>
      <c r="V146" s="5">
        <v>1003405.97677048</v>
      </c>
      <c r="W146" s="5">
        <v>1116623.46383354</v>
      </c>
      <c r="X146" s="5">
        <v>1135829.6432010999</v>
      </c>
      <c r="Y146" s="5">
        <v>924153.11957957398</v>
      </c>
      <c r="Z146" s="5">
        <v>2046401.78518109</v>
      </c>
      <c r="AA146" s="5">
        <v>1494690.43059435</v>
      </c>
      <c r="AB146" s="5">
        <v>718646.78744297905</v>
      </c>
      <c r="AC146" s="5">
        <v>2210953.3694967702</v>
      </c>
      <c r="AD146" s="5">
        <v>2437211.6541851298</v>
      </c>
      <c r="AE146" s="5">
        <v>2070794.20682279</v>
      </c>
      <c r="AF146" s="5">
        <v>2766749.4181869398</v>
      </c>
      <c r="AG146">
        <f t="shared" si="9"/>
        <v>2371427.1621729075</v>
      </c>
      <c r="AH146">
        <f t="shared" si="10"/>
        <v>303720.97801970493</v>
      </c>
      <c r="AI146">
        <f t="shared" si="11"/>
        <v>0.12807518732365761</v>
      </c>
    </row>
    <row r="147" spans="1:35" x14ac:dyDescent="0.45">
      <c r="A147" s="5" t="s">
        <v>301</v>
      </c>
      <c r="B147" s="2">
        <f t="shared" si="8"/>
        <v>2138258991.5007803</v>
      </c>
      <c r="C147" s="2">
        <v>1712712758.2386327</v>
      </c>
      <c r="D147" s="2">
        <v>5.0425972183733334E-2</v>
      </c>
      <c r="E147" s="5">
        <v>2451990618.03687</v>
      </c>
      <c r="F147" s="5">
        <v>1723433587.1475101</v>
      </c>
      <c r="G147" s="5">
        <v>2287392792.3871198</v>
      </c>
      <c r="H147" s="5">
        <v>2310397155.3317199</v>
      </c>
      <c r="I147" s="5">
        <v>960920524.85677397</v>
      </c>
      <c r="J147" s="5">
        <v>1291442850.2642701</v>
      </c>
      <c r="K147" s="5">
        <v>2288663970.23278</v>
      </c>
      <c r="L147" s="5">
        <v>993450977.35400796</v>
      </c>
      <c r="M147" s="5">
        <v>1894325909.5174699</v>
      </c>
      <c r="N147" s="5">
        <v>2057848405.3525901</v>
      </c>
      <c r="O147" s="5">
        <v>4600991152.2298803</v>
      </c>
      <c r="P147" s="5">
        <v>2729842426.65411</v>
      </c>
      <c r="Q147" s="5">
        <v>1762567788.7558401</v>
      </c>
      <c r="R147" s="5">
        <v>2055286919.65851</v>
      </c>
      <c r="S147" s="5">
        <v>2791571129.0799899</v>
      </c>
      <c r="T147" s="5">
        <v>3563394258.9503798</v>
      </c>
      <c r="U147" s="5">
        <v>1875309362.0452399</v>
      </c>
      <c r="V147" s="5">
        <v>1764872189.9246399</v>
      </c>
      <c r="W147" s="5">
        <v>3000086973.9067302</v>
      </c>
      <c r="X147" s="5">
        <v>2025714305.46138</v>
      </c>
      <c r="Y147" s="5">
        <v>1409543698.3234401</v>
      </c>
      <c r="Z147" s="5">
        <v>2027229903.7987399</v>
      </c>
      <c r="AA147" s="5">
        <v>1723084294.57739</v>
      </c>
      <c r="AB147" s="5">
        <v>1728854602.17135</v>
      </c>
      <c r="AC147" s="5">
        <v>1614783716.2688701</v>
      </c>
      <c r="AD147" s="5">
        <v>1670905919.80439</v>
      </c>
      <c r="AE147" s="5">
        <v>1757323231.85884</v>
      </c>
      <c r="AF147" s="5">
        <v>1807838165.0224299</v>
      </c>
      <c r="AG147">
        <f t="shared" si="9"/>
        <v>1712712758.2386327</v>
      </c>
      <c r="AH147">
        <f t="shared" si="10"/>
        <v>86365205.905666485</v>
      </c>
      <c r="AI147">
        <f t="shared" si="11"/>
        <v>5.0425972183733334E-2</v>
      </c>
    </row>
    <row r="148" spans="1:35" x14ac:dyDescent="0.45">
      <c r="A148" s="5" t="s">
        <v>302</v>
      </c>
      <c r="B148" s="2">
        <f t="shared" si="8"/>
        <v>104734642.56149749</v>
      </c>
      <c r="C148" s="2">
        <v>96911821.976068392</v>
      </c>
      <c r="D148" s="2">
        <v>5.4474095967469188E-2</v>
      </c>
      <c r="E148" s="5">
        <v>94578588.339965895</v>
      </c>
      <c r="F148" s="5">
        <v>171913212.81560701</v>
      </c>
      <c r="G148" s="5">
        <v>138340889.494122</v>
      </c>
      <c r="H148" s="5">
        <v>238415048.56484801</v>
      </c>
      <c r="I148" s="5">
        <v>29602689.823694199</v>
      </c>
      <c r="J148" s="5">
        <v>65502279.693009898</v>
      </c>
      <c r="K148" s="5">
        <v>55377962.997670099</v>
      </c>
      <c r="L148" s="5">
        <v>91855307.730006203</v>
      </c>
      <c r="M148" s="5">
        <v>53802926.7375113</v>
      </c>
      <c r="N148" s="5">
        <v>159857193.71643299</v>
      </c>
      <c r="O148" s="5">
        <v>123157544.03667501</v>
      </c>
      <c r="P148" s="5">
        <v>89527559.691554099</v>
      </c>
      <c r="Q148" s="5">
        <v>22350109.521690499</v>
      </c>
      <c r="R148" s="5">
        <v>237693399.898386</v>
      </c>
      <c r="S148" s="5">
        <v>54291064.181815401</v>
      </c>
      <c r="T148" s="5">
        <v>292538514.17513001</v>
      </c>
      <c r="U148" s="5">
        <v>85631895.708868399</v>
      </c>
      <c r="V148" s="5">
        <v>125956105.979488</v>
      </c>
      <c r="W148" s="5">
        <v>90967673.499359399</v>
      </c>
      <c r="X148" s="5">
        <v>47895018.220411301</v>
      </c>
      <c r="Y148" s="5">
        <v>28053100.606192</v>
      </c>
      <c r="Z148" s="5">
        <v>172928548.55035099</v>
      </c>
      <c r="AA148" s="5">
        <v>17658173.197411198</v>
      </c>
      <c r="AB148" s="5">
        <v>25736614.295739599</v>
      </c>
      <c r="AC148" s="5">
        <v>91386209.311955601</v>
      </c>
      <c r="AD148" s="5">
        <v>93716726.853951499</v>
      </c>
      <c r="AE148" s="5">
        <v>102828284.373772</v>
      </c>
      <c r="AF148" s="5">
        <v>99716067.364594504</v>
      </c>
      <c r="AG148">
        <f t="shared" si="9"/>
        <v>96911821.976068392</v>
      </c>
      <c r="AH148">
        <f t="shared" si="10"/>
        <v>5279183.8907066388</v>
      </c>
      <c r="AI148">
        <f t="shared" si="11"/>
        <v>5.4474095967469188E-2</v>
      </c>
    </row>
    <row r="149" spans="1:35" x14ac:dyDescent="0.45">
      <c r="A149" s="5" t="s">
        <v>158</v>
      </c>
      <c r="B149" s="2">
        <f t="shared" si="8"/>
        <v>434271710.5541997</v>
      </c>
      <c r="C149" s="2">
        <v>397767673.56142199</v>
      </c>
      <c r="D149" s="2">
        <v>2.0325026119316296E-2</v>
      </c>
      <c r="E149" s="5">
        <v>143653445.67126301</v>
      </c>
      <c r="F149" s="5">
        <v>123816917.36600199</v>
      </c>
      <c r="G149" s="5">
        <v>537204854.72363806</v>
      </c>
      <c r="H149" s="5">
        <v>77148814.628401101</v>
      </c>
      <c r="I149" s="5">
        <v>432590069.10554898</v>
      </c>
      <c r="J149" s="5">
        <v>501127817.093548</v>
      </c>
      <c r="K149" s="5">
        <v>149917000.74838901</v>
      </c>
      <c r="L149" s="5">
        <v>796282006.26871395</v>
      </c>
      <c r="M149" s="5">
        <v>374677393.22797</v>
      </c>
      <c r="N149" s="5">
        <v>1108206426.4821</v>
      </c>
      <c r="O149" s="5">
        <v>421703668.62183601</v>
      </c>
      <c r="P149" s="5">
        <v>185760175.56955001</v>
      </c>
      <c r="Q149" s="5">
        <v>430873778.50981402</v>
      </c>
      <c r="R149" s="5">
        <v>900954857.54124904</v>
      </c>
      <c r="S149" s="5">
        <v>295109901.25659001</v>
      </c>
      <c r="T149" s="5">
        <v>102257289.76386701</v>
      </c>
      <c r="U149" s="5">
        <v>116845150.90026499</v>
      </c>
      <c r="V149" s="5">
        <v>1082417072.09497</v>
      </c>
      <c r="W149" s="5">
        <v>183574206.05712801</v>
      </c>
      <c r="X149" s="5">
        <v>384989896.84358698</v>
      </c>
      <c r="Y149" s="5">
        <v>325343654.41052097</v>
      </c>
      <c r="Z149" s="5">
        <v>801700616.75952601</v>
      </c>
      <c r="AA149" s="5">
        <v>310403339.63001198</v>
      </c>
      <c r="AB149" s="5">
        <v>635962700.02630496</v>
      </c>
      <c r="AC149" s="5">
        <v>407623621.99184698</v>
      </c>
      <c r="AD149" s="5">
        <v>394603454.598041</v>
      </c>
      <c r="AE149" s="5">
        <v>388653684.816127</v>
      </c>
      <c r="AF149" s="5">
        <v>400189932.83967298</v>
      </c>
      <c r="AG149">
        <f t="shared" si="9"/>
        <v>397767673.56142199</v>
      </c>
      <c r="AH149">
        <f t="shared" si="10"/>
        <v>8084638.3545555798</v>
      </c>
      <c r="AI149">
        <f t="shared" si="11"/>
        <v>2.0325026119316296E-2</v>
      </c>
    </row>
    <row r="150" spans="1:35" x14ac:dyDescent="0.45">
      <c r="A150" s="5" t="s">
        <v>159</v>
      </c>
      <c r="B150" s="2">
        <f t="shared" si="8"/>
        <v>113080987.49919362</v>
      </c>
      <c r="C150" s="2">
        <v>91682100.53285113</v>
      </c>
      <c r="D150" s="2">
        <v>1.8125570965020862E-2</v>
      </c>
      <c r="E150" s="5">
        <v>29169400.828855701</v>
      </c>
      <c r="F150" s="5">
        <v>63824507.826416299</v>
      </c>
      <c r="G150" s="5">
        <v>79387541.212408096</v>
      </c>
      <c r="H150" s="5">
        <v>105470139.215535</v>
      </c>
      <c r="I150" s="5">
        <v>76137095.847542003</v>
      </c>
      <c r="J150" s="5">
        <v>76742743.531216696</v>
      </c>
      <c r="K150" s="5">
        <v>14554728.059767099</v>
      </c>
      <c r="L150" s="5">
        <v>57654111.1136868</v>
      </c>
      <c r="M150" s="5">
        <v>30177600.8956782</v>
      </c>
      <c r="N150" s="5">
        <v>46277492.465689003</v>
      </c>
      <c r="O150" s="5">
        <v>883911974.336887</v>
      </c>
      <c r="P150" s="5">
        <v>49464715.0842098</v>
      </c>
      <c r="Q150" s="5">
        <v>113921038.74304</v>
      </c>
      <c r="R150" s="5">
        <v>29876417.421340801</v>
      </c>
      <c r="S150" s="5">
        <v>19213248.262128301</v>
      </c>
      <c r="T150" s="5">
        <v>566567445.57707405</v>
      </c>
      <c r="U150" s="5">
        <v>37692661.7582701</v>
      </c>
      <c r="V150" s="5">
        <v>94453164.566613898</v>
      </c>
      <c r="W150" s="5">
        <v>47203332.714318797</v>
      </c>
      <c r="X150" s="5">
        <v>58259791.385156803</v>
      </c>
      <c r="Y150" s="5">
        <v>78289220.705428407</v>
      </c>
      <c r="Z150" s="5">
        <v>61676441.316948302</v>
      </c>
      <c r="AA150" s="5">
        <v>27903031.0717628</v>
      </c>
      <c r="AB150" s="5">
        <v>66115856.040672101</v>
      </c>
      <c r="AC150" s="5">
        <v>91336676.966865003</v>
      </c>
      <c r="AD150" s="5">
        <v>93855421.563721403</v>
      </c>
      <c r="AE150" s="5">
        <v>89827036.536452204</v>
      </c>
      <c r="AF150" s="5">
        <v>91709267.064365894</v>
      </c>
      <c r="AG150">
        <f t="shared" si="9"/>
        <v>91682100.53285113</v>
      </c>
      <c r="AH150">
        <f t="shared" si="10"/>
        <v>1661790.4194303702</v>
      </c>
      <c r="AI150">
        <f t="shared" si="11"/>
        <v>1.8125570965020862E-2</v>
      </c>
    </row>
    <row r="151" spans="1:35" x14ac:dyDescent="0.45">
      <c r="A151" s="5" t="s">
        <v>160</v>
      </c>
      <c r="B151" s="2">
        <f t="shared" si="8"/>
        <v>90154935.396202251</v>
      </c>
      <c r="C151" s="2">
        <v>66358813.359588683</v>
      </c>
      <c r="D151" s="2">
        <v>1.926078931187284E-2</v>
      </c>
      <c r="E151" s="5">
        <v>4172327.0472266502</v>
      </c>
      <c r="F151" s="5">
        <v>2566672.3720950601</v>
      </c>
      <c r="G151" s="5">
        <v>3907285.51155979</v>
      </c>
      <c r="H151" s="5">
        <v>561497521.06348097</v>
      </c>
      <c r="I151" s="5">
        <v>24116333.896161899</v>
      </c>
      <c r="J151" s="5">
        <v>40927029.868926503</v>
      </c>
      <c r="K151" s="5">
        <v>7323916.4823440602</v>
      </c>
      <c r="L151" s="5">
        <v>439825690.81707698</v>
      </c>
      <c r="M151" s="5">
        <v>15068831.969387701</v>
      </c>
      <c r="N151" s="5">
        <v>9297593.4186210297</v>
      </c>
      <c r="O151" s="5">
        <v>353166586.72839302</v>
      </c>
      <c r="P151" s="5">
        <v>16317220.6068724</v>
      </c>
      <c r="Q151" s="5">
        <v>24080572.3093188</v>
      </c>
      <c r="R151" s="5">
        <v>15008114.8393162</v>
      </c>
      <c r="S151" s="5">
        <v>9324301.8435953092</v>
      </c>
      <c r="T151" s="5">
        <v>30658888.747025698</v>
      </c>
      <c r="U151" s="5">
        <v>13746510.891649</v>
      </c>
      <c r="V151" s="5">
        <v>3077903.05849603</v>
      </c>
      <c r="W151" s="5">
        <v>9932533.9762620796</v>
      </c>
      <c r="X151" s="5">
        <v>15165938.3211309</v>
      </c>
      <c r="Y151" s="5">
        <v>4930845.02722596</v>
      </c>
      <c r="Z151" s="5">
        <v>16320006.3143549</v>
      </c>
      <c r="AA151" s="5">
        <v>12268041.2370867</v>
      </c>
      <c r="AB151" s="5">
        <v>531017783.161246</v>
      </c>
      <c r="AC151" s="5">
        <v>66833040.0505784</v>
      </c>
      <c r="AD151" s="5">
        <v>64504092.560980603</v>
      </c>
      <c r="AE151" s="5">
        <v>66672872.981639698</v>
      </c>
      <c r="AF151" s="5">
        <v>67425247.845155999</v>
      </c>
      <c r="AG151">
        <f t="shared" si="9"/>
        <v>66358813.359588683</v>
      </c>
      <c r="AH151">
        <f t="shared" si="10"/>
        <v>1278123.1231049304</v>
      </c>
      <c r="AI151">
        <f t="shared" si="11"/>
        <v>1.926078931187284E-2</v>
      </c>
    </row>
    <row r="152" spans="1:35" x14ac:dyDescent="0.45">
      <c r="A152" s="5" t="s">
        <v>161</v>
      </c>
      <c r="B152" s="2">
        <f t="shared" si="8"/>
        <v>32510459.17490074</v>
      </c>
      <c r="C152" s="2">
        <v>24558362.494940601</v>
      </c>
      <c r="D152" s="2">
        <v>2.8974217493651814E-2</v>
      </c>
      <c r="E152" s="5">
        <v>23791579.168723401</v>
      </c>
      <c r="F152" s="5">
        <v>11280272.1119073</v>
      </c>
      <c r="G152" s="5">
        <v>24045092.518744498</v>
      </c>
      <c r="H152" s="5">
        <v>29550555.366621699</v>
      </c>
      <c r="I152" s="5">
        <v>24140188.722697102</v>
      </c>
      <c r="J152" s="5">
        <v>29125458.798840001</v>
      </c>
      <c r="K152" s="5">
        <v>21959032.750698</v>
      </c>
      <c r="L152" s="5">
        <v>50315497.083458297</v>
      </c>
      <c r="M152" s="5">
        <v>21709413.0859752</v>
      </c>
      <c r="N152" s="5">
        <v>15017185.831617501</v>
      </c>
      <c r="O152" s="5">
        <v>55201336.152349301</v>
      </c>
      <c r="P152" s="5">
        <v>20282083.294110499</v>
      </c>
      <c r="Q152" s="5">
        <v>18893903.982939601</v>
      </c>
      <c r="R152" s="5">
        <v>36819446.930212699</v>
      </c>
      <c r="S152" s="5">
        <v>47130733.256821901</v>
      </c>
      <c r="T152" s="5">
        <v>126186399.138854</v>
      </c>
      <c r="U152" s="5">
        <v>22124575.0001048</v>
      </c>
      <c r="V152" s="5">
        <v>16467892.2965264</v>
      </c>
      <c r="W152" s="5">
        <v>18556175.3404391</v>
      </c>
      <c r="X152" s="5">
        <v>33787917.317005999</v>
      </c>
      <c r="Y152" s="5">
        <v>18455001.9958192</v>
      </c>
      <c r="Z152" s="5">
        <v>28628023.605455801</v>
      </c>
      <c r="AA152" s="5">
        <v>41910756.720942602</v>
      </c>
      <c r="AB152" s="5">
        <v>44872499.7267529</v>
      </c>
      <c r="AC152" s="5">
        <v>24511505.611000001</v>
      </c>
      <c r="AD152" s="5">
        <v>25571029.0050538</v>
      </c>
      <c r="AE152" s="5">
        <v>24186963.1112931</v>
      </c>
      <c r="AF152" s="5">
        <v>23963952.252415501</v>
      </c>
      <c r="AG152">
        <f t="shared" si="9"/>
        <v>24558362.494940601</v>
      </c>
      <c r="AH152">
        <f t="shared" si="10"/>
        <v>711559.33621635055</v>
      </c>
      <c r="AI152">
        <f t="shared" si="11"/>
        <v>2.8974217493651814E-2</v>
      </c>
    </row>
    <row r="153" spans="1:35" x14ac:dyDescent="0.45">
      <c r="A153" s="5" t="s">
        <v>162</v>
      </c>
      <c r="B153" s="2">
        <f t="shared" si="8"/>
        <v>407213853.03856254</v>
      </c>
      <c r="C153" s="2">
        <v>267676611.32265401</v>
      </c>
      <c r="D153" s="2">
        <v>1.5533543378446276E-2</v>
      </c>
      <c r="E153" s="5">
        <v>97690414.275743499</v>
      </c>
      <c r="F153" s="5">
        <v>89270423.180948406</v>
      </c>
      <c r="G153" s="5">
        <v>346000748.65098298</v>
      </c>
      <c r="H153" s="5">
        <v>1486452722.37672</v>
      </c>
      <c r="I153" s="5">
        <v>56242995.050843</v>
      </c>
      <c r="J153" s="5">
        <v>68773166.122052103</v>
      </c>
      <c r="K153" s="5">
        <v>28484886.580816701</v>
      </c>
      <c r="L153" s="5">
        <v>34555731.8141964</v>
      </c>
      <c r="M153" s="5">
        <v>76168502.024618506</v>
      </c>
      <c r="N153" s="5">
        <v>72240626.997402996</v>
      </c>
      <c r="O153" s="5">
        <v>2250836104.9179502</v>
      </c>
      <c r="P153" s="5">
        <v>1880711743.22925</v>
      </c>
      <c r="Q153" s="5">
        <v>225076072.48459199</v>
      </c>
      <c r="R153" s="5">
        <v>109927608.08922</v>
      </c>
      <c r="S153" s="5">
        <v>29408377.262931801</v>
      </c>
      <c r="T153" s="5">
        <v>408854108.23367703</v>
      </c>
      <c r="U153" s="5">
        <v>160445882.601585</v>
      </c>
      <c r="V153" s="5">
        <v>97708631.4261612</v>
      </c>
      <c r="W153" s="5">
        <v>556516037.63009202</v>
      </c>
      <c r="X153" s="5">
        <v>1206823314.2383201</v>
      </c>
      <c r="Y153" s="5">
        <v>121861428.238066</v>
      </c>
      <c r="Z153" s="5">
        <v>337236746.92815298</v>
      </c>
      <c r="AA153" s="5">
        <v>7593693.31811391</v>
      </c>
      <c r="AB153" s="5">
        <v>24252507.253065199</v>
      </c>
      <c r="AC153" s="5">
        <v>269425918.35375601</v>
      </c>
      <c r="AD153" s="5">
        <v>261935957.54201201</v>
      </c>
      <c r="AE153" s="5">
        <v>267686655.73701301</v>
      </c>
      <c r="AF153" s="5">
        <v>271657913.65783501</v>
      </c>
      <c r="AG153">
        <f t="shared" si="9"/>
        <v>267676611.32265401</v>
      </c>
      <c r="AH153">
        <f t="shared" si="10"/>
        <v>4157966.2533759498</v>
      </c>
      <c r="AI153">
        <f t="shared" si="11"/>
        <v>1.5533543378446276E-2</v>
      </c>
    </row>
    <row r="154" spans="1:35" x14ac:dyDescent="0.45">
      <c r="A154" s="5" t="s">
        <v>163</v>
      </c>
      <c r="B154" s="2">
        <f t="shared" si="8"/>
        <v>9512513.826384142</v>
      </c>
      <c r="C154" s="2">
        <v>11130761.516227175</v>
      </c>
      <c r="D154" s="2">
        <v>5.9701059986573143E-2</v>
      </c>
      <c r="E154" s="5">
        <v>8368795.7435516603</v>
      </c>
      <c r="F154" s="5">
        <v>10950922.2128218</v>
      </c>
      <c r="G154" s="5">
        <v>11531938.284267001</v>
      </c>
      <c r="H154" s="5">
        <v>3896738.6327172099</v>
      </c>
      <c r="I154" s="5">
        <v>9904352.97664221</v>
      </c>
      <c r="J154" s="5">
        <v>11013303.662230499</v>
      </c>
      <c r="K154" s="5">
        <v>14657980.692975501</v>
      </c>
      <c r="L154" s="5">
        <v>9687540.8864301201</v>
      </c>
      <c r="M154" s="5">
        <v>10093216.5548917</v>
      </c>
      <c r="N154" s="5">
        <v>12439201.0343512</v>
      </c>
      <c r="O154" s="5">
        <v>4225201.0045399005</v>
      </c>
      <c r="P154" s="5">
        <v>12912025.1830339</v>
      </c>
      <c r="Q154" s="5">
        <v>7114591.5787006002</v>
      </c>
      <c r="R154" s="5">
        <v>6395694.9724395499</v>
      </c>
      <c r="S154" s="5">
        <v>7452923.6085952502</v>
      </c>
      <c r="T154" s="5">
        <v>13583182.6083668</v>
      </c>
      <c r="U154" s="5">
        <v>5407254.2591290604</v>
      </c>
      <c r="V154" s="5">
        <v>13271504.504594</v>
      </c>
      <c r="W154" s="5">
        <v>7959895.0851014899</v>
      </c>
      <c r="X154" s="5">
        <v>10880541.4582808</v>
      </c>
      <c r="Y154" s="5">
        <v>6765162.3127646102</v>
      </c>
      <c r="Z154" s="5">
        <v>12319311.119025899</v>
      </c>
      <c r="AA154" s="5">
        <v>9280782.9431039393</v>
      </c>
      <c r="AB154" s="5">
        <v>8188270.5146647301</v>
      </c>
      <c r="AC154" s="5">
        <v>10168066.3555244</v>
      </c>
      <c r="AD154" s="5">
        <v>11218009.269606501</v>
      </c>
      <c r="AE154" s="5">
        <v>11508671.6214818</v>
      </c>
      <c r="AF154" s="5">
        <v>11628298.818296</v>
      </c>
      <c r="AG154">
        <f t="shared" si="9"/>
        <v>11130761.516227175</v>
      </c>
      <c r="AH154">
        <f t="shared" si="10"/>
        <v>664518.26097651839</v>
      </c>
      <c r="AI154">
        <f t="shared" si="11"/>
        <v>5.9701059986573143E-2</v>
      </c>
    </row>
    <row r="155" spans="1:35" x14ac:dyDescent="0.45">
      <c r="A155" s="5" t="s">
        <v>164</v>
      </c>
      <c r="B155" s="2">
        <f t="shared" si="8"/>
        <v>32047437.853953544</v>
      </c>
      <c r="C155" s="2">
        <v>33757474.119385153</v>
      </c>
      <c r="D155" s="2">
        <v>1.7888526310275911E-2</v>
      </c>
      <c r="E155" s="5">
        <v>30407282.618069101</v>
      </c>
      <c r="F155" s="5">
        <v>23524541.631284401</v>
      </c>
      <c r="G155" s="5">
        <v>21668802.145936001</v>
      </c>
      <c r="H155" s="5">
        <v>8618065.2728543896</v>
      </c>
      <c r="I155" s="5">
        <v>42971265.497865401</v>
      </c>
      <c r="J155" s="5">
        <v>39299418.375505701</v>
      </c>
      <c r="K155" s="5">
        <v>24752415.103830799</v>
      </c>
      <c r="L155" s="5">
        <v>36563067.129654497</v>
      </c>
      <c r="M155" s="5">
        <v>55716042.020910203</v>
      </c>
      <c r="N155" s="5">
        <v>22267062.1829211</v>
      </c>
      <c r="O155" s="5">
        <v>5634533.2848068597</v>
      </c>
      <c r="P155" s="5">
        <v>14082911.752382999</v>
      </c>
      <c r="Q155" s="5">
        <v>96904455.040275604</v>
      </c>
      <c r="R155" s="5">
        <v>14155481.824445499</v>
      </c>
      <c r="S155" s="5">
        <v>38556696.658779301</v>
      </c>
      <c r="T155" s="5">
        <v>15566583.003115401</v>
      </c>
      <c r="U155" s="5">
        <v>35618394.913225599</v>
      </c>
      <c r="V155" s="5">
        <v>32395829.7953071</v>
      </c>
      <c r="W155" s="5">
        <v>21370567.065714799</v>
      </c>
      <c r="X155" s="5">
        <v>20296812.173290901</v>
      </c>
      <c r="Y155" s="5">
        <v>52634604.859099798</v>
      </c>
      <c r="Z155" s="5">
        <v>28151347.113702599</v>
      </c>
      <c r="AA155" s="5">
        <v>52005529.655014597</v>
      </c>
      <c r="AB155" s="5">
        <v>35976799.3768925</v>
      </c>
      <c r="AC155" s="5">
        <v>34564449.725120798</v>
      </c>
      <c r="AD155" s="5">
        <v>33292661.449818801</v>
      </c>
      <c r="AE155" s="5">
        <v>33876378.902220003</v>
      </c>
      <c r="AF155" s="5">
        <v>33296406.400380999</v>
      </c>
      <c r="AG155">
        <f t="shared" si="9"/>
        <v>33757474.119385153</v>
      </c>
      <c r="AH155">
        <f t="shared" si="10"/>
        <v>603871.46395307942</v>
      </c>
      <c r="AI155">
        <f t="shared" si="11"/>
        <v>1.7888526310275911E-2</v>
      </c>
    </row>
    <row r="156" spans="1:35" x14ac:dyDescent="0.45">
      <c r="A156" s="5" t="s">
        <v>303</v>
      </c>
      <c r="B156" s="2">
        <f t="shared" si="8"/>
        <v>297674002.22184896</v>
      </c>
      <c r="C156" s="2">
        <v>229760717.81690574</v>
      </c>
      <c r="D156" s="2">
        <v>2.7136718936940789E-2</v>
      </c>
      <c r="E156" s="5">
        <v>32886200.2968277</v>
      </c>
      <c r="F156" s="5">
        <v>113877929.13604701</v>
      </c>
      <c r="G156" s="5">
        <v>20111864.473609701</v>
      </c>
      <c r="H156" s="5">
        <v>2859890614.6259599</v>
      </c>
      <c r="I156" s="5">
        <v>198329321.43146199</v>
      </c>
      <c r="J156" s="5">
        <v>189288011.58672899</v>
      </c>
      <c r="K156" s="5">
        <v>49687463.237017699</v>
      </c>
      <c r="L156" s="5">
        <v>61979572.591660403</v>
      </c>
      <c r="M156" s="5">
        <v>140927542.65369499</v>
      </c>
      <c r="N156" s="5">
        <v>31257763.119198099</v>
      </c>
      <c r="O156" s="5">
        <v>1484422132.8132</v>
      </c>
      <c r="P156" s="5">
        <v>88915318.344445094</v>
      </c>
      <c r="Q156" s="5">
        <v>326423973.77891499</v>
      </c>
      <c r="R156" s="5">
        <v>71884140.686262503</v>
      </c>
      <c r="S156" s="5">
        <v>34744884.377998002</v>
      </c>
      <c r="T156" s="5">
        <v>746237623.27300596</v>
      </c>
      <c r="U156" s="5">
        <v>50800679.317159802</v>
      </c>
      <c r="V156" s="5">
        <v>206341122.270863</v>
      </c>
      <c r="W156" s="5">
        <v>17624515.915739801</v>
      </c>
      <c r="X156" s="5">
        <v>200274024.113731</v>
      </c>
      <c r="Y156" s="5">
        <v>52045399.058920197</v>
      </c>
      <c r="Z156" s="5">
        <v>129105621.17337701</v>
      </c>
      <c r="AA156" s="5">
        <v>22380567.579616498</v>
      </c>
      <c r="AB156" s="5">
        <v>14739767.468935199</v>
      </c>
      <c r="AC156" s="5">
        <v>225005231.77827501</v>
      </c>
      <c r="AD156" s="5">
        <v>225212233.71487501</v>
      </c>
      <c r="AE156" s="5">
        <v>238288176.72124901</v>
      </c>
      <c r="AF156" s="5">
        <v>230537229.053224</v>
      </c>
      <c r="AG156">
        <f t="shared" si="9"/>
        <v>229760717.81690574</v>
      </c>
      <c r="AH156">
        <f t="shared" si="10"/>
        <v>6234952.0221471349</v>
      </c>
      <c r="AI156">
        <f t="shared" si="11"/>
        <v>2.7136718936940789E-2</v>
      </c>
    </row>
    <row r="157" spans="1:35" x14ac:dyDescent="0.45">
      <c r="A157" s="5" t="s">
        <v>422</v>
      </c>
      <c r="B157" s="2">
        <f t="shared" si="8"/>
        <v>11230177.920357028</v>
      </c>
      <c r="C157" s="2">
        <v>11900523.99831</v>
      </c>
      <c r="D157" s="2">
        <v>0.10417244067069847</v>
      </c>
      <c r="E157" s="5">
        <v>4095532.7867823602</v>
      </c>
      <c r="F157" s="5">
        <v>8759992.9321022406</v>
      </c>
      <c r="G157" s="5">
        <v>19311057.209111001</v>
      </c>
      <c r="H157" s="5">
        <v>8859363.4922087006</v>
      </c>
      <c r="I157" s="5">
        <v>19422744.572251201</v>
      </c>
      <c r="J157" s="5">
        <v>15165895.351131</v>
      </c>
      <c r="K157" s="5">
        <v>4862493.0840678001</v>
      </c>
      <c r="L157" s="5">
        <v>6783147.6719338698</v>
      </c>
      <c r="M157" s="5">
        <v>19006533.750686999</v>
      </c>
      <c r="N157" s="5">
        <v>5565457.6235826202</v>
      </c>
      <c r="O157" s="5">
        <v>14682668.570252599</v>
      </c>
      <c r="P157" s="5">
        <v>6864898.9650800796</v>
      </c>
      <c r="Q157" s="5">
        <v>20232905.187661499</v>
      </c>
      <c r="R157" s="5">
        <v>8281091.1964535499</v>
      </c>
      <c r="S157" s="5">
        <v>7746392.6739130802</v>
      </c>
      <c r="T157" s="5">
        <v>11202523.3611132</v>
      </c>
      <c r="U157" s="5">
        <v>12283764.560276801</v>
      </c>
      <c r="V157" s="5">
        <v>11546891.846594401</v>
      </c>
      <c r="W157" s="5">
        <v>7410438.6384140104</v>
      </c>
      <c r="X157" s="5">
        <v>5927468.1142358696</v>
      </c>
      <c r="Y157" s="5">
        <v>13020647.6152294</v>
      </c>
      <c r="Z157" s="5">
        <v>13953536.252717201</v>
      </c>
      <c r="AA157" s="5">
        <v>11471178.816630101</v>
      </c>
      <c r="AB157" s="5">
        <v>13067645.8161391</v>
      </c>
      <c r="AC157" s="5">
        <v>11434132.413247099</v>
      </c>
      <c r="AD157" s="5">
        <v>12705822.4745022</v>
      </c>
      <c r="AE157" s="5">
        <v>13088855.863429001</v>
      </c>
      <c r="AF157" s="5">
        <v>10373285.242061701</v>
      </c>
      <c r="AG157">
        <f t="shared" si="9"/>
        <v>11900523.99831</v>
      </c>
      <c r="AH157">
        <f t="shared" si="10"/>
        <v>1239706.6301641718</v>
      </c>
      <c r="AI157">
        <f t="shared" si="11"/>
        <v>0.10417244067069847</v>
      </c>
    </row>
    <row r="158" spans="1:35" x14ac:dyDescent="0.45">
      <c r="A158" s="5" t="s">
        <v>433</v>
      </c>
      <c r="B158" s="2">
        <f t="shared" si="8"/>
        <v>42067147.76567515</v>
      </c>
      <c r="C158" s="2">
        <v>28221404.246568572</v>
      </c>
      <c r="D158" s="2">
        <v>1.3783897064677314E-2</v>
      </c>
      <c r="E158" s="5">
        <v>320824.79851559701</v>
      </c>
      <c r="F158" s="5">
        <v>342449.434193769</v>
      </c>
      <c r="G158" s="5">
        <v>415229.334763386</v>
      </c>
      <c r="H158" s="5">
        <v>989783999.31022203</v>
      </c>
      <c r="I158" s="5">
        <v>3704903.85008475</v>
      </c>
      <c r="J158" s="5">
        <v>434946.74966677802</v>
      </c>
      <c r="K158" s="5">
        <v>284730.66877283499</v>
      </c>
      <c r="L158" s="5">
        <v>126454.634746789</v>
      </c>
      <c r="M158" s="5">
        <v>322449.45024360297</v>
      </c>
      <c r="N158" s="5">
        <v>337323.22087243898</v>
      </c>
      <c r="O158" s="5">
        <v>3520774.04408364</v>
      </c>
      <c r="P158" s="5">
        <v>395631.90349250397</v>
      </c>
      <c r="Q158" s="5">
        <v>1555265.10506959</v>
      </c>
      <c r="R158" s="5">
        <v>2004631.2450343</v>
      </c>
      <c r="S158" s="5">
        <v>427139.41505609301</v>
      </c>
      <c r="T158" s="5">
        <v>187998.059226079</v>
      </c>
      <c r="U158" s="5">
        <v>403108.902938844</v>
      </c>
      <c r="V158" s="5">
        <v>454001.70806927601</v>
      </c>
      <c r="W158" s="5">
        <v>1237385.2939128401</v>
      </c>
      <c r="X158" s="5">
        <v>274909.363545259</v>
      </c>
      <c r="Y158" s="5">
        <v>1731415.96893066</v>
      </c>
      <c r="Z158" s="5">
        <v>505712.03725386597</v>
      </c>
      <c r="AA158" s="5">
        <v>751479.55166394997</v>
      </c>
      <c r="AB158" s="5">
        <v>88782.325844744206</v>
      </c>
      <c r="AC158" s="5">
        <v>27945755.176037598</v>
      </c>
      <c r="AD158" s="5">
        <v>27887768.843734</v>
      </c>
      <c r="AE158" s="5">
        <v>28727362.648111299</v>
      </c>
      <c r="AF158" s="5">
        <v>28324730.318391401</v>
      </c>
      <c r="AG158">
        <f t="shared" si="9"/>
        <v>28221404.246568572</v>
      </c>
      <c r="AH158">
        <f t="shared" si="10"/>
        <v>389000.93115534843</v>
      </c>
      <c r="AI158">
        <f t="shared" si="11"/>
        <v>1.3783897064677314E-2</v>
      </c>
    </row>
    <row r="159" spans="1:35" x14ac:dyDescent="0.45">
      <c r="A159" s="5" t="s">
        <v>352</v>
      </c>
      <c r="B159" s="2">
        <f t="shared" si="8"/>
        <v>124420874.7246363</v>
      </c>
      <c r="C159" s="2">
        <v>91643116.388099104</v>
      </c>
      <c r="D159" s="2">
        <v>4.3934384297421761E-2</v>
      </c>
      <c r="E159" s="5">
        <v>97682741.980752602</v>
      </c>
      <c r="F159" s="5">
        <v>128832302.87337799</v>
      </c>
      <c r="G159" s="5">
        <v>82698692.549549103</v>
      </c>
      <c r="H159" s="5">
        <v>262780833.48532799</v>
      </c>
      <c r="I159" s="5">
        <v>55600602.733478703</v>
      </c>
      <c r="J159" s="5">
        <v>113889274.44581901</v>
      </c>
      <c r="K159" s="5">
        <v>127658019.40283801</v>
      </c>
      <c r="L159" s="5">
        <v>122077693.079623</v>
      </c>
      <c r="M159" s="5">
        <v>144318014.99936199</v>
      </c>
      <c r="N159" s="5">
        <v>161806992.887925</v>
      </c>
      <c r="O159" s="5">
        <v>33635605.707956001</v>
      </c>
      <c r="P159" s="5">
        <v>182190040.56049499</v>
      </c>
      <c r="Q159" s="5">
        <v>172536386.03585899</v>
      </c>
      <c r="R159" s="5">
        <v>160239424.39552599</v>
      </c>
      <c r="S159" s="5">
        <v>111326333.479913</v>
      </c>
      <c r="T159" s="5">
        <v>33788063.076142997</v>
      </c>
      <c r="U159" s="5">
        <v>103996614.99546599</v>
      </c>
      <c r="V159" s="5">
        <v>162490849.43734199</v>
      </c>
      <c r="W159" s="5">
        <v>142900547.31426901</v>
      </c>
      <c r="X159" s="5">
        <v>118863639.880055</v>
      </c>
      <c r="Y159" s="5">
        <v>107052630.062004</v>
      </c>
      <c r="Z159" s="5">
        <v>170325725.35767001</v>
      </c>
      <c r="AA159" s="5">
        <v>98087388.601819903</v>
      </c>
      <c r="AB159" s="5">
        <v>91322576.048699707</v>
      </c>
      <c r="AC159" s="5">
        <v>87031746.3665874</v>
      </c>
      <c r="AD159" s="5">
        <v>94874966.7929371</v>
      </c>
      <c r="AE159" s="5">
        <v>95158805.979254499</v>
      </c>
      <c r="AF159" s="5">
        <v>89506946.413617402</v>
      </c>
      <c r="AG159">
        <f t="shared" si="9"/>
        <v>91643116.388099104</v>
      </c>
      <c r="AH159">
        <f t="shared" si="10"/>
        <v>4026283.8936080961</v>
      </c>
      <c r="AI159">
        <f t="shared" si="11"/>
        <v>4.3934384297421761E-2</v>
      </c>
    </row>
    <row r="160" spans="1:35" x14ac:dyDescent="0.45">
      <c r="A160" s="5" t="s">
        <v>370</v>
      </c>
      <c r="B160" s="2">
        <f t="shared" si="8"/>
        <v>17891812.171092525</v>
      </c>
      <c r="C160" s="2">
        <v>14179906.493887424</v>
      </c>
      <c r="D160" s="2">
        <v>5.2722928402340184E-2</v>
      </c>
      <c r="E160" s="5">
        <v>8111690.3233710602</v>
      </c>
      <c r="F160" s="5">
        <v>17914517.537662201</v>
      </c>
      <c r="G160" s="5">
        <v>13040277.652202301</v>
      </c>
      <c r="H160" s="5">
        <v>26726062.472732399</v>
      </c>
      <c r="I160" s="5">
        <v>28354314.5532998</v>
      </c>
      <c r="J160" s="5">
        <v>25348166.943673901</v>
      </c>
      <c r="K160" s="5">
        <v>10242655.8932206</v>
      </c>
      <c r="L160" s="5">
        <v>13976326.6569447</v>
      </c>
      <c r="M160" s="5">
        <v>21157506.428015798</v>
      </c>
      <c r="N160" s="5">
        <v>17822408.690489698</v>
      </c>
      <c r="O160" s="5">
        <v>14286191.3020628</v>
      </c>
      <c r="P160" s="5">
        <v>19737069.810501501</v>
      </c>
      <c r="Q160" s="5">
        <v>21041550.958324801</v>
      </c>
      <c r="R160" s="5">
        <v>9314426.5524307601</v>
      </c>
      <c r="S160" s="5">
        <v>11720728.2350103</v>
      </c>
      <c r="T160" s="5">
        <v>13683034.864075201</v>
      </c>
      <c r="U160" s="5">
        <v>15477150.716851201</v>
      </c>
      <c r="V160" s="5">
        <v>21883031.974864401</v>
      </c>
      <c r="W160" s="5">
        <v>15062396.7733173</v>
      </c>
      <c r="X160" s="5">
        <v>16501921.136943201</v>
      </c>
      <c r="Y160" s="5">
        <v>37842207.308837801</v>
      </c>
      <c r="Z160" s="5">
        <v>18019559.627218898</v>
      </c>
      <c r="AA160" s="5">
        <v>15917734.6719092</v>
      </c>
      <c r="AB160" s="5">
        <v>16222561.022260699</v>
      </c>
      <c r="AC160" s="5">
        <v>13674661.9015911</v>
      </c>
      <c r="AD160" s="5">
        <v>15113463.908454699</v>
      </c>
      <c r="AE160" s="5">
        <v>13487096.9795334</v>
      </c>
      <c r="AF160" s="5">
        <v>14444403.1859705</v>
      </c>
      <c r="AG160">
        <f t="shared" si="9"/>
        <v>14179906.493887424</v>
      </c>
      <c r="AH160">
        <f t="shared" si="10"/>
        <v>747606.19482910528</v>
      </c>
      <c r="AI160">
        <f t="shared" si="11"/>
        <v>5.2722928402340184E-2</v>
      </c>
    </row>
    <row r="161" spans="1:35" x14ac:dyDescent="0.45">
      <c r="A161" s="5" t="s">
        <v>358</v>
      </c>
      <c r="B161" s="2">
        <f t="shared" si="8"/>
        <v>163651945.56948867</v>
      </c>
      <c r="C161" s="2">
        <v>139079040.88687801</v>
      </c>
      <c r="D161" s="2">
        <v>3.2719571330037896E-2</v>
      </c>
      <c r="E161" s="5">
        <v>87713632.465111002</v>
      </c>
      <c r="F161" s="5">
        <v>102531223.77101</v>
      </c>
      <c r="G161" s="5">
        <v>120882161.46141399</v>
      </c>
      <c r="H161" s="5">
        <v>91597709.479604393</v>
      </c>
      <c r="I161" s="5">
        <v>145331685.193095</v>
      </c>
      <c r="J161" s="5">
        <v>136947291.039217</v>
      </c>
      <c r="K161" s="5">
        <v>154178240.21829101</v>
      </c>
      <c r="L161" s="5">
        <v>116834968.051082</v>
      </c>
      <c r="M161" s="5">
        <v>143802022.821421</v>
      </c>
      <c r="N161" s="5">
        <v>135068405.64563</v>
      </c>
      <c r="O161" s="5">
        <v>475356433.86919302</v>
      </c>
      <c r="P161" s="5">
        <v>154940685.93630999</v>
      </c>
      <c r="Q161" s="5">
        <v>161993358.384415</v>
      </c>
      <c r="R161" s="5">
        <v>159896454.81121799</v>
      </c>
      <c r="S161" s="5">
        <v>150551512.98328799</v>
      </c>
      <c r="T161" s="5">
        <v>452952393.88281298</v>
      </c>
      <c r="U161" s="5">
        <v>128275486.500516</v>
      </c>
      <c r="V161" s="5">
        <v>158521457.06931901</v>
      </c>
      <c r="W161" s="5">
        <v>225171570.542045</v>
      </c>
      <c r="X161" s="5">
        <v>112625348.942835</v>
      </c>
      <c r="Y161" s="5">
        <v>110533324.262023</v>
      </c>
      <c r="Z161" s="5">
        <v>122566806.02265701</v>
      </c>
      <c r="AA161" s="5">
        <v>184974275.93514901</v>
      </c>
      <c r="AB161" s="5">
        <v>94400244.380072594</v>
      </c>
      <c r="AC161" s="5">
        <v>141676673.89165801</v>
      </c>
      <c r="AD161" s="5">
        <v>142838043.74661499</v>
      </c>
      <c r="AE161" s="5">
        <v>139144397.704604</v>
      </c>
      <c r="AF161" s="5">
        <v>132657048.20463499</v>
      </c>
      <c r="AG161">
        <f t="shared" si="9"/>
        <v>139079040.88687801</v>
      </c>
      <c r="AH161">
        <f t="shared" si="10"/>
        <v>4550606.5988114625</v>
      </c>
      <c r="AI161">
        <f t="shared" si="11"/>
        <v>3.2719571330037896E-2</v>
      </c>
    </row>
    <row r="162" spans="1:35" x14ac:dyDescent="0.45">
      <c r="A162" s="5" t="s">
        <v>165</v>
      </c>
      <c r="B162" s="2">
        <f t="shared" si="8"/>
        <v>30409680.330273416</v>
      </c>
      <c r="C162" s="2">
        <v>22526460.282868825</v>
      </c>
      <c r="D162" s="2">
        <v>2.3638004867357367E-2</v>
      </c>
      <c r="E162" s="5">
        <v>12492689.100815499</v>
      </c>
      <c r="F162" s="5">
        <v>21705301.629996601</v>
      </c>
      <c r="G162" s="5">
        <v>21065930.5403433</v>
      </c>
      <c r="H162" s="5">
        <v>47848383.524616197</v>
      </c>
      <c r="I162" s="5">
        <v>17379452.247772198</v>
      </c>
      <c r="J162" s="5">
        <v>37204606.321722798</v>
      </c>
      <c r="K162" s="5">
        <v>18393401.941838201</v>
      </c>
      <c r="L162" s="5">
        <v>18792475.721812099</v>
      </c>
      <c r="M162" s="5">
        <v>11962813.5442804</v>
      </c>
      <c r="N162" s="5">
        <v>22766281.7454357</v>
      </c>
      <c r="O162" s="5">
        <v>146077033.974406</v>
      </c>
      <c r="P162" s="5">
        <v>19761245.066358201</v>
      </c>
      <c r="Q162" s="5">
        <v>24079735.698618598</v>
      </c>
      <c r="R162" s="5">
        <v>26990096.8575298</v>
      </c>
      <c r="S162" s="5">
        <v>19077471.6206838</v>
      </c>
      <c r="T162" s="5">
        <v>37522327.479195103</v>
      </c>
      <c r="U162" s="5">
        <v>23141702.1101625</v>
      </c>
      <c r="V162" s="5">
        <v>33841416.326469399</v>
      </c>
      <c r="W162" s="5">
        <v>49407461.394237898</v>
      </c>
      <c r="X162" s="5">
        <v>21441638.9340754</v>
      </c>
      <c r="Y162" s="5">
        <v>11780519.3165776</v>
      </c>
      <c r="Z162" s="5">
        <v>58798153.306709997</v>
      </c>
      <c r="AA162" s="5">
        <v>13457199.654392101</v>
      </c>
      <c r="AB162" s="5">
        <v>14844989.868512601</v>
      </c>
      <c r="AC162" s="5">
        <v>21903493.0723533</v>
      </c>
      <c r="AD162" s="5">
        <v>22620307.5897674</v>
      </c>
      <c r="AE162" s="5">
        <v>22394960.075960401</v>
      </c>
      <c r="AF162" s="5">
        <v>23187080.393394198</v>
      </c>
      <c r="AG162">
        <f t="shared" si="9"/>
        <v>22526460.282868825</v>
      </c>
      <c r="AH162">
        <f t="shared" si="10"/>
        <v>532480.57781078573</v>
      </c>
      <c r="AI162">
        <f t="shared" si="11"/>
        <v>2.3638004867357367E-2</v>
      </c>
    </row>
    <row r="163" spans="1:35" x14ac:dyDescent="0.45">
      <c r="A163" s="5" t="s">
        <v>166</v>
      </c>
      <c r="B163" s="2">
        <f t="shared" si="8"/>
        <v>7271448.4879316846</v>
      </c>
      <c r="C163" s="2">
        <v>5246609.1258371426</v>
      </c>
      <c r="D163" s="2">
        <v>2.1938685577298445E-2</v>
      </c>
      <c r="E163" s="5">
        <v>2177456.83510117</v>
      </c>
      <c r="F163" s="5">
        <v>4644948.1959801801</v>
      </c>
      <c r="G163" s="5">
        <v>2135591.0773061099</v>
      </c>
      <c r="H163" s="5">
        <v>6938317.4371891096</v>
      </c>
      <c r="I163" s="5">
        <v>5503080.1452780999</v>
      </c>
      <c r="J163" s="5">
        <v>4972236.9496522201</v>
      </c>
      <c r="K163" s="5">
        <v>5051108.15517049</v>
      </c>
      <c r="L163" s="5">
        <v>4034964.0231139301</v>
      </c>
      <c r="M163" s="5">
        <v>4037484.9825172499</v>
      </c>
      <c r="N163" s="5">
        <v>6954939.8331924602</v>
      </c>
      <c r="O163" s="5">
        <v>37242145.109934501</v>
      </c>
      <c r="P163" s="5">
        <v>4253528.9444939196</v>
      </c>
      <c r="Q163" s="5">
        <v>6713696.6631533597</v>
      </c>
      <c r="R163" s="5">
        <v>5394250.8900120696</v>
      </c>
      <c r="S163" s="5">
        <v>3889071.7190446001</v>
      </c>
      <c r="T163" s="5">
        <v>33904010.214464203</v>
      </c>
      <c r="U163" s="5">
        <v>5367939.1951014204</v>
      </c>
      <c r="V163" s="5">
        <v>3973035.4949193499</v>
      </c>
      <c r="W163" s="5">
        <v>7201881.3883020803</v>
      </c>
      <c r="X163" s="5">
        <v>3722788.0160436099</v>
      </c>
      <c r="Y163" s="5">
        <v>3728108.4113910799</v>
      </c>
      <c r="Z163" s="5">
        <v>4169213.3681007</v>
      </c>
      <c r="AA163" s="5">
        <v>5291193.8196405796</v>
      </c>
      <c r="AB163" s="5">
        <v>3213772.84125794</v>
      </c>
      <c r="AC163" s="5">
        <v>5384179.7015790502</v>
      </c>
      <c r="AD163" s="5">
        <v>5201372.8430250501</v>
      </c>
      <c r="AE163" s="5">
        <v>5115260.42227358</v>
      </c>
      <c r="AF163" s="5">
        <v>5285623.53647089</v>
      </c>
      <c r="AG163">
        <f t="shared" si="9"/>
        <v>5246609.1258371426</v>
      </c>
      <c r="AH163">
        <f t="shared" si="10"/>
        <v>115103.70795872572</v>
      </c>
      <c r="AI163">
        <f t="shared" si="11"/>
        <v>2.1938685577298445E-2</v>
      </c>
    </row>
    <row r="164" spans="1:35" x14ac:dyDescent="0.45">
      <c r="A164" s="5" t="s">
        <v>423</v>
      </c>
      <c r="B164" s="2">
        <f t="shared" si="8"/>
        <v>136633944.48296031</v>
      </c>
      <c r="C164" s="2">
        <v>111944311.52034625</v>
      </c>
      <c r="D164" s="2">
        <v>2.1035353636189403E-2</v>
      </c>
      <c r="E164" s="5">
        <v>86571783.153269902</v>
      </c>
      <c r="F164" s="5">
        <v>71046060.919455394</v>
      </c>
      <c r="G164" s="5">
        <v>94992528.971627593</v>
      </c>
      <c r="H164" s="5">
        <v>398157128.35132003</v>
      </c>
      <c r="I164" s="5">
        <v>54972816.412448399</v>
      </c>
      <c r="J164" s="5">
        <v>62459344.428300999</v>
      </c>
      <c r="K164" s="5">
        <v>93944725.804527</v>
      </c>
      <c r="L164" s="5">
        <v>291935361.54845899</v>
      </c>
      <c r="M164" s="5">
        <v>68823512.889792204</v>
      </c>
      <c r="N164" s="5">
        <v>38673866.864638001</v>
      </c>
      <c r="O164" s="5">
        <v>290576643.652008</v>
      </c>
      <c r="P164" s="5">
        <v>107769106.87953</v>
      </c>
      <c r="Q164" s="5">
        <v>106201483.775911</v>
      </c>
      <c r="R164" s="5">
        <v>116983444.80773599</v>
      </c>
      <c r="S164" s="5">
        <v>127759122.19904</v>
      </c>
      <c r="T164" s="5">
        <v>266844365.12914199</v>
      </c>
      <c r="U164" s="5">
        <v>132589351.709672</v>
      </c>
      <c r="V164" s="5">
        <v>76679258.133842394</v>
      </c>
      <c r="W164" s="5">
        <v>101604315.85691699</v>
      </c>
      <c r="X164" s="5">
        <v>75058116.795382395</v>
      </c>
      <c r="Y164" s="5">
        <v>99999119.608503103</v>
      </c>
      <c r="Z164" s="5">
        <v>28515258.7518287</v>
      </c>
      <c r="AA164" s="5">
        <v>108743634.368127</v>
      </c>
      <c r="AB164" s="5">
        <v>378314316.57957</v>
      </c>
      <c r="AC164" s="5">
        <v>113038764.493255</v>
      </c>
      <c r="AD164" s="5">
        <v>113004590.34772199</v>
      </c>
      <c r="AE164" s="5">
        <v>108418310.382337</v>
      </c>
      <c r="AF164" s="5">
        <v>113315580.858071</v>
      </c>
      <c r="AG164">
        <f t="shared" si="9"/>
        <v>111944311.52034625</v>
      </c>
      <c r="AH164">
        <f t="shared" si="10"/>
        <v>2354788.180390235</v>
      </c>
      <c r="AI164">
        <f t="shared" si="11"/>
        <v>2.1035353636189403E-2</v>
      </c>
    </row>
    <row r="165" spans="1:35" x14ac:dyDescent="0.45">
      <c r="A165" s="5" t="s">
        <v>167</v>
      </c>
      <c r="B165" s="2">
        <f t="shared" si="8"/>
        <v>2051720.4794820466</v>
      </c>
      <c r="C165" s="2">
        <v>1351908.3667770175</v>
      </c>
      <c r="D165" s="2">
        <v>6.8101674506384949E-2</v>
      </c>
      <c r="E165" s="5">
        <v>2129374.8152499502</v>
      </c>
      <c r="F165" s="5">
        <v>2111625.5602055602</v>
      </c>
      <c r="G165" s="5">
        <v>1881681.9515748101</v>
      </c>
      <c r="H165" s="5">
        <v>1464487.9794723501</v>
      </c>
      <c r="I165" s="5">
        <v>961856.43985823495</v>
      </c>
      <c r="J165" s="5">
        <v>776231.79220118094</v>
      </c>
      <c r="K165" s="5">
        <v>3356866.0212426102</v>
      </c>
      <c r="L165" s="5">
        <v>2637817.2901372402</v>
      </c>
      <c r="M165" s="5">
        <v>1164938.6963555999</v>
      </c>
      <c r="N165" s="5">
        <v>4689936.5691149402</v>
      </c>
      <c r="O165" s="5">
        <v>674247.689414097</v>
      </c>
      <c r="P165" s="5">
        <v>2696441.4084896399</v>
      </c>
      <c r="Q165" s="5">
        <v>2646333.0339754601</v>
      </c>
      <c r="R165" s="5">
        <v>2011741.91738299</v>
      </c>
      <c r="S165" s="5">
        <v>2213857.9659303701</v>
      </c>
      <c r="T165" s="5">
        <v>514745.32659530401</v>
      </c>
      <c r="U165" s="5">
        <v>1442646.9150771501</v>
      </c>
      <c r="V165" s="5">
        <v>2070051.1652274299</v>
      </c>
      <c r="W165" s="5">
        <v>3235215.84825138</v>
      </c>
      <c r="X165" s="5">
        <v>880617.98653830495</v>
      </c>
      <c r="Y165" s="5">
        <v>3443975.5909713199</v>
      </c>
      <c r="Z165" s="5">
        <v>1359740.47545754</v>
      </c>
      <c r="AA165" s="5">
        <v>1709226.0370011099</v>
      </c>
      <c r="AB165" s="5">
        <v>3167633.0318445498</v>
      </c>
      <c r="AC165" s="5">
        <v>1351948.1343077901</v>
      </c>
      <c r="AD165" s="5">
        <v>1234623.54488698</v>
      </c>
      <c r="AE165" s="5">
        <v>1459521.6509789401</v>
      </c>
      <c r="AF165" s="5">
        <v>1361540.13693436</v>
      </c>
      <c r="AG165">
        <f t="shared" si="9"/>
        <v>1351908.3667770175</v>
      </c>
      <c r="AH165">
        <f t="shared" si="10"/>
        <v>92067.223556706929</v>
      </c>
      <c r="AI165">
        <f t="shared" si="11"/>
        <v>6.8101674506384949E-2</v>
      </c>
    </row>
    <row r="166" spans="1:35" x14ac:dyDescent="0.45">
      <c r="A166" s="5" t="s">
        <v>168</v>
      </c>
      <c r="B166" s="2">
        <f t="shared" si="8"/>
        <v>43087713.537238508</v>
      </c>
      <c r="C166" s="2">
        <v>21344881.179000251</v>
      </c>
      <c r="D166" s="2">
        <v>7.0583658756782131E-2</v>
      </c>
      <c r="E166" s="5">
        <v>30853845.8559229</v>
      </c>
      <c r="F166" s="5">
        <v>13419860.1074064</v>
      </c>
      <c r="G166" s="5">
        <v>10409856.1157948</v>
      </c>
      <c r="H166" s="5">
        <v>7335230.8630456496</v>
      </c>
      <c r="I166" s="5">
        <v>11761231.909106901</v>
      </c>
      <c r="J166" s="5">
        <v>14462944.8089082</v>
      </c>
      <c r="K166" s="5">
        <v>49616610.024516501</v>
      </c>
      <c r="L166" s="5">
        <v>12643318.144193299</v>
      </c>
      <c r="M166" s="5">
        <v>20607137.888405599</v>
      </c>
      <c r="N166" s="5">
        <v>22908218.195962001</v>
      </c>
      <c r="O166" s="5">
        <v>40661664.287160903</v>
      </c>
      <c r="P166" s="5">
        <v>51714667.579223603</v>
      </c>
      <c r="Q166" s="5">
        <v>27979813.1758755</v>
      </c>
      <c r="R166" s="5">
        <v>47868649.725997299</v>
      </c>
      <c r="S166" s="5">
        <v>30813433.880477499</v>
      </c>
      <c r="T166" s="5">
        <v>469593377.25070202</v>
      </c>
      <c r="U166" s="5">
        <v>48495662.328351103</v>
      </c>
      <c r="V166" s="5">
        <v>9122463.8911301903</v>
      </c>
      <c r="W166" s="5">
        <v>39527628.750542</v>
      </c>
      <c r="X166" s="5">
        <v>9653446.7239559107</v>
      </c>
      <c r="Y166" s="5">
        <v>12923553.9342154</v>
      </c>
      <c r="Z166" s="5">
        <v>16762326.5348638</v>
      </c>
      <c r="AA166" s="5">
        <v>10166440.942105699</v>
      </c>
      <c r="AB166" s="5">
        <v>24803741.975860901</v>
      </c>
      <c r="AC166" s="5">
        <v>19206512.198249701</v>
      </c>
      <c r="AD166" s="5">
        <v>22121761.583333299</v>
      </c>
      <c r="AE166" s="5">
        <v>21431260.9644823</v>
      </c>
      <c r="AF166" s="5">
        <v>22619989.9699357</v>
      </c>
      <c r="AG166">
        <f t="shared" si="9"/>
        <v>21344881.179000251</v>
      </c>
      <c r="AH166">
        <f t="shared" si="10"/>
        <v>1506599.8093426151</v>
      </c>
      <c r="AI166">
        <f t="shared" si="11"/>
        <v>7.0583658756782131E-2</v>
      </c>
    </row>
    <row r="167" spans="1:35" x14ac:dyDescent="0.45">
      <c r="A167" s="5" t="s">
        <v>169</v>
      </c>
      <c r="B167" s="2">
        <f t="shared" si="8"/>
        <v>14625284.229130117</v>
      </c>
      <c r="C167" s="2">
        <v>11972945.070477501</v>
      </c>
      <c r="D167" s="2">
        <v>1.9660765147219639E-2</v>
      </c>
      <c r="E167" s="5">
        <v>20679284.192714602</v>
      </c>
      <c r="F167" s="5">
        <v>10913326.9889293</v>
      </c>
      <c r="G167" s="5">
        <v>2659220.7112040799</v>
      </c>
      <c r="H167" s="5">
        <v>2092330.6007044499</v>
      </c>
      <c r="I167" s="5">
        <v>11782380.075720301</v>
      </c>
      <c r="J167" s="5">
        <v>8868946.9025848508</v>
      </c>
      <c r="K167" s="5">
        <v>5772295.3901084596</v>
      </c>
      <c r="L167" s="5">
        <v>9676132.9821387008</v>
      </c>
      <c r="M167" s="5">
        <v>32833971.518968601</v>
      </c>
      <c r="N167" s="5">
        <v>5415221.8748743199</v>
      </c>
      <c r="O167" s="5">
        <v>37739809.279578499</v>
      </c>
      <c r="P167" s="5">
        <v>7572657.5015781103</v>
      </c>
      <c r="Q167" s="5">
        <v>16402143.489168899</v>
      </c>
      <c r="R167" s="5">
        <v>6836124.1116083497</v>
      </c>
      <c r="S167" s="5">
        <v>14594714.332154199</v>
      </c>
      <c r="T167" s="5">
        <v>40360083.3968537</v>
      </c>
      <c r="U167" s="5">
        <v>24970846.467298899</v>
      </c>
      <c r="V167" s="5">
        <v>10641644.8737128</v>
      </c>
      <c r="W167" s="5">
        <v>14548948.1424469</v>
      </c>
      <c r="X167" s="5">
        <v>16810531.5478299</v>
      </c>
      <c r="Y167" s="5">
        <v>217999.751007332</v>
      </c>
      <c r="Z167" s="5">
        <v>7488620.7356506996</v>
      </c>
      <c r="AA167" s="5">
        <v>11665773.959282201</v>
      </c>
      <c r="AB167" s="5">
        <v>30463812.673004601</v>
      </c>
      <c r="AC167" s="5">
        <v>11773599.1390603</v>
      </c>
      <c r="AD167" s="5">
        <v>12028993.4560582</v>
      </c>
      <c r="AE167" s="5">
        <v>11806803.708558001</v>
      </c>
      <c r="AF167" s="5">
        <v>12282383.978233499</v>
      </c>
      <c r="AG167">
        <f t="shared" si="9"/>
        <v>11972945.070477501</v>
      </c>
      <c r="AH167">
        <f t="shared" si="10"/>
        <v>235397.26115121925</v>
      </c>
      <c r="AI167">
        <f t="shared" si="11"/>
        <v>1.9660765147219639E-2</v>
      </c>
    </row>
    <row r="168" spans="1:35" x14ac:dyDescent="0.45">
      <c r="A168" s="5" t="s">
        <v>170</v>
      </c>
      <c r="B168" s="2">
        <f t="shared" si="8"/>
        <v>8583828.9624382854</v>
      </c>
      <c r="C168" s="2">
        <v>8280356.5022264272</v>
      </c>
      <c r="D168" s="2">
        <v>0.10762835672112224</v>
      </c>
      <c r="E168" s="5">
        <v>5771765.9443567302</v>
      </c>
      <c r="F168" s="5">
        <v>5833347.5574326301</v>
      </c>
      <c r="G168" s="5">
        <v>8285626.9896672498</v>
      </c>
      <c r="H168" s="5">
        <v>5592746.9208164504</v>
      </c>
      <c r="I168" s="5">
        <v>10169588.363641599</v>
      </c>
      <c r="J168" s="5">
        <v>11023335.1907019</v>
      </c>
      <c r="K168" s="5">
        <v>7826803.3100954099</v>
      </c>
      <c r="L168" s="5">
        <v>7064968.6650168197</v>
      </c>
      <c r="M168" s="5">
        <v>7326626.9684977997</v>
      </c>
      <c r="N168" s="5">
        <v>5017123.2566516101</v>
      </c>
      <c r="O168" s="5">
        <v>13222915.9331383</v>
      </c>
      <c r="P168" s="5">
        <v>6835029.4619837701</v>
      </c>
      <c r="Q168" s="5">
        <v>8537906.6131246891</v>
      </c>
      <c r="R168" s="5">
        <v>6437432.2297488004</v>
      </c>
      <c r="S168" s="5">
        <v>8662807.9555931408</v>
      </c>
      <c r="T168" s="5">
        <v>19993496.0282842</v>
      </c>
      <c r="U168" s="5">
        <v>7811147.5701676803</v>
      </c>
      <c r="V168" s="5">
        <v>7598837.6353698904</v>
      </c>
      <c r="W168" s="5">
        <v>5839314.9965487896</v>
      </c>
      <c r="X168" s="5">
        <v>10406166.7525458</v>
      </c>
      <c r="Y168" s="5">
        <v>7613121.6026274096</v>
      </c>
      <c r="Z168" s="5">
        <v>11015588.9075929</v>
      </c>
      <c r="AA168" s="5">
        <v>9210975.0546786692</v>
      </c>
      <c r="AB168" s="5">
        <v>8915221.1902366094</v>
      </c>
      <c r="AC168" s="5">
        <v>7332942.3145129699</v>
      </c>
      <c r="AD168" s="5">
        <v>7769386.8158320403</v>
      </c>
      <c r="AE168" s="5">
        <v>8726181.9669240993</v>
      </c>
      <c r="AF168" s="5">
        <v>9292914.9116366003</v>
      </c>
      <c r="AG168">
        <f t="shared" si="9"/>
        <v>8280356.5022264272</v>
      </c>
      <c r="AH168">
        <f t="shared" si="10"/>
        <v>891201.16339968995</v>
      </c>
      <c r="AI168">
        <f t="shared" si="11"/>
        <v>0.10762835672112224</v>
      </c>
    </row>
    <row r="169" spans="1:35" x14ac:dyDescent="0.45">
      <c r="A169" s="5" t="s">
        <v>171</v>
      </c>
      <c r="B169" s="2">
        <f t="shared" si="8"/>
        <v>6935182.8049893146</v>
      </c>
      <c r="C169" s="2">
        <v>4563418.3185874727</v>
      </c>
      <c r="D169" s="2">
        <v>5.348670749631939E-2</v>
      </c>
      <c r="E169" s="5">
        <v>401250.98888450803</v>
      </c>
      <c r="F169" s="5">
        <v>424616.76873597002</v>
      </c>
      <c r="G169" s="5">
        <v>341834.42303698498</v>
      </c>
      <c r="H169" s="5">
        <v>10460645.279717401</v>
      </c>
      <c r="I169" s="5">
        <v>7430495.1483946098</v>
      </c>
      <c r="J169" s="5">
        <v>5252593.7652917104</v>
      </c>
      <c r="K169" s="5">
        <v>6252870.7210143898</v>
      </c>
      <c r="L169" s="5">
        <v>6733024.2282570703</v>
      </c>
      <c r="M169" s="5">
        <v>6464817.7668789597</v>
      </c>
      <c r="N169" s="5">
        <v>476932.46107712301</v>
      </c>
      <c r="O169" s="5">
        <v>10574160.6621866</v>
      </c>
      <c r="P169" s="5">
        <v>10174015.526924999</v>
      </c>
      <c r="Q169" s="5">
        <v>441928.00457452401</v>
      </c>
      <c r="R169" s="5">
        <v>9806744.9796678908</v>
      </c>
      <c r="S169" s="5">
        <v>510336.28969033703</v>
      </c>
      <c r="T169" s="5">
        <v>20753942.6091027</v>
      </c>
      <c r="U169" s="5">
        <v>367038.43462583597</v>
      </c>
      <c r="V169" s="5">
        <v>9496205.1202559192</v>
      </c>
      <c r="W169" s="5">
        <v>10073506.887035999</v>
      </c>
      <c r="X169" s="5">
        <v>23726645.234377101</v>
      </c>
      <c r="Y169" s="5">
        <v>424251.51784478303</v>
      </c>
      <c r="Z169" s="5">
        <v>17657883.159590099</v>
      </c>
      <c r="AA169" s="5">
        <v>7735052.7837760802</v>
      </c>
      <c r="AB169" s="5">
        <v>463594.55880197103</v>
      </c>
      <c r="AC169" s="5">
        <v>4302934.0564971203</v>
      </c>
      <c r="AD169" s="5">
        <v>4731773.5879121404</v>
      </c>
      <c r="AE169" s="5">
        <v>4411633.1645326</v>
      </c>
      <c r="AF169" s="5">
        <v>4807332.46540803</v>
      </c>
      <c r="AG169">
        <f t="shared" si="9"/>
        <v>4563418.3185874727</v>
      </c>
      <c r="AH169">
        <f t="shared" si="10"/>
        <v>244082.22078963381</v>
      </c>
      <c r="AI169">
        <f t="shared" si="11"/>
        <v>5.348670749631939E-2</v>
      </c>
    </row>
    <row r="170" spans="1:35" x14ac:dyDescent="0.45">
      <c r="A170" s="5" t="s">
        <v>172</v>
      </c>
      <c r="B170" s="2">
        <f t="shared" si="8"/>
        <v>28854407.834406998</v>
      </c>
      <c r="C170" s="2">
        <v>23147934.041064024</v>
      </c>
      <c r="D170" s="2">
        <v>4.9103341669107604E-2</v>
      </c>
      <c r="E170" s="5">
        <v>25999771.763894901</v>
      </c>
      <c r="F170" s="5">
        <v>22701950.109373499</v>
      </c>
      <c r="G170" s="5">
        <v>39470712.840618096</v>
      </c>
      <c r="H170" s="5">
        <v>5127212.3444894599</v>
      </c>
      <c r="I170" s="5">
        <v>17820953.3925297</v>
      </c>
      <c r="J170" s="5">
        <v>13921738.068336699</v>
      </c>
      <c r="K170" s="5">
        <v>34416917.105985299</v>
      </c>
      <c r="L170" s="5">
        <v>32585886.0681764</v>
      </c>
      <c r="M170" s="5">
        <v>29862099.338031199</v>
      </c>
      <c r="N170" s="5">
        <v>36262586.4526987</v>
      </c>
      <c r="O170" s="5">
        <v>11576453.939317301</v>
      </c>
      <c r="P170" s="5">
        <v>41926077.488882698</v>
      </c>
      <c r="Q170" s="5">
        <v>22655421.309901401</v>
      </c>
      <c r="R170" s="5">
        <v>46575713.713698</v>
      </c>
      <c r="S170" s="5">
        <v>27720254.958115399</v>
      </c>
      <c r="T170" s="5">
        <v>50465083.412576102</v>
      </c>
      <c r="U170" s="5">
        <v>29981082.8997862</v>
      </c>
      <c r="V170" s="5">
        <v>34920539.815233998</v>
      </c>
      <c r="W170" s="5">
        <v>30547403.993739299</v>
      </c>
      <c r="X170" s="5">
        <v>23038197.1188282</v>
      </c>
      <c r="Y170" s="5">
        <v>30013917.267948799</v>
      </c>
      <c r="Z170" s="5">
        <v>27589118.096545201</v>
      </c>
      <c r="AA170" s="5">
        <v>20567874.609118499</v>
      </c>
      <c r="AB170" s="5">
        <v>36758821.917943001</v>
      </c>
      <c r="AC170" s="5">
        <v>23996947.0466871</v>
      </c>
      <c r="AD170" s="5">
        <v>23830544.082988501</v>
      </c>
      <c r="AE170" s="5">
        <v>23252795.696569499</v>
      </c>
      <c r="AF170" s="5">
        <v>21511449.338011</v>
      </c>
      <c r="AG170">
        <f t="shared" si="9"/>
        <v>23147934.041064024</v>
      </c>
      <c r="AH170">
        <f t="shared" si="10"/>
        <v>1136640.9141523335</v>
      </c>
      <c r="AI170">
        <f t="shared" si="11"/>
        <v>4.9103341669107604E-2</v>
      </c>
    </row>
    <row r="171" spans="1:35" x14ac:dyDescent="0.45">
      <c r="A171" s="5" t="s">
        <v>173</v>
      </c>
      <c r="B171" s="2">
        <f t="shared" si="8"/>
        <v>11938673.463541241</v>
      </c>
      <c r="C171" s="2">
        <v>10772693.73183105</v>
      </c>
      <c r="D171" s="2">
        <v>1.6990395509675703E-2</v>
      </c>
      <c r="E171" s="5">
        <v>13294310.8540307</v>
      </c>
      <c r="F171" s="5">
        <v>18817042.4547516</v>
      </c>
      <c r="G171" s="5">
        <v>18536562.686797202</v>
      </c>
      <c r="H171" s="5">
        <v>6281894.8246651096</v>
      </c>
      <c r="I171" s="5">
        <v>9260994.8876764905</v>
      </c>
      <c r="J171" s="5">
        <v>10948665.304740099</v>
      </c>
      <c r="K171" s="5">
        <v>5381683.5702230204</v>
      </c>
      <c r="L171" s="5">
        <v>12395730.171596199</v>
      </c>
      <c r="M171" s="5">
        <v>16712817.5352473</v>
      </c>
      <c r="N171" s="5">
        <v>1525835.0811159399</v>
      </c>
      <c r="O171" s="5">
        <v>14912468.5585707</v>
      </c>
      <c r="P171" s="5">
        <v>32695377.565226801</v>
      </c>
      <c r="Q171" s="5">
        <v>6317975.31194916</v>
      </c>
      <c r="R171" s="5">
        <v>27196386.240040701</v>
      </c>
      <c r="S171" s="5">
        <v>2361578.5161425099</v>
      </c>
      <c r="T171" s="5">
        <v>8126589.0190642299</v>
      </c>
      <c r="U171" s="5">
        <v>11096274.287915999</v>
      </c>
      <c r="V171" s="5">
        <v>24098994.7707715</v>
      </c>
      <c r="W171" s="5">
        <v>15564069.6996533</v>
      </c>
      <c r="X171" s="5">
        <v>10940003.317888699</v>
      </c>
      <c r="Y171" s="5">
        <v>12395346.233134201</v>
      </c>
      <c r="Z171" s="5">
        <v>2424572.1731289299</v>
      </c>
      <c r="AA171" s="5">
        <v>2868299.0409707101</v>
      </c>
      <c r="AB171" s="5">
        <v>2374691.0196888</v>
      </c>
      <c r="AC171" s="5">
        <v>10632604.644792199</v>
      </c>
      <c r="AD171" s="5">
        <v>11021683.4617217</v>
      </c>
      <c r="AE171" s="5">
        <v>10798716.963529199</v>
      </c>
      <c r="AF171" s="5">
        <v>10637769.8572811</v>
      </c>
      <c r="AG171">
        <f t="shared" si="9"/>
        <v>10772693.73183105</v>
      </c>
      <c r="AH171">
        <f t="shared" si="10"/>
        <v>183032.32720841386</v>
      </c>
      <c r="AI171">
        <f t="shared" si="11"/>
        <v>1.6990395509675703E-2</v>
      </c>
    </row>
    <row r="172" spans="1:35" x14ac:dyDescent="0.45">
      <c r="A172" s="5" t="s">
        <v>359</v>
      </c>
      <c r="B172" s="2">
        <f t="shared" si="8"/>
        <v>99181767.314816341</v>
      </c>
      <c r="C172" s="2">
        <v>82855247.607157603</v>
      </c>
      <c r="D172" s="2">
        <v>2.8212415525522779E-2</v>
      </c>
      <c r="E172" s="5">
        <v>44183585.783792801</v>
      </c>
      <c r="F172" s="5">
        <v>72250703.400853604</v>
      </c>
      <c r="G172" s="5">
        <v>58793166.274506703</v>
      </c>
      <c r="H172" s="5">
        <v>91282294.693994805</v>
      </c>
      <c r="I172" s="5">
        <v>90311562.294778794</v>
      </c>
      <c r="J172" s="5">
        <v>65955796.147042103</v>
      </c>
      <c r="K172" s="5">
        <v>92385548.112818107</v>
      </c>
      <c r="L172" s="5">
        <v>54397856.017367199</v>
      </c>
      <c r="M172" s="5">
        <v>89105370.784192994</v>
      </c>
      <c r="N172" s="5">
        <v>106103099.7916</v>
      </c>
      <c r="O172" s="5">
        <v>281852949.07457298</v>
      </c>
      <c r="P172" s="5">
        <v>77804125.911222294</v>
      </c>
      <c r="Q172" s="5">
        <v>162328953.59955299</v>
      </c>
      <c r="R172" s="5">
        <v>86750325.691111505</v>
      </c>
      <c r="S172" s="5">
        <v>102918160.337769</v>
      </c>
      <c r="T172" s="5">
        <v>195368151.271092</v>
      </c>
      <c r="U172" s="5">
        <v>79290103.227504894</v>
      </c>
      <c r="V172" s="5">
        <v>88752301.999673799</v>
      </c>
      <c r="W172" s="5">
        <v>156201293.30298501</v>
      </c>
      <c r="X172" s="5">
        <v>51111671.932467103</v>
      </c>
      <c r="Y172" s="5">
        <v>95724828.821781501</v>
      </c>
      <c r="Z172" s="5">
        <v>69929053.714067295</v>
      </c>
      <c r="AA172" s="5">
        <v>106736180.869564</v>
      </c>
      <c r="AB172" s="5">
        <v>60825332.5012808</v>
      </c>
      <c r="AC172" s="5">
        <v>85065850.364353105</v>
      </c>
      <c r="AD172" s="5">
        <v>84683089.808751598</v>
      </c>
      <c r="AE172" s="5">
        <v>80907028.128526196</v>
      </c>
      <c r="AF172" s="5">
        <v>80765022.126999497</v>
      </c>
      <c r="AG172">
        <f t="shared" si="9"/>
        <v>82855247.607157603</v>
      </c>
      <c r="AH172">
        <f t="shared" si="10"/>
        <v>2337546.6739632073</v>
      </c>
      <c r="AI172">
        <f t="shared" si="11"/>
        <v>2.8212415525522779E-2</v>
      </c>
    </row>
    <row r="173" spans="1:35" x14ac:dyDescent="0.45">
      <c r="A173" s="5" t="s">
        <v>304</v>
      </c>
      <c r="B173" s="2">
        <f t="shared" si="8"/>
        <v>1152983130.4074094</v>
      </c>
      <c r="C173" s="2">
        <v>1308813839.4696224</v>
      </c>
      <c r="D173" s="2">
        <v>8.06592233896304E-2</v>
      </c>
      <c r="E173" s="5">
        <v>2044847515.52527</v>
      </c>
      <c r="F173" s="5">
        <v>2214812401.5571499</v>
      </c>
      <c r="G173" s="5">
        <v>1536174115.0950799</v>
      </c>
      <c r="H173" s="5">
        <v>42788371.432041697</v>
      </c>
      <c r="I173" s="5">
        <v>2215753622.8147602</v>
      </c>
      <c r="J173" s="5">
        <v>2333874224.7789602</v>
      </c>
      <c r="K173" s="5">
        <v>704240206.98884904</v>
      </c>
      <c r="L173" s="5">
        <v>1401117036.6444099</v>
      </c>
      <c r="M173" s="5">
        <v>1403410270.5594101</v>
      </c>
      <c r="N173" s="5">
        <v>301389496.57490599</v>
      </c>
      <c r="O173" s="5">
        <v>148214741.50761801</v>
      </c>
      <c r="P173" s="5">
        <v>363267658.467291</v>
      </c>
      <c r="Q173" s="5">
        <v>767425612.04080105</v>
      </c>
      <c r="R173" s="5">
        <v>525949344.40762198</v>
      </c>
      <c r="S173" s="5">
        <v>1130007418.1029999</v>
      </c>
      <c r="T173" s="5">
        <v>444112266.48849899</v>
      </c>
      <c r="U173" s="5">
        <v>1102600627.5560901</v>
      </c>
      <c r="V173" s="5">
        <v>1440061366.1746099</v>
      </c>
      <c r="W173" s="5">
        <v>535214325.07543898</v>
      </c>
      <c r="X173" s="5">
        <v>1191474397.5790901</v>
      </c>
      <c r="Y173" s="5">
        <v>1039866551.6984299</v>
      </c>
      <c r="Z173" s="5">
        <v>1886701509.8929701</v>
      </c>
      <c r="AA173" s="5">
        <v>1627622921.0256</v>
      </c>
      <c r="AB173" s="5">
        <v>1270669127.7899301</v>
      </c>
      <c r="AC173" s="5">
        <v>1173278796.74227</v>
      </c>
      <c r="AD173" s="5">
        <v>1277230785.06107</v>
      </c>
      <c r="AE173" s="5">
        <v>1399524222.7897799</v>
      </c>
      <c r="AF173" s="5">
        <v>1385221553.2853701</v>
      </c>
      <c r="AG173">
        <f t="shared" si="9"/>
        <v>1308813839.4696224</v>
      </c>
      <c r="AH173">
        <f t="shared" si="10"/>
        <v>105567907.85322013</v>
      </c>
      <c r="AI173">
        <f t="shared" si="11"/>
        <v>8.06592233896304E-2</v>
      </c>
    </row>
    <row r="174" spans="1:35" x14ac:dyDescent="0.45">
      <c r="A174" s="5" t="s">
        <v>174</v>
      </c>
      <c r="B174" s="2">
        <f t="shared" si="8"/>
        <v>542570167.64310014</v>
      </c>
      <c r="C174" s="2">
        <v>505951525.17840552</v>
      </c>
      <c r="D174" s="2">
        <v>7.9079932319411197E-2</v>
      </c>
      <c r="E174" s="5">
        <v>179919366.11814201</v>
      </c>
      <c r="F174" s="5">
        <v>232157893.33527499</v>
      </c>
      <c r="G174" s="5">
        <v>255449488.28267801</v>
      </c>
      <c r="H174" s="5">
        <v>93744640.082957193</v>
      </c>
      <c r="I174" s="5">
        <v>821134193.21936798</v>
      </c>
      <c r="J174" s="5">
        <v>618376483.34819102</v>
      </c>
      <c r="K174" s="5">
        <v>223701176.844145</v>
      </c>
      <c r="L174" s="5">
        <v>464154431.26591003</v>
      </c>
      <c r="M174" s="5">
        <v>700106693.82126296</v>
      </c>
      <c r="N174" s="5">
        <v>179396400.70142299</v>
      </c>
      <c r="O174" s="5">
        <v>921373702.19090796</v>
      </c>
      <c r="P174" s="5">
        <v>227103383.49316299</v>
      </c>
      <c r="Q174" s="5">
        <v>1046906571.52495</v>
      </c>
      <c r="R174" s="5">
        <v>226804738.354247</v>
      </c>
      <c r="S174" s="5">
        <v>1106887794.86555</v>
      </c>
      <c r="T174" s="5">
        <v>1302503627.23281</v>
      </c>
      <c r="U174" s="5">
        <v>233258902.10196501</v>
      </c>
      <c r="V174" s="5">
        <v>660051059.12202799</v>
      </c>
      <c r="W174" s="5">
        <v>286646877.57031</v>
      </c>
      <c r="X174" s="5">
        <v>659606488.18506503</v>
      </c>
      <c r="Y174" s="5">
        <v>40743009.083940499</v>
      </c>
      <c r="Z174" s="5">
        <v>517440728.80715799</v>
      </c>
      <c r="AA174" s="5">
        <v>1362193934.93712</v>
      </c>
      <c r="AB174" s="5">
        <v>662022438.94583702</v>
      </c>
      <c r="AC174" s="5">
        <v>451478057.73459703</v>
      </c>
      <c r="AD174" s="5">
        <v>527061036.077833</v>
      </c>
      <c r="AE174" s="5">
        <v>502225166.89078099</v>
      </c>
      <c r="AF174" s="5">
        <v>543041840.01041102</v>
      </c>
      <c r="AG174">
        <f t="shared" si="9"/>
        <v>505951525.17840552</v>
      </c>
      <c r="AH174">
        <f t="shared" si="10"/>
        <v>40010612.368011177</v>
      </c>
      <c r="AI174">
        <f t="shared" si="11"/>
        <v>7.9079932319411197E-2</v>
      </c>
    </row>
    <row r="175" spans="1:35" x14ac:dyDescent="0.45">
      <c r="A175" s="5" t="s">
        <v>424</v>
      </c>
      <c r="B175" s="2">
        <f t="shared" si="8"/>
        <v>11240936.128428331</v>
      </c>
      <c r="C175" s="2">
        <v>6301366.9752827073</v>
      </c>
      <c r="D175" s="2">
        <v>0.11726950140120099</v>
      </c>
      <c r="E175" s="5">
        <v>4311288.9616965596</v>
      </c>
      <c r="F175" s="5">
        <v>3438802.31514091</v>
      </c>
      <c r="G175" s="5">
        <v>4477240.2865014402</v>
      </c>
      <c r="H175" s="5">
        <v>8616953.3335019797</v>
      </c>
      <c r="I175" s="5">
        <v>5536739.9017698197</v>
      </c>
      <c r="J175" s="5">
        <v>3703816.3377084401</v>
      </c>
      <c r="K175" s="5">
        <v>4076732.2368165501</v>
      </c>
      <c r="L175" s="5">
        <v>5331781.6833977504</v>
      </c>
      <c r="M175" s="5">
        <v>3654058.2875294499</v>
      </c>
      <c r="N175" s="5">
        <v>4415824.39132227</v>
      </c>
      <c r="O175" s="5">
        <v>100751805.529318</v>
      </c>
      <c r="P175" s="5">
        <v>5058458.1252448997</v>
      </c>
      <c r="Q175" s="5">
        <v>5164778.5538095301</v>
      </c>
      <c r="R175" s="5">
        <v>8095154.1372481501</v>
      </c>
      <c r="S175" s="5">
        <v>5918559.3815410696</v>
      </c>
      <c r="T175" s="5">
        <v>36528005.611094996</v>
      </c>
      <c r="U175" s="5">
        <v>5765762.0706764301</v>
      </c>
      <c r="V175" s="5">
        <v>5384437.1757036</v>
      </c>
      <c r="W175" s="5">
        <v>19108811.086879499</v>
      </c>
      <c r="X175" s="5">
        <v>7598125.8011634098</v>
      </c>
      <c r="Y175" s="5">
        <v>4898506.5366697898</v>
      </c>
      <c r="Z175" s="5">
        <v>5324035.7360791303</v>
      </c>
      <c r="AA175" s="5">
        <v>7032466.9171115896</v>
      </c>
      <c r="AB175" s="5">
        <v>5590322.6843547197</v>
      </c>
      <c r="AC175" s="5">
        <v>6450585.93938288</v>
      </c>
      <c r="AD175" s="5">
        <v>6130540.6624138402</v>
      </c>
      <c r="AE175" s="5">
        <v>5421525.9016577797</v>
      </c>
      <c r="AF175" s="5">
        <v>7202815.3976763301</v>
      </c>
      <c r="AG175">
        <f t="shared" si="9"/>
        <v>6301366.9752827073</v>
      </c>
      <c r="AH175">
        <f t="shared" si="10"/>
        <v>738958.16333739704</v>
      </c>
      <c r="AI175">
        <f t="shared" si="11"/>
        <v>0.11726950140120099</v>
      </c>
    </row>
    <row r="176" spans="1:35" x14ac:dyDescent="0.45">
      <c r="A176" s="5" t="s">
        <v>305</v>
      </c>
      <c r="B176" s="2">
        <f t="shared" si="8"/>
        <v>28778146.270118307</v>
      </c>
      <c r="C176" s="2">
        <v>24184160.185223673</v>
      </c>
      <c r="D176" s="2">
        <v>8.0084325382996341E-2</v>
      </c>
      <c r="E176" s="5">
        <v>28902160.867570199</v>
      </c>
      <c r="F176" s="5">
        <v>23421239.670262098</v>
      </c>
      <c r="G176" s="5">
        <v>21522235.225709401</v>
      </c>
      <c r="H176" s="5">
        <v>9790174.6833980195</v>
      </c>
      <c r="I176" s="5">
        <v>31946982.2475533</v>
      </c>
      <c r="J176" s="5">
        <v>24971466.0880371</v>
      </c>
      <c r="K176" s="5">
        <v>21704963.651297301</v>
      </c>
      <c r="L176" s="5">
        <v>23785027.7602816</v>
      </c>
      <c r="M176" s="5">
        <v>50615588.447263502</v>
      </c>
      <c r="N176" s="5">
        <v>19064643.871200901</v>
      </c>
      <c r="O176" s="5">
        <v>44644962.986677699</v>
      </c>
      <c r="P176" s="5">
        <v>21706726.9152296</v>
      </c>
      <c r="Q176" s="5">
        <v>29122588.134809699</v>
      </c>
      <c r="R176" s="5">
        <v>21574902.243172102</v>
      </c>
      <c r="S176" s="5">
        <v>24069079.223424301</v>
      </c>
      <c r="T176" s="5">
        <v>87477597.416941896</v>
      </c>
      <c r="U176" s="5">
        <v>22738244.231657799</v>
      </c>
      <c r="V176" s="5">
        <v>22318680.019010302</v>
      </c>
      <c r="W176" s="5">
        <v>23496707.145184301</v>
      </c>
      <c r="X176" s="5">
        <v>26618211.9109639</v>
      </c>
      <c r="Y176" s="5">
        <v>33157491.0265444</v>
      </c>
      <c r="Z176" s="5">
        <v>21958098.752324399</v>
      </c>
      <c r="AA176" s="5">
        <v>28925332.085202102</v>
      </c>
      <c r="AB176" s="5">
        <v>27142405.879123401</v>
      </c>
      <c r="AC176" s="5">
        <v>23200618.572057899</v>
      </c>
      <c r="AD176" s="5">
        <v>22363637.059397601</v>
      </c>
      <c r="AE176" s="5">
        <v>24353266.961731099</v>
      </c>
      <c r="AF176" s="5">
        <v>26819118.147708099</v>
      </c>
      <c r="AG176">
        <f t="shared" si="9"/>
        <v>24184160.185223673</v>
      </c>
      <c r="AH176">
        <f t="shared" si="10"/>
        <v>1936772.1533879575</v>
      </c>
      <c r="AI176">
        <f t="shared" si="11"/>
        <v>8.0084325382996341E-2</v>
      </c>
    </row>
    <row r="177" spans="1:35" x14ac:dyDescent="0.45">
      <c r="A177" s="5" t="s">
        <v>306</v>
      </c>
      <c r="B177" s="2">
        <f t="shared" si="8"/>
        <v>81516564.330682933</v>
      </c>
      <c r="C177" s="2">
        <v>68106613.03534466</v>
      </c>
      <c r="D177" s="2">
        <v>0.14025453465055668</v>
      </c>
      <c r="E177" s="5">
        <v>78779513.509389907</v>
      </c>
      <c r="F177" s="5">
        <v>108629264.04133099</v>
      </c>
      <c r="G177" s="5">
        <v>95438930.747119203</v>
      </c>
      <c r="H177" s="5">
        <v>86941389.021073595</v>
      </c>
      <c r="I177" s="5">
        <v>70393318.481443599</v>
      </c>
      <c r="J177" s="5">
        <v>73800038.087161005</v>
      </c>
      <c r="K177" s="5">
        <v>105434324.758552</v>
      </c>
      <c r="L177" s="5">
        <v>102058559.686207</v>
      </c>
      <c r="M177" s="5">
        <v>54945296.710041203</v>
      </c>
      <c r="N177" s="5">
        <v>84754350.804235294</v>
      </c>
      <c r="O177" s="5">
        <v>48558067.828576602</v>
      </c>
      <c r="P177" s="5">
        <v>84195474.965137899</v>
      </c>
      <c r="Q177" s="5">
        <v>64802457.195379503</v>
      </c>
      <c r="R177" s="5">
        <v>85095730.843743205</v>
      </c>
      <c r="S177" s="5">
        <v>105606875.78119899</v>
      </c>
      <c r="T177" s="5">
        <v>113322732.728825</v>
      </c>
      <c r="U177" s="5">
        <v>69713466.252969697</v>
      </c>
      <c r="V177" s="5">
        <v>9372560.1780888792</v>
      </c>
      <c r="W177" s="5">
        <v>85543969.497720107</v>
      </c>
      <c r="X177" s="5">
        <v>69061516.447361007</v>
      </c>
      <c r="Y177" s="5">
        <v>70984168.799246505</v>
      </c>
      <c r="Z177" s="5">
        <v>85680609.662466794</v>
      </c>
      <c r="AA177" s="5">
        <v>94552291.257179394</v>
      </c>
      <c r="AB177" s="5">
        <v>108732636.651943</v>
      </c>
      <c r="AC177" s="5">
        <v>55266747.849698901</v>
      </c>
      <c r="AD177" s="5">
        <v>67846618.686277404</v>
      </c>
      <c r="AE177" s="5">
        <v>78048016.9581763</v>
      </c>
      <c r="AF177" s="5">
        <v>71265068.647226006</v>
      </c>
      <c r="AG177">
        <f t="shared" si="9"/>
        <v>68106613.03534466</v>
      </c>
      <c r="AH177">
        <f t="shared" si="10"/>
        <v>9552261.3178978022</v>
      </c>
      <c r="AI177">
        <f t="shared" si="11"/>
        <v>0.14025453465055668</v>
      </c>
    </row>
    <row r="178" spans="1:35" x14ac:dyDescent="0.45">
      <c r="A178" s="5" t="s">
        <v>425</v>
      </c>
      <c r="B178" s="2">
        <f t="shared" si="8"/>
        <v>143380141.97946557</v>
      </c>
      <c r="C178" s="2">
        <v>131951129.39880526</v>
      </c>
      <c r="D178" s="2">
        <v>1.9400026757867488E-2</v>
      </c>
      <c r="E178" s="5">
        <v>48277478.157013401</v>
      </c>
      <c r="F178" s="5">
        <v>58547150.209049299</v>
      </c>
      <c r="G178" s="5">
        <v>61331364.459324002</v>
      </c>
      <c r="H178" s="5">
        <v>20428486.430169601</v>
      </c>
      <c r="I178" s="5">
        <v>226812477.76185101</v>
      </c>
      <c r="J178" s="5">
        <v>175667155.75616199</v>
      </c>
      <c r="K178" s="5">
        <v>50013541.821530797</v>
      </c>
      <c r="L178" s="5">
        <v>111824548.209767</v>
      </c>
      <c r="M178" s="5">
        <v>222804645.42307901</v>
      </c>
      <c r="N178" s="5">
        <v>43877879.646314502</v>
      </c>
      <c r="O178" s="5">
        <v>359347907.66532099</v>
      </c>
      <c r="P178" s="5">
        <v>46666922.802053504</v>
      </c>
      <c r="Q178" s="5">
        <v>333699744.379421</v>
      </c>
      <c r="R178" s="5">
        <v>44620066.399643503</v>
      </c>
      <c r="S178" s="5">
        <v>289430046.81229502</v>
      </c>
      <c r="T178" s="5">
        <v>188857135.480782</v>
      </c>
      <c r="U178" s="5">
        <v>65668139.07124</v>
      </c>
      <c r="V178" s="5">
        <v>182964871.96367601</v>
      </c>
      <c r="W178" s="5">
        <v>62237602.133234903</v>
      </c>
      <c r="X178" s="5">
        <v>168772100.006006</v>
      </c>
      <c r="Y178" s="5">
        <v>12364550.4573997</v>
      </c>
      <c r="Z178" s="5">
        <v>146489761.754742</v>
      </c>
      <c r="AA178" s="5">
        <v>367069268.96639001</v>
      </c>
      <c r="AB178" s="5">
        <v>153350561.74070799</v>
      </c>
      <c r="AC178" s="5">
        <v>130071694.89666601</v>
      </c>
      <c r="AD178" s="5">
        <v>129438050.77073801</v>
      </c>
      <c r="AE178" s="5">
        <v>133861330.375523</v>
      </c>
      <c r="AF178" s="5">
        <v>134433441.55229399</v>
      </c>
      <c r="AG178">
        <f t="shared" si="9"/>
        <v>131951129.39880526</v>
      </c>
      <c r="AH178">
        <f t="shared" si="10"/>
        <v>2559855.4410676574</v>
      </c>
      <c r="AI178">
        <f t="shared" si="11"/>
        <v>1.9400026757867488E-2</v>
      </c>
    </row>
    <row r="179" spans="1:35" x14ac:dyDescent="0.45">
      <c r="A179" s="5" t="s">
        <v>307</v>
      </c>
      <c r="B179" s="2">
        <f t="shared" si="8"/>
        <v>18416375.43980632</v>
      </c>
      <c r="C179" s="2">
        <v>8046772.3471122421</v>
      </c>
      <c r="D179" s="2">
        <v>7.9653343554876146E-2</v>
      </c>
      <c r="E179" s="5">
        <v>3766074.0389926801</v>
      </c>
      <c r="F179" s="5">
        <v>5695926.6083714897</v>
      </c>
      <c r="G179" s="5">
        <v>13095689.371122001</v>
      </c>
      <c r="H179" s="5">
        <v>27909094.058666602</v>
      </c>
      <c r="I179" s="5">
        <v>8533543.5164050702</v>
      </c>
      <c r="J179" s="5">
        <v>2666038.2905991799</v>
      </c>
      <c r="K179" s="5">
        <v>6785153.8799008504</v>
      </c>
      <c r="L179" s="5">
        <v>10305203.6190784</v>
      </c>
      <c r="M179" s="5">
        <v>4932139.9810538804</v>
      </c>
      <c r="N179" s="5">
        <v>5668680.0449409904</v>
      </c>
      <c r="O179" s="5">
        <v>12227168.5982391</v>
      </c>
      <c r="P179" s="5">
        <v>17263305.6186237</v>
      </c>
      <c r="Q179" s="5">
        <v>10689008.50172</v>
      </c>
      <c r="R179" s="5">
        <v>5800402.7145546796</v>
      </c>
      <c r="S179" s="5">
        <v>5750987.6149920104</v>
      </c>
      <c r="T179" s="5">
        <v>224796706.710471</v>
      </c>
      <c r="U179" s="5">
        <v>5340740.3450170504</v>
      </c>
      <c r="V179" s="5">
        <v>5625840.4532597698</v>
      </c>
      <c r="W179" s="5">
        <v>11101519.752019599</v>
      </c>
      <c r="X179" s="5">
        <v>17410651.498626102</v>
      </c>
      <c r="Y179" s="5">
        <v>11289897.4468241</v>
      </c>
      <c r="Z179" s="5">
        <v>2690147.57863008</v>
      </c>
      <c r="AA179" s="5">
        <v>5479465.6360427402</v>
      </c>
      <c r="AB179" s="5">
        <v>17169624.677200601</v>
      </c>
      <c r="AC179" s="5">
        <v>7467228.7867183201</v>
      </c>
      <c r="AD179" s="5">
        <v>7904044.3162984597</v>
      </c>
      <c r="AE179" s="5">
        <v>7853210.2594623901</v>
      </c>
      <c r="AF179" s="5">
        <v>8962606.0259697996</v>
      </c>
      <c r="AG179">
        <f t="shared" si="9"/>
        <v>8046772.3471122421</v>
      </c>
      <c r="AH179">
        <f t="shared" si="10"/>
        <v>640952.32227240852</v>
      </c>
      <c r="AI179">
        <f t="shared" si="11"/>
        <v>7.9653343554876146E-2</v>
      </c>
    </row>
    <row r="180" spans="1:35" x14ac:dyDescent="0.45">
      <c r="A180" s="5" t="s">
        <v>376</v>
      </c>
      <c r="B180" s="2">
        <f t="shared" si="8"/>
        <v>1339218135.5060134</v>
      </c>
      <c r="C180" s="2">
        <v>1040420464.7696226</v>
      </c>
      <c r="D180" s="2">
        <v>2.925238316268124E-2</v>
      </c>
      <c r="E180" s="5">
        <v>664947978.43935001</v>
      </c>
      <c r="F180" s="5">
        <v>1125268664.22772</v>
      </c>
      <c r="G180" s="5">
        <v>739023658.364972</v>
      </c>
      <c r="H180" s="5">
        <v>1365559286.07883</v>
      </c>
      <c r="I180" s="5">
        <v>860324118.98116803</v>
      </c>
      <c r="J180" s="5">
        <v>526048598.79106098</v>
      </c>
      <c r="K180" s="5">
        <v>1050809698.39697</v>
      </c>
      <c r="L180" s="5">
        <v>1247104353.5999401</v>
      </c>
      <c r="M180" s="5">
        <v>405835358.01275897</v>
      </c>
      <c r="N180" s="5">
        <v>1434341744.08763</v>
      </c>
      <c r="O180" s="5">
        <v>3795782498.58815</v>
      </c>
      <c r="P180" s="5">
        <v>1563000718.1986899</v>
      </c>
      <c r="Q180" s="5">
        <v>1524528716.0371301</v>
      </c>
      <c r="R180" s="5">
        <v>1864701271.68959</v>
      </c>
      <c r="S180" s="5">
        <v>752440187.37482297</v>
      </c>
      <c r="T180" s="5">
        <v>3610153993.7079501</v>
      </c>
      <c r="U180" s="5">
        <v>1230544834.05198</v>
      </c>
      <c r="V180" s="5">
        <v>736264850.14517498</v>
      </c>
      <c r="W180" s="5">
        <v>2158197532.6511998</v>
      </c>
      <c r="X180" s="5">
        <v>493861321.77799302</v>
      </c>
      <c r="Y180" s="5">
        <v>2602205857.9920702</v>
      </c>
      <c r="Z180" s="5">
        <v>805743383.10537601</v>
      </c>
      <c r="AA180" s="5">
        <v>727714144.78704405</v>
      </c>
      <c r="AB180" s="5">
        <v>856832483.05674696</v>
      </c>
      <c r="AC180" s="5">
        <v>1030993391.15185</v>
      </c>
      <c r="AD180" s="5">
        <v>1065830309.35707</v>
      </c>
      <c r="AE180" s="5">
        <v>1001472878.3833801</v>
      </c>
      <c r="AF180" s="5">
        <v>1063385280.18619</v>
      </c>
      <c r="AG180">
        <f t="shared" si="9"/>
        <v>1040420464.7696226</v>
      </c>
      <c r="AH180">
        <f t="shared" si="10"/>
        <v>30434778.085735898</v>
      </c>
      <c r="AI180">
        <f t="shared" si="11"/>
        <v>2.925238316268124E-2</v>
      </c>
    </row>
    <row r="181" spans="1:35" x14ac:dyDescent="0.45">
      <c r="A181" s="5" t="s">
        <v>175</v>
      </c>
      <c r="B181" s="2">
        <f t="shared" si="8"/>
        <v>44338306.549494922</v>
      </c>
      <c r="C181" s="2">
        <v>26357876.153067827</v>
      </c>
      <c r="D181" s="2">
        <v>3.0281337015501304E-2</v>
      </c>
      <c r="E181" s="5">
        <v>12281056.8425992</v>
      </c>
      <c r="F181" s="5">
        <v>13182144.485037901</v>
      </c>
      <c r="G181" s="5">
        <v>59215341.118159801</v>
      </c>
      <c r="H181" s="5">
        <v>135241948.85846099</v>
      </c>
      <c r="I181" s="5">
        <v>27042850.407362599</v>
      </c>
      <c r="J181" s="5">
        <v>17974538.366494998</v>
      </c>
      <c r="K181" s="5">
        <v>61674514.739670902</v>
      </c>
      <c r="L181" s="5">
        <v>26307391.012701102</v>
      </c>
      <c r="M181" s="5">
        <v>1605114.94357943</v>
      </c>
      <c r="N181" s="5">
        <v>15379939.9945536</v>
      </c>
      <c r="O181" s="5">
        <v>174698217.61693099</v>
      </c>
      <c r="P181" s="5">
        <v>21689210.9567587</v>
      </c>
      <c r="Q181" s="5">
        <v>12758237.456131199</v>
      </c>
      <c r="R181" s="5">
        <v>126318347.641875</v>
      </c>
      <c r="S181" s="5">
        <v>60101928.676213101</v>
      </c>
      <c r="T181" s="5">
        <v>79202665.477125898</v>
      </c>
      <c r="U181" s="5">
        <v>13216758.807893099</v>
      </c>
      <c r="V181" s="5">
        <v>22657651.143859301</v>
      </c>
      <c r="W181" s="5">
        <v>66153587.490661502</v>
      </c>
      <c r="X181" s="5">
        <v>25053164.308059201</v>
      </c>
      <c r="Y181" s="5">
        <v>30220319.8544758</v>
      </c>
      <c r="Z181" s="5">
        <v>56151533.579249002</v>
      </c>
      <c r="AA181" s="5">
        <v>2819995.89264079</v>
      </c>
      <c r="AB181" s="5">
        <v>3172897.5173837501</v>
      </c>
      <c r="AC181" s="5">
        <v>26053006.539044399</v>
      </c>
      <c r="AD181" s="5">
        <v>26477379.62855</v>
      </c>
      <c r="AE181" s="5">
        <v>25505378.897932101</v>
      </c>
      <c r="AF181" s="5">
        <v>27395739.546744801</v>
      </c>
      <c r="AG181">
        <f t="shared" si="9"/>
        <v>26357876.153067827</v>
      </c>
      <c r="AH181">
        <f t="shared" si="10"/>
        <v>798151.7308038919</v>
      </c>
      <c r="AI181">
        <f t="shared" si="11"/>
        <v>3.0281337015501304E-2</v>
      </c>
    </row>
    <row r="182" spans="1:35" x14ac:dyDescent="0.45">
      <c r="A182" s="5" t="s">
        <v>176</v>
      </c>
      <c r="B182" s="2">
        <f t="shared" si="8"/>
        <v>7049647.4446956003</v>
      </c>
      <c r="C182" s="2">
        <v>5618836.1574086025</v>
      </c>
      <c r="D182" s="2">
        <v>7.5286554425991595E-2</v>
      </c>
      <c r="E182" s="5">
        <v>4720024.1133698998</v>
      </c>
      <c r="F182" s="5">
        <v>4038553.7139676102</v>
      </c>
      <c r="G182" s="5">
        <v>2982384.07713942</v>
      </c>
      <c r="H182" s="5">
        <v>13097066.3669455</v>
      </c>
      <c r="I182" s="5">
        <v>2974633.93655458</v>
      </c>
      <c r="J182" s="5">
        <v>7022804.7979768096</v>
      </c>
      <c r="K182" s="5">
        <v>6607294.0867914101</v>
      </c>
      <c r="L182" s="5">
        <v>5356151.5624987297</v>
      </c>
      <c r="M182" s="5">
        <v>3596618.6473876</v>
      </c>
      <c r="N182" s="5">
        <v>8056689.2493004799</v>
      </c>
      <c r="O182" s="5">
        <v>14241328.844831301</v>
      </c>
      <c r="P182" s="5">
        <v>13194465.0329214</v>
      </c>
      <c r="Q182" s="5">
        <v>3366465.18489228</v>
      </c>
      <c r="R182" s="5">
        <v>6778257.0030025998</v>
      </c>
      <c r="S182" s="5">
        <v>3145639.1256243298</v>
      </c>
      <c r="T182" s="5">
        <v>22113060.1938252</v>
      </c>
      <c r="U182" s="5">
        <v>11228533.218709299</v>
      </c>
      <c r="V182" s="5">
        <v>2544599.4104837398</v>
      </c>
      <c r="W182" s="5">
        <v>7626721.9925543005</v>
      </c>
      <c r="X182" s="5">
        <v>5309702.9731366504</v>
      </c>
      <c r="Y182" s="5">
        <v>5528179.0705726296</v>
      </c>
      <c r="Z182" s="5">
        <v>7596537.9342742702</v>
      </c>
      <c r="AA182" s="5">
        <v>3814302.74208734</v>
      </c>
      <c r="AB182" s="5">
        <v>4251525.3938470604</v>
      </c>
      <c r="AC182" s="5">
        <v>5009050.6934749102</v>
      </c>
      <c r="AD182" s="5">
        <v>5722868.5980873602</v>
      </c>
      <c r="AE182" s="5">
        <v>5986366.0225296495</v>
      </c>
      <c r="AF182" s="5">
        <v>5757059.3155424902</v>
      </c>
      <c r="AG182">
        <f t="shared" si="9"/>
        <v>5618836.1574086025</v>
      </c>
      <c r="AH182">
        <f t="shared" si="10"/>
        <v>423022.81417547225</v>
      </c>
      <c r="AI182">
        <f t="shared" si="11"/>
        <v>7.5286554425991595E-2</v>
      </c>
    </row>
    <row r="183" spans="1:35" x14ac:dyDescent="0.45">
      <c r="A183" s="5" t="s">
        <v>177</v>
      </c>
      <c r="B183" s="2">
        <f t="shared" si="8"/>
        <v>6218230.0030279383</v>
      </c>
      <c r="C183" s="2">
        <v>5235710.0415932434</v>
      </c>
      <c r="D183" s="2">
        <v>9.8006625767283972E-2</v>
      </c>
      <c r="E183" s="5">
        <v>6401331.3916467801</v>
      </c>
      <c r="F183" s="5">
        <v>9849641.6337797996</v>
      </c>
      <c r="G183" s="5">
        <v>6508287.1446658801</v>
      </c>
      <c r="H183" s="5">
        <v>6625662.8981637601</v>
      </c>
      <c r="I183" s="5">
        <v>603914.25820307794</v>
      </c>
      <c r="J183" s="5">
        <v>5934947.7707985304</v>
      </c>
      <c r="K183" s="5">
        <v>9589547.5545529593</v>
      </c>
      <c r="L183" s="5">
        <v>7474824.0152229099</v>
      </c>
      <c r="M183" s="5">
        <v>4639770.84851244</v>
      </c>
      <c r="N183" s="5">
        <v>9553276.9021854997</v>
      </c>
      <c r="O183" s="5">
        <v>6824579.7155116098</v>
      </c>
      <c r="P183" s="5">
        <v>6649525.1713939896</v>
      </c>
      <c r="Q183" s="5">
        <v>1145731.77357285</v>
      </c>
      <c r="R183" s="5">
        <v>7753437.8834491698</v>
      </c>
      <c r="S183" s="5">
        <v>8496666.3966736607</v>
      </c>
      <c r="T183" s="5">
        <v>5591701.9787296802</v>
      </c>
      <c r="U183" s="5">
        <v>7162491.5719584301</v>
      </c>
      <c r="V183" s="5">
        <v>7465505.6385201504</v>
      </c>
      <c r="W183" s="5">
        <v>6212178.82040051</v>
      </c>
      <c r="X183" s="5">
        <v>190048.65028480301</v>
      </c>
      <c r="Y183" s="5">
        <v>1518529.42430728</v>
      </c>
      <c r="Z183" s="5">
        <v>8037917.5165531496</v>
      </c>
      <c r="AA183" s="5">
        <v>6754038.5296302196</v>
      </c>
      <c r="AB183" s="5">
        <v>8253962.5839533703</v>
      </c>
      <c r="AC183" s="5">
        <v>4604474.8193835104</v>
      </c>
      <c r="AD183" s="5">
        <v>5815309.0047899801</v>
      </c>
      <c r="AE183" s="5">
        <v>5096915.9965628898</v>
      </c>
      <c r="AF183" s="5">
        <v>5426140.3456365904</v>
      </c>
      <c r="AG183">
        <f t="shared" si="9"/>
        <v>5235710.0415932434</v>
      </c>
      <c r="AH183">
        <f t="shared" si="10"/>
        <v>513134.27467243979</v>
      </c>
      <c r="AI183">
        <f t="shared" si="11"/>
        <v>9.8006625767283972E-2</v>
      </c>
    </row>
    <row r="184" spans="1:35" x14ac:dyDescent="0.45">
      <c r="A184" s="5" t="s">
        <v>178</v>
      </c>
      <c r="B184" s="2">
        <f t="shared" si="8"/>
        <v>160671076.64595303</v>
      </c>
      <c r="C184" s="2">
        <v>152136027.365789</v>
      </c>
      <c r="D184" s="2">
        <v>0.15282279873493715</v>
      </c>
      <c r="E184" s="5">
        <v>184369808.266379</v>
      </c>
      <c r="F184" s="5">
        <v>168141345.717767</v>
      </c>
      <c r="G184" s="5">
        <v>163570342.13882899</v>
      </c>
      <c r="H184" s="5">
        <v>200000213.49884501</v>
      </c>
      <c r="I184" s="5">
        <v>191025776.89340699</v>
      </c>
      <c r="J184" s="5">
        <v>137815410.31477401</v>
      </c>
      <c r="K184" s="5">
        <v>177512611.34185001</v>
      </c>
      <c r="L184" s="5">
        <v>184954593.825142</v>
      </c>
      <c r="M184" s="5">
        <v>140549231.664343</v>
      </c>
      <c r="N184" s="5">
        <v>153110725.84553599</v>
      </c>
      <c r="O184" s="5">
        <v>80573123.818982303</v>
      </c>
      <c r="P184" s="5">
        <v>161297100.26858699</v>
      </c>
      <c r="Q184" s="5">
        <v>138199029.13833299</v>
      </c>
      <c r="R184" s="5">
        <v>178070005.61118701</v>
      </c>
      <c r="S184" s="5">
        <v>175056967.27597001</v>
      </c>
      <c r="T184" s="5">
        <v>180971707.17431101</v>
      </c>
      <c r="U184" s="5">
        <v>161385578.04469401</v>
      </c>
      <c r="V184" s="5">
        <v>157641959.85435599</v>
      </c>
      <c r="W184" s="5">
        <v>134021497.252232</v>
      </c>
      <c r="X184" s="5">
        <v>147199191.75323901</v>
      </c>
      <c r="Y184" s="5">
        <v>137342279.283858</v>
      </c>
      <c r="Z184" s="5">
        <v>155906709.20197999</v>
      </c>
      <c r="AA184" s="5">
        <v>182296905.20875999</v>
      </c>
      <c r="AB184" s="5">
        <v>165093726.10951099</v>
      </c>
      <c r="AC184" s="5">
        <v>130108294.966195</v>
      </c>
      <c r="AD184" s="5">
        <v>175368026.11746699</v>
      </c>
      <c r="AE184" s="5">
        <v>134271287.599296</v>
      </c>
      <c r="AF184" s="5">
        <v>168796500.78019801</v>
      </c>
      <c r="AG184">
        <f t="shared" si="9"/>
        <v>152136027.365789</v>
      </c>
      <c r="AH184">
        <f t="shared" si="10"/>
        <v>23249853.49045486</v>
      </c>
      <c r="AI184">
        <f t="shared" si="11"/>
        <v>0.15282279873493715</v>
      </c>
    </row>
    <row r="185" spans="1:35" x14ac:dyDescent="0.45">
      <c r="A185" s="5" t="s">
        <v>192</v>
      </c>
      <c r="B185" s="2">
        <f t="shared" si="8"/>
        <v>172359428.49300432</v>
      </c>
      <c r="C185" s="2">
        <v>146952836.13789448</v>
      </c>
      <c r="D185" s="2">
        <v>3.270798662885252E-2</v>
      </c>
      <c r="E185" s="5">
        <v>195409905.096302</v>
      </c>
      <c r="F185" s="5">
        <v>228720677.99093899</v>
      </c>
      <c r="G185" s="5">
        <v>152908805.462928</v>
      </c>
      <c r="H185" s="5">
        <v>207943202.60781601</v>
      </c>
      <c r="I185" s="5">
        <v>189029709.58415499</v>
      </c>
      <c r="J185" s="5">
        <v>106413181.84417599</v>
      </c>
      <c r="K185" s="5">
        <v>201122962.84268799</v>
      </c>
      <c r="L185" s="5">
        <v>174547602.33497</v>
      </c>
      <c r="M185" s="5">
        <v>109619179.182256</v>
      </c>
      <c r="N185" s="5">
        <v>209718944.053729</v>
      </c>
      <c r="O185" s="5">
        <v>140558175.126436</v>
      </c>
      <c r="P185" s="5">
        <v>162659763.46844199</v>
      </c>
      <c r="Q185" s="5">
        <v>191155150.05446199</v>
      </c>
      <c r="R185" s="5">
        <v>224559344.142221</v>
      </c>
      <c r="S185" s="5">
        <v>193695960.91310501</v>
      </c>
      <c r="T185" s="5">
        <v>66436487.450291798</v>
      </c>
      <c r="U185" s="5">
        <v>165538873.56452301</v>
      </c>
      <c r="V185" s="5">
        <v>159556360.195759</v>
      </c>
      <c r="W185" s="5">
        <v>168839867.30197799</v>
      </c>
      <c r="X185" s="5">
        <v>174141131.692112</v>
      </c>
      <c r="Y185" s="5">
        <v>214456579.176763</v>
      </c>
      <c r="Z185" s="5">
        <v>140777139.26870599</v>
      </c>
      <c r="AA185" s="5">
        <v>168542812.554607</v>
      </c>
      <c r="AB185" s="5">
        <v>190274467.922739</v>
      </c>
      <c r="AC185" s="5">
        <v>141596251.033122</v>
      </c>
      <c r="AD185" s="5">
        <v>150548990.34525999</v>
      </c>
      <c r="AE185" s="5">
        <v>144218266.341097</v>
      </c>
      <c r="AF185" s="5">
        <v>151447836.83209899</v>
      </c>
      <c r="AG185">
        <f t="shared" si="9"/>
        <v>146952836.13789448</v>
      </c>
      <c r="AH185">
        <f t="shared" si="10"/>
        <v>4806531.3994702082</v>
      </c>
      <c r="AI185">
        <f t="shared" si="11"/>
        <v>3.270798662885252E-2</v>
      </c>
    </row>
    <row r="186" spans="1:35" x14ac:dyDescent="0.45">
      <c r="A186" s="5" t="s">
        <v>193</v>
      </c>
      <c r="B186" s="2">
        <f t="shared" si="8"/>
        <v>17143204.593182545</v>
      </c>
      <c r="C186" s="2">
        <v>14313771.6660535</v>
      </c>
      <c r="D186" s="2">
        <v>3.8245466206529993E-2</v>
      </c>
      <c r="E186" s="5">
        <v>16127792.885465</v>
      </c>
      <c r="F186" s="5">
        <v>19854080.496965699</v>
      </c>
      <c r="G186" s="5">
        <v>16764733.894367101</v>
      </c>
      <c r="H186" s="5">
        <v>24920961.534260198</v>
      </c>
      <c r="I186" s="5">
        <v>17049135.616902798</v>
      </c>
      <c r="J186" s="5">
        <v>10786957.9226145</v>
      </c>
      <c r="K186" s="5">
        <v>20935153.332268301</v>
      </c>
      <c r="L186" s="5">
        <v>18205567.505229</v>
      </c>
      <c r="M186" s="5">
        <v>10560106.603828199</v>
      </c>
      <c r="N186" s="5">
        <v>20175910.498609301</v>
      </c>
      <c r="O186" s="5">
        <v>15307073.595685</v>
      </c>
      <c r="P186" s="5">
        <v>16734462.2607545</v>
      </c>
      <c r="Q186" s="5">
        <v>14072676.0722262</v>
      </c>
      <c r="R186" s="5">
        <v>23469134.220622402</v>
      </c>
      <c r="S186" s="5">
        <v>21184078.905081902</v>
      </c>
      <c r="T186" s="5">
        <v>9957880.1021133997</v>
      </c>
      <c r="U186" s="5">
        <v>14114997.0310349</v>
      </c>
      <c r="V186" s="5">
        <v>15533125.7607008</v>
      </c>
      <c r="W186" s="5">
        <v>18229612.559081499</v>
      </c>
      <c r="X186" s="5">
        <v>17758316.157820001</v>
      </c>
      <c r="Y186" s="5">
        <v>18893926.1751667</v>
      </c>
      <c r="Z186" s="5">
        <v>13063214.704597199</v>
      </c>
      <c r="AA186" s="5">
        <v>17461946.677544899</v>
      </c>
      <c r="AB186" s="5">
        <v>20276065.723441601</v>
      </c>
      <c r="AC186" s="5">
        <v>13547367.431168601</v>
      </c>
      <c r="AD186" s="5">
        <v>14294975.676446799</v>
      </c>
      <c r="AE186" s="5">
        <v>14667237.746172899</v>
      </c>
      <c r="AF186" s="5">
        <v>14745505.810425701</v>
      </c>
      <c r="AG186">
        <f t="shared" si="9"/>
        <v>14313771.6660535</v>
      </c>
      <c r="AH186">
        <f t="shared" si="10"/>
        <v>547436.87054203567</v>
      </c>
      <c r="AI186">
        <f t="shared" si="11"/>
        <v>3.8245466206529993E-2</v>
      </c>
    </row>
    <row r="187" spans="1:35" x14ac:dyDescent="0.45">
      <c r="A187" s="5" t="s">
        <v>349</v>
      </c>
      <c r="B187" s="2">
        <f t="shared" si="8"/>
        <v>9792834.9483163897</v>
      </c>
      <c r="C187" s="2">
        <v>11213586.192703875</v>
      </c>
      <c r="D187" s="2">
        <v>7.8044334740406646E-2</v>
      </c>
      <c r="E187" s="5">
        <v>20129346.115459099</v>
      </c>
      <c r="F187" s="5">
        <v>3670010.7008867799</v>
      </c>
      <c r="G187" s="5">
        <v>5304752.3619248401</v>
      </c>
      <c r="H187" s="5">
        <v>50274589.732208103</v>
      </c>
      <c r="I187" s="5">
        <v>5154589.3132247198</v>
      </c>
      <c r="J187" s="5">
        <v>4124175.70111633</v>
      </c>
      <c r="K187" s="5">
        <v>4117944.4057274</v>
      </c>
      <c r="L187" s="5">
        <v>4840289.59342534</v>
      </c>
      <c r="M187" s="5">
        <v>9410551.2455712594</v>
      </c>
      <c r="N187" s="5">
        <v>7149972.3001325903</v>
      </c>
      <c r="O187" s="5">
        <v>13968701.017306199</v>
      </c>
      <c r="P187" s="5">
        <v>2300167.8081825902</v>
      </c>
      <c r="Q187" s="5">
        <v>15041104.267035</v>
      </c>
      <c r="R187" s="5">
        <v>3161846.1352993101</v>
      </c>
      <c r="S187" s="5">
        <v>20048355.995803598</v>
      </c>
      <c r="T187" s="5">
        <v>8995961.3205239307</v>
      </c>
      <c r="U187" s="5">
        <v>5240166.91561832</v>
      </c>
      <c r="V187" s="5">
        <v>8513060.2513088305</v>
      </c>
      <c r="W187" s="5">
        <v>6972551.1395298</v>
      </c>
      <c r="X187" s="5">
        <v>4068866.49746519</v>
      </c>
      <c r="Y187" s="5">
        <v>8085820.5166964903</v>
      </c>
      <c r="Z187" s="5">
        <v>11078394.6527714</v>
      </c>
      <c r="AA187" s="5">
        <v>5765625.28115605</v>
      </c>
      <c r="AB187" s="5">
        <v>7611195.4912201697</v>
      </c>
      <c r="AC187" s="5">
        <v>10957355.9852772</v>
      </c>
      <c r="AD187" s="5">
        <v>10087321.046110401</v>
      </c>
      <c r="AE187" s="5">
        <v>11841886.0214947</v>
      </c>
      <c r="AF187" s="5">
        <v>11967781.7179332</v>
      </c>
      <c r="AG187">
        <f t="shared" si="9"/>
        <v>11213586.192703875</v>
      </c>
      <c r="AH187">
        <f t="shared" si="10"/>
        <v>875156.87446378334</v>
      </c>
      <c r="AI187">
        <f t="shared" si="11"/>
        <v>7.8044334740406646E-2</v>
      </c>
    </row>
    <row r="188" spans="1:35" x14ac:dyDescent="0.45">
      <c r="A188" s="5" t="s">
        <v>371</v>
      </c>
      <c r="B188" s="2">
        <f t="shared" si="8"/>
        <v>30467547.564778503</v>
      </c>
      <c r="C188" s="2">
        <v>22357284.090945899</v>
      </c>
      <c r="D188" s="2">
        <v>4.885449350878493E-2</v>
      </c>
      <c r="E188" s="5">
        <v>26266545.0187327</v>
      </c>
      <c r="F188" s="5">
        <v>27968242.586716801</v>
      </c>
      <c r="G188" s="5">
        <v>18202590.456617098</v>
      </c>
      <c r="H188" s="5">
        <v>21869718.1838172</v>
      </c>
      <c r="I188" s="5">
        <v>4477422.8904043101</v>
      </c>
      <c r="J188" s="5">
        <v>4048314.65114123</v>
      </c>
      <c r="K188" s="5">
        <v>27789363.1397052</v>
      </c>
      <c r="L188" s="5">
        <v>8444557.1808985099</v>
      </c>
      <c r="M188" s="5">
        <v>12156761.6848075</v>
      </c>
      <c r="N188" s="5">
        <v>46344948.636983797</v>
      </c>
      <c r="O188" s="5">
        <v>38915290.567065001</v>
      </c>
      <c r="P188" s="5">
        <v>31645786.858437501</v>
      </c>
      <c r="Q188" s="5">
        <v>9796457.8582376298</v>
      </c>
      <c r="R188" s="5">
        <v>16427870.404381899</v>
      </c>
      <c r="S188" s="5">
        <v>18207686.6694226</v>
      </c>
      <c r="T188" s="5">
        <v>252351587.133165</v>
      </c>
      <c r="U188" s="5">
        <v>6790475.2726996597</v>
      </c>
      <c r="V188" s="5">
        <v>18396076.426036</v>
      </c>
      <c r="W188" s="5">
        <v>40957598.8557714</v>
      </c>
      <c r="X188" s="5">
        <v>13311696.10715</v>
      </c>
      <c r="Y188" s="5">
        <v>32980637.559603602</v>
      </c>
      <c r="Z188" s="5">
        <v>18853917.346201699</v>
      </c>
      <c r="AA188" s="5">
        <v>14168712.748119</v>
      </c>
      <c r="AB188" s="5">
        <v>20848883.318568699</v>
      </c>
      <c r="AC188" s="5">
        <v>23674569.9375985</v>
      </c>
      <c r="AD188" s="5">
        <v>21172239.6395455</v>
      </c>
      <c r="AE188" s="5">
        <v>22755242.471526299</v>
      </c>
      <c r="AF188" s="5">
        <v>21827084.315113299</v>
      </c>
      <c r="AG188">
        <f t="shared" si="9"/>
        <v>22357284.090945899</v>
      </c>
      <c r="AH188">
        <f t="shared" si="10"/>
        <v>1092253.790495177</v>
      </c>
      <c r="AI188">
        <f t="shared" si="11"/>
        <v>4.885449350878493E-2</v>
      </c>
    </row>
    <row r="189" spans="1:35" x14ac:dyDescent="0.45">
      <c r="A189" s="5" t="s">
        <v>310</v>
      </c>
      <c r="B189" s="2">
        <f t="shared" si="8"/>
        <v>39671139.656284191</v>
      </c>
      <c r="C189" s="2">
        <v>36657991.652971722</v>
      </c>
      <c r="D189" s="2">
        <v>1.7476241215701113E-2</v>
      </c>
      <c r="E189" s="5">
        <v>57147832.688796997</v>
      </c>
      <c r="F189" s="5">
        <v>46003334.330472201</v>
      </c>
      <c r="G189" s="5">
        <v>16488334.869826799</v>
      </c>
      <c r="H189" s="5">
        <v>29941195.524545699</v>
      </c>
      <c r="I189" s="5">
        <v>13264319.0781992</v>
      </c>
      <c r="J189" s="5">
        <v>14184228.4771732</v>
      </c>
      <c r="K189" s="5">
        <v>46116343.223401099</v>
      </c>
      <c r="L189" s="5">
        <v>26744704.6519127</v>
      </c>
      <c r="M189" s="5">
        <v>34697463.220349804</v>
      </c>
      <c r="N189" s="5">
        <v>48695490.5991427</v>
      </c>
      <c r="O189" s="5">
        <v>46277460.665263802</v>
      </c>
      <c r="P189" s="5">
        <v>51983752.859848797</v>
      </c>
      <c r="Q189" s="5">
        <v>26151560.124223299</v>
      </c>
      <c r="R189" s="5">
        <v>61398376.407896601</v>
      </c>
      <c r="S189" s="5">
        <v>19844893.645846099</v>
      </c>
      <c r="T189" s="5">
        <v>91527865.095997304</v>
      </c>
      <c r="U189" s="5">
        <v>79031528.688745707</v>
      </c>
      <c r="V189" s="5">
        <v>37003907.189394102</v>
      </c>
      <c r="W189" s="5">
        <v>66556161.691037901</v>
      </c>
      <c r="X189" s="5">
        <v>19901018.697271202</v>
      </c>
      <c r="Y189" s="5">
        <v>41318894.173501499</v>
      </c>
      <c r="Z189" s="5">
        <v>30696896.6138325</v>
      </c>
      <c r="AA189" s="5">
        <v>16779973.241978999</v>
      </c>
      <c r="AB189" s="5">
        <v>30351815.9921625</v>
      </c>
      <c r="AC189" s="5">
        <v>35949016.564343899</v>
      </c>
      <c r="AD189" s="5">
        <v>36435585.010361798</v>
      </c>
      <c r="AE189" s="5">
        <v>37473987.729749501</v>
      </c>
      <c r="AF189" s="5">
        <v>36773377.307431698</v>
      </c>
      <c r="AG189">
        <f t="shared" si="9"/>
        <v>36657991.652971722</v>
      </c>
      <c r="AH189">
        <f t="shared" si="10"/>
        <v>640643.90461049182</v>
      </c>
      <c r="AI189">
        <f t="shared" si="11"/>
        <v>1.7476241215701113E-2</v>
      </c>
    </row>
    <row r="190" spans="1:35" x14ac:dyDescent="0.45">
      <c r="A190" s="5" t="s">
        <v>194</v>
      </c>
      <c r="B190" s="2">
        <f t="shared" si="8"/>
        <v>3123982.1552213263</v>
      </c>
      <c r="C190" s="2">
        <v>3180096.0086145299</v>
      </c>
      <c r="D190" s="2">
        <v>5.1492840834979119E-2</v>
      </c>
      <c r="E190" s="5">
        <v>6116642.08334048</v>
      </c>
      <c r="F190" s="5">
        <v>4904075.2330302903</v>
      </c>
      <c r="G190" s="5">
        <v>8159111.6870305296</v>
      </c>
      <c r="H190" s="5">
        <v>1429598.6854233099</v>
      </c>
      <c r="I190" s="5">
        <v>6892243.4510985604</v>
      </c>
      <c r="J190" s="5">
        <v>796812.29476468498</v>
      </c>
      <c r="K190" s="5">
        <v>841027.83123963501</v>
      </c>
      <c r="L190" s="5">
        <v>960898.27091417497</v>
      </c>
      <c r="M190" s="5">
        <v>6022485.0790539701</v>
      </c>
      <c r="N190" s="5">
        <v>2603457.7747379802</v>
      </c>
      <c r="O190" s="5">
        <v>1675495.6355852601</v>
      </c>
      <c r="P190" s="5">
        <v>1352931.4854051101</v>
      </c>
      <c r="Q190" s="5">
        <v>1616976.1283782399</v>
      </c>
      <c r="R190" s="5">
        <v>1237302.7050904101</v>
      </c>
      <c r="S190" s="5">
        <v>768052.39890833199</v>
      </c>
      <c r="T190" s="5">
        <v>401633.06983710802</v>
      </c>
      <c r="U190" s="5">
        <v>7334026.2956736302</v>
      </c>
      <c r="V190" s="5">
        <v>5344140.1788189402</v>
      </c>
      <c r="W190" s="5">
        <v>2167050.76542866</v>
      </c>
      <c r="X190" s="5">
        <v>4277123.8867404703</v>
      </c>
      <c r="Y190" s="5">
        <v>7523466.02576885</v>
      </c>
      <c r="Z190" s="5">
        <v>659641.93371332204</v>
      </c>
      <c r="AA190" s="5">
        <v>382639.22391816101</v>
      </c>
      <c r="AB190" s="5">
        <v>1508739.6014117301</v>
      </c>
      <c r="AC190" s="5">
        <v>3209337.2707909299</v>
      </c>
      <c r="AD190" s="5">
        <v>3267560.7381415898</v>
      </c>
      <c r="AE190" s="5">
        <v>2941286.5741925598</v>
      </c>
      <c r="AF190" s="5">
        <v>3302199.4513330399</v>
      </c>
      <c r="AG190">
        <f t="shared" si="9"/>
        <v>3180096.0086145299</v>
      </c>
      <c r="AH190">
        <f t="shared" si="10"/>
        <v>163752.17761154036</v>
      </c>
      <c r="AI190">
        <f t="shared" si="11"/>
        <v>5.1492840834979119E-2</v>
      </c>
    </row>
    <row r="191" spans="1:35" x14ac:dyDescent="0.45">
      <c r="A191" s="5" t="s">
        <v>195</v>
      </c>
      <c r="B191" s="2">
        <f t="shared" si="8"/>
        <v>897822710.08631694</v>
      </c>
      <c r="C191" s="2">
        <v>886898863.59311712</v>
      </c>
      <c r="D191" s="2">
        <v>1.6248860903352657E-2</v>
      </c>
      <c r="E191" s="5">
        <v>286540102.85854501</v>
      </c>
      <c r="F191" s="5">
        <v>390208484.59838802</v>
      </c>
      <c r="G191" s="5">
        <v>653748158.35858905</v>
      </c>
      <c r="H191" s="5">
        <v>722603914.19437003</v>
      </c>
      <c r="I191" s="5">
        <v>2073477961.6156299</v>
      </c>
      <c r="J191" s="5">
        <v>1668678833.5962901</v>
      </c>
      <c r="K191" s="5">
        <v>441183695.31429797</v>
      </c>
      <c r="L191" s="5">
        <v>745756644.42683697</v>
      </c>
      <c r="M191" s="5">
        <v>1106559457.3058701</v>
      </c>
      <c r="N191" s="5">
        <v>285241962.30868399</v>
      </c>
      <c r="O191" s="5">
        <v>724932073.12158704</v>
      </c>
      <c r="P191" s="5">
        <v>360628090.93322402</v>
      </c>
      <c r="Q191" s="5">
        <v>2377250735.1670198</v>
      </c>
      <c r="R191" s="5">
        <v>421957930.38087797</v>
      </c>
      <c r="S191" s="5">
        <v>949186583.55809498</v>
      </c>
      <c r="T191" s="5">
        <v>1128223073.9699199</v>
      </c>
      <c r="U191" s="5">
        <v>745511660.48489702</v>
      </c>
      <c r="V191" s="5">
        <v>615447904.18868899</v>
      </c>
      <c r="W191" s="5">
        <v>449194626.846044</v>
      </c>
      <c r="X191" s="5">
        <v>1019338106.6660399</v>
      </c>
      <c r="Y191" s="5">
        <v>904327463.92640698</v>
      </c>
      <c r="Z191" s="5">
        <v>983281223.09215701</v>
      </c>
      <c r="AA191" s="5">
        <v>2008231344.1487501</v>
      </c>
      <c r="AB191" s="5">
        <v>486235011.01039702</v>
      </c>
      <c r="AC191" s="5">
        <v>870219399.38962197</v>
      </c>
      <c r="AD191" s="5">
        <v>880412558.72922695</v>
      </c>
      <c r="AE191" s="5">
        <v>894332291.41819596</v>
      </c>
      <c r="AF191" s="5">
        <v>902631204.83542395</v>
      </c>
      <c r="AG191">
        <f t="shared" si="9"/>
        <v>886898863.59311712</v>
      </c>
      <c r="AH191">
        <f t="shared" si="10"/>
        <v>14411096.269866101</v>
      </c>
      <c r="AI191">
        <f t="shared" si="11"/>
        <v>1.6248860903352657E-2</v>
      </c>
    </row>
    <row r="192" spans="1:35" x14ac:dyDescent="0.45">
      <c r="A192" s="5" t="s">
        <v>196</v>
      </c>
      <c r="B192" s="2">
        <f t="shared" si="8"/>
        <v>394814709.74319315</v>
      </c>
      <c r="C192" s="2">
        <v>264179679.1018005</v>
      </c>
      <c r="D192" s="2">
        <v>2.2323764286442546E-2</v>
      </c>
      <c r="E192" s="5">
        <v>100832491.856902</v>
      </c>
      <c r="F192" s="5">
        <v>152896989.02526399</v>
      </c>
      <c r="G192" s="5">
        <v>165641917.44839799</v>
      </c>
      <c r="H192" s="5">
        <v>320502014.13588202</v>
      </c>
      <c r="I192" s="5">
        <v>255094220.903254</v>
      </c>
      <c r="J192" s="5">
        <v>146926484.205634</v>
      </c>
      <c r="K192" s="5">
        <v>152431385.85892299</v>
      </c>
      <c r="L192" s="5">
        <v>158596935.50338599</v>
      </c>
      <c r="M192" s="5">
        <v>177137745.088624</v>
      </c>
      <c r="N192" s="5">
        <v>233513935.089178</v>
      </c>
      <c r="O192" s="5">
        <v>3186327805.6374202</v>
      </c>
      <c r="P192" s="5">
        <v>207226710.033014</v>
      </c>
      <c r="Q192" s="5">
        <v>322200447.86929798</v>
      </c>
      <c r="R192" s="5">
        <v>252047994.587522</v>
      </c>
      <c r="S192" s="5">
        <v>232114422.03844899</v>
      </c>
      <c r="T192" s="5">
        <v>1336177538.64853</v>
      </c>
      <c r="U192" s="5">
        <v>220318753.44200301</v>
      </c>
      <c r="V192" s="5">
        <v>189573696.45427001</v>
      </c>
      <c r="W192" s="5">
        <v>649595275.82204497</v>
      </c>
      <c r="X192" s="5">
        <v>153685217.58555299</v>
      </c>
      <c r="Y192" s="5">
        <v>211549449.694204</v>
      </c>
      <c r="Z192" s="5">
        <v>179218121.458453</v>
      </c>
      <c r="AA192" s="5">
        <v>320897333.34973103</v>
      </c>
      <c r="AB192" s="5">
        <v>151046148.10069901</v>
      </c>
      <c r="AC192" s="5">
        <v>257730248.76266599</v>
      </c>
      <c r="AD192" s="5">
        <v>263511751.60451701</v>
      </c>
      <c r="AE192" s="5">
        <v>263438863.06137699</v>
      </c>
      <c r="AF192" s="5">
        <v>272037852.97864199</v>
      </c>
      <c r="AG192">
        <f t="shared" si="9"/>
        <v>264179679.1018005</v>
      </c>
      <c r="AH192">
        <f t="shared" si="10"/>
        <v>5897484.885536626</v>
      </c>
      <c r="AI192">
        <f t="shared" si="11"/>
        <v>2.2323764286442546E-2</v>
      </c>
    </row>
    <row r="193" spans="1:35" x14ac:dyDescent="0.45">
      <c r="A193" s="5" t="s">
        <v>437</v>
      </c>
      <c r="B193" s="2">
        <f t="shared" si="8"/>
        <v>19673212.06060851</v>
      </c>
      <c r="C193" s="2">
        <v>21322292.198171549</v>
      </c>
      <c r="D193" s="2">
        <v>0.17680330097557254</v>
      </c>
      <c r="E193" s="5">
        <v>8145468.4462890299</v>
      </c>
      <c r="F193" s="5">
        <v>8580714.6372225694</v>
      </c>
      <c r="G193" s="5">
        <v>26366268.2160285</v>
      </c>
      <c r="H193" s="5">
        <v>8689063.2510209996</v>
      </c>
      <c r="I193" s="5">
        <v>6160058.4742031796</v>
      </c>
      <c r="J193" s="5">
        <v>21019174.740026601</v>
      </c>
      <c r="K193" s="5">
        <v>13993201.3992987</v>
      </c>
      <c r="L193" s="5">
        <v>27390826.2153273</v>
      </c>
      <c r="M193" s="5">
        <v>25804273.4985887</v>
      </c>
      <c r="N193" s="5">
        <v>14581771.9066831</v>
      </c>
      <c r="O193" s="5">
        <v>27849748.757758301</v>
      </c>
      <c r="P193" s="5">
        <v>26667254.3914035</v>
      </c>
      <c r="Q193" s="5">
        <v>20786888.946605299</v>
      </c>
      <c r="R193" s="5">
        <v>24751912.9124429</v>
      </c>
      <c r="S193" s="5">
        <v>30045551.562434401</v>
      </c>
      <c r="T193" s="5">
        <v>39003575.802623697</v>
      </c>
      <c r="U193" s="5">
        <v>25951387.565994799</v>
      </c>
      <c r="V193" s="5">
        <v>7617214.5085301101</v>
      </c>
      <c r="W193" s="5">
        <v>9519300.0383779798</v>
      </c>
      <c r="X193" s="5">
        <v>16793664.652787302</v>
      </c>
      <c r="Y193" s="5">
        <v>20485543.400637299</v>
      </c>
      <c r="Z193" s="5">
        <v>28310414.258478999</v>
      </c>
      <c r="AA193" s="5">
        <v>26201001.848615699</v>
      </c>
      <c r="AB193" s="5">
        <v>7442810.0232253503</v>
      </c>
      <c r="AC193" s="5">
        <v>21694443.017327901</v>
      </c>
      <c r="AD193" s="5">
        <v>15879988.387305399</v>
      </c>
      <c r="AE193" s="5">
        <v>23745673.585934199</v>
      </c>
      <c r="AF193" s="5">
        <v>23969063.8021187</v>
      </c>
      <c r="AG193">
        <f t="shared" si="9"/>
        <v>21322292.198171549</v>
      </c>
      <c r="AH193">
        <f t="shared" si="10"/>
        <v>3769851.6450024266</v>
      </c>
      <c r="AI193">
        <f t="shared" si="11"/>
        <v>0.17680330097557254</v>
      </c>
    </row>
    <row r="194" spans="1:35" x14ac:dyDescent="0.45">
      <c r="A194" s="5" t="s">
        <v>197</v>
      </c>
      <c r="B194" s="2">
        <f t="shared" ref="B194:B257" si="12">AVERAGE(E194:AB194)</f>
        <v>336405.84300857602</v>
      </c>
      <c r="C194" s="2">
        <v>232802.71222338651</v>
      </c>
      <c r="D194" s="2">
        <v>0.17963792359162226</v>
      </c>
      <c r="E194" s="5">
        <v>236214.21541223201</v>
      </c>
      <c r="F194" s="5">
        <v>284151.47888433299</v>
      </c>
      <c r="G194" s="5">
        <v>385069.41555042902</v>
      </c>
      <c r="H194" s="5">
        <v>611461.448925882</v>
      </c>
      <c r="I194" s="5">
        <v>193594.95036985099</v>
      </c>
      <c r="J194" s="5">
        <v>234180.31022999401</v>
      </c>
      <c r="K194" s="5">
        <v>398119.24305752403</v>
      </c>
      <c r="L194" s="5">
        <v>450494.45505997603</v>
      </c>
      <c r="M194" s="5">
        <v>231181.74863878699</v>
      </c>
      <c r="N194" s="5">
        <v>287459.99068405799</v>
      </c>
      <c r="O194" s="5">
        <v>747394.11049753195</v>
      </c>
      <c r="P194" s="5">
        <v>325342.72436311498</v>
      </c>
      <c r="Q194" s="5">
        <v>291134.49512261298</v>
      </c>
      <c r="R194" s="5">
        <v>242799.484113304</v>
      </c>
      <c r="S194" s="5">
        <v>260251.36476968101</v>
      </c>
      <c r="T194" s="5">
        <v>421362.72984052403</v>
      </c>
      <c r="U194" s="5">
        <v>213979.661957648</v>
      </c>
      <c r="V194" s="5">
        <v>236262.901606895</v>
      </c>
      <c r="W194" s="5">
        <v>431007.03511324601</v>
      </c>
      <c r="X194" s="5">
        <v>305017.31229262601</v>
      </c>
      <c r="Y194" s="5">
        <v>323462.93046092498</v>
      </c>
      <c r="Z194" s="5">
        <v>295240.60831464001</v>
      </c>
      <c r="AA194" s="5">
        <v>354093.54922853602</v>
      </c>
      <c r="AB194" s="5">
        <v>314464.06771147298</v>
      </c>
      <c r="AC194" s="5">
        <v>170907.83472158099</v>
      </c>
      <c r="AD194" s="5">
        <v>244049.633750284</v>
      </c>
      <c r="AE194" s="5">
        <v>256295.09106775199</v>
      </c>
      <c r="AF194" s="5">
        <v>259958.28935392899</v>
      </c>
      <c r="AG194">
        <f t="shared" ref="AG194:AG257" si="13">AVERAGE(AC194:AF194)</f>
        <v>232802.71222338651</v>
      </c>
      <c r="AH194">
        <f t="shared" ref="AH194:AH257" si="14">STDEV(AC194:AF194)</f>
        <v>41820.19583030713</v>
      </c>
      <c r="AI194">
        <f t="shared" ref="AI194:AI257" si="15">AH194/AG194</f>
        <v>0.17963792359162226</v>
      </c>
    </row>
    <row r="195" spans="1:35" x14ac:dyDescent="0.45">
      <c r="A195" s="5" t="s">
        <v>311</v>
      </c>
      <c r="B195" s="2">
        <f t="shared" si="12"/>
        <v>9310115715.4937229</v>
      </c>
      <c r="C195" s="2">
        <v>8257285168.93612</v>
      </c>
      <c r="D195" s="2">
        <v>3.4911829210670361E-2</v>
      </c>
      <c r="E195" s="5">
        <v>13188546484.8078</v>
      </c>
      <c r="F195" s="5">
        <v>10074458703.5937</v>
      </c>
      <c r="G195" s="5">
        <v>6930808261.8034201</v>
      </c>
      <c r="H195" s="5">
        <v>11539505343.122999</v>
      </c>
      <c r="I195" s="5">
        <v>2641333679.7243299</v>
      </c>
      <c r="J195" s="5">
        <v>2193714695.5961299</v>
      </c>
      <c r="K195" s="5">
        <v>11658757407.7442</v>
      </c>
      <c r="L195" s="5">
        <v>4785878047.4102802</v>
      </c>
      <c r="M195" s="5">
        <v>5004764491.9974499</v>
      </c>
      <c r="N195" s="5">
        <v>12153770791.550301</v>
      </c>
      <c r="O195" s="5">
        <v>29628612684.416</v>
      </c>
      <c r="P195" s="5">
        <v>6553035619.9090004</v>
      </c>
      <c r="Q195" s="5">
        <v>6741556548.8283501</v>
      </c>
      <c r="R195" s="5">
        <v>7081411601.2082796</v>
      </c>
      <c r="S195" s="5">
        <v>8650304230.4061394</v>
      </c>
      <c r="T195" s="5">
        <v>19928396686.019001</v>
      </c>
      <c r="U195" s="5">
        <v>6047500484.3877697</v>
      </c>
      <c r="V195" s="5">
        <v>10426758523.139299</v>
      </c>
      <c r="W195" s="5">
        <v>16891199623.892799</v>
      </c>
      <c r="X195" s="5">
        <v>9161401021.5672798</v>
      </c>
      <c r="Y195" s="5">
        <v>5258286305.0643702</v>
      </c>
      <c r="Z195" s="5">
        <v>6901959050.7220898</v>
      </c>
      <c r="AA195" s="5">
        <v>6290067829.3985901</v>
      </c>
      <c r="AB195" s="5">
        <v>3710749055.5397601</v>
      </c>
      <c r="AC195" s="5">
        <v>8199661127.62076</v>
      </c>
      <c r="AD195" s="5">
        <v>7939002560.1314497</v>
      </c>
      <c r="AE195" s="5">
        <v>8252841105.3115301</v>
      </c>
      <c r="AF195" s="5">
        <v>8637635882.6807404</v>
      </c>
      <c r="AG195">
        <f t="shared" si="13"/>
        <v>8257285168.93612</v>
      </c>
      <c r="AH195">
        <f t="shared" si="14"/>
        <v>288276929.56169921</v>
      </c>
      <c r="AI195">
        <f t="shared" si="15"/>
        <v>3.4911829210670361E-2</v>
      </c>
    </row>
    <row r="196" spans="1:35" x14ac:dyDescent="0.45">
      <c r="A196" s="5" t="s">
        <v>198</v>
      </c>
      <c r="B196" s="2">
        <f t="shared" si="12"/>
        <v>60908934.824406147</v>
      </c>
      <c r="C196" s="2">
        <v>47741250.189822771</v>
      </c>
      <c r="D196" s="2">
        <v>0.12971317805899632</v>
      </c>
      <c r="E196" s="5">
        <v>62286697.297245197</v>
      </c>
      <c r="F196" s="5">
        <v>43844771.898810901</v>
      </c>
      <c r="G196" s="5">
        <v>92803391.248107195</v>
      </c>
      <c r="H196" s="5">
        <v>37985442.158073202</v>
      </c>
      <c r="I196" s="5">
        <v>41788200.924963802</v>
      </c>
      <c r="J196" s="5">
        <v>14383374.0360738</v>
      </c>
      <c r="K196" s="5">
        <v>62227693.934168696</v>
      </c>
      <c r="L196" s="5">
        <v>27320054.9999809</v>
      </c>
      <c r="M196" s="5">
        <v>13266834.977717601</v>
      </c>
      <c r="N196" s="5">
        <v>83294070.116317198</v>
      </c>
      <c r="O196" s="5">
        <v>236082762.07398301</v>
      </c>
      <c r="P196" s="5">
        <v>60650865.237940498</v>
      </c>
      <c r="Q196" s="5">
        <v>27121727.8127882</v>
      </c>
      <c r="R196" s="5">
        <v>22967968.161988702</v>
      </c>
      <c r="S196" s="5">
        <v>88754251.844063997</v>
      </c>
      <c r="T196" s="5">
        <v>76210025.090474501</v>
      </c>
      <c r="U196" s="5">
        <v>51640961.214261301</v>
      </c>
      <c r="V196" s="5">
        <v>55971338.404662602</v>
      </c>
      <c r="W196" s="5">
        <v>166666321.584611</v>
      </c>
      <c r="X196" s="5">
        <v>34957558.143111803</v>
      </c>
      <c r="Y196" s="5">
        <v>17892650.359592699</v>
      </c>
      <c r="Z196" s="5">
        <v>54610371.788978897</v>
      </c>
      <c r="AA196" s="5">
        <v>39715297.901584499</v>
      </c>
      <c r="AB196" s="5">
        <v>49371804.576247603</v>
      </c>
      <c r="AC196" s="5">
        <v>51439188.860462599</v>
      </c>
      <c r="AD196" s="5">
        <v>38485987.800400801</v>
      </c>
      <c r="AE196" s="5">
        <v>50151874.745238401</v>
      </c>
      <c r="AF196" s="5">
        <v>50887949.353189297</v>
      </c>
      <c r="AG196">
        <f t="shared" si="13"/>
        <v>47741250.189822771</v>
      </c>
      <c r="AH196">
        <f t="shared" si="14"/>
        <v>6192669.286631573</v>
      </c>
      <c r="AI196">
        <f t="shared" si="15"/>
        <v>0.12971317805899632</v>
      </c>
    </row>
    <row r="197" spans="1:35" x14ac:dyDescent="0.45">
      <c r="A197" s="5" t="s">
        <v>312</v>
      </c>
      <c r="B197" s="2">
        <f t="shared" si="12"/>
        <v>11735254.0627758</v>
      </c>
      <c r="C197" s="2">
        <v>10723213.037032224</v>
      </c>
      <c r="D197" s="2">
        <v>5.1704938065154429E-2</v>
      </c>
      <c r="E197" s="5">
        <v>1390041.5571556699</v>
      </c>
      <c r="F197" s="5">
        <v>29748988.1888544</v>
      </c>
      <c r="G197" s="5">
        <v>1074923.46995689</v>
      </c>
      <c r="H197" s="5">
        <v>1226237.5400877499</v>
      </c>
      <c r="I197" s="5">
        <v>585787.99785810395</v>
      </c>
      <c r="J197" s="5">
        <v>16917510.430521999</v>
      </c>
      <c r="K197" s="5">
        <v>19496065.031116799</v>
      </c>
      <c r="L197" s="5">
        <v>1143778.1630527501</v>
      </c>
      <c r="M197" s="5">
        <v>928999.57807164302</v>
      </c>
      <c r="N197" s="5">
        <v>4561145.9339651801</v>
      </c>
      <c r="O197" s="5">
        <v>3183568.36622938</v>
      </c>
      <c r="P197" s="5">
        <v>1710742.5777187401</v>
      </c>
      <c r="Q197" s="5">
        <v>986084.65221984999</v>
      </c>
      <c r="R197" s="5">
        <v>4347534.5899706399</v>
      </c>
      <c r="S197" s="5">
        <v>54939922.382022299</v>
      </c>
      <c r="T197" s="5">
        <v>6446783.4509918196</v>
      </c>
      <c r="U197" s="5">
        <v>997227.26045757404</v>
      </c>
      <c r="V197" s="5">
        <v>7142990.7240119204</v>
      </c>
      <c r="W197" s="5">
        <v>1699681.9318736701</v>
      </c>
      <c r="X197" s="5">
        <v>1013055.93207311</v>
      </c>
      <c r="Y197" s="5">
        <v>711071.00193452602</v>
      </c>
      <c r="Z197" s="5">
        <v>28080287.6807772</v>
      </c>
      <c r="AA197" s="5">
        <v>49681115.554269701</v>
      </c>
      <c r="AB197" s="5">
        <v>43632553.511427604</v>
      </c>
      <c r="AC197" s="5">
        <v>11492465.547762999</v>
      </c>
      <c r="AD197" s="5">
        <v>10642228.832803501</v>
      </c>
      <c r="AE197" s="5">
        <v>10170444.2238653</v>
      </c>
      <c r="AF197" s="5">
        <v>10587713.5436971</v>
      </c>
      <c r="AG197">
        <f t="shared" si="13"/>
        <v>10723213.037032224</v>
      </c>
      <c r="AH197">
        <f t="shared" si="14"/>
        <v>554443.06593920768</v>
      </c>
      <c r="AI197">
        <f t="shared" si="15"/>
        <v>5.1704938065154429E-2</v>
      </c>
    </row>
    <row r="198" spans="1:35" x14ac:dyDescent="0.45">
      <c r="A198" s="5" t="s">
        <v>201</v>
      </c>
      <c r="B198" s="2">
        <f t="shared" si="12"/>
        <v>10756195.572139082</v>
      </c>
      <c r="C198" s="2">
        <v>10526164.423154186</v>
      </c>
      <c r="D198" s="2">
        <v>7.0061583591418772E-2</v>
      </c>
      <c r="E198" s="5">
        <v>8909415.3496602103</v>
      </c>
      <c r="F198" s="5">
        <v>9265804.1526857503</v>
      </c>
      <c r="G198" s="5">
        <v>8733987.7876182999</v>
      </c>
      <c r="H198" s="5">
        <v>4364471.9167913496</v>
      </c>
      <c r="I198" s="5">
        <v>11080912.631861299</v>
      </c>
      <c r="J198" s="5">
        <v>23451101.347291499</v>
      </c>
      <c r="K198" s="5">
        <v>13583251.7443267</v>
      </c>
      <c r="L198" s="5">
        <v>10363468.295053201</v>
      </c>
      <c r="M198" s="5">
        <v>18597249.2765259</v>
      </c>
      <c r="N198" s="5">
        <v>7847464.65200039</v>
      </c>
      <c r="O198" s="5">
        <v>5613226.5979571203</v>
      </c>
      <c r="P198" s="5">
        <v>7630934.2338912897</v>
      </c>
      <c r="Q198" s="5">
        <v>18493005.226516999</v>
      </c>
      <c r="R198" s="5">
        <v>5823762.05344343</v>
      </c>
      <c r="S198" s="5">
        <v>11628769.3487275</v>
      </c>
      <c r="T198" s="5">
        <v>8599115.3878326695</v>
      </c>
      <c r="U198" s="5">
        <v>9581060.31327831</v>
      </c>
      <c r="V198" s="5">
        <v>10600541.038102999</v>
      </c>
      <c r="W198" s="5">
        <v>7850391.4846730698</v>
      </c>
      <c r="X198" s="5">
        <v>9174985.5067614093</v>
      </c>
      <c r="Y198" s="5">
        <v>10401555.1756882</v>
      </c>
      <c r="Z198" s="5">
        <v>9677636.9859504309</v>
      </c>
      <c r="AA198" s="5">
        <v>16180733.533507099</v>
      </c>
      <c r="AB198" s="5">
        <v>10695849.6911928</v>
      </c>
      <c r="AC198" s="5">
        <v>11281002.029929399</v>
      </c>
      <c r="AD198" s="5">
        <v>10861957.0050832</v>
      </c>
      <c r="AE198" s="5">
        <v>9559924.4162700493</v>
      </c>
      <c r="AF198" s="5">
        <v>10401774.241334099</v>
      </c>
      <c r="AG198">
        <f t="shared" si="13"/>
        <v>10526164.423154186</v>
      </c>
      <c r="AH198">
        <f t="shared" si="14"/>
        <v>737479.74862983543</v>
      </c>
      <c r="AI198">
        <f t="shared" si="15"/>
        <v>7.0061583591418772E-2</v>
      </c>
    </row>
    <row r="199" spans="1:35" x14ac:dyDescent="0.45">
      <c r="A199" s="5" t="s">
        <v>203</v>
      </c>
      <c r="B199" s="2">
        <f t="shared" si="12"/>
        <v>563641865.43947721</v>
      </c>
      <c r="C199" s="2">
        <v>537579361.27879274</v>
      </c>
      <c r="D199" s="2">
        <v>2.3816671280214776E-2</v>
      </c>
      <c r="E199" s="5">
        <v>633401838.816535</v>
      </c>
      <c r="F199" s="5">
        <v>538155233.63519299</v>
      </c>
      <c r="G199" s="5">
        <v>551911800.790856</v>
      </c>
      <c r="H199" s="5">
        <v>490514362.87331599</v>
      </c>
      <c r="I199" s="5">
        <v>646239976.88529503</v>
      </c>
      <c r="J199" s="5">
        <v>548174986.00331199</v>
      </c>
      <c r="K199" s="5">
        <v>619775051.14354205</v>
      </c>
      <c r="L199" s="5">
        <v>635454504.22258496</v>
      </c>
      <c r="M199" s="5">
        <v>509882054.26643002</v>
      </c>
      <c r="N199" s="5">
        <v>600903797.656739</v>
      </c>
      <c r="O199" s="5">
        <v>654082993.91616905</v>
      </c>
      <c r="P199" s="5">
        <v>542733445.88903797</v>
      </c>
      <c r="Q199" s="5">
        <v>513613882.94540799</v>
      </c>
      <c r="R199" s="5">
        <v>496829239.48918402</v>
      </c>
      <c r="S199" s="5">
        <v>584162282.36580002</v>
      </c>
      <c r="T199" s="5">
        <v>420025500.06060803</v>
      </c>
      <c r="U199" s="5">
        <v>553093299.85715199</v>
      </c>
      <c r="V199" s="5">
        <v>574724000.60861301</v>
      </c>
      <c r="W199" s="5">
        <v>469841285.00121099</v>
      </c>
      <c r="X199" s="5">
        <v>560624674.31130302</v>
      </c>
      <c r="Y199" s="5">
        <v>630048062.13548398</v>
      </c>
      <c r="Z199" s="5">
        <v>583797179.05097103</v>
      </c>
      <c r="AA199" s="5">
        <v>518988937.10693401</v>
      </c>
      <c r="AB199" s="5">
        <v>650426381.51577497</v>
      </c>
      <c r="AC199" s="5">
        <v>552918458.56231105</v>
      </c>
      <c r="AD199" s="5">
        <v>543273607.98483002</v>
      </c>
      <c r="AE199" s="5">
        <v>528259404.52792197</v>
      </c>
      <c r="AF199" s="5">
        <v>525865974.04010803</v>
      </c>
      <c r="AG199">
        <f t="shared" si="13"/>
        <v>537579361.27879274</v>
      </c>
      <c r="AH199">
        <f t="shared" si="14"/>
        <v>12803350.934604825</v>
      </c>
      <c r="AI199">
        <f t="shared" si="15"/>
        <v>2.3816671280214776E-2</v>
      </c>
    </row>
    <row r="200" spans="1:35" x14ac:dyDescent="0.45">
      <c r="A200" s="5" t="s">
        <v>360</v>
      </c>
      <c r="B200" s="2">
        <f t="shared" si="12"/>
        <v>699907351.2513026</v>
      </c>
      <c r="C200" s="2">
        <v>683171546.23120677</v>
      </c>
      <c r="D200" s="2">
        <v>1.1063061279025893E-2</v>
      </c>
      <c r="E200" s="5">
        <v>462435572.65715301</v>
      </c>
      <c r="F200" s="5">
        <v>327804883.371014</v>
      </c>
      <c r="G200" s="5">
        <v>413979564.41811901</v>
      </c>
      <c r="H200" s="5">
        <v>413589424.51646298</v>
      </c>
      <c r="I200" s="5">
        <v>943823243.68318999</v>
      </c>
      <c r="J200" s="5">
        <v>799191230.18570101</v>
      </c>
      <c r="K200" s="5">
        <v>682630241.56377101</v>
      </c>
      <c r="L200" s="5">
        <v>778578222.50192702</v>
      </c>
      <c r="M200" s="5">
        <v>621692051.25061798</v>
      </c>
      <c r="N200" s="5">
        <v>521989977.37494802</v>
      </c>
      <c r="O200" s="5">
        <v>1526500616.14779</v>
      </c>
      <c r="P200" s="5">
        <v>478001270.89084601</v>
      </c>
      <c r="Q200" s="5">
        <v>1224886124.5063601</v>
      </c>
      <c r="R200" s="5">
        <v>340154014.94546902</v>
      </c>
      <c r="S200" s="5">
        <v>787339261.44296098</v>
      </c>
      <c r="T200" s="5">
        <v>893904450.61026299</v>
      </c>
      <c r="U200" s="5">
        <v>601292999.54223001</v>
      </c>
      <c r="V200" s="5">
        <v>371910353.614263</v>
      </c>
      <c r="W200" s="5">
        <v>297960222.55345398</v>
      </c>
      <c r="X200" s="5">
        <v>302532107.28814298</v>
      </c>
      <c r="Y200" s="5">
        <v>1402888518.9952199</v>
      </c>
      <c r="Z200" s="5">
        <v>718004455.50193799</v>
      </c>
      <c r="AA200" s="5">
        <v>1079175653.3661301</v>
      </c>
      <c r="AB200" s="5">
        <v>807511969.10328901</v>
      </c>
      <c r="AC200" s="5">
        <v>686435612.89103198</v>
      </c>
      <c r="AD200" s="5">
        <v>691759002.81324804</v>
      </c>
      <c r="AE200" s="5">
        <v>674352617.79681098</v>
      </c>
      <c r="AF200" s="5">
        <v>680138951.42373598</v>
      </c>
      <c r="AG200">
        <f t="shared" si="13"/>
        <v>683171546.23120677</v>
      </c>
      <c r="AH200">
        <f t="shared" si="14"/>
        <v>7557968.680042712</v>
      </c>
      <c r="AI200">
        <f t="shared" si="15"/>
        <v>1.1063061279025893E-2</v>
      </c>
    </row>
    <row r="201" spans="1:35" x14ac:dyDescent="0.45">
      <c r="A201" s="5" t="s">
        <v>361</v>
      </c>
      <c r="B201" s="2">
        <f t="shared" si="12"/>
        <v>11391425.13965915</v>
      </c>
      <c r="C201" s="2">
        <v>9945817.2146077119</v>
      </c>
      <c r="D201" s="2">
        <v>3.5375258771941531E-2</v>
      </c>
      <c r="E201" s="5">
        <v>5103075.9072499499</v>
      </c>
      <c r="F201" s="5">
        <v>6824191.54382513</v>
      </c>
      <c r="G201" s="5">
        <v>7587827.2669688398</v>
      </c>
      <c r="H201" s="5">
        <v>8556975.2327196393</v>
      </c>
      <c r="I201" s="5">
        <v>47636821.761894703</v>
      </c>
      <c r="J201" s="5">
        <v>16718288.2036412</v>
      </c>
      <c r="K201" s="5">
        <v>5289682.2165175602</v>
      </c>
      <c r="L201" s="5">
        <v>3849719.30533366</v>
      </c>
      <c r="M201" s="5">
        <v>13391323.1709162</v>
      </c>
      <c r="N201" s="5">
        <v>11533957.140298501</v>
      </c>
      <c r="O201" s="5">
        <v>28245591.7538331</v>
      </c>
      <c r="P201" s="5">
        <v>9878608.1431461796</v>
      </c>
      <c r="Q201" s="5">
        <v>15319189.584402701</v>
      </c>
      <c r="R201" s="5">
        <v>6541738.4785803296</v>
      </c>
      <c r="S201" s="5">
        <v>2820769.0436625401</v>
      </c>
      <c r="T201" s="5">
        <v>15595727.859009299</v>
      </c>
      <c r="U201" s="5">
        <v>10837123.6743326</v>
      </c>
      <c r="V201" s="5">
        <v>20771204.825869199</v>
      </c>
      <c r="W201" s="5">
        <v>8953985.0500716697</v>
      </c>
      <c r="X201" s="5">
        <v>3033639.3560771402</v>
      </c>
      <c r="Y201" s="5">
        <v>6712928.5543493098</v>
      </c>
      <c r="Z201" s="5">
        <v>12215847.3553224</v>
      </c>
      <c r="AA201" s="5">
        <v>2460120.67439534</v>
      </c>
      <c r="AB201" s="5">
        <v>3515867.2494024001</v>
      </c>
      <c r="AC201" s="5">
        <v>10453802.815835601</v>
      </c>
      <c r="AD201" s="5">
        <v>9641787.0088535193</v>
      </c>
      <c r="AE201" s="5">
        <v>9837406.2642035205</v>
      </c>
      <c r="AF201" s="5">
        <v>9850272.7695382107</v>
      </c>
      <c r="AG201">
        <f t="shared" si="13"/>
        <v>9945817.2146077119</v>
      </c>
      <c r="AH201">
        <f t="shared" si="14"/>
        <v>351835.85766517854</v>
      </c>
      <c r="AI201">
        <f t="shared" si="15"/>
        <v>3.5375258771941531E-2</v>
      </c>
    </row>
    <row r="202" spans="1:35" x14ac:dyDescent="0.45">
      <c r="A202" s="5" t="s">
        <v>353</v>
      </c>
      <c r="B202" s="2">
        <f t="shared" si="12"/>
        <v>1123986.9627590736</v>
      </c>
      <c r="C202" s="2">
        <v>1075128.8566310899</v>
      </c>
      <c r="D202" s="2">
        <v>5.7375671055234327E-2</v>
      </c>
      <c r="E202" s="5">
        <v>307679.20506482403</v>
      </c>
      <c r="F202" s="5">
        <v>1432294.1421046299</v>
      </c>
      <c r="G202" s="5">
        <v>1423857.3918905701</v>
      </c>
      <c r="H202" s="5">
        <v>1081983.87480052</v>
      </c>
      <c r="I202" s="5">
        <v>1711653.99633195</v>
      </c>
      <c r="J202" s="5">
        <v>2288837.55647302</v>
      </c>
      <c r="K202" s="5">
        <v>294041.844638974</v>
      </c>
      <c r="L202" s="5">
        <v>965298.41850115196</v>
      </c>
      <c r="M202" s="5">
        <v>307458.98314158601</v>
      </c>
      <c r="N202" s="5">
        <v>1957607.4502081601</v>
      </c>
      <c r="O202" s="5">
        <v>948017.05904673203</v>
      </c>
      <c r="P202" s="5">
        <v>452775.13050630101</v>
      </c>
      <c r="Q202" s="5">
        <v>1398800.78279268</v>
      </c>
      <c r="R202" s="5">
        <v>737817.24356397195</v>
      </c>
      <c r="S202" s="5">
        <v>376156.05462018598</v>
      </c>
      <c r="T202" s="5">
        <v>760545.13277377596</v>
      </c>
      <c r="U202" s="5">
        <v>504826.881208651</v>
      </c>
      <c r="V202" s="5">
        <v>2254840.8561289599</v>
      </c>
      <c r="W202" s="5">
        <v>902091.64624508901</v>
      </c>
      <c r="X202" s="5">
        <v>1193628.37357411</v>
      </c>
      <c r="Y202" s="5">
        <v>2073372.8716618</v>
      </c>
      <c r="Z202" s="5">
        <v>1660553.4437595999</v>
      </c>
      <c r="AA202" s="5">
        <v>919903.35687817901</v>
      </c>
      <c r="AB202" s="5">
        <v>1021645.4103023401</v>
      </c>
      <c r="AC202" s="5">
        <v>1024162.7587374999</v>
      </c>
      <c r="AD202" s="5">
        <v>1138880.9057700201</v>
      </c>
      <c r="AE202" s="5">
        <v>1020403.85592746</v>
      </c>
      <c r="AF202" s="5">
        <v>1117067.9060893799</v>
      </c>
      <c r="AG202">
        <f t="shared" si="13"/>
        <v>1075128.8566310899</v>
      </c>
      <c r="AH202">
        <f t="shared" si="14"/>
        <v>61686.239620055603</v>
      </c>
      <c r="AI202">
        <f t="shared" si="15"/>
        <v>5.7375671055234327E-2</v>
      </c>
    </row>
    <row r="203" spans="1:35" x14ac:dyDescent="0.45">
      <c r="A203" s="5" t="s">
        <v>372</v>
      </c>
      <c r="B203" s="2">
        <f t="shared" si="12"/>
        <v>2206078.9219726403</v>
      </c>
      <c r="C203" s="2">
        <v>2103494.1255621049</v>
      </c>
      <c r="D203" s="2">
        <v>0.13024608223866599</v>
      </c>
      <c r="E203" s="5">
        <v>2231599.84193544</v>
      </c>
      <c r="F203" s="5">
        <v>2096397.4281001401</v>
      </c>
      <c r="G203" s="5">
        <v>1954789.9140312499</v>
      </c>
      <c r="H203" s="5">
        <v>2494116.6534146699</v>
      </c>
      <c r="I203" s="5">
        <v>2975877.0310728098</v>
      </c>
      <c r="J203" s="5">
        <v>2524911.4151124801</v>
      </c>
      <c r="K203" s="5">
        <v>1801389.2340134</v>
      </c>
      <c r="L203" s="5">
        <v>1783144.8889781099</v>
      </c>
      <c r="M203" s="5">
        <v>1793292.6402110001</v>
      </c>
      <c r="N203" s="5">
        <v>2266525.1766511998</v>
      </c>
      <c r="O203" s="5">
        <v>1262462.07493072</v>
      </c>
      <c r="P203" s="5">
        <v>2351092.3632599399</v>
      </c>
      <c r="Q203" s="5">
        <v>2874880.9645434301</v>
      </c>
      <c r="R203" s="5">
        <v>2826631.1552319401</v>
      </c>
      <c r="S203" s="5">
        <v>1886784.6218306101</v>
      </c>
      <c r="T203" s="5">
        <v>2063928.6572143901</v>
      </c>
      <c r="U203" s="5">
        <v>2480536.8228807799</v>
      </c>
      <c r="V203" s="5">
        <v>2847015.6934642498</v>
      </c>
      <c r="W203" s="5">
        <v>1595195.07322939</v>
      </c>
      <c r="X203" s="5">
        <v>1736670.0175263199</v>
      </c>
      <c r="Y203" s="5">
        <v>2277558.9539486002</v>
      </c>
      <c r="Z203" s="5">
        <v>2928617.1541520301</v>
      </c>
      <c r="AA203" s="5">
        <v>1946145.10299949</v>
      </c>
      <c r="AB203" s="5">
        <v>1946331.2486109701</v>
      </c>
      <c r="AC203" s="5">
        <v>2105033.47965384</v>
      </c>
      <c r="AD203" s="5">
        <v>1883292.6258042301</v>
      </c>
      <c r="AE203" s="5">
        <v>2489216.3322167299</v>
      </c>
      <c r="AF203" s="5">
        <v>1936434.06457362</v>
      </c>
      <c r="AG203">
        <f t="shared" si="13"/>
        <v>2103494.1255621049</v>
      </c>
      <c r="AH203">
        <f t="shared" si="14"/>
        <v>273971.86886651273</v>
      </c>
      <c r="AI203">
        <f t="shared" si="15"/>
        <v>0.13024608223866599</v>
      </c>
    </row>
    <row r="204" spans="1:35" x14ac:dyDescent="0.45">
      <c r="A204" s="5" t="s">
        <v>314</v>
      </c>
      <c r="B204" s="2">
        <f t="shared" si="12"/>
        <v>33385288.985730913</v>
      </c>
      <c r="C204" s="2">
        <v>28830264.980095051</v>
      </c>
      <c r="D204" s="2">
        <v>1.8624885706397101E-2</v>
      </c>
      <c r="E204" s="5">
        <v>32685519.150919601</v>
      </c>
      <c r="F204" s="5">
        <v>12432664.7234751</v>
      </c>
      <c r="G204" s="5">
        <v>30722793.016857699</v>
      </c>
      <c r="H204" s="5">
        <v>27406229.821169998</v>
      </c>
      <c r="I204" s="5">
        <v>22731847.746535301</v>
      </c>
      <c r="J204" s="5">
        <v>33299915.840741701</v>
      </c>
      <c r="K204" s="5">
        <v>22483490.6677293</v>
      </c>
      <c r="L204" s="5">
        <v>46975787.275463901</v>
      </c>
      <c r="M204" s="5">
        <v>26636452.785986699</v>
      </c>
      <c r="N204" s="5">
        <v>27009702.813507099</v>
      </c>
      <c r="O204" s="5">
        <v>28158573.856420599</v>
      </c>
      <c r="P204" s="5">
        <v>13775261.909779999</v>
      </c>
      <c r="Q204" s="5">
        <v>45940958.173991799</v>
      </c>
      <c r="R204" s="5">
        <v>41657341.0431711</v>
      </c>
      <c r="S204" s="5">
        <v>87482799.144021496</v>
      </c>
      <c r="T204" s="5">
        <v>47231479.552852899</v>
      </c>
      <c r="U204" s="5">
        <v>21667022.0542394</v>
      </c>
      <c r="V204" s="5">
        <v>20384884.1847407</v>
      </c>
      <c r="W204" s="5">
        <v>41682764.022016004</v>
      </c>
      <c r="X204" s="5">
        <v>19343542.847095098</v>
      </c>
      <c r="Y204" s="5">
        <v>46557382.581150398</v>
      </c>
      <c r="Z204" s="5">
        <v>35033695.204069398</v>
      </c>
      <c r="AA204" s="5">
        <v>42834531.580275498</v>
      </c>
      <c r="AB204" s="5">
        <v>27112295.661331099</v>
      </c>
      <c r="AC204" s="5">
        <v>28038978.847261</v>
      </c>
      <c r="AD204" s="5">
        <v>29025136.8733995</v>
      </c>
      <c r="AE204" s="5">
        <v>29235746.538482599</v>
      </c>
      <c r="AF204" s="5">
        <v>29021197.661237098</v>
      </c>
      <c r="AG204">
        <f t="shared" si="13"/>
        <v>28830264.980095051</v>
      </c>
      <c r="AH204">
        <f t="shared" si="14"/>
        <v>536960.39013941318</v>
      </c>
      <c r="AI204">
        <f t="shared" si="15"/>
        <v>1.8624885706397101E-2</v>
      </c>
    </row>
    <row r="205" spans="1:35" x14ac:dyDescent="0.45">
      <c r="A205" s="5" t="s">
        <v>367</v>
      </c>
      <c r="B205" s="2">
        <f t="shared" si="12"/>
        <v>212279725.66568682</v>
      </c>
      <c r="C205" s="2">
        <v>167887479.66235575</v>
      </c>
      <c r="D205" s="2">
        <v>3.3974836149021227E-2</v>
      </c>
      <c r="E205" s="5">
        <v>176023297.65068999</v>
      </c>
      <c r="F205" s="5">
        <v>156615793.31432801</v>
      </c>
      <c r="G205" s="5">
        <v>105066444.552435</v>
      </c>
      <c r="H205" s="5">
        <v>281405163.65261298</v>
      </c>
      <c r="I205" s="5">
        <v>174319248.62543601</v>
      </c>
      <c r="J205" s="5">
        <v>109137249.761437</v>
      </c>
      <c r="K205" s="5">
        <v>192249775.128719</v>
      </c>
      <c r="L205" s="5">
        <v>212025283.363215</v>
      </c>
      <c r="M205" s="5">
        <v>116266320.939825</v>
      </c>
      <c r="N205" s="5">
        <v>239445148.98258501</v>
      </c>
      <c r="O205" s="5">
        <v>552139303.249717</v>
      </c>
      <c r="P205" s="5">
        <v>188101821.609781</v>
      </c>
      <c r="Q205" s="5">
        <v>194974898.79150301</v>
      </c>
      <c r="R205" s="5">
        <v>187358421.82186499</v>
      </c>
      <c r="S205" s="5">
        <v>163627719.04119501</v>
      </c>
      <c r="T205" s="5">
        <v>526470399.90677297</v>
      </c>
      <c r="U205" s="5">
        <v>302186677.54075402</v>
      </c>
      <c r="V205" s="5">
        <v>90829328.940070793</v>
      </c>
      <c r="W205" s="5">
        <v>243150590.37656301</v>
      </c>
      <c r="X205" s="5">
        <v>121833564.609787</v>
      </c>
      <c r="Y205" s="5">
        <v>350904527.296655</v>
      </c>
      <c r="Z205" s="5">
        <v>82118241.884687498</v>
      </c>
      <c r="AA205" s="5">
        <v>177916267.92938799</v>
      </c>
      <c r="AB205" s="5">
        <v>150547927.00646201</v>
      </c>
      <c r="AC205" s="5">
        <v>167769986.65490499</v>
      </c>
      <c r="AD205" s="5">
        <v>175960544.12236401</v>
      </c>
      <c r="AE205" s="5">
        <v>163288650.21284601</v>
      </c>
      <c r="AF205" s="5">
        <v>164530737.65930799</v>
      </c>
      <c r="AG205">
        <f t="shared" si="13"/>
        <v>167887479.66235575</v>
      </c>
      <c r="AH205">
        <f t="shared" si="14"/>
        <v>5703949.6130006704</v>
      </c>
      <c r="AI205">
        <f t="shared" si="15"/>
        <v>3.3974836149021227E-2</v>
      </c>
    </row>
    <row r="206" spans="1:35" x14ac:dyDescent="0.45">
      <c r="A206" s="5" t="s">
        <v>377</v>
      </c>
      <c r="B206" s="2">
        <f t="shared" si="12"/>
        <v>46845170.894577764</v>
      </c>
      <c r="C206" s="2">
        <v>37310964.68291533</v>
      </c>
      <c r="D206" s="2">
        <v>6.6262462802258162E-3</v>
      </c>
      <c r="E206" s="5">
        <v>35697066.748887599</v>
      </c>
      <c r="F206" s="5">
        <v>29162902.252014998</v>
      </c>
      <c r="G206" s="5">
        <v>20724437.106083099</v>
      </c>
      <c r="H206" s="5">
        <v>85925210.345264494</v>
      </c>
      <c r="I206" s="5">
        <v>21348537.0872459</v>
      </c>
      <c r="J206" s="5">
        <v>49346446.073017798</v>
      </c>
      <c r="K206" s="5">
        <v>41531226.103080504</v>
      </c>
      <c r="L206" s="5">
        <v>34854004.091274202</v>
      </c>
      <c r="M206" s="5">
        <v>27262370.650591198</v>
      </c>
      <c r="N206" s="5">
        <v>56225401.305799402</v>
      </c>
      <c r="O206" s="5">
        <v>95205535.888285205</v>
      </c>
      <c r="P206" s="5">
        <v>84263580.644773602</v>
      </c>
      <c r="Q206" s="5">
        <v>23303586.067220401</v>
      </c>
      <c r="R206" s="5">
        <v>40299417.847184099</v>
      </c>
      <c r="S206" s="5">
        <v>19601695.5458855</v>
      </c>
      <c r="T206" s="5">
        <v>132168563.939505</v>
      </c>
      <c r="U206" s="5">
        <v>84009580.105487093</v>
      </c>
      <c r="V206" s="5">
        <v>19014957.163115799</v>
      </c>
      <c r="W206" s="5">
        <v>52536172.9600925</v>
      </c>
      <c r="X206" s="5">
        <v>34378730.913372204</v>
      </c>
      <c r="Y206" s="5">
        <v>37196990.365456402</v>
      </c>
      <c r="Z206" s="5">
        <v>48243624.970203899</v>
      </c>
      <c r="AA206" s="5">
        <v>24490144.9081196</v>
      </c>
      <c r="AB206" s="5">
        <v>27493918.387905601</v>
      </c>
      <c r="AC206" s="5">
        <v>36982059.943721697</v>
      </c>
      <c r="AD206" s="5">
        <v>37580650.003905602</v>
      </c>
      <c r="AE206" s="5">
        <v>37359395.700161003</v>
      </c>
      <c r="AF206" s="5">
        <v>37321753.083873004</v>
      </c>
      <c r="AG206">
        <f t="shared" si="13"/>
        <v>37310964.68291533</v>
      </c>
      <c r="AH206">
        <f t="shared" si="14"/>
        <v>247231.64094180451</v>
      </c>
      <c r="AI206">
        <f t="shared" si="15"/>
        <v>6.6262462802258162E-3</v>
      </c>
    </row>
    <row r="207" spans="1:35" x14ac:dyDescent="0.45">
      <c r="A207" s="5" t="s">
        <v>206</v>
      </c>
      <c r="B207" s="2">
        <f t="shared" si="12"/>
        <v>16249496.227802167</v>
      </c>
      <c r="C207" s="2">
        <v>10675233.369876675</v>
      </c>
      <c r="D207" s="2">
        <v>8.217877418966052E-2</v>
      </c>
      <c r="E207" s="5">
        <v>5461759.9155721599</v>
      </c>
      <c r="F207" s="5">
        <v>28896645.553800799</v>
      </c>
      <c r="G207" s="5">
        <v>21488697.372905198</v>
      </c>
      <c r="H207" s="5">
        <v>36749207.135685802</v>
      </c>
      <c r="I207" s="5">
        <v>5377801.8893616498</v>
      </c>
      <c r="J207" s="5">
        <v>12318725.0191743</v>
      </c>
      <c r="K207" s="5">
        <v>3941528.2064239602</v>
      </c>
      <c r="L207" s="5">
        <v>13224579.6865495</v>
      </c>
      <c r="M207" s="5">
        <v>2300751.63259592</v>
      </c>
      <c r="N207" s="5">
        <v>26344887.208077502</v>
      </c>
      <c r="O207" s="5">
        <v>15878754.1720828</v>
      </c>
      <c r="P207" s="5">
        <v>12334628.491743799</v>
      </c>
      <c r="Q207" s="5">
        <v>20416439.2628479</v>
      </c>
      <c r="R207" s="5">
        <v>39844729.197681598</v>
      </c>
      <c r="S207" s="5">
        <v>10073166.4550447</v>
      </c>
      <c r="T207" s="5">
        <v>16811252.478984401</v>
      </c>
      <c r="U207" s="5">
        <v>13769328.458690301</v>
      </c>
      <c r="V207" s="5">
        <v>20249491.987608299</v>
      </c>
      <c r="W207" s="5">
        <v>20057639.896968201</v>
      </c>
      <c r="X207" s="5">
        <v>22168452.8957428</v>
      </c>
      <c r="Y207" s="5">
        <v>10110483.4129944</v>
      </c>
      <c r="Z207" s="5">
        <v>17358356.458643399</v>
      </c>
      <c r="AA207" s="5">
        <v>7530503.1671140203</v>
      </c>
      <c r="AB207" s="5">
        <v>7280099.51095868</v>
      </c>
      <c r="AC207" s="5">
        <v>9854207.7266623992</v>
      </c>
      <c r="AD207" s="5">
        <v>11218118.290777201</v>
      </c>
      <c r="AE207" s="5">
        <v>10007656.4573822</v>
      </c>
      <c r="AF207" s="5">
        <v>11620951.004684901</v>
      </c>
      <c r="AG207">
        <f t="shared" si="13"/>
        <v>10675233.369876675</v>
      </c>
      <c r="AH207">
        <f t="shared" si="14"/>
        <v>877277.59252502397</v>
      </c>
      <c r="AI207">
        <f t="shared" si="15"/>
        <v>8.217877418966052E-2</v>
      </c>
    </row>
    <row r="208" spans="1:35" x14ac:dyDescent="0.45">
      <c r="A208" s="5" t="s">
        <v>315</v>
      </c>
      <c r="B208" s="2">
        <f t="shared" si="12"/>
        <v>379293699.7730903</v>
      </c>
      <c r="C208" s="2">
        <v>327826383.23716325</v>
      </c>
      <c r="D208" s="2">
        <v>2.1054245056088928E-2</v>
      </c>
      <c r="E208" s="5">
        <v>124112033.967492</v>
      </c>
      <c r="F208" s="5">
        <v>242146383.09159699</v>
      </c>
      <c r="G208" s="5">
        <v>506647097.69419998</v>
      </c>
      <c r="H208" s="5">
        <v>639623744.26242197</v>
      </c>
      <c r="I208" s="5">
        <v>427585770.823075</v>
      </c>
      <c r="J208" s="5">
        <v>421807931.48276198</v>
      </c>
      <c r="K208" s="5">
        <v>426546148.89116502</v>
      </c>
      <c r="L208" s="5">
        <v>88195407.389468402</v>
      </c>
      <c r="M208" s="5">
        <v>573682408.249439</v>
      </c>
      <c r="N208" s="5">
        <v>214853317.004693</v>
      </c>
      <c r="O208" s="5">
        <v>715115579.30639398</v>
      </c>
      <c r="P208" s="5">
        <v>27377018.408447798</v>
      </c>
      <c r="Q208" s="5">
        <v>347700788.86970598</v>
      </c>
      <c r="R208" s="5">
        <v>97491299.409535497</v>
      </c>
      <c r="S208" s="5">
        <v>474547487.71112299</v>
      </c>
      <c r="T208" s="5">
        <v>549923739.86410606</v>
      </c>
      <c r="U208" s="5">
        <v>423507607.65094399</v>
      </c>
      <c r="V208" s="5">
        <v>1643185282.9293599</v>
      </c>
      <c r="W208" s="5">
        <v>150961985.410696</v>
      </c>
      <c r="X208" s="5">
        <v>373681515.73356497</v>
      </c>
      <c r="Y208" s="5">
        <v>41301975.096765399</v>
      </c>
      <c r="Z208" s="5">
        <v>251869889.754641</v>
      </c>
      <c r="AA208" s="5">
        <v>274552643.32262802</v>
      </c>
      <c r="AB208" s="5">
        <v>66631738.229939803</v>
      </c>
      <c r="AC208" s="5">
        <v>326866070.37408</v>
      </c>
      <c r="AD208" s="5">
        <v>318790019.72016799</v>
      </c>
      <c r="AE208" s="5">
        <v>335102181.64893198</v>
      </c>
      <c r="AF208" s="5">
        <v>330547261.20547301</v>
      </c>
      <c r="AG208">
        <f t="shared" si="13"/>
        <v>327826383.23716325</v>
      </c>
      <c r="AH208">
        <f t="shared" si="14"/>
        <v>6902137.0085265581</v>
      </c>
      <c r="AI208">
        <f t="shared" si="15"/>
        <v>2.1054245056088928E-2</v>
      </c>
    </row>
    <row r="209" spans="1:35" x14ac:dyDescent="0.45">
      <c r="A209" s="5" t="s">
        <v>316</v>
      </c>
      <c r="B209" s="2">
        <f t="shared" si="12"/>
        <v>13171160.801651821</v>
      </c>
      <c r="C209" s="2">
        <v>11335451.88917575</v>
      </c>
      <c r="D209" s="2">
        <v>9.7888996648703472E-2</v>
      </c>
      <c r="E209" s="5">
        <v>14391675.6559177</v>
      </c>
      <c r="F209" s="5">
        <v>10462994.3291773</v>
      </c>
      <c r="G209" s="5">
        <v>16381289.2286647</v>
      </c>
      <c r="H209" s="5">
        <v>8656458.23854273</v>
      </c>
      <c r="I209" s="5">
        <v>9721582.8459285907</v>
      </c>
      <c r="J209" s="5">
        <v>8864716.5256765895</v>
      </c>
      <c r="K209" s="5">
        <v>16117991.894432001</v>
      </c>
      <c r="L209" s="5">
        <v>17530395.299488802</v>
      </c>
      <c r="M209" s="5">
        <v>9097863.4046402909</v>
      </c>
      <c r="N209" s="5">
        <v>17583826.858242601</v>
      </c>
      <c r="O209" s="5">
        <v>10816572.9650323</v>
      </c>
      <c r="P209" s="5">
        <v>15046488.987389101</v>
      </c>
      <c r="Q209" s="5">
        <v>11443354.591206999</v>
      </c>
      <c r="R209" s="5">
        <v>14452901.3439462</v>
      </c>
      <c r="S209" s="5">
        <v>16363773.6690732</v>
      </c>
      <c r="T209" s="5">
        <v>11667186.574232301</v>
      </c>
      <c r="U209" s="5">
        <v>11680956.3376603</v>
      </c>
      <c r="V209" s="5">
        <v>13014358.606112599</v>
      </c>
      <c r="W209" s="5">
        <v>16447717.4808947</v>
      </c>
      <c r="X209" s="5">
        <v>11531739.3350523</v>
      </c>
      <c r="Y209" s="5">
        <v>12547017.1541456</v>
      </c>
      <c r="Z209" s="5">
        <v>14784880.0166327</v>
      </c>
      <c r="AA209" s="5">
        <v>12303397.267882301</v>
      </c>
      <c r="AB209" s="5">
        <v>15198720.629671801</v>
      </c>
      <c r="AC209" s="5">
        <v>10034585.182792099</v>
      </c>
      <c r="AD209" s="5">
        <v>10790512.653364399</v>
      </c>
      <c r="AE209" s="5">
        <v>12281052.168214601</v>
      </c>
      <c r="AF209" s="5">
        <v>12235657.5523319</v>
      </c>
      <c r="AG209">
        <f t="shared" si="13"/>
        <v>11335451.88917575</v>
      </c>
      <c r="AH209">
        <f t="shared" si="14"/>
        <v>1109616.0119910645</v>
      </c>
      <c r="AI209">
        <f t="shared" si="15"/>
        <v>9.7888996648703472E-2</v>
      </c>
    </row>
    <row r="210" spans="1:35" x14ac:dyDescent="0.45">
      <c r="A210" s="5" t="s">
        <v>317</v>
      </c>
      <c r="B210" s="2">
        <f t="shared" si="12"/>
        <v>156168231.20601854</v>
      </c>
      <c r="C210" s="2">
        <v>129313970.378048</v>
      </c>
      <c r="D210" s="2">
        <v>1.5698284599867135E-2</v>
      </c>
      <c r="E210" s="5">
        <v>174582500.348111</v>
      </c>
      <c r="F210" s="5">
        <v>300720284.76355898</v>
      </c>
      <c r="G210" s="5">
        <v>84029517.631567001</v>
      </c>
      <c r="H210" s="5">
        <v>110051241.004823</v>
      </c>
      <c r="I210" s="5">
        <v>135848636.87542301</v>
      </c>
      <c r="J210" s="5">
        <v>128136534.99050801</v>
      </c>
      <c r="K210" s="5">
        <v>158744554.68927199</v>
      </c>
      <c r="L210" s="5">
        <v>143382184.61469701</v>
      </c>
      <c r="M210" s="5">
        <v>141288989.02579799</v>
      </c>
      <c r="N210" s="5">
        <v>179216170.37871</v>
      </c>
      <c r="O210" s="5">
        <v>75026670.1046139</v>
      </c>
      <c r="P210" s="5">
        <v>157407131.65628201</v>
      </c>
      <c r="Q210" s="5">
        <v>136140488.73050901</v>
      </c>
      <c r="R210" s="5">
        <v>158408843.695425</v>
      </c>
      <c r="S210" s="5">
        <v>157638353.12580401</v>
      </c>
      <c r="T210" s="5">
        <v>355858857.86635602</v>
      </c>
      <c r="U210" s="5">
        <v>143985180.222449</v>
      </c>
      <c r="V210" s="5">
        <v>148733692.02508301</v>
      </c>
      <c r="W210" s="5">
        <v>83219287.827140003</v>
      </c>
      <c r="X210" s="5">
        <v>136616020.844448</v>
      </c>
      <c r="Y210" s="5">
        <v>164611913.054656</v>
      </c>
      <c r="Z210" s="5">
        <v>148933777.611105</v>
      </c>
      <c r="AA210" s="5">
        <v>163996226.350227</v>
      </c>
      <c r="AB210" s="5">
        <v>161460491.50787899</v>
      </c>
      <c r="AC210" s="5">
        <v>127378403.00752801</v>
      </c>
      <c r="AD210" s="5">
        <v>127895367.61043499</v>
      </c>
      <c r="AE210" s="5">
        <v>131690593.849509</v>
      </c>
      <c r="AF210" s="5">
        <v>130291517.04471999</v>
      </c>
      <c r="AG210">
        <f t="shared" si="13"/>
        <v>129313970.378048</v>
      </c>
      <c r="AH210">
        <f t="shared" si="14"/>
        <v>2030007.5097333856</v>
      </c>
      <c r="AI210">
        <f t="shared" si="15"/>
        <v>1.5698284599867135E-2</v>
      </c>
    </row>
    <row r="211" spans="1:35" x14ac:dyDescent="0.45">
      <c r="A211" s="5" t="s">
        <v>207</v>
      </c>
      <c r="B211" s="2">
        <f t="shared" si="12"/>
        <v>58491691.235991605</v>
      </c>
      <c r="C211" s="2">
        <v>34708621.91453962</v>
      </c>
      <c r="D211" s="2">
        <v>3.9557348714467838E-2</v>
      </c>
      <c r="E211" s="5">
        <v>34587253.584419899</v>
      </c>
      <c r="F211" s="5">
        <v>57865154.030224502</v>
      </c>
      <c r="G211" s="5">
        <v>52770102.601908401</v>
      </c>
      <c r="H211" s="5">
        <v>247323986.03728399</v>
      </c>
      <c r="I211" s="5">
        <v>51132212.656197101</v>
      </c>
      <c r="J211" s="5">
        <v>30977056.078406401</v>
      </c>
      <c r="K211" s="5">
        <v>25643222.747888502</v>
      </c>
      <c r="L211" s="5">
        <v>24089201.906164099</v>
      </c>
      <c r="M211" s="5">
        <v>31786936.668185499</v>
      </c>
      <c r="N211" s="5">
        <v>57894754.959223598</v>
      </c>
      <c r="O211" s="5">
        <v>106507630.63585</v>
      </c>
      <c r="P211" s="5">
        <v>60885310.1539094</v>
      </c>
      <c r="Q211" s="5">
        <v>110716251.328576</v>
      </c>
      <c r="R211" s="5">
        <v>64070643.957371101</v>
      </c>
      <c r="S211" s="5">
        <v>22689886.8276214</v>
      </c>
      <c r="T211" s="5">
        <v>17723726.5942115</v>
      </c>
      <c r="U211" s="5">
        <v>24726069.683130398</v>
      </c>
      <c r="V211" s="5">
        <v>57795034.5856684</v>
      </c>
      <c r="W211" s="5">
        <v>32634856.752122499</v>
      </c>
      <c r="X211" s="5">
        <v>63717951.998098001</v>
      </c>
      <c r="Y211" s="5">
        <v>88182385.679207399</v>
      </c>
      <c r="Z211" s="5">
        <v>66217168.417424902</v>
      </c>
      <c r="AA211" s="5">
        <v>20732044.363531701</v>
      </c>
      <c r="AB211" s="5">
        <v>53131747.417174302</v>
      </c>
      <c r="AC211" s="5">
        <v>36582286.612774603</v>
      </c>
      <c r="AD211" s="5">
        <v>34663322.625058398</v>
      </c>
      <c r="AE211" s="5">
        <v>33309104.523455799</v>
      </c>
      <c r="AF211" s="5">
        <v>34279773.896869697</v>
      </c>
      <c r="AG211">
        <f t="shared" si="13"/>
        <v>34708621.91453962</v>
      </c>
      <c r="AH211">
        <f t="shared" si="14"/>
        <v>1372981.0604720642</v>
      </c>
      <c r="AI211">
        <f t="shared" si="15"/>
        <v>3.9557348714467838E-2</v>
      </c>
    </row>
    <row r="212" spans="1:35" x14ac:dyDescent="0.45">
      <c r="A212" s="5" t="s">
        <v>318</v>
      </c>
      <c r="B212" s="2">
        <f t="shared" si="12"/>
        <v>29909515.262902398</v>
      </c>
      <c r="C212" s="2">
        <v>31480203.548849802</v>
      </c>
      <c r="D212" s="2">
        <v>4.603066908230407E-2</v>
      </c>
      <c r="E212" s="5">
        <v>12631152.313914901</v>
      </c>
      <c r="F212" s="5">
        <v>28637828.294970401</v>
      </c>
      <c r="G212" s="5">
        <v>34437525.215870902</v>
      </c>
      <c r="H212" s="5">
        <v>8041776.7502741702</v>
      </c>
      <c r="I212" s="5">
        <v>20033145.9121622</v>
      </c>
      <c r="J212" s="5">
        <v>29930352.4758338</v>
      </c>
      <c r="K212" s="5">
        <v>35565268.824896403</v>
      </c>
      <c r="L212" s="5">
        <v>37743702.787394598</v>
      </c>
      <c r="M212" s="5">
        <v>19782514.010452598</v>
      </c>
      <c r="N212" s="5">
        <v>38452887.695838302</v>
      </c>
      <c r="O212" s="5">
        <v>88197140.859748498</v>
      </c>
      <c r="P212" s="5">
        <v>31362559.529583</v>
      </c>
      <c r="Q212" s="5">
        <v>23696844.194593702</v>
      </c>
      <c r="R212" s="5">
        <v>36306486.357142702</v>
      </c>
      <c r="S212" s="5">
        <v>18077726.328859001</v>
      </c>
      <c r="T212" s="5">
        <v>17432288.034693401</v>
      </c>
      <c r="U212" s="5">
        <v>32983506.7604605</v>
      </c>
      <c r="V212" s="5">
        <v>22476756.900392</v>
      </c>
      <c r="W212" s="5">
        <v>38437230.5796232</v>
      </c>
      <c r="X212" s="5">
        <v>26448552.630268101</v>
      </c>
      <c r="Y212" s="5">
        <v>38548457.409041002</v>
      </c>
      <c r="Z212" s="5">
        <v>25395584.027540401</v>
      </c>
      <c r="AA212" s="5">
        <v>37163627.071178399</v>
      </c>
      <c r="AB212" s="5">
        <v>16045451.344925299</v>
      </c>
      <c r="AC212" s="5">
        <v>32621596.621063899</v>
      </c>
      <c r="AD212" s="5">
        <v>29355793.129406601</v>
      </c>
      <c r="AE212" s="5">
        <v>31982209.654497501</v>
      </c>
      <c r="AF212" s="5">
        <v>31961214.790431201</v>
      </c>
      <c r="AG212">
        <f t="shared" si="13"/>
        <v>31480203.548849802</v>
      </c>
      <c r="AH212">
        <f t="shared" si="14"/>
        <v>1449054.8322006795</v>
      </c>
      <c r="AI212">
        <f t="shared" si="15"/>
        <v>4.603066908230407E-2</v>
      </c>
    </row>
    <row r="213" spans="1:35" x14ac:dyDescent="0.45">
      <c r="A213" s="5" t="s">
        <v>208</v>
      </c>
      <c r="B213" s="2">
        <f t="shared" si="12"/>
        <v>10419477.600131392</v>
      </c>
      <c r="C213" s="2">
        <v>6240262.5182286697</v>
      </c>
      <c r="D213" s="2">
        <v>5.3034126406370258E-2</v>
      </c>
      <c r="E213" s="5">
        <v>5991631.4849667801</v>
      </c>
      <c r="F213" s="5">
        <v>5410701.4850825202</v>
      </c>
      <c r="G213" s="5">
        <v>6313586.0607892396</v>
      </c>
      <c r="H213" s="5">
        <v>9917364.5898108594</v>
      </c>
      <c r="I213" s="5">
        <v>2611028.78030203</v>
      </c>
      <c r="J213" s="5">
        <v>1946901.6676783699</v>
      </c>
      <c r="K213" s="5">
        <v>16545748.0127609</v>
      </c>
      <c r="L213" s="5">
        <v>12881363.4979035</v>
      </c>
      <c r="M213" s="5">
        <v>5617091.1136532398</v>
      </c>
      <c r="N213" s="5">
        <v>14975288.439322701</v>
      </c>
      <c r="O213" s="5">
        <v>643260.38899780705</v>
      </c>
      <c r="P213" s="5">
        <v>11141370.668168901</v>
      </c>
      <c r="Q213" s="5">
        <v>17074193.8212208</v>
      </c>
      <c r="R213" s="5">
        <v>13772720.4008174</v>
      </c>
      <c r="S213" s="5">
        <v>47981606.218707003</v>
      </c>
      <c r="T213" s="5">
        <v>5732526.6490716403</v>
      </c>
      <c r="U213" s="5">
        <v>4972534.4839909002</v>
      </c>
      <c r="V213" s="5">
        <v>6001953.66065838</v>
      </c>
      <c r="W213" s="5">
        <v>10696287.948436599</v>
      </c>
      <c r="X213" s="5">
        <v>1849841.6015612399</v>
      </c>
      <c r="Y213" s="5">
        <v>15080886.351641599</v>
      </c>
      <c r="Z213" s="5">
        <v>5900551.1286964295</v>
      </c>
      <c r="AA213" s="5">
        <v>13306386.3236413</v>
      </c>
      <c r="AB213" s="5">
        <v>13702637.6252733</v>
      </c>
      <c r="AC213" s="5">
        <v>6499916.9180199299</v>
      </c>
      <c r="AD213" s="5">
        <v>6490666.9155904399</v>
      </c>
      <c r="AE213" s="5">
        <v>6170131.3847155096</v>
      </c>
      <c r="AF213" s="5">
        <v>5800334.8545888001</v>
      </c>
      <c r="AG213">
        <f t="shared" si="13"/>
        <v>6240262.5182286697</v>
      </c>
      <c r="AH213">
        <f t="shared" si="14"/>
        <v>330946.87120067363</v>
      </c>
      <c r="AI213">
        <f t="shared" si="15"/>
        <v>5.3034126406370258E-2</v>
      </c>
    </row>
    <row r="214" spans="1:35" x14ac:dyDescent="0.45">
      <c r="A214" s="5" t="s">
        <v>209</v>
      </c>
      <c r="B214" s="2">
        <f t="shared" si="12"/>
        <v>590375758.61155498</v>
      </c>
      <c r="C214" s="2">
        <v>496369578.854132</v>
      </c>
      <c r="D214" s="2">
        <v>1.4255702383354043E-2</v>
      </c>
      <c r="E214" s="5">
        <v>461808865.406138</v>
      </c>
      <c r="F214" s="5">
        <v>324632716.58230799</v>
      </c>
      <c r="G214" s="5">
        <v>575354665.79832006</v>
      </c>
      <c r="H214" s="5">
        <v>564620543.18041098</v>
      </c>
      <c r="I214" s="5">
        <v>423799268.17982203</v>
      </c>
      <c r="J214" s="5">
        <v>600988879.75677502</v>
      </c>
      <c r="K214" s="5">
        <v>433008463.46951801</v>
      </c>
      <c r="L214" s="5">
        <v>669158050.57670105</v>
      </c>
      <c r="M214" s="5">
        <v>577982207.26492</v>
      </c>
      <c r="N214" s="5">
        <v>173919188.32290101</v>
      </c>
      <c r="O214" s="5">
        <v>846713750.87101603</v>
      </c>
      <c r="P214" s="5">
        <v>533584914.14865202</v>
      </c>
      <c r="Q214" s="5">
        <v>431659741.81697899</v>
      </c>
      <c r="R214" s="5">
        <v>685558559.04499602</v>
      </c>
      <c r="S214" s="5">
        <v>457513102.710747</v>
      </c>
      <c r="T214" s="5">
        <v>2198764244.0392399</v>
      </c>
      <c r="U214" s="5">
        <v>455210891.244699</v>
      </c>
      <c r="V214" s="5">
        <v>294442494.52476799</v>
      </c>
      <c r="W214" s="5">
        <v>432430365.02243203</v>
      </c>
      <c r="X214" s="5">
        <v>617609456.01991403</v>
      </c>
      <c r="Y214" s="5">
        <v>401815708.893897</v>
      </c>
      <c r="Z214" s="5">
        <v>706131519.96537101</v>
      </c>
      <c r="AA214" s="5">
        <v>601262683.45358503</v>
      </c>
      <c r="AB214" s="5">
        <v>701047926.38320994</v>
      </c>
      <c r="AC214" s="5">
        <v>489727655.14131099</v>
      </c>
      <c r="AD214" s="5">
        <v>504727830.190202</v>
      </c>
      <c r="AE214" s="5">
        <v>491342180.13042402</v>
      </c>
      <c r="AF214" s="5">
        <v>499680649.95459098</v>
      </c>
      <c r="AG214">
        <f t="shared" si="13"/>
        <v>496369578.854132</v>
      </c>
      <c r="AH214">
        <f t="shared" si="14"/>
        <v>7076096.9882952925</v>
      </c>
      <c r="AI214">
        <f t="shared" si="15"/>
        <v>1.4255702383354043E-2</v>
      </c>
    </row>
    <row r="215" spans="1:35" x14ac:dyDescent="0.45">
      <c r="A215" s="5" t="s">
        <v>210</v>
      </c>
      <c r="B215" s="2">
        <f t="shared" si="12"/>
        <v>296559992.21200305</v>
      </c>
      <c r="C215" s="2">
        <v>258260365.87115824</v>
      </c>
      <c r="D215" s="2">
        <v>1.0789905210878263E-2</v>
      </c>
      <c r="E215" s="5">
        <v>187449352.743325</v>
      </c>
      <c r="F215" s="5">
        <v>132549432.315648</v>
      </c>
      <c r="G215" s="5">
        <v>248626497.062971</v>
      </c>
      <c r="H215" s="5">
        <v>274296356.35642397</v>
      </c>
      <c r="I215" s="5">
        <v>367939851.98959702</v>
      </c>
      <c r="J215" s="5">
        <v>340511771.52265501</v>
      </c>
      <c r="K215" s="5">
        <v>236726745.834436</v>
      </c>
      <c r="L215" s="5">
        <v>292712907.77096599</v>
      </c>
      <c r="M215" s="5">
        <v>258426851.48227999</v>
      </c>
      <c r="N215" s="5">
        <v>129793731.251211</v>
      </c>
      <c r="O215" s="5">
        <v>489763861.92075402</v>
      </c>
      <c r="P215" s="5">
        <v>245609096.20869601</v>
      </c>
      <c r="Q215" s="5">
        <v>87756591.906156793</v>
      </c>
      <c r="R215" s="5">
        <v>259891360.86495101</v>
      </c>
      <c r="S215" s="5">
        <v>251541658.60215399</v>
      </c>
      <c r="T215" s="5">
        <v>1059938142.89592</v>
      </c>
      <c r="U215" s="5">
        <v>234400282.08392799</v>
      </c>
      <c r="V215" s="5">
        <v>169245428.49907601</v>
      </c>
      <c r="W215" s="5">
        <v>238307285.70020899</v>
      </c>
      <c r="X215" s="5">
        <v>290768431.834373</v>
      </c>
      <c r="Y215" s="5">
        <v>369215251.876836</v>
      </c>
      <c r="Z215" s="5">
        <v>365349545.506908</v>
      </c>
      <c r="AA215" s="5">
        <v>289983975.23213702</v>
      </c>
      <c r="AB215" s="5">
        <v>296635401.626463</v>
      </c>
      <c r="AC215" s="5">
        <v>257998166.619057</v>
      </c>
      <c r="AD215" s="5">
        <v>261855686.465536</v>
      </c>
      <c r="AE215" s="5">
        <v>258134190.297488</v>
      </c>
      <c r="AF215" s="5">
        <v>255053420.102552</v>
      </c>
      <c r="AG215">
        <f t="shared" si="13"/>
        <v>258260365.87115824</v>
      </c>
      <c r="AH215">
        <f t="shared" si="14"/>
        <v>2786604.8674765374</v>
      </c>
      <c r="AI215">
        <f t="shared" si="15"/>
        <v>1.0789905210878263E-2</v>
      </c>
    </row>
    <row r="216" spans="1:35" x14ac:dyDescent="0.45">
      <c r="A216" s="5" t="s">
        <v>211</v>
      </c>
      <c r="B216" s="2">
        <f t="shared" si="12"/>
        <v>29391562.89251915</v>
      </c>
      <c r="C216" s="2">
        <v>24349538.583682053</v>
      </c>
      <c r="D216" s="2">
        <v>4.0651183433898466E-2</v>
      </c>
      <c r="E216" s="5">
        <v>34938036.171944499</v>
      </c>
      <c r="F216" s="5">
        <v>25615323.7700685</v>
      </c>
      <c r="G216" s="5">
        <v>24377153.965139601</v>
      </c>
      <c r="H216" s="5">
        <v>26452266.813088499</v>
      </c>
      <c r="I216" s="5">
        <v>18041158.590573601</v>
      </c>
      <c r="J216" s="5">
        <v>17950078.414996199</v>
      </c>
      <c r="K216" s="5">
        <v>38939719.787896</v>
      </c>
      <c r="L216" s="5">
        <v>33130205.6518871</v>
      </c>
      <c r="M216" s="5">
        <v>25038205.181644201</v>
      </c>
      <c r="N216" s="5">
        <v>39160651.932807803</v>
      </c>
      <c r="O216" s="5">
        <v>3553175.0698965099</v>
      </c>
      <c r="P216" s="5">
        <v>33277590.7236767</v>
      </c>
      <c r="Q216" s="5">
        <v>51340807.615375802</v>
      </c>
      <c r="R216" s="5">
        <v>30447137.321137901</v>
      </c>
      <c r="S216" s="5">
        <v>35773856.042823598</v>
      </c>
      <c r="T216" s="5">
        <v>15242923.019110801</v>
      </c>
      <c r="U216" s="5">
        <v>32509883.520183999</v>
      </c>
      <c r="V216" s="5">
        <v>21339854.794241399</v>
      </c>
      <c r="W216" s="5">
        <v>40880162.977032699</v>
      </c>
      <c r="X216" s="5">
        <v>15858535.6434511</v>
      </c>
      <c r="Y216" s="5">
        <v>44523961.803748302</v>
      </c>
      <c r="Z216" s="5">
        <v>27036087.245371498</v>
      </c>
      <c r="AA216" s="5">
        <v>29055134.9428543</v>
      </c>
      <c r="AB216" s="5">
        <v>40915598.421509102</v>
      </c>
      <c r="AC216" s="5">
        <v>23715952.165220499</v>
      </c>
      <c r="AD216" s="5">
        <v>23829699.5930296</v>
      </c>
      <c r="AE216" s="5">
        <v>25821370.2103692</v>
      </c>
      <c r="AF216" s="5">
        <v>24031132.366108902</v>
      </c>
      <c r="AG216">
        <f t="shared" si="13"/>
        <v>24349538.583682053</v>
      </c>
      <c r="AH216">
        <f t="shared" si="14"/>
        <v>989837.55949604744</v>
      </c>
      <c r="AI216">
        <f t="shared" si="15"/>
        <v>4.0651183433898466E-2</v>
      </c>
    </row>
    <row r="217" spans="1:35" x14ac:dyDescent="0.45">
      <c r="A217" s="5" t="s">
        <v>212</v>
      </c>
      <c r="B217" s="2">
        <f t="shared" si="12"/>
        <v>608478605.78993428</v>
      </c>
      <c r="C217" s="2">
        <v>593506670.81884003</v>
      </c>
      <c r="D217" s="2">
        <v>1.6446728074305042E-2</v>
      </c>
      <c r="E217" s="5">
        <v>993566025.95231199</v>
      </c>
      <c r="F217" s="5">
        <v>783519186.43121099</v>
      </c>
      <c r="G217" s="5">
        <v>492174116.06166101</v>
      </c>
      <c r="H217" s="5">
        <v>151880724.80946401</v>
      </c>
      <c r="I217" s="5">
        <v>478013739.24174601</v>
      </c>
      <c r="J217" s="5">
        <v>283550404.31085801</v>
      </c>
      <c r="K217" s="5">
        <v>854550127.67111194</v>
      </c>
      <c r="L217" s="5">
        <v>363264079.734918</v>
      </c>
      <c r="M217" s="5">
        <v>719782733.34973705</v>
      </c>
      <c r="N217" s="5">
        <v>316008149.82903302</v>
      </c>
      <c r="O217" s="5">
        <v>382552585.26464802</v>
      </c>
      <c r="P217" s="5">
        <v>505542176.63231301</v>
      </c>
      <c r="Q217" s="5">
        <v>625925703.94405603</v>
      </c>
      <c r="R217" s="5">
        <v>118936744.89969499</v>
      </c>
      <c r="S217" s="5">
        <v>741367643.26430595</v>
      </c>
      <c r="T217" s="5">
        <v>664395232.17247796</v>
      </c>
      <c r="U217" s="5">
        <v>893946931.86075699</v>
      </c>
      <c r="V217" s="5">
        <v>429389574.38728702</v>
      </c>
      <c r="W217" s="5">
        <v>376588355.85976398</v>
      </c>
      <c r="X217" s="5">
        <v>794106281.64879405</v>
      </c>
      <c r="Y217" s="5">
        <v>624685719.11607301</v>
      </c>
      <c r="Z217" s="5">
        <v>228655664.13915601</v>
      </c>
      <c r="AA217" s="5">
        <v>1442425236.88833</v>
      </c>
      <c r="AB217" s="5">
        <v>1338659401.4887099</v>
      </c>
      <c r="AC217" s="5">
        <v>594947007.86843395</v>
      </c>
      <c r="AD217" s="5">
        <v>604952823.04112005</v>
      </c>
      <c r="AE217" s="5">
        <v>592967907.95910501</v>
      </c>
      <c r="AF217" s="5">
        <v>581158944.40670097</v>
      </c>
      <c r="AG217">
        <f t="shared" si="13"/>
        <v>593506670.81884003</v>
      </c>
      <c r="AH217">
        <f t="shared" si="14"/>
        <v>9761242.8252435364</v>
      </c>
      <c r="AI217">
        <f t="shared" si="15"/>
        <v>1.6446728074305042E-2</v>
      </c>
    </row>
    <row r="218" spans="1:35" x14ac:dyDescent="0.45">
      <c r="A218" s="5" t="s">
        <v>319</v>
      </c>
      <c r="B218" s="2">
        <f t="shared" si="12"/>
        <v>29606324.900340576</v>
      </c>
      <c r="C218" s="2">
        <v>28569633.244278476</v>
      </c>
      <c r="D218" s="2">
        <v>3.4297820198221189E-2</v>
      </c>
      <c r="E218" s="5">
        <v>33605175.298680998</v>
      </c>
      <c r="F218" s="5">
        <v>26961589.727321401</v>
      </c>
      <c r="G218" s="5">
        <v>30716537.648105599</v>
      </c>
      <c r="H218" s="5">
        <v>6798100.7512486698</v>
      </c>
      <c r="I218" s="5">
        <v>49133135.234479703</v>
      </c>
      <c r="J218" s="5">
        <v>30806946.686105799</v>
      </c>
      <c r="K218" s="5">
        <v>36211841.797929801</v>
      </c>
      <c r="L218" s="5">
        <v>24693830.714589</v>
      </c>
      <c r="M218" s="5">
        <v>42612261.215213999</v>
      </c>
      <c r="N218" s="5">
        <v>30331025.049956199</v>
      </c>
      <c r="O218" s="5">
        <v>11522888.791979199</v>
      </c>
      <c r="P218" s="5">
        <v>25195238.448576398</v>
      </c>
      <c r="Q218" s="5">
        <v>28604179.842927601</v>
      </c>
      <c r="R218" s="5">
        <v>17992467.668777902</v>
      </c>
      <c r="S218" s="5">
        <v>30071049.849615</v>
      </c>
      <c r="T218" s="5">
        <v>11349664.0684001</v>
      </c>
      <c r="U218" s="5">
        <v>38654869.396232203</v>
      </c>
      <c r="V218" s="5">
        <v>41895778.412493199</v>
      </c>
      <c r="W218" s="5">
        <v>19827008.507835001</v>
      </c>
      <c r="X218" s="5">
        <v>26175777.093370799</v>
      </c>
      <c r="Y218" s="5">
        <v>37621691.803132802</v>
      </c>
      <c r="Z218" s="5">
        <v>34226959.1830386</v>
      </c>
      <c r="AA218" s="5">
        <v>35770932.762038201</v>
      </c>
      <c r="AB218" s="5">
        <v>39772847.656125799</v>
      </c>
      <c r="AC218" s="5">
        <v>28635161.089118101</v>
      </c>
      <c r="AD218" s="5">
        <v>27205366.8977452</v>
      </c>
      <c r="AE218" s="5">
        <v>29511914.054259501</v>
      </c>
      <c r="AF218" s="5">
        <v>28926090.935991101</v>
      </c>
      <c r="AG218">
        <f t="shared" si="13"/>
        <v>28569633.244278476</v>
      </c>
      <c r="AH218">
        <f t="shared" si="14"/>
        <v>979876.14414138591</v>
      </c>
      <c r="AI218">
        <f t="shared" si="15"/>
        <v>3.4297820198221189E-2</v>
      </c>
    </row>
    <row r="219" spans="1:35" x14ac:dyDescent="0.45">
      <c r="A219" s="5" t="s">
        <v>213</v>
      </c>
      <c r="B219" s="2">
        <f t="shared" si="12"/>
        <v>37966197.006221719</v>
      </c>
      <c r="C219" s="2">
        <v>33055406.307711072</v>
      </c>
      <c r="D219" s="2">
        <v>3.7388238359619484E-2</v>
      </c>
      <c r="E219" s="5">
        <v>40362101.676200897</v>
      </c>
      <c r="F219" s="5">
        <v>44667442.1054416</v>
      </c>
      <c r="G219" s="5">
        <v>27714886.9572489</v>
      </c>
      <c r="H219" s="5">
        <v>28787305.058211099</v>
      </c>
      <c r="I219" s="5">
        <v>32748668.655185498</v>
      </c>
      <c r="J219" s="5">
        <v>35056947.945920698</v>
      </c>
      <c r="K219" s="5">
        <v>36828887.6444043</v>
      </c>
      <c r="L219" s="5">
        <v>31273296.2184528</v>
      </c>
      <c r="M219" s="5">
        <v>26662459.714505099</v>
      </c>
      <c r="N219" s="5">
        <v>13309369.8618694</v>
      </c>
      <c r="O219" s="5">
        <v>105916798.09985</v>
      </c>
      <c r="P219" s="5">
        <v>41739852.4374706</v>
      </c>
      <c r="Q219" s="5">
        <v>20117006.8099657</v>
      </c>
      <c r="R219" s="5">
        <v>56551511.380467303</v>
      </c>
      <c r="S219" s="5">
        <v>28159991.010128099</v>
      </c>
      <c r="T219" s="5">
        <v>38418718.833892599</v>
      </c>
      <c r="U219" s="5">
        <v>42404743.879307501</v>
      </c>
      <c r="V219" s="5">
        <v>36934230.730435103</v>
      </c>
      <c r="W219" s="5">
        <v>56599713.877476901</v>
      </c>
      <c r="X219" s="5">
        <v>46045696.246740498</v>
      </c>
      <c r="Y219" s="5">
        <v>29056255.974590801</v>
      </c>
      <c r="Z219" s="5">
        <v>35914281.751860701</v>
      </c>
      <c r="AA219" s="5">
        <v>29148053.864820499</v>
      </c>
      <c r="AB219" s="5">
        <v>26770507.414874502</v>
      </c>
      <c r="AC219" s="5">
        <v>33277542.428862099</v>
      </c>
      <c r="AD219" s="5">
        <v>34642606.386183098</v>
      </c>
      <c r="AE219" s="5">
        <v>31716672.473778199</v>
      </c>
      <c r="AF219" s="5">
        <v>32584803.942020901</v>
      </c>
      <c r="AG219">
        <f t="shared" si="13"/>
        <v>33055406.307711072</v>
      </c>
      <c r="AH219">
        <f t="shared" si="14"/>
        <v>1235883.4101067709</v>
      </c>
      <c r="AI219">
        <f t="shared" si="15"/>
        <v>3.7388238359619484E-2</v>
      </c>
    </row>
    <row r="220" spans="1:35" x14ac:dyDescent="0.45">
      <c r="A220" s="5" t="s">
        <v>320</v>
      </c>
      <c r="B220" s="2">
        <f t="shared" si="12"/>
        <v>62946585.848498039</v>
      </c>
      <c r="C220" s="2">
        <v>52101407.092120618</v>
      </c>
      <c r="D220" s="2">
        <v>4.4148511301667796E-2</v>
      </c>
      <c r="E220" s="5">
        <v>47112453.265125602</v>
      </c>
      <c r="F220" s="5">
        <v>55080840.618427098</v>
      </c>
      <c r="G220" s="5">
        <v>56880746.549405903</v>
      </c>
      <c r="H220" s="5">
        <v>90196085.516886696</v>
      </c>
      <c r="I220" s="5">
        <v>55371446.319388799</v>
      </c>
      <c r="J220" s="5">
        <v>34558529.076571897</v>
      </c>
      <c r="K220" s="5">
        <v>80684235.949369296</v>
      </c>
      <c r="L220" s="5">
        <v>55238887.665342197</v>
      </c>
      <c r="M220" s="5">
        <v>47107461.980685703</v>
      </c>
      <c r="N220" s="5">
        <v>54517311.677077502</v>
      </c>
      <c r="O220" s="5">
        <v>82019756.277835503</v>
      </c>
      <c r="P220" s="5">
        <v>103171145.138548</v>
      </c>
      <c r="Q220" s="5">
        <v>40486508.571003899</v>
      </c>
      <c r="R220" s="5">
        <v>76118133.812398493</v>
      </c>
      <c r="S220" s="5">
        <v>71430399.559277907</v>
      </c>
      <c r="T220" s="5">
        <v>93923349.877645701</v>
      </c>
      <c r="U220" s="5">
        <v>43415471.988931596</v>
      </c>
      <c r="V220" s="5">
        <v>51886644.879692703</v>
      </c>
      <c r="W220" s="5">
        <v>58390017.899083696</v>
      </c>
      <c r="X220" s="5">
        <v>86876889.543715507</v>
      </c>
      <c r="Y220" s="5">
        <v>58338381.058255501</v>
      </c>
      <c r="Z220" s="5">
        <v>37473168.532928601</v>
      </c>
      <c r="AA220" s="5">
        <v>72733936.446301505</v>
      </c>
      <c r="AB220" s="5">
        <v>57706258.160053603</v>
      </c>
      <c r="AC220" s="5">
        <v>55178678.254427597</v>
      </c>
      <c r="AD220" s="5">
        <v>49648438.817542396</v>
      </c>
      <c r="AE220" s="5">
        <v>51480042.263206497</v>
      </c>
      <c r="AF220" s="5">
        <v>52098469.033306003</v>
      </c>
      <c r="AG220">
        <f t="shared" si="13"/>
        <v>52101407.092120618</v>
      </c>
      <c r="AH220">
        <f t="shared" si="14"/>
        <v>2300199.5598392817</v>
      </c>
      <c r="AI220">
        <f t="shared" si="15"/>
        <v>4.4148511301667796E-2</v>
      </c>
    </row>
    <row r="221" spans="1:35" x14ac:dyDescent="0.45">
      <c r="A221" s="5" t="s">
        <v>321</v>
      </c>
      <c r="B221" s="2">
        <f t="shared" si="12"/>
        <v>62054845.10849487</v>
      </c>
      <c r="C221" s="2">
        <v>28809333.54378375</v>
      </c>
      <c r="D221" s="2">
        <v>2.2121032895634642E-2</v>
      </c>
      <c r="E221" s="5">
        <v>7026044.7399188597</v>
      </c>
      <c r="F221" s="5">
        <v>14134498.978996299</v>
      </c>
      <c r="G221" s="5">
        <v>11611547.895542899</v>
      </c>
      <c r="H221" s="5">
        <v>1124151649.67939</v>
      </c>
      <c r="I221" s="5">
        <v>12239678.126645301</v>
      </c>
      <c r="J221" s="5">
        <v>5663152.5917724799</v>
      </c>
      <c r="K221" s="5">
        <v>13769222.206298901</v>
      </c>
      <c r="L221" s="5">
        <v>6251414.1537069101</v>
      </c>
      <c r="M221" s="5">
        <v>4881154.6726000896</v>
      </c>
      <c r="N221" s="5">
        <v>18369488.773297001</v>
      </c>
      <c r="O221" s="5">
        <v>115564358.101383</v>
      </c>
      <c r="P221" s="5">
        <v>8687251.0941281095</v>
      </c>
      <c r="Q221" s="5">
        <v>9114896.6977523006</v>
      </c>
      <c r="R221" s="5">
        <v>26492735.429795101</v>
      </c>
      <c r="S221" s="5">
        <v>8762490.6005803999</v>
      </c>
      <c r="T221" s="5">
        <v>8633828.2052903809</v>
      </c>
      <c r="U221" s="5">
        <v>11858086.781446399</v>
      </c>
      <c r="V221" s="5">
        <v>16072636.417440699</v>
      </c>
      <c r="W221" s="5">
        <v>23508253.158812501</v>
      </c>
      <c r="X221" s="5">
        <v>17915396.7215987</v>
      </c>
      <c r="Y221" s="5">
        <v>4759897.3104929598</v>
      </c>
      <c r="Z221" s="5">
        <v>9011372.1849378292</v>
      </c>
      <c r="AA221" s="5">
        <v>7329862.0840108804</v>
      </c>
      <c r="AB221" s="5">
        <v>3507365.9980389699</v>
      </c>
      <c r="AC221" s="5">
        <v>28830042.544276301</v>
      </c>
      <c r="AD221" s="5">
        <v>27909043.1758724</v>
      </c>
      <c r="AE221" s="5">
        <v>29147534.853596099</v>
      </c>
      <c r="AF221" s="5">
        <v>29350713.601390202</v>
      </c>
      <c r="AG221">
        <f t="shared" si="13"/>
        <v>28809333.54378375</v>
      </c>
      <c r="AH221">
        <f t="shared" si="14"/>
        <v>637292.2150233509</v>
      </c>
      <c r="AI221">
        <f t="shared" si="15"/>
        <v>2.2121032895634642E-2</v>
      </c>
    </row>
    <row r="222" spans="1:35" x14ac:dyDescent="0.45">
      <c r="A222" s="5" t="s">
        <v>322</v>
      </c>
      <c r="B222" s="2">
        <f t="shared" si="12"/>
        <v>200800315.64966583</v>
      </c>
      <c r="C222" s="2">
        <v>209617683.81837824</v>
      </c>
      <c r="D222" s="2">
        <v>1.4808665230711199E-2</v>
      </c>
      <c r="E222" s="5">
        <v>86916471.479619294</v>
      </c>
      <c r="F222" s="5">
        <v>94962784.147588402</v>
      </c>
      <c r="G222" s="5">
        <v>171260758.41895601</v>
      </c>
      <c r="H222" s="5">
        <v>264516277.95216599</v>
      </c>
      <c r="I222" s="5">
        <v>530523032.10036802</v>
      </c>
      <c r="J222" s="5">
        <v>363834402.45390803</v>
      </c>
      <c r="K222" s="5">
        <v>58300885.340309598</v>
      </c>
      <c r="L222" s="5">
        <v>231695801.341445</v>
      </c>
      <c r="M222" s="5">
        <v>207406230.52121201</v>
      </c>
      <c r="N222" s="5">
        <v>95824595.547428697</v>
      </c>
      <c r="O222" s="5">
        <v>125337899.860616</v>
      </c>
      <c r="P222" s="5">
        <v>241575241.953688</v>
      </c>
      <c r="Q222" s="5">
        <v>364970596.45880198</v>
      </c>
      <c r="R222" s="5">
        <v>109965401.67360801</v>
      </c>
      <c r="S222" s="5">
        <v>142335561.608289</v>
      </c>
      <c r="T222" s="5">
        <v>378828874.99545199</v>
      </c>
      <c r="U222" s="5">
        <v>120284016.25345001</v>
      </c>
      <c r="V222" s="5">
        <v>124444635.44169</v>
      </c>
      <c r="W222" s="5">
        <v>98510954.129569605</v>
      </c>
      <c r="X222" s="5">
        <v>220907915.15642899</v>
      </c>
      <c r="Y222" s="5">
        <v>199143756.70678601</v>
      </c>
      <c r="Z222" s="5">
        <v>177203405.29212201</v>
      </c>
      <c r="AA222" s="5">
        <v>254714712.715817</v>
      </c>
      <c r="AB222" s="5">
        <v>155743364.04266101</v>
      </c>
      <c r="AC222" s="5">
        <v>209038650.75536999</v>
      </c>
      <c r="AD222" s="5">
        <v>205656686.322025</v>
      </c>
      <c r="AE222" s="5">
        <v>213022748.314816</v>
      </c>
      <c r="AF222" s="5">
        <v>210752649.881302</v>
      </c>
      <c r="AG222">
        <f t="shared" si="13"/>
        <v>209617683.81837824</v>
      </c>
      <c r="AH222">
        <f t="shared" si="14"/>
        <v>3104158.1061034314</v>
      </c>
      <c r="AI222">
        <f t="shared" si="15"/>
        <v>1.4808665230711199E-2</v>
      </c>
    </row>
    <row r="223" spans="1:35" x14ac:dyDescent="0.45">
      <c r="A223" s="5" t="s">
        <v>323</v>
      </c>
      <c r="B223" s="2">
        <f t="shared" si="12"/>
        <v>44814229.35792052</v>
      </c>
      <c r="C223" s="2">
        <v>21739035.38035585</v>
      </c>
      <c r="D223" s="2">
        <v>0.14190318198810137</v>
      </c>
      <c r="E223" s="5">
        <v>18594763.304611299</v>
      </c>
      <c r="F223" s="5">
        <v>24761464.6614535</v>
      </c>
      <c r="G223" s="5">
        <v>28865683.690857101</v>
      </c>
      <c r="H223" s="5">
        <v>18063975.268909901</v>
      </c>
      <c r="I223" s="5">
        <v>7441316.7115818104</v>
      </c>
      <c r="J223" s="5">
        <v>31269393.973419201</v>
      </c>
      <c r="K223" s="5">
        <v>45254638.931652397</v>
      </c>
      <c r="L223" s="5">
        <v>32099772.040578801</v>
      </c>
      <c r="M223" s="5">
        <v>17125153.947305702</v>
      </c>
      <c r="N223" s="5">
        <v>15792062.236742999</v>
      </c>
      <c r="O223" s="5">
        <v>23379283.3190764</v>
      </c>
      <c r="P223" s="5">
        <v>23018900.675731301</v>
      </c>
      <c r="Q223" s="5">
        <v>6221586.03237426</v>
      </c>
      <c r="R223" s="5">
        <v>34960482.396237597</v>
      </c>
      <c r="S223" s="5">
        <v>29950179.481122199</v>
      </c>
      <c r="T223" s="5">
        <v>501791406.56715101</v>
      </c>
      <c r="U223" s="5">
        <v>21201216.022874001</v>
      </c>
      <c r="V223" s="5">
        <v>19890831.8938086</v>
      </c>
      <c r="W223" s="5">
        <v>34567173.549089</v>
      </c>
      <c r="X223" s="5">
        <v>21044524.011073299</v>
      </c>
      <c r="Y223" s="5">
        <v>13817404.774822799</v>
      </c>
      <c r="Z223" s="5">
        <v>28837656.757189099</v>
      </c>
      <c r="AA223" s="5">
        <v>56911322.485550299</v>
      </c>
      <c r="AB223" s="5">
        <v>20681311.8568797</v>
      </c>
      <c r="AC223" s="5">
        <v>23473527.995737899</v>
      </c>
      <c r="AD223" s="5">
        <v>18058102.943526901</v>
      </c>
      <c r="AE223" s="5">
        <v>20465408.648497202</v>
      </c>
      <c r="AF223" s="5">
        <v>24959101.933661401</v>
      </c>
      <c r="AG223">
        <f t="shared" si="13"/>
        <v>21739035.38035585</v>
      </c>
      <c r="AH223">
        <f t="shared" si="14"/>
        <v>3084838.2938244105</v>
      </c>
      <c r="AI223">
        <f t="shared" si="15"/>
        <v>0.14190318198810137</v>
      </c>
    </row>
    <row r="224" spans="1:35" x14ac:dyDescent="0.45">
      <c r="A224" s="5" t="s">
        <v>324</v>
      </c>
      <c r="B224" s="2">
        <f t="shared" si="12"/>
        <v>30971368.565520708</v>
      </c>
      <c r="C224" s="2">
        <v>21276709.645816103</v>
      </c>
      <c r="D224" s="2">
        <v>4.2111017890074549E-2</v>
      </c>
      <c r="E224" s="5">
        <v>6540728.0642289696</v>
      </c>
      <c r="F224" s="5">
        <v>7344488.7624158598</v>
      </c>
      <c r="G224" s="5">
        <v>65338561.467068203</v>
      </c>
      <c r="H224" s="5">
        <v>118338356.95175999</v>
      </c>
      <c r="I224" s="5">
        <v>6236424.8298676396</v>
      </c>
      <c r="J224" s="5">
        <v>5603086.7302739499</v>
      </c>
      <c r="K224" s="5">
        <v>7045806.2082605204</v>
      </c>
      <c r="L224" s="5">
        <v>5550284.2393847303</v>
      </c>
      <c r="M224" s="5">
        <v>6402522.1279753996</v>
      </c>
      <c r="N224" s="5">
        <v>6712413.8412693003</v>
      </c>
      <c r="O224" s="5">
        <v>166428981.34955499</v>
      </c>
      <c r="P224" s="5">
        <v>97264305.160085693</v>
      </c>
      <c r="Q224" s="5">
        <v>5941505.8323262203</v>
      </c>
      <c r="R224" s="5">
        <v>7085822.4518498201</v>
      </c>
      <c r="S224" s="5">
        <v>7469241.6911485102</v>
      </c>
      <c r="T224" s="5">
        <v>11643744.349977201</v>
      </c>
      <c r="U224" s="5">
        <v>6449237.3804462701</v>
      </c>
      <c r="V224" s="5">
        <v>6320276.2335683098</v>
      </c>
      <c r="W224" s="5">
        <v>4997316.6558779199</v>
      </c>
      <c r="X224" s="5">
        <v>97353185.301532403</v>
      </c>
      <c r="Y224" s="5">
        <v>6757071.1548663396</v>
      </c>
      <c r="Z224" s="5">
        <v>5792062.0999686001</v>
      </c>
      <c r="AA224" s="5">
        <v>77955996.564343303</v>
      </c>
      <c r="AB224" s="5">
        <v>6741426.1244468503</v>
      </c>
      <c r="AC224" s="5">
        <v>20550901.000040598</v>
      </c>
      <c r="AD224" s="5">
        <v>20460027.424961001</v>
      </c>
      <c r="AE224" s="5">
        <v>22159656.4065657</v>
      </c>
      <c r="AF224" s="5">
        <v>21936253.751697101</v>
      </c>
      <c r="AG224">
        <f t="shared" si="13"/>
        <v>21276709.645816103</v>
      </c>
      <c r="AH224">
        <f t="shared" si="14"/>
        <v>895983.90053688362</v>
      </c>
      <c r="AI224">
        <f t="shared" si="15"/>
        <v>4.2111017890074549E-2</v>
      </c>
    </row>
    <row r="225" spans="1:35" x14ac:dyDescent="0.45">
      <c r="A225" s="5" t="s">
        <v>214</v>
      </c>
      <c r="B225" s="2">
        <f t="shared" si="12"/>
        <v>72461022.468846053</v>
      </c>
      <c r="C225" s="2">
        <v>51559315.918122768</v>
      </c>
      <c r="D225" s="2">
        <v>5.7692769178828054E-2</v>
      </c>
      <c r="E225" s="5">
        <v>71792682.338155299</v>
      </c>
      <c r="F225" s="5">
        <v>111879172.43376701</v>
      </c>
      <c r="G225" s="5">
        <v>93520501.015348807</v>
      </c>
      <c r="H225" s="5">
        <v>21236622.3225177</v>
      </c>
      <c r="I225" s="5">
        <v>97784480.296033293</v>
      </c>
      <c r="J225" s="5">
        <v>21542472.7904264</v>
      </c>
      <c r="K225" s="5">
        <v>100794994.540574</v>
      </c>
      <c r="L225" s="5">
        <v>86554254.428355694</v>
      </c>
      <c r="M225" s="5">
        <v>45668917.736268997</v>
      </c>
      <c r="N225" s="5">
        <v>61142017.184266403</v>
      </c>
      <c r="O225" s="5">
        <v>14130702.1811444</v>
      </c>
      <c r="P225" s="5">
        <v>53903034.519158103</v>
      </c>
      <c r="Q225" s="5">
        <v>44886637.659341902</v>
      </c>
      <c r="R225" s="5">
        <v>115805349.869699</v>
      </c>
      <c r="S225" s="5">
        <v>103206824.658977</v>
      </c>
      <c r="T225" s="5">
        <v>111548945.917192</v>
      </c>
      <c r="U225" s="5">
        <v>50336422.3524772</v>
      </c>
      <c r="V225" s="5">
        <v>60461207.746822298</v>
      </c>
      <c r="W225" s="5">
        <v>53932797.103941299</v>
      </c>
      <c r="X225" s="5">
        <v>56563213.791838497</v>
      </c>
      <c r="Y225" s="5">
        <v>69820541.742549896</v>
      </c>
      <c r="Z225" s="5">
        <v>48252910.334624201</v>
      </c>
      <c r="AA225" s="5">
        <v>144334057.86193299</v>
      </c>
      <c r="AB225" s="5">
        <v>99965778.426892698</v>
      </c>
      <c r="AC225" s="5">
        <v>47322726.517696798</v>
      </c>
      <c r="AD225" s="5">
        <v>53756852.622497901</v>
      </c>
      <c r="AE225" s="5">
        <v>51660146.157138199</v>
      </c>
      <c r="AF225" s="5">
        <v>53497538.375158198</v>
      </c>
      <c r="AG225">
        <f t="shared" si="13"/>
        <v>51559315.918122768</v>
      </c>
      <c r="AH225">
        <f t="shared" si="14"/>
        <v>2974599.7122825319</v>
      </c>
      <c r="AI225">
        <f t="shared" si="15"/>
        <v>5.7692769178828054E-2</v>
      </c>
    </row>
    <row r="226" spans="1:35" x14ac:dyDescent="0.45">
      <c r="A226" s="5" t="s">
        <v>215</v>
      </c>
      <c r="B226" s="2">
        <f t="shared" si="12"/>
        <v>43660200.640957646</v>
      </c>
      <c r="C226" s="2">
        <v>27885786.016650174</v>
      </c>
      <c r="D226" s="2">
        <v>2.1622612938267678E-2</v>
      </c>
      <c r="E226" s="5">
        <v>12870810.5623472</v>
      </c>
      <c r="F226" s="5">
        <v>24315620.887152001</v>
      </c>
      <c r="G226" s="5">
        <v>15347468.0154252</v>
      </c>
      <c r="H226" s="5">
        <v>504038609.90532398</v>
      </c>
      <c r="I226" s="5">
        <v>8188236.0657441895</v>
      </c>
      <c r="J226" s="5">
        <v>19668366.488603901</v>
      </c>
      <c r="K226" s="5">
        <v>15103366.655327501</v>
      </c>
      <c r="L226" s="5">
        <v>30533651.7890407</v>
      </c>
      <c r="M226" s="5">
        <v>7668358.9082820397</v>
      </c>
      <c r="N226" s="5">
        <v>24156618.890223902</v>
      </c>
      <c r="O226" s="5">
        <v>55242688.669222698</v>
      </c>
      <c r="P226" s="5">
        <v>22172231.1845905</v>
      </c>
      <c r="Q226" s="5">
        <v>14315899.4860989</v>
      </c>
      <c r="R226" s="5">
        <v>18258562.3743046</v>
      </c>
      <c r="S226" s="5">
        <v>34917331.148159698</v>
      </c>
      <c r="T226" s="5">
        <v>93058056.445905894</v>
      </c>
      <c r="U226" s="5">
        <v>21337411.437095899</v>
      </c>
      <c r="V226" s="5">
        <v>13686733.6681145</v>
      </c>
      <c r="W226" s="5">
        <v>30849445.294357799</v>
      </c>
      <c r="X226" s="5">
        <v>8079190.95658057</v>
      </c>
      <c r="Y226" s="5">
        <v>19641760.638056502</v>
      </c>
      <c r="Z226" s="5">
        <v>13341652.2795885</v>
      </c>
      <c r="AA226" s="5">
        <v>16618141.549251299</v>
      </c>
      <c r="AB226" s="5">
        <v>24434602.084185399</v>
      </c>
      <c r="AC226" s="5">
        <v>27597510.536231302</v>
      </c>
      <c r="AD226" s="5">
        <v>27288023.464237299</v>
      </c>
      <c r="AE226" s="5">
        <v>27969819.911095802</v>
      </c>
      <c r="AF226" s="5">
        <v>28687790.1550363</v>
      </c>
      <c r="AG226">
        <f t="shared" si="13"/>
        <v>27885786.016650174</v>
      </c>
      <c r="AH226">
        <f t="shared" si="14"/>
        <v>602963.55751738395</v>
      </c>
      <c r="AI226">
        <f t="shared" si="15"/>
        <v>2.1622612938267678E-2</v>
      </c>
    </row>
    <row r="227" spans="1:35" x14ac:dyDescent="0.45">
      <c r="A227" s="5" t="s">
        <v>325</v>
      </c>
      <c r="B227" s="2">
        <f t="shared" si="12"/>
        <v>202021620.27405718</v>
      </c>
      <c r="C227" s="2">
        <v>218492329.67756775</v>
      </c>
      <c r="D227" s="2">
        <v>1.3036693126791151E-2</v>
      </c>
      <c r="E227" s="5">
        <v>49148129.073230401</v>
      </c>
      <c r="F227" s="5">
        <v>50106576.356536902</v>
      </c>
      <c r="G227" s="5">
        <v>65898979.590562403</v>
      </c>
      <c r="H227" s="5">
        <v>241385963.323282</v>
      </c>
      <c r="I227" s="5">
        <v>325945394.79554302</v>
      </c>
      <c r="J227" s="5">
        <v>653589696.58817196</v>
      </c>
      <c r="K227" s="5">
        <v>86789166.012842104</v>
      </c>
      <c r="L227" s="5">
        <v>111012358.96881799</v>
      </c>
      <c r="M227" s="5">
        <v>286910092.47723597</v>
      </c>
      <c r="N227" s="5">
        <v>42973080.795151398</v>
      </c>
      <c r="O227" s="5">
        <v>514860197.49444902</v>
      </c>
      <c r="P227" s="5">
        <v>95824551.677861303</v>
      </c>
      <c r="Q227" s="5">
        <v>406702935.710769</v>
      </c>
      <c r="R227" s="5">
        <v>216746404.35569599</v>
      </c>
      <c r="S227" s="5">
        <v>213425833.842666</v>
      </c>
      <c r="T227" s="5">
        <v>334513497.10255402</v>
      </c>
      <c r="U227" s="5">
        <v>107595673.037862</v>
      </c>
      <c r="V227" s="5">
        <v>24934239.348620798</v>
      </c>
      <c r="W227" s="5">
        <v>91374405.081631005</v>
      </c>
      <c r="X227" s="5">
        <v>67917138.496460199</v>
      </c>
      <c r="Y227" s="5">
        <v>271784301.92551398</v>
      </c>
      <c r="Z227" s="5">
        <v>201476490.27590099</v>
      </c>
      <c r="AA227" s="5">
        <v>303695297.45014799</v>
      </c>
      <c r="AB227" s="5">
        <v>83908482.795865595</v>
      </c>
      <c r="AC227" s="5">
        <v>219378217.272257</v>
      </c>
      <c r="AD227" s="5">
        <v>214344798.72055501</v>
      </c>
      <c r="AE227" s="5">
        <v>219403958.27932799</v>
      </c>
      <c r="AF227" s="5">
        <v>220842344.438131</v>
      </c>
      <c r="AG227">
        <f t="shared" si="13"/>
        <v>218492329.67756775</v>
      </c>
      <c r="AH227">
        <f t="shared" si="14"/>
        <v>2848417.4525641338</v>
      </c>
      <c r="AI227">
        <f t="shared" si="15"/>
        <v>1.3036693126791151E-2</v>
      </c>
    </row>
    <row r="228" spans="1:35" x14ac:dyDescent="0.45">
      <c r="A228" s="5" t="s">
        <v>216</v>
      </c>
      <c r="B228" s="2">
        <f t="shared" si="12"/>
        <v>9827536.3832618706</v>
      </c>
      <c r="C228" s="2">
        <v>13419393.861225251</v>
      </c>
      <c r="D228" s="2">
        <v>9.8938624822162452E-2</v>
      </c>
      <c r="E228" s="5">
        <v>4401656.2774759801</v>
      </c>
      <c r="F228" s="5">
        <v>4358037.3916046396</v>
      </c>
      <c r="G228" s="5">
        <v>4431232.4185397103</v>
      </c>
      <c r="H228" s="5">
        <v>19518792.168547101</v>
      </c>
      <c r="I228" s="5">
        <v>12887279.652482999</v>
      </c>
      <c r="J228" s="5">
        <v>26487036.656587198</v>
      </c>
      <c r="K228" s="5">
        <v>4163964.78369419</v>
      </c>
      <c r="L228" s="5">
        <v>12597094.879635399</v>
      </c>
      <c r="M228" s="5">
        <v>6502137.3904566597</v>
      </c>
      <c r="N228" s="5">
        <v>4148138.5549383</v>
      </c>
      <c r="O228" s="5">
        <v>7588614.9037056696</v>
      </c>
      <c r="P228" s="5">
        <v>15928748.6322002</v>
      </c>
      <c r="Q228" s="5">
        <v>15680573.9245806</v>
      </c>
      <c r="R228" s="5">
        <v>7828397.9762442699</v>
      </c>
      <c r="S228" s="5">
        <v>5414985.6285498198</v>
      </c>
      <c r="T228" s="5">
        <v>5226633.7861391203</v>
      </c>
      <c r="U228" s="5">
        <v>4946582.1431830404</v>
      </c>
      <c r="V228" s="5">
        <v>4422400.9379623504</v>
      </c>
      <c r="W228" s="5">
        <v>3203784.7157739499</v>
      </c>
      <c r="X228" s="5">
        <v>31193965.534579098</v>
      </c>
      <c r="Y228" s="5">
        <v>11461894.907907899</v>
      </c>
      <c r="Z228" s="5">
        <v>5096589.6072471002</v>
      </c>
      <c r="AA228" s="5">
        <v>8466751.0377955195</v>
      </c>
      <c r="AB228" s="5">
        <v>9905579.2884540595</v>
      </c>
      <c r="AC228" s="5">
        <v>12977726.9365157</v>
      </c>
      <c r="AD228" s="5">
        <v>12314052.106349301</v>
      </c>
      <c r="AE228" s="5">
        <v>13036424.034773801</v>
      </c>
      <c r="AF228" s="5">
        <v>15349372.3672622</v>
      </c>
      <c r="AG228">
        <f t="shared" si="13"/>
        <v>13419393.861225251</v>
      </c>
      <c r="AH228">
        <f t="shared" si="14"/>
        <v>1327696.3745765951</v>
      </c>
      <c r="AI228">
        <f t="shared" si="15"/>
        <v>9.8938624822162452E-2</v>
      </c>
    </row>
    <row r="229" spans="1:35" x14ac:dyDescent="0.45">
      <c r="A229" s="5" t="s">
        <v>217</v>
      </c>
      <c r="B229" s="2">
        <f t="shared" si="12"/>
        <v>273412871.66929579</v>
      </c>
      <c r="C229" s="2">
        <v>241702179.03335828</v>
      </c>
      <c r="D229" s="2">
        <v>4.3356447570106177E-2</v>
      </c>
      <c r="E229" s="5">
        <v>321648943.54448098</v>
      </c>
      <c r="F229" s="5">
        <v>279729142.89907402</v>
      </c>
      <c r="G229" s="5">
        <v>261434373.73833999</v>
      </c>
      <c r="H229" s="5">
        <v>235984238.75192001</v>
      </c>
      <c r="I229" s="5">
        <v>225677751.016417</v>
      </c>
      <c r="J229" s="5">
        <v>203894157.46318701</v>
      </c>
      <c r="K229" s="5">
        <v>333345159.61996299</v>
      </c>
      <c r="L229" s="5">
        <v>322678920.196253</v>
      </c>
      <c r="M229" s="5">
        <v>231258563.18919301</v>
      </c>
      <c r="N229" s="5">
        <v>294794547.90203398</v>
      </c>
      <c r="O229" s="5">
        <v>238101995.78780699</v>
      </c>
      <c r="P229" s="5">
        <v>354973487.64539897</v>
      </c>
      <c r="Q229" s="5">
        <v>183163035.20132101</v>
      </c>
      <c r="R229" s="5">
        <v>342775254.21469599</v>
      </c>
      <c r="S229" s="5">
        <v>292350413.26087803</v>
      </c>
      <c r="T229" s="5">
        <v>215890857.609938</v>
      </c>
      <c r="U229" s="5">
        <v>247606129.92958501</v>
      </c>
      <c r="V229" s="5">
        <v>237513069.127518</v>
      </c>
      <c r="W229" s="5">
        <v>283238380.55171502</v>
      </c>
      <c r="X229" s="5">
        <v>303320138.02118498</v>
      </c>
      <c r="Y229" s="5">
        <v>267641402.973405</v>
      </c>
      <c r="Z229" s="5">
        <v>274284821.94540203</v>
      </c>
      <c r="AA229" s="5">
        <v>250429079.844491</v>
      </c>
      <c r="AB229" s="5">
        <v>360175055.62889701</v>
      </c>
      <c r="AC229" s="5">
        <v>226561693.66377601</v>
      </c>
      <c r="AD229" s="5">
        <v>248025602.04455999</v>
      </c>
      <c r="AE229" s="5">
        <v>242842689.08795601</v>
      </c>
      <c r="AF229" s="5">
        <v>249378731.33714101</v>
      </c>
      <c r="AG229">
        <f t="shared" si="13"/>
        <v>241702179.03335828</v>
      </c>
      <c r="AH229">
        <f t="shared" si="14"/>
        <v>10479347.852840215</v>
      </c>
      <c r="AI229">
        <f t="shared" si="15"/>
        <v>4.3356447570106177E-2</v>
      </c>
    </row>
    <row r="230" spans="1:35" x14ac:dyDescent="0.45">
      <c r="A230" s="5" t="s">
        <v>326</v>
      </c>
      <c r="B230" s="2">
        <f t="shared" si="12"/>
        <v>6227531.7704844801</v>
      </c>
      <c r="C230" s="2">
        <v>8169981.4955584677</v>
      </c>
      <c r="D230" s="2">
        <v>2.0283668217222856E-2</v>
      </c>
      <c r="E230" s="5">
        <v>1324414.80927749</v>
      </c>
      <c r="F230" s="5">
        <v>2019747.4866550399</v>
      </c>
      <c r="G230" s="5">
        <v>3051799.06080367</v>
      </c>
      <c r="H230" s="5">
        <v>39256090.104790099</v>
      </c>
      <c r="I230" s="5">
        <v>1479753.11132527</v>
      </c>
      <c r="J230" s="5">
        <v>47758542.4402529</v>
      </c>
      <c r="K230" s="5">
        <v>3556263.94476027</v>
      </c>
      <c r="L230" s="5">
        <v>2405324.1573246298</v>
      </c>
      <c r="M230" s="5">
        <v>2155054.9408922601</v>
      </c>
      <c r="N230" s="5">
        <v>1539412.80528245</v>
      </c>
      <c r="O230" s="5">
        <v>3592721.9129528301</v>
      </c>
      <c r="P230" s="5">
        <v>2814505.2081100899</v>
      </c>
      <c r="Q230" s="5">
        <v>3674084.4872813602</v>
      </c>
      <c r="R230" s="5">
        <v>1635812.56449457</v>
      </c>
      <c r="S230" s="5">
        <v>4206551.8877198901</v>
      </c>
      <c r="T230" s="5">
        <v>2754164.83191839</v>
      </c>
      <c r="U230" s="5">
        <v>1895645.0863339</v>
      </c>
      <c r="V230" s="5">
        <v>3476588.3504953501</v>
      </c>
      <c r="W230" s="5">
        <v>1738933.1256784899</v>
      </c>
      <c r="X230" s="5">
        <v>4602763.1441063397</v>
      </c>
      <c r="Y230" s="5">
        <v>2884076.07261763</v>
      </c>
      <c r="Z230" s="5">
        <v>3303661.95316851</v>
      </c>
      <c r="AA230" s="5">
        <v>6037586.9166778997</v>
      </c>
      <c r="AB230" s="5">
        <v>2297264.0887082098</v>
      </c>
      <c r="AC230" s="5">
        <v>7977571.7945636697</v>
      </c>
      <c r="AD230" s="5">
        <v>8327256.4067472201</v>
      </c>
      <c r="AE230" s="5">
        <v>8287580.0048829103</v>
      </c>
      <c r="AF230" s="5">
        <v>8087517.7760400698</v>
      </c>
      <c r="AG230">
        <f t="shared" si="13"/>
        <v>8169981.4955584677</v>
      </c>
      <c r="AH230">
        <f t="shared" si="14"/>
        <v>165717.19399675814</v>
      </c>
      <c r="AI230">
        <f t="shared" si="15"/>
        <v>2.0283668217222856E-2</v>
      </c>
    </row>
    <row r="231" spans="1:35" x14ac:dyDescent="0.45">
      <c r="A231" s="5" t="s">
        <v>218</v>
      </c>
      <c r="B231" s="2">
        <f t="shared" si="12"/>
        <v>53564953.201417089</v>
      </c>
      <c r="C231" s="2">
        <v>41679866.162307099</v>
      </c>
      <c r="D231" s="2">
        <v>2.4584520466239559E-2</v>
      </c>
      <c r="E231" s="5">
        <v>38644203.239529997</v>
      </c>
      <c r="F231" s="5">
        <v>54066814.614148699</v>
      </c>
      <c r="G231" s="5">
        <v>23512860.664116502</v>
      </c>
      <c r="H231" s="5">
        <v>104001713.903327</v>
      </c>
      <c r="I231" s="5">
        <v>25992409.681423299</v>
      </c>
      <c r="J231" s="5">
        <v>34664964.1862422</v>
      </c>
      <c r="K231" s="5">
        <v>37548180.016026698</v>
      </c>
      <c r="L231" s="5">
        <v>27324630.630663399</v>
      </c>
      <c r="M231" s="5">
        <v>27019494.202798899</v>
      </c>
      <c r="N231" s="5">
        <v>64618740.547430001</v>
      </c>
      <c r="O231" s="5">
        <v>143413683.31112701</v>
      </c>
      <c r="P231" s="5">
        <v>83559660.713082105</v>
      </c>
      <c r="Q231" s="5">
        <v>35655733.282881297</v>
      </c>
      <c r="R231" s="5">
        <v>86231051.371012196</v>
      </c>
      <c r="S231" s="5">
        <v>31744431.589226</v>
      </c>
      <c r="T231" s="5">
        <v>74124945.130036101</v>
      </c>
      <c r="U231" s="5">
        <v>91023474.818819702</v>
      </c>
      <c r="V231" s="5">
        <v>40935765.840799898</v>
      </c>
      <c r="W231" s="5">
        <v>76034816.067236304</v>
      </c>
      <c r="X231" s="5">
        <v>39464928.017073303</v>
      </c>
      <c r="Y231" s="5">
        <v>38736528.762235798</v>
      </c>
      <c r="Z231" s="5">
        <v>62830355.612266399</v>
      </c>
      <c r="AA231" s="5">
        <v>22688305.253278799</v>
      </c>
      <c r="AB231" s="5">
        <v>21721185.3792287</v>
      </c>
      <c r="AC231" s="5">
        <v>43051604.930297598</v>
      </c>
      <c r="AD231" s="5">
        <v>40657945.820138603</v>
      </c>
      <c r="AE231" s="5">
        <v>41790201.996537797</v>
      </c>
      <c r="AF231" s="5">
        <v>41219711.902254403</v>
      </c>
      <c r="AG231">
        <f t="shared" si="13"/>
        <v>41679866.162307099</v>
      </c>
      <c r="AH231">
        <f t="shared" si="14"/>
        <v>1024679.5226973646</v>
      </c>
      <c r="AI231">
        <f t="shared" si="15"/>
        <v>2.4584520466239559E-2</v>
      </c>
    </row>
    <row r="232" spans="1:35" x14ac:dyDescent="0.45">
      <c r="A232" s="5" t="s">
        <v>219</v>
      </c>
      <c r="B232" s="2">
        <f t="shared" si="12"/>
        <v>37855544.061629832</v>
      </c>
      <c r="C232" s="2">
        <v>31719568.163627423</v>
      </c>
      <c r="D232" s="2">
        <v>2.4380863824972985E-2</v>
      </c>
      <c r="E232" s="5">
        <v>16077806.640705001</v>
      </c>
      <c r="F232" s="5">
        <v>16345631.318434</v>
      </c>
      <c r="G232" s="5">
        <v>13072664.840758201</v>
      </c>
      <c r="H232" s="5">
        <v>146072563.61658499</v>
      </c>
      <c r="I232" s="5">
        <v>63508770.291410796</v>
      </c>
      <c r="J232" s="5">
        <v>53651975.544826701</v>
      </c>
      <c r="K232" s="5">
        <v>47714063.585843198</v>
      </c>
      <c r="L232" s="5">
        <v>26610809.610040698</v>
      </c>
      <c r="M232" s="5">
        <v>31880295.618472099</v>
      </c>
      <c r="N232" s="5">
        <v>56747454.270602301</v>
      </c>
      <c r="O232" s="5">
        <v>45980587.426064499</v>
      </c>
      <c r="P232" s="5">
        <v>78804489.106308207</v>
      </c>
      <c r="Q232" s="5">
        <v>19985200.189543899</v>
      </c>
      <c r="R232" s="5">
        <v>50979340.314342</v>
      </c>
      <c r="S232" s="5">
        <v>51859854.903737597</v>
      </c>
      <c r="T232" s="5">
        <v>29039065.131979398</v>
      </c>
      <c r="U232" s="5">
        <v>10182356.5300729</v>
      </c>
      <c r="V232" s="5">
        <v>23391798.961212002</v>
      </c>
      <c r="W232" s="5">
        <v>6316183.8749168599</v>
      </c>
      <c r="X232" s="5">
        <v>20621355.216076501</v>
      </c>
      <c r="Y232" s="5">
        <v>14811334.007520501</v>
      </c>
      <c r="Z232" s="5">
        <v>12463403.435455101</v>
      </c>
      <c r="AA232" s="5">
        <v>28079504.946670901</v>
      </c>
      <c r="AB232" s="5">
        <v>44336548.0975376</v>
      </c>
      <c r="AC232" s="5">
        <v>31420113.544671699</v>
      </c>
      <c r="AD232" s="5">
        <v>32716572.5213085</v>
      </c>
      <c r="AE232" s="5">
        <v>30887453.723927099</v>
      </c>
      <c r="AF232" s="5">
        <v>31854132.864602402</v>
      </c>
      <c r="AG232">
        <f t="shared" si="13"/>
        <v>31719568.163627423</v>
      </c>
      <c r="AH232">
        <f t="shared" si="14"/>
        <v>773350.47198434861</v>
      </c>
      <c r="AI232">
        <f t="shared" si="15"/>
        <v>2.4380863824972985E-2</v>
      </c>
    </row>
    <row r="233" spans="1:35" x14ac:dyDescent="0.45">
      <c r="A233" s="5" t="s">
        <v>220</v>
      </c>
      <c r="B233" s="2">
        <f t="shared" si="12"/>
        <v>226498921.08349061</v>
      </c>
      <c r="C233" s="2">
        <v>187165010.89466301</v>
      </c>
      <c r="D233" s="2">
        <v>2.6462419460047036E-2</v>
      </c>
      <c r="E233" s="5">
        <v>294808334.23219597</v>
      </c>
      <c r="F233" s="5">
        <v>322153761.36679298</v>
      </c>
      <c r="G233" s="5">
        <v>346764624.75825</v>
      </c>
      <c r="H233" s="5">
        <v>101820415.89126</v>
      </c>
      <c r="I233" s="5">
        <v>207310022.374228</v>
      </c>
      <c r="J233" s="5">
        <v>94073796.820577696</v>
      </c>
      <c r="K233" s="5">
        <v>375315767.14255899</v>
      </c>
      <c r="L233" s="5">
        <v>219810189.29570401</v>
      </c>
      <c r="M233" s="5">
        <v>187081656.34331501</v>
      </c>
      <c r="N233" s="5">
        <v>240466671.53537199</v>
      </c>
      <c r="O233" s="5">
        <v>45718822.139105499</v>
      </c>
      <c r="P233" s="5">
        <v>184721703.940826</v>
      </c>
      <c r="Q233" s="5">
        <v>157736481.882148</v>
      </c>
      <c r="R233" s="5">
        <v>269718621.42933202</v>
      </c>
      <c r="S233" s="5">
        <v>396858839.30906099</v>
      </c>
      <c r="T233" s="5">
        <v>8654922.9846343193</v>
      </c>
      <c r="U233" s="5">
        <v>240547632.60992301</v>
      </c>
      <c r="V233" s="5">
        <v>208766162.13178799</v>
      </c>
      <c r="W233" s="5">
        <v>277519788.63996601</v>
      </c>
      <c r="X233" s="5">
        <v>225926173.34773299</v>
      </c>
      <c r="Y233" s="5">
        <v>247838514.09367901</v>
      </c>
      <c r="Z233" s="5">
        <v>173587818.67318901</v>
      </c>
      <c r="AA233" s="5">
        <v>376952968.51639497</v>
      </c>
      <c r="AB233" s="5">
        <v>231820416.54574099</v>
      </c>
      <c r="AC233" s="5">
        <v>185958169.33763799</v>
      </c>
      <c r="AD233" s="5">
        <v>194168596.395895</v>
      </c>
      <c r="AE233" s="5">
        <v>182494063.58223701</v>
      </c>
      <c r="AF233" s="5">
        <v>186039214.26288199</v>
      </c>
      <c r="AG233">
        <f t="shared" si="13"/>
        <v>187165010.89466301</v>
      </c>
      <c r="AH233">
        <f t="shared" si="14"/>
        <v>4952839.0265388461</v>
      </c>
      <c r="AI233">
        <f t="shared" si="15"/>
        <v>2.6462419460047036E-2</v>
      </c>
    </row>
    <row r="234" spans="1:35" x14ac:dyDescent="0.45">
      <c r="A234" s="5" t="s">
        <v>327</v>
      </c>
      <c r="B234" s="2">
        <f t="shared" si="12"/>
        <v>42941186.012506433</v>
      </c>
      <c r="C234" s="2">
        <v>43531803.771261349</v>
      </c>
      <c r="D234" s="2">
        <v>1.8505687118952684E-2</v>
      </c>
      <c r="E234" s="5">
        <v>7798845.14576024</v>
      </c>
      <c r="F234" s="5">
        <v>13529210.1280002</v>
      </c>
      <c r="G234" s="5">
        <v>56937345.392467</v>
      </c>
      <c r="H234" s="5">
        <v>18480649.589028101</v>
      </c>
      <c r="I234" s="5">
        <v>103828139.091893</v>
      </c>
      <c r="J234" s="5">
        <v>121265506.39820801</v>
      </c>
      <c r="K234" s="5">
        <v>10834457.1919457</v>
      </c>
      <c r="L234" s="5">
        <v>34521607.495109603</v>
      </c>
      <c r="M234" s="5">
        <v>95469246.034259006</v>
      </c>
      <c r="N234" s="5">
        <v>6084182.38785352</v>
      </c>
      <c r="O234" s="5">
        <v>341497.507292594</v>
      </c>
      <c r="P234" s="5">
        <v>8128068.2436259203</v>
      </c>
      <c r="Q234" s="5">
        <v>100261963.00775801</v>
      </c>
      <c r="R234" s="5">
        <v>3204695.1005337099</v>
      </c>
      <c r="S234" s="5">
        <v>51071447.714282699</v>
      </c>
      <c r="T234" s="5">
        <v>1177384.128217</v>
      </c>
      <c r="U234" s="5">
        <v>29774877.296946999</v>
      </c>
      <c r="V234" s="5">
        <v>47917198.5694227</v>
      </c>
      <c r="W234" s="5">
        <v>9287625.0796989202</v>
      </c>
      <c r="X234" s="5">
        <v>118757750.68673</v>
      </c>
      <c r="Y234" s="5">
        <v>33609493.694527201</v>
      </c>
      <c r="Z234" s="5">
        <v>57363175.979932897</v>
      </c>
      <c r="AA234" s="5">
        <v>77598033.519597903</v>
      </c>
      <c r="AB234" s="5">
        <v>23346064.9170634</v>
      </c>
      <c r="AC234" s="5">
        <v>42817571.910716198</v>
      </c>
      <c r="AD234" s="5">
        <v>42885807.650711097</v>
      </c>
      <c r="AE234" s="5">
        <v>43994710.599131897</v>
      </c>
      <c r="AF234" s="5">
        <v>44429124.924486198</v>
      </c>
      <c r="AG234">
        <f t="shared" si="13"/>
        <v>43531803.771261349</v>
      </c>
      <c r="AH234">
        <f t="shared" si="14"/>
        <v>805585.940314607</v>
      </c>
      <c r="AI234">
        <f t="shared" si="15"/>
        <v>1.8505687118952684E-2</v>
      </c>
    </row>
    <row r="235" spans="1:35" x14ac:dyDescent="0.45">
      <c r="A235" s="5" t="s">
        <v>221</v>
      </c>
      <c r="B235" s="2">
        <f t="shared" si="12"/>
        <v>248497389.35959092</v>
      </c>
      <c r="C235" s="2">
        <v>210258201.76472101</v>
      </c>
      <c r="D235" s="2">
        <v>6.739298172959178E-2</v>
      </c>
      <c r="E235" s="5">
        <v>156788465.769921</v>
      </c>
      <c r="F235" s="5">
        <v>173155093.21545199</v>
      </c>
      <c r="G235" s="5">
        <v>179446481.08201</v>
      </c>
      <c r="H235" s="5">
        <v>112204314.007038</v>
      </c>
      <c r="I235" s="5">
        <v>234774342.49081501</v>
      </c>
      <c r="J235" s="5">
        <v>135545595.51431301</v>
      </c>
      <c r="K235" s="5">
        <v>296595997.56676197</v>
      </c>
      <c r="L235" s="5">
        <v>239200271.51786101</v>
      </c>
      <c r="M235" s="5">
        <v>131691629.230736</v>
      </c>
      <c r="N235" s="5">
        <v>166237510.17317</v>
      </c>
      <c r="O235" s="5">
        <v>652239077.123703</v>
      </c>
      <c r="P235" s="5">
        <v>241175031.59661001</v>
      </c>
      <c r="Q235" s="5">
        <v>348395645.00677699</v>
      </c>
      <c r="R235" s="5">
        <v>213926945.07847601</v>
      </c>
      <c r="S235" s="5">
        <v>201137931.14718601</v>
      </c>
      <c r="T235" s="5">
        <v>448766148.65517998</v>
      </c>
      <c r="U235" s="5">
        <v>239781996.05028799</v>
      </c>
      <c r="V235" s="5">
        <v>132668038.874145</v>
      </c>
      <c r="W235" s="5">
        <v>340896471.38736099</v>
      </c>
      <c r="X235" s="5">
        <v>110775115.59364399</v>
      </c>
      <c r="Y235" s="5">
        <v>384943313.61133301</v>
      </c>
      <c r="Z235" s="5">
        <v>252978953.49040899</v>
      </c>
      <c r="AA235" s="5">
        <v>300429774.56911302</v>
      </c>
      <c r="AB235" s="5">
        <v>270183201.87787998</v>
      </c>
      <c r="AC235" s="5">
        <v>191332564.800001</v>
      </c>
      <c r="AD235" s="5">
        <v>215442537.114876</v>
      </c>
      <c r="AE235" s="5">
        <v>209290110.52570799</v>
      </c>
      <c r="AF235" s="5">
        <v>224967594.61829901</v>
      </c>
      <c r="AG235">
        <f t="shared" si="13"/>
        <v>210258201.76472101</v>
      </c>
      <c r="AH235">
        <f t="shared" si="14"/>
        <v>14169927.150026666</v>
      </c>
      <c r="AI235">
        <f t="shared" si="15"/>
        <v>6.739298172959178E-2</v>
      </c>
    </row>
    <row r="236" spans="1:35" x14ac:dyDescent="0.45">
      <c r="A236" s="5" t="s">
        <v>222</v>
      </c>
      <c r="B236" s="2">
        <f t="shared" si="12"/>
        <v>27974211.351493556</v>
      </c>
      <c r="C236" s="2">
        <v>24337798.881085049</v>
      </c>
      <c r="D236" s="2">
        <v>2.4627737470054041E-2</v>
      </c>
      <c r="E236" s="5">
        <v>23545939.995729402</v>
      </c>
      <c r="F236" s="5">
        <v>16492227.1555943</v>
      </c>
      <c r="G236" s="5">
        <v>22779659.7472362</v>
      </c>
      <c r="H236" s="5">
        <v>55179068.699329004</v>
      </c>
      <c r="I236" s="5">
        <v>35978535.740659498</v>
      </c>
      <c r="J236" s="5">
        <v>25320238.446094502</v>
      </c>
      <c r="K236" s="5">
        <v>27711881.868765902</v>
      </c>
      <c r="L236" s="5">
        <v>26729815.694196202</v>
      </c>
      <c r="M236" s="5">
        <v>25855177.999557901</v>
      </c>
      <c r="N236" s="5">
        <v>21897105.691688601</v>
      </c>
      <c r="O236" s="5">
        <v>25624189.987051301</v>
      </c>
      <c r="P236" s="5">
        <v>35478743.509295098</v>
      </c>
      <c r="Q236" s="5">
        <v>39225843.672450997</v>
      </c>
      <c r="R236" s="5">
        <v>23978849.021143399</v>
      </c>
      <c r="S236" s="5">
        <v>24896952.171909701</v>
      </c>
      <c r="T236" s="5">
        <v>48249277.496152401</v>
      </c>
      <c r="U236" s="5">
        <v>24649904.980619099</v>
      </c>
      <c r="V236" s="5">
        <v>16240187.164364999</v>
      </c>
      <c r="W236" s="5">
        <v>15010457.6406342</v>
      </c>
      <c r="X236" s="5">
        <v>22832828.989848301</v>
      </c>
      <c r="Y236" s="5">
        <v>38878567.124104798</v>
      </c>
      <c r="Z236" s="5">
        <v>24801248.017405599</v>
      </c>
      <c r="AA236" s="5">
        <v>24281461.6303441</v>
      </c>
      <c r="AB236" s="5">
        <v>25742909.9916698</v>
      </c>
      <c r="AC236" s="5">
        <v>24012044.385696501</v>
      </c>
      <c r="AD236" s="5">
        <v>23818996.654672202</v>
      </c>
      <c r="AE236" s="5">
        <v>24344218.442276899</v>
      </c>
      <c r="AF236" s="5">
        <v>25175936.0416946</v>
      </c>
      <c r="AG236">
        <f t="shared" si="13"/>
        <v>24337798.881085049</v>
      </c>
      <c r="AH236">
        <f t="shared" si="14"/>
        <v>599384.92144233757</v>
      </c>
      <c r="AI236">
        <f t="shared" si="15"/>
        <v>2.4627737470054041E-2</v>
      </c>
    </row>
    <row r="237" spans="1:35" x14ac:dyDescent="0.45">
      <c r="A237" s="5" t="s">
        <v>223</v>
      </c>
      <c r="B237" s="2">
        <f t="shared" si="12"/>
        <v>137577691.75827721</v>
      </c>
      <c r="C237" s="2">
        <v>141409047.305013</v>
      </c>
      <c r="D237" s="2">
        <v>1.494586520890669E-2</v>
      </c>
      <c r="E237" s="5">
        <v>62986322.2786064</v>
      </c>
      <c r="F237" s="5">
        <v>125686577.726202</v>
      </c>
      <c r="G237" s="5">
        <v>113794772.625192</v>
      </c>
      <c r="H237" s="5">
        <v>52180097.286868997</v>
      </c>
      <c r="I237" s="5">
        <v>194176037.59265101</v>
      </c>
      <c r="J237" s="5">
        <v>280739106.50377202</v>
      </c>
      <c r="K237" s="5">
        <v>67180239.424423203</v>
      </c>
      <c r="L237" s="5">
        <v>105228116.77034</v>
      </c>
      <c r="M237" s="5">
        <v>165526679.27479401</v>
      </c>
      <c r="N237" s="5">
        <v>23011544.8340717</v>
      </c>
      <c r="O237" s="5">
        <v>83051755.185466602</v>
      </c>
      <c r="P237" s="5">
        <v>57989032.3285667</v>
      </c>
      <c r="Q237" s="5">
        <v>142236297.796556</v>
      </c>
      <c r="R237" s="5">
        <v>110909003.475841</v>
      </c>
      <c r="S237" s="5">
        <v>186830969.04029101</v>
      </c>
      <c r="T237" s="5">
        <v>291480038.138942</v>
      </c>
      <c r="U237" s="5">
        <v>105539642.066443</v>
      </c>
      <c r="V237" s="5">
        <v>133163510.50917301</v>
      </c>
      <c r="W237" s="5">
        <v>81850154.0645376</v>
      </c>
      <c r="X237" s="5">
        <v>234292589.93583599</v>
      </c>
      <c r="Y237" s="5">
        <v>155007365.01717401</v>
      </c>
      <c r="Z237" s="5">
        <v>187135731.617302</v>
      </c>
      <c r="AA237" s="5">
        <v>238241995.57509801</v>
      </c>
      <c r="AB237" s="5">
        <v>103627023.130505</v>
      </c>
      <c r="AC237" s="5">
        <v>138422174.04789799</v>
      </c>
      <c r="AD237" s="5">
        <v>142085710.27858201</v>
      </c>
      <c r="AE237" s="5">
        <v>143386520.92436901</v>
      </c>
      <c r="AF237" s="5">
        <v>141741783.969203</v>
      </c>
      <c r="AG237">
        <f t="shared" si="13"/>
        <v>141409047.305013</v>
      </c>
      <c r="AH237">
        <f t="shared" si="14"/>
        <v>2113480.5603406341</v>
      </c>
      <c r="AI237">
        <f t="shared" si="15"/>
        <v>1.494586520890669E-2</v>
      </c>
    </row>
    <row r="238" spans="1:35" x14ac:dyDescent="0.45">
      <c r="A238" s="5" t="s">
        <v>224</v>
      </c>
      <c r="B238" s="2">
        <f t="shared" si="12"/>
        <v>513809785.93665314</v>
      </c>
      <c r="C238" s="2">
        <v>528913302.47666377</v>
      </c>
      <c r="D238" s="2">
        <v>0.10925486246046777</v>
      </c>
      <c r="E238" s="5">
        <v>159320082.472673</v>
      </c>
      <c r="F238" s="5">
        <v>242947513.76931399</v>
      </c>
      <c r="G238" s="5">
        <v>568909671.36974299</v>
      </c>
      <c r="H238" s="5">
        <v>334934972.239106</v>
      </c>
      <c r="I238" s="5">
        <v>1032681952.01652</v>
      </c>
      <c r="J238" s="5">
        <v>872743550.24633098</v>
      </c>
      <c r="K238" s="5">
        <v>311930517.38392001</v>
      </c>
      <c r="L238" s="5">
        <v>623868454.73610401</v>
      </c>
      <c r="M238" s="5">
        <v>394468659.92775601</v>
      </c>
      <c r="N238" s="5">
        <v>260755670.35119101</v>
      </c>
      <c r="O238" s="5">
        <v>440900517.31311798</v>
      </c>
      <c r="P238" s="5">
        <v>241274370.350593</v>
      </c>
      <c r="Q238" s="5">
        <v>916337865.51050401</v>
      </c>
      <c r="R238" s="5">
        <v>204034299.63126501</v>
      </c>
      <c r="S238" s="5">
        <v>702448256.296875</v>
      </c>
      <c r="T238" s="5">
        <v>513845864.60563803</v>
      </c>
      <c r="U238" s="5">
        <v>228783387.43317899</v>
      </c>
      <c r="V238" s="5">
        <v>463435543.36579901</v>
      </c>
      <c r="W238" s="5">
        <v>227762074.39824599</v>
      </c>
      <c r="X238" s="5">
        <v>728584154.470402</v>
      </c>
      <c r="Y238" s="5">
        <v>671292175.27813804</v>
      </c>
      <c r="Z238" s="5">
        <v>641029094.20013499</v>
      </c>
      <c r="AA238" s="5">
        <v>1034716623.8073601</v>
      </c>
      <c r="AB238" s="5">
        <v>514429591.30576903</v>
      </c>
      <c r="AC238" s="5">
        <v>458351470.32714897</v>
      </c>
      <c r="AD238" s="5">
        <v>569412721.24371004</v>
      </c>
      <c r="AE238" s="5">
        <v>505560024.32640302</v>
      </c>
      <c r="AF238" s="5">
        <v>582328994.00939298</v>
      </c>
      <c r="AG238">
        <f t="shared" si="13"/>
        <v>528913302.47666377</v>
      </c>
      <c r="AH238">
        <f t="shared" si="14"/>
        <v>57786350.115599684</v>
      </c>
      <c r="AI238">
        <f t="shared" si="15"/>
        <v>0.10925486246046777</v>
      </c>
    </row>
    <row r="239" spans="1:35" x14ac:dyDescent="0.45">
      <c r="A239" s="5" t="s">
        <v>225</v>
      </c>
      <c r="B239" s="2">
        <f t="shared" si="12"/>
        <v>2044623.6798748958</v>
      </c>
      <c r="C239" s="2">
        <v>2014984.901441355</v>
      </c>
      <c r="D239" s="2">
        <v>2.6254517034382578E-2</v>
      </c>
      <c r="E239" s="5">
        <v>1127403.2162657401</v>
      </c>
      <c r="F239" s="5">
        <v>1241170.7390121401</v>
      </c>
      <c r="G239" s="5">
        <v>2060153.13508347</v>
      </c>
      <c r="H239" s="5">
        <v>2493209.0725824502</v>
      </c>
      <c r="I239" s="5">
        <v>1632776.2924407199</v>
      </c>
      <c r="J239" s="5">
        <v>4267986.1685662204</v>
      </c>
      <c r="K239" s="5">
        <v>932782.90347572905</v>
      </c>
      <c r="L239" s="5">
        <v>1493383.9022083301</v>
      </c>
      <c r="M239" s="5">
        <v>2951129.3361893301</v>
      </c>
      <c r="N239" s="5">
        <v>858479.08851714199</v>
      </c>
      <c r="O239" s="5">
        <v>2142843.7463185801</v>
      </c>
      <c r="P239" s="5">
        <v>3692497.6010754802</v>
      </c>
      <c r="Q239" s="5">
        <v>1697458.9535735999</v>
      </c>
      <c r="R239" s="5">
        <v>3730103.54054482</v>
      </c>
      <c r="S239" s="5">
        <v>1415694.3092122199</v>
      </c>
      <c r="T239" s="5">
        <v>3455430.4875210901</v>
      </c>
      <c r="U239" s="5">
        <v>2190918.13241727</v>
      </c>
      <c r="V239" s="5">
        <v>1562641.2126859201</v>
      </c>
      <c r="W239" s="5">
        <v>1339135.50600707</v>
      </c>
      <c r="X239" s="5">
        <v>2183473.95389095</v>
      </c>
      <c r="Y239" s="5">
        <v>1318448.4693064201</v>
      </c>
      <c r="Z239" s="5">
        <v>2736983.9970310298</v>
      </c>
      <c r="AA239" s="5">
        <v>1233601.6404186699</v>
      </c>
      <c r="AB239" s="5">
        <v>1313262.91265311</v>
      </c>
      <c r="AC239" s="5">
        <v>1964393.6926812199</v>
      </c>
      <c r="AD239" s="5">
        <v>2081383.8541422901</v>
      </c>
      <c r="AE239" s="5">
        <v>1981558.72882809</v>
      </c>
      <c r="AF239" s="5">
        <v>2032603.33011382</v>
      </c>
      <c r="AG239">
        <f t="shared" si="13"/>
        <v>2014984.901441355</v>
      </c>
      <c r="AH239">
        <f t="shared" si="14"/>
        <v>52902.455418915757</v>
      </c>
      <c r="AI239">
        <f t="shared" si="15"/>
        <v>2.6254517034382578E-2</v>
      </c>
    </row>
    <row r="240" spans="1:35" x14ac:dyDescent="0.45">
      <c r="A240" s="5" t="s">
        <v>226</v>
      </c>
      <c r="B240" s="2">
        <f t="shared" si="12"/>
        <v>252732251.50743851</v>
      </c>
      <c r="C240" s="2">
        <v>253973499.92152601</v>
      </c>
      <c r="D240" s="2">
        <v>2.1858642736672734E-2</v>
      </c>
      <c r="E240" s="5">
        <v>126294603.42513201</v>
      </c>
      <c r="F240" s="5">
        <v>245725762.61750901</v>
      </c>
      <c r="G240" s="5">
        <v>183440406.40384799</v>
      </c>
      <c r="H240" s="5">
        <v>117189945.439807</v>
      </c>
      <c r="I240" s="5">
        <v>335357636.31840801</v>
      </c>
      <c r="J240" s="5">
        <v>596116076.29901195</v>
      </c>
      <c r="K240" s="5">
        <v>85918798.831374601</v>
      </c>
      <c r="L240" s="5">
        <v>241375299.693782</v>
      </c>
      <c r="M240" s="5">
        <v>265935253.44190499</v>
      </c>
      <c r="N240" s="5">
        <v>35956171.563624598</v>
      </c>
      <c r="O240" s="5">
        <v>207086517.37147599</v>
      </c>
      <c r="P240" s="5">
        <v>78923334.299797595</v>
      </c>
      <c r="Q240" s="5">
        <v>237010102.83533099</v>
      </c>
      <c r="R240" s="5">
        <v>257814486.346286</v>
      </c>
      <c r="S240" s="5">
        <v>146999744.41313499</v>
      </c>
      <c r="T240" s="5">
        <v>729905384.00601006</v>
      </c>
      <c r="U240" s="5">
        <v>228843072.651218</v>
      </c>
      <c r="V240" s="5">
        <v>141963185.169608</v>
      </c>
      <c r="W240" s="5">
        <v>163225630.24371299</v>
      </c>
      <c r="X240" s="5">
        <v>435246334.80072099</v>
      </c>
      <c r="Y240" s="5">
        <v>356026658.80235898</v>
      </c>
      <c r="Z240" s="5">
        <v>389045724.38249701</v>
      </c>
      <c r="AA240" s="5">
        <v>247283140.89245301</v>
      </c>
      <c r="AB240" s="5">
        <v>212890765.92951801</v>
      </c>
      <c r="AC240" s="5">
        <v>256879695.49056801</v>
      </c>
      <c r="AD240" s="5">
        <v>249429611.703336</v>
      </c>
      <c r="AE240" s="5">
        <v>249223500.84322599</v>
      </c>
      <c r="AF240" s="5">
        <v>260361191.648974</v>
      </c>
      <c r="AG240">
        <f t="shared" si="13"/>
        <v>253973499.92152601</v>
      </c>
      <c r="AH240">
        <f t="shared" si="14"/>
        <v>5551515.9993670182</v>
      </c>
      <c r="AI240">
        <f t="shared" si="15"/>
        <v>2.1858642736672734E-2</v>
      </c>
    </row>
    <row r="241" spans="1:35" x14ac:dyDescent="0.45">
      <c r="A241" s="5" t="s">
        <v>227</v>
      </c>
      <c r="B241" s="2">
        <f t="shared" si="12"/>
        <v>3116782.3670442333</v>
      </c>
      <c r="C241" s="2">
        <v>3883889.1006749603</v>
      </c>
      <c r="D241" s="2">
        <v>2.0931641998996959E-2</v>
      </c>
      <c r="E241" s="5">
        <v>1357433.8232625199</v>
      </c>
      <c r="F241" s="5">
        <v>1232126.49662189</v>
      </c>
      <c r="G241" s="5">
        <v>3462502.07983024</v>
      </c>
      <c r="H241" s="5">
        <v>570686.31666926795</v>
      </c>
      <c r="I241" s="5">
        <v>7845321.0415782304</v>
      </c>
      <c r="J241" s="5">
        <v>6053880.3572658803</v>
      </c>
      <c r="K241" s="5">
        <v>1300004.6600333899</v>
      </c>
      <c r="L241" s="5">
        <v>2813151.26633156</v>
      </c>
      <c r="M241" s="5">
        <v>8690756.2433930691</v>
      </c>
      <c r="N241" s="5">
        <v>858685.28870383196</v>
      </c>
      <c r="O241" s="5">
        <v>615762.55900927703</v>
      </c>
      <c r="P241" s="5">
        <v>989875.66764656105</v>
      </c>
      <c r="Q241" s="5">
        <v>9322962.5500087496</v>
      </c>
      <c r="R241" s="5">
        <v>791786.18700969603</v>
      </c>
      <c r="S241" s="5">
        <v>2462442.3002906302</v>
      </c>
      <c r="T241" s="5">
        <v>466755.88507900498</v>
      </c>
      <c r="U241" s="5">
        <v>2557974.4957549898</v>
      </c>
      <c r="V241" s="5">
        <v>3118934.8132502902</v>
      </c>
      <c r="W241" s="5">
        <v>854939.72189642105</v>
      </c>
      <c r="X241" s="5">
        <v>2935075.2102713902</v>
      </c>
      <c r="Y241" s="5">
        <v>4583791.6414869204</v>
      </c>
      <c r="Z241" s="5">
        <v>4570195.4869344803</v>
      </c>
      <c r="AA241" s="5">
        <v>4688685.2154573901</v>
      </c>
      <c r="AB241" s="5">
        <v>2659047.5012759301</v>
      </c>
      <c r="AC241" s="5">
        <v>3967094.3825602401</v>
      </c>
      <c r="AD241" s="5">
        <v>3773016.1849481901</v>
      </c>
      <c r="AE241" s="5">
        <v>3908412.47902263</v>
      </c>
      <c r="AF241" s="5">
        <v>3887033.35616878</v>
      </c>
      <c r="AG241">
        <f t="shared" si="13"/>
        <v>3883889.1006749603</v>
      </c>
      <c r="AH241">
        <f t="shared" si="14"/>
        <v>81296.176219134533</v>
      </c>
      <c r="AI241">
        <f t="shared" si="15"/>
        <v>2.0931641998996959E-2</v>
      </c>
    </row>
    <row r="242" spans="1:35" x14ac:dyDescent="0.45">
      <c r="A242" s="5" t="s">
        <v>228</v>
      </c>
      <c r="B242" s="2">
        <f t="shared" si="12"/>
        <v>67649271.379976854</v>
      </c>
      <c r="C242" s="2">
        <v>54546530.543264598</v>
      </c>
      <c r="D242" s="2">
        <v>1.5951938763776759E-2</v>
      </c>
      <c r="E242" s="5">
        <v>74985578.258953795</v>
      </c>
      <c r="F242" s="5">
        <v>84422363.781815797</v>
      </c>
      <c r="G242" s="5">
        <v>69516300.590918496</v>
      </c>
      <c r="H242" s="5">
        <v>73084323.127028003</v>
      </c>
      <c r="I242" s="5">
        <v>71566733.729886293</v>
      </c>
      <c r="J242" s="5">
        <v>37115962.333115101</v>
      </c>
      <c r="K242" s="5">
        <v>93373902.501222506</v>
      </c>
      <c r="L242" s="5">
        <v>79782620.040537402</v>
      </c>
      <c r="M242" s="5">
        <v>43466038.046881698</v>
      </c>
      <c r="N242" s="5">
        <v>79150190.345845401</v>
      </c>
      <c r="O242" s="5">
        <v>47484034.719413698</v>
      </c>
      <c r="P242" s="5">
        <v>70711176.918281093</v>
      </c>
      <c r="Q242" s="5">
        <v>47811780.136480801</v>
      </c>
      <c r="R242" s="5">
        <v>77977491.832641497</v>
      </c>
      <c r="S242" s="5">
        <v>86756860.953673199</v>
      </c>
      <c r="T242" s="5">
        <v>18721611.133853201</v>
      </c>
      <c r="U242" s="5">
        <v>63887585.872532003</v>
      </c>
      <c r="V242" s="5">
        <v>60892942.477800198</v>
      </c>
      <c r="W242" s="5">
        <v>68822757.426072299</v>
      </c>
      <c r="X242" s="5">
        <v>86359100.181299999</v>
      </c>
      <c r="Y242" s="5">
        <v>74543601.067231596</v>
      </c>
      <c r="Z242" s="5">
        <v>49012932.039834999</v>
      </c>
      <c r="AA242" s="5">
        <v>75714094.659940496</v>
      </c>
      <c r="AB242" s="5">
        <v>88422530.944185004</v>
      </c>
      <c r="AC242" s="5">
        <v>53305446.607867397</v>
      </c>
      <c r="AD242" s="5">
        <v>54604846.610565104</v>
      </c>
      <c r="AE242" s="5">
        <v>55019209.699964598</v>
      </c>
      <c r="AF242" s="5">
        <v>55256619.254661299</v>
      </c>
      <c r="AG242">
        <f t="shared" si="13"/>
        <v>54546530.543264598</v>
      </c>
      <c r="AH242">
        <f t="shared" si="14"/>
        <v>870122.91500263545</v>
      </c>
      <c r="AI242">
        <f t="shared" si="15"/>
        <v>1.5951938763776759E-2</v>
      </c>
    </row>
    <row r="243" spans="1:35" x14ac:dyDescent="0.45">
      <c r="A243" s="5" t="s">
        <v>229</v>
      </c>
      <c r="B243" s="2">
        <f t="shared" si="12"/>
        <v>35074442.561456896</v>
      </c>
      <c r="C243" s="2">
        <v>31263463.487429723</v>
      </c>
      <c r="D243" s="2">
        <v>4.6629677376325049E-2</v>
      </c>
      <c r="E243" s="5">
        <v>37191650.979121499</v>
      </c>
      <c r="F243" s="5">
        <v>37498854.064549103</v>
      </c>
      <c r="G243" s="5">
        <v>32131121.973296501</v>
      </c>
      <c r="H243" s="5">
        <v>27824718.912554901</v>
      </c>
      <c r="I243" s="5">
        <v>40986084.210999399</v>
      </c>
      <c r="J243" s="5">
        <v>29523238.893192001</v>
      </c>
      <c r="K243" s="5">
        <v>39307646.612306803</v>
      </c>
      <c r="L243" s="5">
        <v>40564648.813926101</v>
      </c>
      <c r="M243" s="5">
        <v>29126043.330316599</v>
      </c>
      <c r="N243" s="5">
        <v>46141161.142001599</v>
      </c>
      <c r="O243" s="5">
        <v>22933964.6477523</v>
      </c>
      <c r="P243" s="5">
        <v>36856503.371976897</v>
      </c>
      <c r="Q243" s="5">
        <v>38426484.309202597</v>
      </c>
      <c r="R243" s="5">
        <v>52501705.899308302</v>
      </c>
      <c r="S243" s="5">
        <v>34181524.717279002</v>
      </c>
      <c r="T243" s="5">
        <v>31244524.207042299</v>
      </c>
      <c r="U243" s="5">
        <v>34470845.789531797</v>
      </c>
      <c r="V243" s="5">
        <v>37131226.910354502</v>
      </c>
      <c r="W243" s="5">
        <v>33725164.500692599</v>
      </c>
      <c r="X243" s="5">
        <v>24575135.579525001</v>
      </c>
      <c r="Y243" s="5">
        <v>23199256.952461001</v>
      </c>
      <c r="Z243" s="5">
        <v>33325299.358673502</v>
      </c>
      <c r="AA243" s="5">
        <v>32418286.368685801</v>
      </c>
      <c r="AB243" s="5">
        <v>46501529.930215403</v>
      </c>
      <c r="AC243" s="5">
        <v>29395010.446629498</v>
      </c>
      <c r="AD243" s="5">
        <v>31167364.222055901</v>
      </c>
      <c r="AE243" s="5">
        <v>31558170.215727799</v>
      </c>
      <c r="AF243" s="5">
        <v>32933309.065305699</v>
      </c>
      <c r="AG243">
        <f t="shared" si="13"/>
        <v>31263463.487429723</v>
      </c>
      <c r="AH243">
        <f t="shared" si="14"/>
        <v>1457805.216085366</v>
      </c>
      <c r="AI243">
        <f t="shared" si="15"/>
        <v>4.6629677376325049E-2</v>
      </c>
    </row>
    <row r="244" spans="1:35" x14ac:dyDescent="0.45">
      <c r="A244" s="5" t="s">
        <v>328</v>
      </c>
      <c r="B244" s="2">
        <f t="shared" si="12"/>
        <v>4322950713.8261366</v>
      </c>
      <c r="C244" s="2">
        <v>3420644126.6689777</v>
      </c>
      <c r="D244" s="2">
        <v>3.4137770768173585E-2</v>
      </c>
      <c r="E244" s="5">
        <v>5626790877.1588697</v>
      </c>
      <c r="F244" s="5">
        <v>3732803488.6703601</v>
      </c>
      <c r="G244" s="5">
        <v>4734727133.3495703</v>
      </c>
      <c r="H244" s="5">
        <v>4770804573.48703</v>
      </c>
      <c r="I244" s="5">
        <v>2118125123.83968</v>
      </c>
      <c r="J244" s="5">
        <v>1955180090.45995</v>
      </c>
      <c r="K244" s="5">
        <v>4073788293.76266</v>
      </c>
      <c r="L244" s="5">
        <v>3696216927.0598302</v>
      </c>
      <c r="M244" s="5">
        <v>3465736502.5732498</v>
      </c>
      <c r="N244" s="5">
        <v>3682941240.9921699</v>
      </c>
      <c r="O244" s="5">
        <v>9893741741.8131905</v>
      </c>
      <c r="P244" s="5">
        <v>5787662908.9078398</v>
      </c>
      <c r="Q244" s="5">
        <v>4915126015.5449495</v>
      </c>
      <c r="R244" s="5">
        <v>3084082423.3383598</v>
      </c>
      <c r="S244" s="5">
        <v>4878845598.5482998</v>
      </c>
      <c r="T244" s="5">
        <v>6786110909.7029896</v>
      </c>
      <c r="U244" s="5">
        <v>3567273532.1220298</v>
      </c>
      <c r="V244" s="5">
        <v>3566127748.5764399</v>
      </c>
      <c r="W244" s="5">
        <v>6070935168.7337198</v>
      </c>
      <c r="X244" s="5">
        <v>4207518297.34479</v>
      </c>
      <c r="Y244" s="5">
        <v>3138954794.63727</v>
      </c>
      <c r="Z244" s="5">
        <v>2967315066.3971901</v>
      </c>
      <c r="AA244" s="5">
        <v>3507785650.0208201</v>
      </c>
      <c r="AB244" s="5">
        <v>3522223024.7860198</v>
      </c>
      <c r="AC244" s="5">
        <v>3536499343.6868401</v>
      </c>
      <c r="AD244" s="5">
        <v>3260772933.6040001</v>
      </c>
      <c r="AE244" s="5">
        <v>3420766234.6617699</v>
      </c>
      <c r="AF244" s="5">
        <v>3464537994.7233</v>
      </c>
      <c r="AG244">
        <f t="shared" si="13"/>
        <v>3420644126.6689777</v>
      </c>
      <c r="AH244">
        <f t="shared" si="14"/>
        <v>116773165.07572488</v>
      </c>
      <c r="AI244">
        <f t="shared" si="15"/>
        <v>3.4137770768173585E-2</v>
      </c>
    </row>
    <row r="245" spans="1:35" x14ac:dyDescent="0.45">
      <c r="A245" s="5" t="s">
        <v>329</v>
      </c>
      <c r="B245" s="2">
        <f t="shared" si="12"/>
        <v>88641728.187480494</v>
      </c>
      <c r="C245" s="2">
        <v>74898972.132954553</v>
      </c>
      <c r="D245" s="2">
        <v>5.0205859022052601E-2</v>
      </c>
      <c r="E245" s="5">
        <v>127550640.30282199</v>
      </c>
      <c r="F245" s="5">
        <v>12932146.8223243</v>
      </c>
      <c r="G245" s="5">
        <v>1770660.7534262899</v>
      </c>
      <c r="H245" s="5">
        <v>43814247.145040102</v>
      </c>
      <c r="I245" s="5">
        <v>8037272.8160295803</v>
      </c>
      <c r="J245" s="5">
        <v>27469820.515684299</v>
      </c>
      <c r="K245" s="5">
        <v>165689234.24360999</v>
      </c>
      <c r="L245" s="5">
        <v>256014507.622628</v>
      </c>
      <c r="M245" s="5">
        <v>64251936.638356604</v>
      </c>
      <c r="N245" s="5">
        <v>46690787.952367797</v>
      </c>
      <c r="O245" s="5">
        <v>51876874.593170397</v>
      </c>
      <c r="P245" s="5">
        <v>8575449.9055770505</v>
      </c>
      <c r="Q245" s="5">
        <v>110067555.36920901</v>
      </c>
      <c r="R245" s="5">
        <v>42639551.545666203</v>
      </c>
      <c r="S245" s="5">
        <v>307162122.81997699</v>
      </c>
      <c r="T245" s="5">
        <v>103040683.222853</v>
      </c>
      <c r="U245" s="5">
        <v>7407022.22322571</v>
      </c>
      <c r="V245" s="5">
        <v>11219267.158243701</v>
      </c>
      <c r="W245" s="5">
        <v>3326218.4742039</v>
      </c>
      <c r="X245" s="5">
        <v>7007096.9763685102</v>
      </c>
      <c r="Y245" s="5">
        <v>57588196.643383101</v>
      </c>
      <c r="Z245" s="5">
        <v>10773976.470079901</v>
      </c>
      <c r="AA245" s="5">
        <v>448383960.24138498</v>
      </c>
      <c r="AB245" s="5">
        <v>204112246.043901</v>
      </c>
      <c r="AC245" s="5">
        <v>71445731.670082107</v>
      </c>
      <c r="AD245" s="5">
        <v>71864861.705779701</v>
      </c>
      <c r="AE245" s="5">
        <v>78494449.141583294</v>
      </c>
      <c r="AF245" s="5">
        <v>77790846.014373094</v>
      </c>
      <c r="AG245">
        <f t="shared" si="13"/>
        <v>74898972.132954553</v>
      </c>
      <c r="AH245">
        <f t="shared" si="14"/>
        <v>3760367.2358037625</v>
      </c>
      <c r="AI245">
        <f t="shared" si="15"/>
        <v>5.0205859022052601E-2</v>
      </c>
    </row>
    <row r="246" spans="1:35" x14ac:dyDescent="0.45">
      <c r="A246" s="5" t="s">
        <v>230</v>
      </c>
      <c r="B246" s="2">
        <f t="shared" si="12"/>
        <v>90584655.587206736</v>
      </c>
      <c r="C246" s="2">
        <v>71446513.227005631</v>
      </c>
      <c r="D246" s="2">
        <v>3.9802089138537312E-2</v>
      </c>
      <c r="E246" s="5">
        <v>92126627.3495197</v>
      </c>
      <c r="F246" s="5">
        <v>35836466.698160201</v>
      </c>
      <c r="G246" s="5">
        <v>49969445.124034397</v>
      </c>
      <c r="H246" s="5">
        <v>43581840.664274</v>
      </c>
      <c r="I246" s="5">
        <v>103013797.05442201</v>
      </c>
      <c r="J246" s="5">
        <v>78454035.224531204</v>
      </c>
      <c r="K246" s="5">
        <v>86754926.854011402</v>
      </c>
      <c r="L246" s="5">
        <v>83285936.956133395</v>
      </c>
      <c r="M246" s="5">
        <v>66380507.292870998</v>
      </c>
      <c r="N246" s="5">
        <v>53251924.450575501</v>
      </c>
      <c r="O246" s="5">
        <v>56746961.718232103</v>
      </c>
      <c r="P246" s="5">
        <v>76245940.048027605</v>
      </c>
      <c r="Q246" s="5">
        <v>125700685.516058</v>
      </c>
      <c r="R246" s="5">
        <v>47630056.0817343</v>
      </c>
      <c r="S246" s="5">
        <v>119458172.922628</v>
      </c>
      <c r="T246" s="5">
        <v>414430324.30640203</v>
      </c>
      <c r="U246" s="5">
        <v>47239560.046717599</v>
      </c>
      <c r="V246" s="5">
        <v>49266151.329655699</v>
      </c>
      <c r="W246" s="5">
        <v>32658169.6128118</v>
      </c>
      <c r="X246" s="5">
        <v>32656024.2551542</v>
      </c>
      <c r="Y246" s="5">
        <v>179762015.76420301</v>
      </c>
      <c r="Z246" s="5">
        <v>83026782.268267706</v>
      </c>
      <c r="AA246" s="5">
        <v>115063211.82359</v>
      </c>
      <c r="AB246" s="5">
        <v>101492170.730947</v>
      </c>
      <c r="AC246" s="5">
        <v>70272501.047698706</v>
      </c>
      <c r="AD246" s="5">
        <v>74980072.496165693</v>
      </c>
      <c r="AE246" s="5">
        <v>68315821.731106207</v>
      </c>
      <c r="AF246" s="5">
        <v>72217657.633051902</v>
      </c>
      <c r="AG246">
        <f t="shared" si="13"/>
        <v>71446513.227005631</v>
      </c>
      <c r="AH246">
        <f t="shared" si="14"/>
        <v>2843720.4880989632</v>
      </c>
      <c r="AI246">
        <f t="shared" si="15"/>
        <v>3.9802089138537312E-2</v>
      </c>
    </row>
    <row r="247" spans="1:35" x14ac:dyDescent="0.45">
      <c r="A247" s="5" t="s">
        <v>330</v>
      </c>
      <c r="B247" s="2">
        <f t="shared" si="12"/>
        <v>103816483.17877389</v>
      </c>
      <c r="C247" s="2">
        <v>61378845.285067819</v>
      </c>
      <c r="D247" s="2">
        <v>3.3659429411111157E-2</v>
      </c>
      <c r="E247" s="5">
        <v>85763009.267025501</v>
      </c>
      <c r="F247" s="5">
        <v>32341820.575497501</v>
      </c>
      <c r="G247" s="5">
        <v>45289712.093412898</v>
      </c>
      <c r="H247" s="5">
        <v>41089004.699959598</v>
      </c>
      <c r="I247" s="5">
        <v>54703135.874077603</v>
      </c>
      <c r="J247" s="5">
        <v>49102476.570806302</v>
      </c>
      <c r="K247" s="5">
        <v>62882286.010680698</v>
      </c>
      <c r="L247" s="5">
        <v>89716220.765604705</v>
      </c>
      <c r="M247" s="5">
        <v>47325183.9075903</v>
      </c>
      <c r="N247" s="5">
        <v>55324707.984478898</v>
      </c>
      <c r="O247" s="5">
        <v>84057601.918698996</v>
      </c>
      <c r="P247" s="5">
        <v>70341669.588472798</v>
      </c>
      <c r="Q247" s="5">
        <v>106257801.96816801</v>
      </c>
      <c r="R247" s="5">
        <v>44080236.471970297</v>
      </c>
      <c r="S247" s="5">
        <v>102814792.822934</v>
      </c>
      <c r="T247" s="5">
        <v>954153628.565166</v>
      </c>
      <c r="U247" s="5">
        <v>34121334.199858502</v>
      </c>
      <c r="V247" s="5">
        <v>27470095.8921858</v>
      </c>
      <c r="W247" s="5">
        <v>38308938.384355702</v>
      </c>
      <c r="X247" s="5">
        <v>16600100.361925799</v>
      </c>
      <c r="Y247" s="5">
        <v>178410628.706267</v>
      </c>
      <c r="Z247" s="5">
        <v>64860400.976127401</v>
      </c>
      <c r="AA247" s="5">
        <v>102567931.42264099</v>
      </c>
      <c r="AB247" s="5">
        <v>104012877.262668</v>
      </c>
      <c r="AC247" s="5">
        <v>60657117.841210902</v>
      </c>
      <c r="AD247" s="5">
        <v>59901424.443557397</v>
      </c>
      <c r="AE247" s="5">
        <v>64438392.940822303</v>
      </c>
      <c r="AF247" s="5">
        <v>60518445.914680697</v>
      </c>
      <c r="AG247">
        <f t="shared" si="13"/>
        <v>61378845.285067819</v>
      </c>
      <c r="AH247">
        <f t="shared" si="14"/>
        <v>2065976.910208253</v>
      </c>
      <c r="AI247">
        <f t="shared" si="15"/>
        <v>3.3659429411111157E-2</v>
      </c>
    </row>
    <row r="248" spans="1:35" x14ac:dyDescent="0.45">
      <c r="A248" s="5" t="s">
        <v>231</v>
      </c>
      <c r="B248" s="2">
        <f t="shared" si="12"/>
        <v>115454572.84917857</v>
      </c>
      <c r="C248" s="2">
        <v>97780045.327773422</v>
      </c>
      <c r="D248" s="2">
        <v>5.0655913525412877E-2</v>
      </c>
      <c r="E248" s="5">
        <v>138944484.17657501</v>
      </c>
      <c r="F248" s="5">
        <v>157923115.09570801</v>
      </c>
      <c r="G248" s="5">
        <v>131146657.918198</v>
      </c>
      <c r="H248" s="5">
        <v>55699434.852724597</v>
      </c>
      <c r="I248" s="5">
        <v>97426598.337981895</v>
      </c>
      <c r="J248" s="5">
        <v>87735591.624734893</v>
      </c>
      <c r="K248" s="5">
        <v>141198677.01020101</v>
      </c>
      <c r="L248" s="5">
        <v>129630572.803624</v>
      </c>
      <c r="M248" s="5">
        <v>92211528.596090004</v>
      </c>
      <c r="N248" s="5">
        <v>111788060.897927</v>
      </c>
      <c r="O248" s="5">
        <v>121535527.478136</v>
      </c>
      <c r="P248" s="5">
        <v>89755736.819871902</v>
      </c>
      <c r="Q248" s="5">
        <v>77231407.368065402</v>
      </c>
      <c r="R248" s="5">
        <v>106113917.05971301</v>
      </c>
      <c r="S248" s="5">
        <v>126249495.125847</v>
      </c>
      <c r="T248" s="5">
        <v>139980594.76931399</v>
      </c>
      <c r="U248" s="5">
        <v>86789958.509829506</v>
      </c>
      <c r="V248" s="5">
        <v>128430809.331174</v>
      </c>
      <c r="W248" s="5">
        <v>124979408.03166901</v>
      </c>
      <c r="X248" s="5">
        <v>146909300.17866701</v>
      </c>
      <c r="Y248" s="5">
        <v>98160665.050582096</v>
      </c>
      <c r="Z248" s="5">
        <v>124078353.90680499</v>
      </c>
      <c r="AA248" s="5">
        <v>125067227.843053</v>
      </c>
      <c r="AB248" s="5">
        <v>131922625.593795</v>
      </c>
      <c r="AC248" s="5">
        <v>90635688.730822295</v>
      </c>
      <c r="AD248" s="5">
        <v>99663848.855903998</v>
      </c>
      <c r="AE248" s="5">
        <v>98801990.788831398</v>
      </c>
      <c r="AF248" s="5">
        <v>102018652.935536</v>
      </c>
      <c r="AG248">
        <f t="shared" si="13"/>
        <v>97780045.327773422</v>
      </c>
      <c r="AH248">
        <f t="shared" si="14"/>
        <v>4953137.5206346419</v>
      </c>
      <c r="AI248">
        <f t="shared" si="15"/>
        <v>5.0655913525412877E-2</v>
      </c>
    </row>
    <row r="249" spans="1:35" x14ac:dyDescent="0.45">
      <c r="A249" s="5" t="s">
        <v>436</v>
      </c>
      <c r="B249" s="2">
        <f t="shared" si="12"/>
        <v>11824125.253453756</v>
      </c>
      <c r="C249" s="2">
        <v>12073225.741950801</v>
      </c>
      <c r="D249" s="2">
        <v>0.13677901232632703</v>
      </c>
      <c r="E249" s="5">
        <v>14210043.7374568</v>
      </c>
      <c r="F249" s="5">
        <v>18998305.994408701</v>
      </c>
      <c r="G249" s="5">
        <v>15000623.418429799</v>
      </c>
      <c r="H249" s="5">
        <v>12189279.496474801</v>
      </c>
      <c r="I249" s="5">
        <v>12174294.5303702</v>
      </c>
      <c r="J249" s="5">
        <v>16752985.1303964</v>
      </c>
      <c r="K249" s="5">
        <v>6595044.1795369396</v>
      </c>
      <c r="L249" s="5">
        <v>7332950.1578330602</v>
      </c>
      <c r="M249" s="5">
        <v>10559072.9274453</v>
      </c>
      <c r="N249" s="5">
        <v>12304060.6608411</v>
      </c>
      <c r="O249" s="5">
        <v>4164944.6380196498</v>
      </c>
      <c r="P249" s="5">
        <v>14720895.859191</v>
      </c>
      <c r="Q249" s="5">
        <v>8159336.5865465701</v>
      </c>
      <c r="R249" s="5">
        <v>7383758.23919346</v>
      </c>
      <c r="S249" s="5">
        <v>10988373.599764699</v>
      </c>
      <c r="T249" s="5">
        <v>18872340.1352196</v>
      </c>
      <c r="U249" s="5">
        <v>12900221.939237</v>
      </c>
      <c r="V249" s="5">
        <v>13545841.1206668</v>
      </c>
      <c r="W249" s="5">
        <v>11399273.367214199</v>
      </c>
      <c r="X249" s="5">
        <v>13403103.843460299</v>
      </c>
      <c r="Y249" s="5">
        <v>10151337.9005736</v>
      </c>
      <c r="Z249" s="5">
        <v>10236413.3977558</v>
      </c>
      <c r="AA249" s="5">
        <v>14902233.837856101</v>
      </c>
      <c r="AB249" s="5">
        <v>6834271.3849982703</v>
      </c>
      <c r="AC249" s="5">
        <v>11942241.266654599</v>
      </c>
      <c r="AD249" s="5">
        <v>14448551.399573</v>
      </c>
      <c r="AE249" s="5">
        <v>10911397.0289819</v>
      </c>
      <c r="AF249" s="5">
        <v>10990713.272593699</v>
      </c>
      <c r="AG249">
        <f t="shared" si="13"/>
        <v>12073225.741950801</v>
      </c>
      <c r="AH249">
        <f t="shared" si="14"/>
        <v>1651363.8925768174</v>
      </c>
      <c r="AI249">
        <f t="shared" si="15"/>
        <v>0.13677901232632703</v>
      </c>
    </row>
    <row r="250" spans="1:35" x14ac:dyDescent="0.45">
      <c r="A250" s="5" t="s">
        <v>331</v>
      </c>
      <c r="B250" s="2">
        <f t="shared" si="12"/>
        <v>64600206.527843088</v>
      </c>
      <c r="C250" s="2">
        <v>85147389.902739733</v>
      </c>
      <c r="D250" s="2">
        <v>4.2801337276170554E-2</v>
      </c>
      <c r="E250" s="5">
        <v>114765819.960068</v>
      </c>
      <c r="F250" s="5">
        <v>50701190.500252202</v>
      </c>
      <c r="G250" s="5">
        <v>83010599.744507</v>
      </c>
      <c r="H250" s="5">
        <v>13488968.6142866</v>
      </c>
      <c r="I250" s="5">
        <v>23827834.981843598</v>
      </c>
      <c r="J250" s="5">
        <v>118370447.28621501</v>
      </c>
      <c r="K250" s="5">
        <v>16023850.167863401</v>
      </c>
      <c r="L250" s="5">
        <v>58911994.900165401</v>
      </c>
      <c r="M250" s="5">
        <v>39175360.652772203</v>
      </c>
      <c r="N250" s="5">
        <v>68873889.7006782</v>
      </c>
      <c r="O250" s="5">
        <v>95152314.133097902</v>
      </c>
      <c r="P250" s="5">
        <v>26613494.477551501</v>
      </c>
      <c r="Q250" s="5">
        <v>73755241.551486403</v>
      </c>
      <c r="R250" s="5">
        <v>41176649.427223697</v>
      </c>
      <c r="S250" s="5">
        <v>101486706.908779</v>
      </c>
      <c r="T250" s="5">
        <v>48111543.309541799</v>
      </c>
      <c r="U250" s="5">
        <v>69874445.042078495</v>
      </c>
      <c r="V250" s="5">
        <v>59336455.562361702</v>
      </c>
      <c r="W250" s="5">
        <v>40141611.264734797</v>
      </c>
      <c r="X250" s="5">
        <v>18859213.095603801</v>
      </c>
      <c r="Y250" s="5">
        <v>127898721.901831</v>
      </c>
      <c r="Z250" s="5">
        <v>36882635.512151599</v>
      </c>
      <c r="AA250" s="5">
        <v>113080462.260012</v>
      </c>
      <c r="AB250" s="5">
        <v>110885505.713129</v>
      </c>
      <c r="AC250" s="5">
        <v>85038552.7387252</v>
      </c>
      <c r="AD250" s="5">
        <v>80399065.886721507</v>
      </c>
      <c r="AE250" s="5">
        <v>85919014.753594294</v>
      </c>
      <c r="AF250" s="5">
        <v>89232926.231917903</v>
      </c>
      <c r="AG250">
        <f t="shared" si="13"/>
        <v>85147389.902739733</v>
      </c>
      <c r="AH250">
        <f t="shared" si="14"/>
        <v>3644422.1534127621</v>
      </c>
      <c r="AI250">
        <f t="shared" si="15"/>
        <v>4.2801337276170554E-2</v>
      </c>
    </row>
    <row r="251" spans="1:35" x14ac:dyDescent="0.45">
      <c r="A251" s="5" t="s">
        <v>332</v>
      </c>
      <c r="B251" s="2">
        <f t="shared" si="12"/>
        <v>532541870.0370791</v>
      </c>
      <c r="C251" s="2">
        <v>514272034.39880168</v>
      </c>
      <c r="D251" s="2">
        <v>7.3283282137346709E-2</v>
      </c>
      <c r="E251" s="5">
        <v>262986733.95847201</v>
      </c>
      <c r="F251" s="5">
        <v>527794167.91130197</v>
      </c>
      <c r="G251" s="5">
        <v>72354302.142449901</v>
      </c>
      <c r="H251" s="5">
        <v>1188633800.5652201</v>
      </c>
      <c r="I251" s="5">
        <v>778857707.85294402</v>
      </c>
      <c r="J251" s="5">
        <v>966821956.75388801</v>
      </c>
      <c r="K251" s="5">
        <v>436343515.994066</v>
      </c>
      <c r="L251" s="5">
        <v>508550863.45848501</v>
      </c>
      <c r="M251" s="5">
        <v>489051676.21349502</v>
      </c>
      <c r="N251" s="5">
        <v>396811741.52665699</v>
      </c>
      <c r="O251" s="5">
        <v>824832188.48879099</v>
      </c>
      <c r="P251" s="5">
        <v>688552980.77983701</v>
      </c>
      <c r="Q251" s="5">
        <v>766226258.52143502</v>
      </c>
      <c r="R251" s="5">
        <v>515958002.59425199</v>
      </c>
      <c r="S251" s="5">
        <v>381093651.29325598</v>
      </c>
      <c r="T251" s="5">
        <v>359702479.98730201</v>
      </c>
      <c r="U251" s="5">
        <v>358306360.56030399</v>
      </c>
      <c r="V251" s="5">
        <v>634809805.19306195</v>
      </c>
      <c r="W251" s="5">
        <v>85892976.720908105</v>
      </c>
      <c r="X251" s="5">
        <v>1014685343.76934</v>
      </c>
      <c r="Y251" s="5">
        <v>109163861.8159</v>
      </c>
      <c r="Z251" s="5">
        <v>645956172.73256099</v>
      </c>
      <c r="AA251" s="5">
        <v>665450373.84787095</v>
      </c>
      <c r="AB251" s="5">
        <v>102167958.208097</v>
      </c>
      <c r="AC251" s="5">
        <v>485084080.26686198</v>
      </c>
      <c r="AD251" s="5">
        <v>493502292.27017599</v>
      </c>
      <c r="AE251" s="5">
        <v>509841291.93701601</v>
      </c>
      <c r="AF251" s="5">
        <v>568660473.121153</v>
      </c>
      <c r="AG251">
        <f t="shared" si="13"/>
        <v>514272034.39880168</v>
      </c>
      <c r="AH251">
        <f t="shared" si="14"/>
        <v>37687542.592194654</v>
      </c>
      <c r="AI251">
        <f t="shared" si="15"/>
        <v>7.3283282137346709E-2</v>
      </c>
    </row>
    <row r="252" spans="1:35" x14ac:dyDescent="0.45">
      <c r="A252" s="5" t="s">
        <v>232</v>
      </c>
      <c r="B252" s="2">
        <f t="shared" si="12"/>
        <v>46470158.295435466</v>
      </c>
      <c r="C252" s="2">
        <v>44402934.795814246</v>
      </c>
      <c r="D252" s="2">
        <v>4.5591359359522299E-2</v>
      </c>
      <c r="E252" s="5">
        <v>55871775.337176301</v>
      </c>
      <c r="F252" s="5">
        <v>44221279.070024997</v>
      </c>
      <c r="G252" s="5">
        <v>34103409.985875599</v>
      </c>
      <c r="H252" s="5">
        <v>38291205.737084299</v>
      </c>
      <c r="I252" s="5">
        <v>47302522.520956002</v>
      </c>
      <c r="J252" s="5">
        <v>51686658.399954699</v>
      </c>
      <c r="K252" s="5">
        <v>56490085.4974446</v>
      </c>
      <c r="L252" s="5">
        <v>41507965.075943999</v>
      </c>
      <c r="M252" s="5">
        <v>64972397.232763</v>
      </c>
      <c r="N252" s="5">
        <v>40086089.203248903</v>
      </c>
      <c r="O252" s="5">
        <v>46674732.339450099</v>
      </c>
      <c r="P252" s="5">
        <v>47309453.022054002</v>
      </c>
      <c r="Q252" s="5">
        <v>38657227.8985999</v>
      </c>
      <c r="R252" s="5">
        <v>44237992.617314696</v>
      </c>
      <c r="S252" s="5">
        <v>42136502.439347498</v>
      </c>
      <c r="T252" s="5">
        <v>70825761.040665507</v>
      </c>
      <c r="U252" s="5">
        <v>59653759.5234816</v>
      </c>
      <c r="V252" s="5">
        <v>40706493.216229603</v>
      </c>
      <c r="W252" s="5">
        <v>38730607.199464299</v>
      </c>
      <c r="X252" s="5">
        <v>52458445.955123901</v>
      </c>
      <c r="Y252" s="5">
        <v>35676684.476584502</v>
      </c>
      <c r="Z252" s="5">
        <v>30380689.424351301</v>
      </c>
      <c r="AA252" s="5">
        <v>46232428.175630301</v>
      </c>
      <c r="AB252" s="5">
        <v>47069633.701681398</v>
      </c>
      <c r="AC252" s="5">
        <v>41457112.987767197</v>
      </c>
      <c r="AD252" s="5">
        <v>44721789.699268103</v>
      </c>
      <c r="AE252" s="5">
        <v>45536898.905358396</v>
      </c>
      <c r="AF252" s="5">
        <v>45895937.590863302</v>
      </c>
      <c r="AG252">
        <f t="shared" si="13"/>
        <v>44402934.795814246</v>
      </c>
      <c r="AH252">
        <f t="shared" si="14"/>
        <v>2024390.1568934042</v>
      </c>
      <c r="AI252">
        <f t="shared" si="15"/>
        <v>4.5591359359522299E-2</v>
      </c>
    </row>
    <row r="253" spans="1:35" x14ac:dyDescent="0.45">
      <c r="A253" s="5" t="s">
        <v>233</v>
      </c>
      <c r="B253" s="2">
        <f t="shared" si="12"/>
        <v>51366509.692949213</v>
      </c>
      <c r="C253" s="2">
        <v>52985927.016645707</v>
      </c>
      <c r="D253" s="2">
        <v>8.9388325438358535E-2</v>
      </c>
      <c r="E253" s="5">
        <v>41459820.949892901</v>
      </c>
      <c r="F253" s="5">
        <v>42672327.283749998</v>
      </c>
      <c r="G253" s="5">
        <v>71260849.369137496</v>
      </c>
      <c r="H253" s="5">
        <v>81883686.973279104</v>
      </c>
      <c r="I253" s="5">
        <v>67678953.460139707</v>
      </c>
      <c r="J253" s="5">
        <v>66415231.501684301</v>
      </c>
      <c r="K253" s="5">
        <v>48299184.203174502</v>
      </c>
      <c r="L253" s="5">
        <v>29067707.095440801</v>
      </c>
      <c r="M253" s="5">
        <v>36080680.876679301</v>
      </c>
      <c r="N253" s="5">
        <v>12580185.212006999</v>
      </c>
      <c r="O253" s="5">
        <v>43832977.688502699</v>
      </c>
      <c r="P253" s="5">
        <v>78732641.342476696</v>
      </c>
      <c r="Q253" s="5">
        <v>51558862.843108602</v>
      </c>
      <c r="R253" s="5">
        <v>6707042.3210767005</v>
      </c>
      <c r="S253" s="5">
        <v>14725934.0245427</v>
      </c>
      <c r="T253" s="5">
        <v>120006070.690393</v>
      </c>
      <c r="U253" s="5">
        <v>38446963.355506703</v>
      </c>
      <c r="V253" s="5">
        <v>34458981.024747998</v>
      </c>
      <c r="W253" s="5">
        <v>71056947.486014798</v>
      </c>
      <c r="X253" s="5">
        <v>63584444.327519298</v>
      </c>
      <c r="Y253" s="5">
        <v>75249662.291189998</v>
      </c>
      <c r="Z253" s="5">
        <v>14863734.2335661</v>
      </c>
      <c r="AA253" s="5">
        <v>37732128.079726703</v>
      </c>
      <c r="AB253" s="5">
        <v>84441215.997224003</v>
      </c>
      <c r="AC253" s="5">
        <v>46158908.121953599</v>
      </c>
      <c r="AD253" s="5">
        <v>53470656.543783903</v>
      </c>
      <c r="AE253" s="5">
        <v>55743062.071127698</v>
      </c>
      <c r="AF253" s="5">
        <v>56571081.329717599</v>
      </c>
      <c r="AG253">
        <f t="shared" si="13"/>
        <v>52985927.016645707</v>
      </c>
      <c r="AH253">
        <f t="shared" si="14"/>
        <v>4736323.2878170405</v>
      </c>
      <c r="AI253">
        <f t="shared" si="15"/>
        <v>8.9388325438358535E-2</v>
      </c>
    </row>
    <row r="254" spans="1:35" x14ac:dyDescent="0.45">
      <c r="A254" s="5" t="s">
        <v>378</v>
      </c>
      <c r="B254" s="2">
        <f t="shared" si="12"/>
        <v>657099137.81361711</v>
      </c>
      <c r="C254" s="2">
        <v>512375819.39657724</v>
      </c>
      <c r="D254" s="2">
        <v>1.6532474129312576E-2</v>
      </c>
      <c r="E254" s="5">
        <v>474898771.96548498</v>
      </c>
      <c r="F254" s="5">
        <v>593385292.967803</v>
      </c>
      <c r="G254" s="5">
        <v>251694493.53660601</v>
      </c>
      <c r="H254" s="5">
        <v>689240458.13864994</v>
      </c>
      <c r="I254" s="5">
        <v>317881490.11160499</v>
      </c>
      <c r="J254" s="5">
        <v>392086971.93076098</v>
      </c>
      <c r="K254" s="5">
        <v>919986095.99613595</v>
      </c>
      <c r="L254" s="5">
        <v>570802705.80470204</v>
      </c>
      <c r="M254" s="5">
        <v>341748497.59010297</v>
      </c>
      <c r="N254" s="5">
        <v>767369043.67204404</v>
      </c>
      <c r="O254" s="5">
        <v>1054050293.71991</v>
      </c>
      <c r="P254" s="5">
        <v>792204120.60487795</v>
      </c>
      <c r="Q254" s="5">
        <v>725649372.02306998</v>
      </c>
      <c r="R254" s="5">
        <v>1015462912.7279201</v>
      </c>
      <c r="S254" s="5">
        <v>679796651.82148898</v>
      </c>
      <c r="T254" s="5">
        <v>1022355027.2366199</v>
      </c>
      <c r="U254" s="5">
        <v>739226386.529405</v>
      </c>
      <c r="V254" s="5">
        <v>404057732.48083401</v>
      </c>
      <c r="W254" s="5">
        <v>1005474348.9592201</v>
      </c>
      <c r="X254" s="5">
        <v>352333048.43942499</v>
      </c>
      <c r="Y254" s="5">
        <v>768343667.36440003</v>
      </c>
      <c r="Z254" s="5">
        <v>680662567.04089499</v>
      </c>
      <c r="AA254" s="5">
        <v>604223692.25599802</v>
      </c>
      <c r="AB254" s="5">
        <v>607445664.60885096</v>
      </c>
      <c r="AC254" s="5">
        <v>505792700.51501298</v>
      </c>
      <c r="AD254" s="5">
        <v>509783036.89044797</v>
      </c>
      <c r="AE254" s="5">
        <v>524809368.58132702</v>
      </c>
      <c r="AF254" s="5">
        <v>509118171.59952098</v>
      </c>
      <c r="AG254">
        <f t="shared" si="13"/>
        <v>512375819.39657724</v>
      </c>
      <c r="AH254">
        <f t="shared" si="14"/>
        <v>8470839.9786592461</v>
      </c>
      <c r="AI254">
        <f t="shared" si="15"/>
        <v>1.6532474129312576E-2</v>
      </c>
    </row>
    <row r="255" spans="1:35" x14ac:dyDescent="0.45">
      <c r="A255" s="5" t="s">
        <v>234</v>
      </c>
      <c r="B255" s="2">
        <f t="shared" si="12"/>
        <v>32141032.457995985</v>
      </c>
      <c r="C255" s="2">
        <v>33262493.049905851</v>
      </c>
      <c r="D255" s="2">
        <v>8.0441745852614668E-2</v>
      </c>
      <c r="E255" s="5">
        <v>12376251.9165377</v>
      </c>
      <c r="F255" s="5">
        <v>17938087.257099699</v>
      </c>
      <c r="G255" s="5">
        <v>39617079.473384403</v>
      </c>
      <c r="H255" s="5">
        <v>25033146.894981202</v>
      </c>
      <c r="I255" s="5">
        <v>64977073.047549501</v>
      </c>
      <c r="J255" s="5">
        <v>106777545.465487</v>
      </c>
      <c r="K255" s="5">
        <v>15375203.761093</v>
      </c>
      <c r="L255" s="5">
        <v>17724162.962578699</v>
      </c>
      <c r="M255" s="5">
        <v>58749427.968371697</v>
      </c>
      <c r="N255" s="5">
        <v>17030173.578673601</v>
      </c>
      <c r="O255" s="5">
        <v>24286153.160613298</v>
      </c>
      <c r="P255" s="5">
        <v>15811349.475215301</v>
      </c>
      <c r="Q255" s="5">
        <v>33093897.950805001</v>
      </c>
      <c r="R255" s="5">
        <v>28660320.165541001</v>
      </c>
      <c r="S255" s="5">
        <v>21476982.727740999</v>
      </c>
      <c r="T255" s="5">
        <v>23486464.639012702</v>
      </c>
      <c r="U255" s="5">
        <v>20487923.476082601</v>
      </c>
      <c r="V255" s="5">
        <v>38277421.9029456</v>
      </c>
      <c r="W255" s="5">
        <v>17291181.923510201</v>
      </c>
      <c r="X255" s="5">
        <v>60979378.734962001</v>
      </c>
      <c r="Y255" s="5">
        <v>27402720.459880002</v>
      </c>
      <c r="Z255" s="5">
        <v>37738204.499443099</v>
      </c>
      <c r="AA255" s="5">
        <v>28699711.608176898</v>
      </c>
      <c r="AB255" s="5">
        <v>18094915.942218401</v>
      </c>
      <c r="AC255" s="5">
        <v>29613172.803953599</v>
      </c>
      <c r="AD255" s="5">
        <v>33172452.421808202</v>
      </c>
      <c r="AE255" s="5">
        <v>34370286.407528304</v>
      </c>
      <c r="AF255" s="5">
        <v>35894060.566333301</v>
      </c>
      <c r="AG255">
        <f t="shared" si="13"/>
        <v>33262493.049905851</v>
      </c>
      <c r="AH255">
        <f t="shared" si="14"/>
        <v>2675693.0123448884</v>
      </c>
      <c r="AI255">
        <f t="shared" si="15"/>
        <v>8.0441745852614668E-2</v>
      </c>
    </row>
    <row r="256" spans="1:35" x14ac:dyDescent="0.45">
      <c r="A256" s="5" t="s">
        <v>333</v>
      </c>
      <c r="B256" s="2">
        <f t="shared" si="12"/>
        <v>170884039.56757632</v>
      </c>
      <c r="C256" s="2">
        <v>152209147.716656</v>
      </c>
      <c r="D256" s="2">
        <v>2.2910802060740459E-2</v>
      </c>
      <c r="E256" s="5">
        <v>64236090.634039201</v>
      </c>
      <c r="F256" s="5">
        <v>82760657.331459597</v>
      </c>
      <c r="G256" s="5">
        <v>205202533.14790401</v>
      </c>
      <c r="H256" s="5">
        <v>83792449.721108302</v>
      </c>
      <c r="I256" s="5">
        <v>309502915.10845101</v>
      </c>
      <c r="J256" s="5">
        <v>283373423.94229603</v>
      </c>
      <c r="K256" s="5">
        <v>106615547.953719</v>
      </c>
      <c r="L256" s="5">
        <v>229507029.541536</v>
      </c>
      <c r="M256" s="5">
        <v>167964859.203509</v>
      </c>
      <c r="N256" s="5">
        <v>88789374.711539507</v>
      </c>
      <c r="O256" s="5">
        <v>103258824.66647799</v>
      </c>
      <c r="P256" s="5">
        <v>76844897.679662794</v>
      </c>
      <c r="Q256" s="5">
        <v>343879756.99243599</v>
      </c>
      <c r="R256" s="5">
        <v>69401277.016212195</v>
      </c>
      <c r="S256" s="5">
        <v>237310309.39010301</v>
      </c>
      <c r="T256" s="5">
        <v>115698158.116209</v>
      </c>
      <c r="U256" s="5">
        <v>81533078.964259103</v>
      </c>
      <c r="V256" s="5">
        <v>144848238.28036901</v>
      </c>
      <c r="W256" s="5">
        <v>90241322.900456995</v>
      </c>
      <c r="X256" s="5">
        <v>229974746.25766799</v>
      </c>
      <c r="Y256" s="5">
        <v>235164672.86401299</v>
      </c>
      <c r="Z256" s="5">
        <v>241634532.62450501</v>
      </c>
      <c r="AA256" s="5">
        <v>341360623.74087</v>
      </c>
      <c r="AB256" s="5">
        <v>168321628.83302799</v>
      </c>
      <c r="AC256" s="5">
        <v>150662707.484494</v>
      </c>
      <c r="AD256" s="5">
        <v>150036511.25378999</v>
      </c>
      <c r="AE256" s="5">
        <v>157419417.57938299</v>
      </c>
      <c r="AF256" s="5">
        <v>150717954.54895699</v>
      </c>
      <c r="AG256">
        <f t="shared" si="13"/>
        <v>152209147.716656</v>
      </c>
      <c r="AH256">
        <f t="shared" si="14"/>
        <v>3487233.6551703112</v>
      </c>
      <c r="AI256">
        <f t="shared" si="15"/>
        <v>2.2910802060740459E-2</v>
      </c>
    </row>
    <row r="257" spans="1:35" x14ac:dyDescent="0.45">
      <c r="A257" s="5" t="s">
        <v>235</v>
      </c>
      <c r="B257" s="2">
        <f t="shared" si="12"/>
        <v>123406684.45723148</v>
      </c>
      <c r="C257" s="2">
        <v>114494884.62929475</v>
      </c>
      <c r="D257" s="2">
        <v>5.0593608680833235E-2</v>
      </c>
      <c r="E257" s="5">
        <v>49519365.728103697</v>
      </c>
      <c r="F257" s="5">
        <v>60117756.012457103</v>
      </c>
      <c r="G257" s="5">
        <v>73810449.239585802</v>
      </c>
      <c r="H257" s="5">
        <v>96279157.475673407</v>
      </c>
      <c r="I257" s="5">
        <v>235808655.20171601</v>
      </c>
      <c r="J257" s="5">
        <v>130052186.39974301</v>
      </c>
      <c r="K257" s="5">
        <v>68867449.197856694</v>
      </c>
      <c r="L257" s="5">
        <v>74843632.770306394</v>
      </c>
      <c r="M257" s="5">
        <v>122229246.168551</v>
      </c>
      <c r="N257" s="5">
        <v>28651943.945419598</v>
      </c>
      <c r="O257" s="5">
        <v>67794027.8068223</v>
      </c>
      <c r="P257" s="5">
        <v>61971418.361070201</v>
      </c>
      <c r="Q257" s="5">
        <v>212546328.79298699</v>
      </c>
      <c r="R257" s="5">
        <v>104138070.325681</v>
      </c>
      <c r="S257" s="5">
        <v>50019500.129060797</v>
      </c>
      <c r="T257" s="5">
        <v>631976887.84308195</v>
      </c>
      <c r="U257" s="5">
        <v>106340656.383711</v>
      </c>
      <c r="V257" s="5">
        <v>73092952.766901106</v>
      </c>
      <c r="W257" s="5">
        <v>42317420.122000702</v>
      </c>
      <c r="X257" s="5">
        <v>118012499.14876799</v>
      </c>
      <c r="Y257" s="5">
        <v>248296835.97197199</v>
      </c>
      <c r="Z257" s="5">
        <v>121768487.72833</v>
      </c>
      <c r="AA257" s="5">
        <v>104446015.52142601</v>
      </c>
      <c r="AB257" s="5">
        <v>78859483.9323311</v>
      </c>
      <c r="AC257" s="5">
        <v>107505552.33258</v>
      </c>
      <c r="AD257" s="5">
        <v>113117121.18150499</v>
      </c>
      <c r="AE257" s="5">
        <v>115947745.543871</v>
      </c>
      <c r="AF257" s="5">
        <v>121409119.459223</v>
      </c>
      <c r="AG257">
        <f t="shared" si="13"/>
        <v>114494884.62929475</v>
      </c>
      <c r="AH257">
        <f t="shared" si="14"/>
        <v>5792709.3888916867</v>
      </c>
      <c r="AI257">
        <f t="shared" si="15"/>
        <v>5.0593608680833235E-2</v>
      </c>
    </row>
    <row r="258" spans="1:35" x14ac:dyDescent="0.45">
      <c r="A258" s="5" t="s">
        <v>354</v>
      </c>
      <c r="B258" s="2">
        <f t="shared" ref="B258:B320" si="16">AVERAGE(E258:AB258)</f>
        <v>760276927.60660589</v>
      </c>
      <c r="C258" s="2">
        <v>742784784.50411475</v>
      </c>
      <c r="D258" s="2">
        <v>4.1525498274293207E-2</v>
      </c>
      <c r="E258" s="5">
        <v>482063547.58231002</v>
      </c>
      <c r="F258" s="5">
        <v>352938219.02132398</v>
      </c>
      <c r="G258" s="5">
        <v>450958221.91418999</v>
      </c>
      <c r="H258" s="5">
        <v>455082813.21437699</v>
      </c>
      <c r="I258" s="5">
        <v>1018276868.9680001</v>
      </c>
      <c r="J258" s="5">
        <v>878620273.504426</v>
      </c>
      <c r="K258" s="5">
        <v>753234036.39810395</v>
      </c>
      <c r="L258" s="5">
        <v>859468913.271384</v>
      </c>
      <c r="M258" s="5">
        <v>646721536.802037</v>
      </c>
      <c r="N258" s="5">
        <v>554953767.64980805</v>
      </c>
      <c r="O258" s="5">
        <v>1604677384.19045</v>
      </c>
      <c r="P258" s="5">
        <v>528312866.76968002</v>
      </c>
      <c r="Q258" s="5">
        <v>1311917464.1824601</v>
      </c>
      <c r="R258" s="5">
        <v>380802220.30845499</v>
      </c>
      <c r="S258" s="5">
        <v>863011151.33647895</v>
      </c>
      <c r="T258" s="5">
        <v>1011143619.69039</v>
      </c>
      <c r="U258" s="5">
        <v>634004383.11397898</v>
      </c>
      <c r="V258" s="5">
        <v>404282614.44385803</v>
      </c>
      <c r="W258" s="5">
        <v>326016717.73522598</v>
      </c>
      <c r="X258" s="5">
        <v>346450101.36978298</v>
      </c>
      <c r="Y258" s="5">
        <v>1502911308.73369</v>
      </c>
      <c r="Z258" s="5">
        <v>799103258.26261795</v>
      </c>
      <c r="AA258" s="5">
        <v>1180998807.09076</v>
      </c>
      <c r="AB258" s="5">
        <v>900696167.00475502</v>
      </c>
      <c r="AC258" s="5">
        <v>698108995.55173898</v>
      </c>
      <c r="AD258" s="5">
        <v>756998949.01476598</v>
      </c>
      <c r="AE258" s="5">
        <v>748211842.307639</v>
      </c>
      <c r="AF258" s="5">
        <v>767819351.14231503</v>
      </c>
      <c r="AG258">
        <f t="shared" ref="AG258:AG320" si="17">AVERAGE(AC258:AF258)</f>
        <v>742784784.50411475</v>
      </c>
      <c r="AH258">
        <f t="shared" ref="AH258:AH320" si="18">STDEV(AC258:AF258)</f>
        <v>30844508.287096869</v>
      </c>
      <c r="AI258">
        <f t="shared" ref="AI258:AI320" si="19">AH258/AG258</f>
        <v>4.1525498274293207E-2</v>
      </c>
    </row>
    <row r="259" spans="1:35" x14ac:dyDescent="0.45">
      <c r="A259" s="5" t="s">
        <v>429</v>
      </c>
      <c r="B259" s="2">
        <f t="shared" si="16"/>
        <v>106760398.4043598</v>
      </c>
      <c r="C259" s="2">
        <v>89557721.955677554</v>
      </c>
      <c r="D259" s="2">
        <v>2.5636557436137675E-2</v>
      </c>
      <c r="E259" s="5">
        <v>107029321.372198</v>
      </c>
      <c r="F259" s="5">
        <v>138988145.073048</v>
      </c>
      <c r="G259" s="5">
        <v>105137475.65387399</v>
      </c>
      <c r="H259" s="5">
        <v>181288145.181393</v>
      </c>
      <c r="I259" s="5">
        <v>96543284.889127299</v>
      </c>
      <c r="J259" s="5">
        <v>30036663.074530099</v>
      </c>
      <c r="K259" s="5">
        <v>139643660.60674599</v>
      </c>
      <c r="L259" s="5">
        <v>123111732.71683</v>
      </c>
      <c r="M259" s="5">
        <v>59422362.119828001</v>
      </c>
      <c r="N259" s="5">
        <v>134051275.43213101</v>
      </c>
      <c r="O259" s="5">
        <v>73350694.249194905</v>
      </c>
      <c r="P259" s="5">
        <v>105397125.24850699</v>
      </c>
      <c r="Q259" s="5">
        <v>85801964.417861</v>
      </c>
      <c r="R259" s="5">
        <v>139148877.40921801</v>
      </c>
      <c r="S259" s="5">
        <v>138328802.66546601</v>
      </c>
      <c r="T259" s="5">
        <v>41177443.178393602</v>
      </c>
      <c r="U259" s="5">
        <v>94626393.733866096</v>
      </c>
      <c r="V259" s="5">
        <v>88647967.502468303</v>
      </c>
      <c r="W259" s="5">
        <v>132186497.67709599</v>
      </c>
      <c r="X259" s="5">
        <v>91454677.029631197</v>
      </c>
      <c r="Y259" s="5">
        <v>131151774.270676</v>
      </c>
      <c r="Z259" s="5">
        <v>84116548.934713095</v>
      </c>
      <c r="AA259" s="5">
        <v>104923152.29836801</v>
      </c>
      <c r="AB259" s="5">
        <v>136685576.96947101</v>
      </c>
      <c r="AC259" s="5">
        <v>91709231.546780303</v>
      </c>
      <c r="AD259" s="5">
        <v>86569008.760419995</v>
      </c>
      <c r="AE259" s="5">
        <v>89001047.548859596</v>
      </c>
      <c r="AF259" s="5">
        <v>90951599.966650307</v>
      </c>
      <c r="AG259">
        <f t="shared" si="17"/>
        <v>89557721.955677554</v>
      </c>
      <c r="AH259">
        <f t="shared" si="18"/>
        <v>2295951.6827663756</v>
      </c>
      <c r="AI259">
        <f t="shared" si="19"/>
        <v>2.5636557436137675E-2</v>
      </c>
    </row>
    <row r="260" spans="1:35" x14ac:dyDescent="0.45">
      <c r="A260" s="5" t="s">
        <v>236</v>
      </c>
      <c r="B260" s="2">
        <f t="shared" si="16"/>
        <v>496793533.60453367</v>
      </c>
      <c r="C260" s="2">
        <v>449362291.1558615</v>
      </c>
      <c r="D260" s="2">
        <v>3.3517853737478238E-2</v>
      </c>
      <c r="E260" s="5">
        <v>882493528.01800799</v>
      </c>
      <c r="F260" s="5">
        <v>864099500.76401496</v>
      </c>
      <c r="G260" s="5">
        <v>688401879.42787695</v>
      </c>
      <c r="H260" s="5">
        <v>832514151.21916294</v>
      </c>
      <c r="I260" s="5">
        <v>3138116.4030425702</v>
      </c>
      <c r="J260" s="5">
        <v>5498584.5542308902</v>
      </c>
      <c r="K260" s="5">
        <v>724767048.02600098</v>
      </c>
      <c r="L260" s="5">
        <v>2766649.64900557</v>
      </c>
      <c r="M260" s="5">
        <v>601620729.05569994</v>
      </c>
      <c r="N260" s="5">
        <v>911349439.47665501</v>
      </c>
      <c r="O260" s="5">
        <v>565319968.26622295</v>
      </c>
      <c r="P260" s="5">
        <v>891495938.99905503</v>
      </c>
      <c r="Q260" s="5">
        <v>538195853.34911799</v>
      </c>
      <c r="R260" s="5">
        <v>13399243.4661557</v>
      </c>
      <c r="S260" s="5">
        <v>701415314.14589906</v>
      </c>
      <c r="T260" s="5">
        <v>85477951.905898303</v>
      </c>
      <c r="U260" s="5">
        <v>694441528.913275</v>
      </c>
      <c r="V260" s="5">
        <v>720240607.32687998</v>
      </c>
      <c r="W260" s="5">
        <v>745565593.91349304</v>
      </c>
      <c r="X260" s="5">
        <v>766207586.17144096</v>
      </c>
      <c r="Y260" s="5">
        <v>3670828.2709959899</v>
      </c>
      <c r="Z260" s="5">
        <v>9088300.8871257696</v>
      </c>
      <c r="AA260" s="5">
        <v>668133487.80586398</v>
      </c>
      <c r="AB260" s="5">
        <v>3742976.4936878998</v>
      </c>
      <c r="AC260" s="5">
        <v>455348398.65321702</v>
      </c>
      <c r="AD260" s="5">
        <v>445265541.29024202</v>
      </c>
      <c r="AE260" s="5">
        <v>430723558.44260001</v>
      </c>
      <c r="AF260" s="5">
        <v>466111666.237387</v>
      </c>
      <c r="AG260">
        <f t="shared" si="17"/>
        <v>449362291.1558615</v>
      </c>
      <c r="AH260">
        <f t="shared" si="18"/>
        <v>15061659.550100276</v>
      </c>
      <c r="AI260">
        <f t="shared" si="19"/>
        <v>3.3517853737478238E-2</v>
      </c>
    </row>
    <row r="261" spans="1:35" x14ac:dyDescent="0.45">
      <c r="A261" s="5" t="s">
        <v>355</v>
      </c>
      <c r="B261" s="2">
        <f t="shared" si="16"/>
        <v>634762283.61009014</v>
      </c>
      <c r="C261" s="2">
        <v>486923176.47754478</v>
      </c>
      <c r="D261" s="2">
        <v>3.4361879266110035E-2</v>
      </c>
      <c r="E261" s="5">
        <v>303982162.96020502</v>
      </c>
      <c r="F261" s="5">
        <v>485657480.00853503</v>
      </c>
      <c r="G261" s="5">
        <v>275358471.14354903</v>
      </c>
      <c r="H261" s="5">
        <v>838672484.90121102</v>
      </c>
      <c r="I261" s="5">
        <v>339945251.543459</v>
      </c>
      <c r="J261" s="5">
        <v>547086580.77913499</v>
      </c>
      <c r="K261" s="5">
        <v>583145784.39357102</v>
      </c>
      <c r="L261" s="5">
        <v>328478353.43479902</v>
      </c>
      <c r="M261" s="5">
        <v>580794657.60903597</v>
      </c>
      <c r="N261" s="5">
        <v>670878730.65313399</v>
      </c>
      <c r="O261" s="5">
        <v>2295586532.1968398</v>
      </c>
      <c r="P261" s="5">
        <v>641654419.27436399</v>
      </c>
      <c r="Q261" s="5">
        <v>339073458.942541</v>
      </c>
      <c r="R261" s="5">
        <v>824843906.22226202</v>
      </c>
      <c r="S261" s="5">
        <v>363045691.16592401</v>
      </c>
      <c r="T261" s="5">
        <v>1793226025.82812</v>
      </c>
      <c r="U261" s="5">
        <v>707244188.79638195</v>
      </c>
      <c r="V261" s="5">
        <v>245085664.95468301</v>
      </c>
      <c r="W261" s="5">
        <v>1068147129.50247</v>
      </c>
      <c r="X261" s="5">
        <v>364527734.15156198</v>
      </c>
      <c r="Y261" s="5">
        <v>261935485.72414801</v>
      </c>
      <c r="Z261" s="5">
        <v>501070613.86088401</v>
      </c>
      <c r="AA261" s="5">
        <v>475855728.08144403</v>
      </c>
      <c r="AB261" s="5">
        <v>398998270.513906</v>
      </c>
      <c r="AC261" s="5">
        <v>471807123.10849398</v>
      </c>
      <c r="AD261" s="5">
        <v>486908283.98887801</v>
      </c>
      <c r="AE261" s="5">
        <v>478726815.73180997</v>
      </c>
      <c r="AF261" s="5">
        <v>510250483.08099699</v>
      </c>
      <c r="AG261">
        <f t="shared" si="17"/>
        <v>486923176.47754478</v>
      </c>
      <c r="AH261">
        <f t="shared" si="18"/>
        <v>16731595.401992185</v>
      </c>
      <c r="AI261">
        <f t="shared" si="19"/>
        <v>3.4361879266110035E-2</v>
      </c>
    </row>
    <row r="262" spans="1:35" x14ac:dyDescent="0.45">
      <c r="A262" s="5" t="s">
        <v>237</v>
      </c>
      <c r="B262" s="2">
        <f t="shared" si="16"/>
        <v>1708846359.6023903</v>
      </c>
      <c r="C262" s="2">
        <v>1554430615.0817175</v>
      </c>
      <c r="D262" s="2">
        <v>1.6384547237259035E-2</v>
      </c>
      <c r="E262" s="5">
        <v>2813937347.0113602</v>
      </c>
      <c r="F262" s="5">
        <v>2872483450.0861802</v>
      </c>
      <c r="G262" s="5">
        <v>2400693776.7701201</v>
      </c>
      <c r="H262" s="5">
        <v>2757500308.9541001</v>
      </c>
      <c r="I262" s="5">
        <v>80861943.662830204</v>
      </c>
      <c r="J262" s="5">
        <v>62504574.815824702</v>
      </c>
      <c r="K262" s="5">
        <v>2655084311.9566102</v>
      </c>
      <c r="L262" s="5">
        <v>31258555.5792147</v>
      </c>
      <c r="M262" s="5">
        <v>2105593629.45225</v>
      </c>
      <c r="N262" s="5">
        <v>2975116293.6372499</v>
      </c>
      <c r="O262" s="5">
        <v>1884066830.0053999</v>
      </c>
      <c r="P262" s="5">
        <v>2812561122.1031599</v>
      </c>
      <c r="Q262" s="5">
        <v>1878466341.7427001</v>
      </c>
      <c r="R262" s="5">
        <v>75499762.107143998</v>
      </c>
      <c r="S262" s="5">
        <v>2504847349.7967801</v>
      </c>
      <c r="T262" s="5">
        <v>608060538.10440898</v>
      </c>
      <c r="U262" s="5">
        <v>2415734346.6981301</v>
      </c>
      <c r="V262" s="5">
        <v>2427789018.2620201</v>
      </c>
      <c r="W262" s="5">
        <v>2517554192.9792299</v>
      </c>
      <c r="X262" s="5">
        <v>2628755678.1662302</v>
      </c>
      <c r="Y262" s="5">
        <v>45634244.502866499</v>
      </c>
      <c r="Z262" s="5">
        <v>95747485.1681353</v>
      </c>
      <c r="AA262" s="5">
        <v>2198875742.7743101</v>
      </c>
      <c r="AB262" s="5">
        <v>163685786.12110901</v>
      </c>
      <c r="AC262" s="5">
        <v>1554025627.7425399</v>
      </c>
      <c r="AD262" s="5">
        <v>1551396590.84287</v>
      </c>
      <c r="AE262" s="5">
        <v>1525080260.6090901</v>
      </c>
      <c r="AF262" s="5">
        <v>1587219981.13237</v>
      </c>
      <c r="AG262">
        <f t="shared" si="17"/>
        <v>1554430615.0817175</v>
      </c>
      <c r="AH262">
        <f t="shared" si="18"/>
        <v>25468641.839848015</v>
      </c>
      <c r="AI262">
        <f t="shared" si="19"/>
        <v>1.6384547237259035E-2</v>
      </c>
    </row>
    <row r="263" spans="1:35" x14ac:dyDescent="0.45">
      <c r="A263" s="5" t="s">
        <v>238</v>
      </c>
      <c r="B263" s="2">
        <f t="shared" si="16"/>
        <v>22384053.81921418</v>
      </c>
      <c r="C263" s="2">
        <v>22035142.037223574</v>
      </c>
      <c r="D263" s="2">
        <v>0.22246459985835848</v>
      </c>
      <c r="E263" s="5">
        <v>24394098.669486001</v>
      </c>
      <c r="F263" s="5">
        <v>28028704.297881901</v>
      </c>
      <c r="G263" s="5">
        <v>18702883.2324108</v>
      </c>
      <c r="H263" s="5">
        <v>19942523.308398701</v>
      </c>
      <c r="I263" s="5">
        <v>15294652.181324299</v>
      </c>
      <c r="J263" s="5">
        <v>21561795.733231701</v>
      </c>
      <c r="K263" s="5">
        <v>31736071.506900199</v>
      </c>
      <c r="L263" s="5">
        <v>27397634.1708709</v>
      </c>
      <c r="M263" s="5">
        <v>15728428.9028551</v>
      </c>
      <c r="N263" s="5">
        <v>20986967.6100327</v>
      </c>
      <c r="O263" s="5">
        <v>18423769.774117101</v>
      </c>
      <c r="P263" s="5">
        <v>24305529.2868549</v>
      </c>
      <c r="Q263" s="5">
        <v>15446317.229089599</v>
      </c>
      <c r="R263" s="5">
        <v>30233795.4979316</v>
      </c>
      <c r="S263" s="5">
        <v>23447212.7971121</v>
      </c>
      <c r="T263" s="5">
        <v>22665570.057300001</v>
      </c>
      <c r="U263" s="5">
        <v>21594155.7838796</v>
      </c>
      <c r="V263" s="5">
        <v>22867519.6132433</v>
      </c>
      <c r="W263" s="5">
        <v>17511131.1979062</v>
      </c>
      <c r="X263" s="5">
        <v>21859535.802801698</v>
      </c>
      <c r="Y263" s="5">
        <v>22150754.280693099</v>
      </c>
      <c r="Z263" s="5">
        <v>22755071.2457093</v>
      </c>
      <c r="AA263" s="5">
        <v>17931220.822026301</v>
      </c>
      <c r="AB263" s="5">
        <v>32251948.659083199</v>
      </c>
      <c r="AC263" s="5">
        <v>17962817.588506401</v>
      </c>
      <c r="AD263" s="5">
        <v>25319439.959572099</v>
      </c>
      <c r="AE263" s="5">
        <v>17716988.677607499</v>
      </c>
      <c r="AF263" s="5">
        <v>27141321.9232083</v>
      </c>
      <c r="AG263">
        <f t="shared" si="17"/>
        <v>22035142.037223574</v>
      </c>
      <c r="AH263">
        <f t="shared" si="18"/>
        <v>4902039.0561330365</v>
      </c>
      <c r="AI263">
        <f t="shared" si="19"/>
        <v>0.22246459985835848</v>
      </c>
    </row>
    <row r="264" spans="1:35" x14ac:dyDescent="0.45">
      <c r="A264" s="5" t="s">
        <v>334</v>
      </c>
      <c r="B264" s="2">
        <f t="shared" si="16"/>
        <v>29703580.392753158</v>
      </c>
      <c r="C264" s="2">
        <v>22634528.656543028</v>
      </c>
      <c r="D264" s="2">
        <v>2.3803686363210199E-2</v>
      </c>
      <c r="E264" s="5">
        <v>14795706.581687801</v>
      </c>
      <c r="F264" s="5">
        <v>14294622.5547638</v>
      </c>
      <c r="G264" s="5">
        <v>21476930.341030199</v>
      </c>
      <c r="H264" s="5">
        <v>3008341.86502225</v>
      </c>
      <c r="I264" s="5">
        <v>50369725.599248998</v>
      </c>
      <c r="J264" s="5">
        <v>24684803.269028299</v>
      </c>
      <c r="K264" s="5">
        <v>7874635.99542093</v>
      </c>
      <c r="L264" s="5">
        <v>24152587.234418701</v>
      </c>
      <c r="M264" s="5">
        <v>26024438.903144699</v>
      </c>
      <c r="N264" s="5">
        <v>5318723.65329934</v>
      </c>
      <c r="O264" s="5">
        <v>56547268.036641598</v>
      </c>
      <c r="P264" s="5">
        <v>3979697.8952101599</v>
      </c>
      <c r="Q264" s="5">
        <v>47979071.105091803</v>
      </c>
      <c r="R264" s="5">
        <v>9349103.29358791</v>
      </c>
      <c r="S264" s="5">
        <v>15454098.644566599</v>
      </c>
      <c r="T264" s="5">
        <v>197997567.15009299</v>
      </c>
      <c r="U264" s="5">
        <v>16124310.0479191</v>
      </c>
      <c r="V264" s="5">
        <v>22612793.211872201</v>
      </c>
      <c r="W264" s="5">
        <v>16870790.548684198</v>
      </c>
      <c r="X264" s="5">
        <v>16542120.0500108</v>
      </c>
      <c r="Y264" s="5">
        <v>28001092.604048699</v>
      </c>
      <c r="Z264" s="5">
        <v>32632984.2728539</v>
      </c>
      <c r="AA264" s="5">
        <v>25873363.715714902</v>
      </c>
      <c r="AB264" s="5">
        <v>30921152.852715898</v>
      </c>
      <c r="AC264" s="5">
        <v>22107940.981446899</v>
      </c>
      <c r="AD264" s="5">
        <v>22922544.681039698</v>
      </c>
      <c r="AE264" s="5">
        <v>22262814.218438901</v>
      </c>
      <c r="AF264" s="5">
        <v>23244814.7452466</v>
      </c>
      <c r="AG264">
        <f t="shared" si="17"/>
        <v>22634528.656543028</v>
      </c>
      <c r="AH264">
        <f t="shared" si="18"/>
        <v>538785.22111944377</v>
      </c>
      <c r="AI264">
        <f t="shared" si="19"/>
        <v>2.3803686363210199E-2</v>
      </c>
    </row>
    <row r="265" spans="1:35" x14ac:dyDescent="0.45">
      <c r="A265" s="5" t="s">
        <v>239</v>
      </c>
      <c r="B265" s="2">
        <f t="shared" si="16"/>
        <v>4494844.7422841107</v>
      </c>
      <c r="C265" s="2">
        <v>4344032.255834803</v>
      </c>
      <c r="D265" s="2">
        <v>2.1401733975733347E-2</v>
      </c>
      <c r="E265" s="5">
        <v>6686197.49976849</v>
      </c>
      <c r="F265" s="5">
        <v>3952820.3405053499</v>
      </c>
      <c r="G265" s="5">
        <v>4601548.4188470701</v>
      </c>
      <c r="H265" s="5">
        <v>431498.26674066699</v>
      </c>
      <c r="I265" s="5">
        <v>4955906.0755756004</v>
      </c>
      <c r="J265" s="5">
        <v>3160556.38934593</v>
      </c>
      <c r="K265" s="5">
        <v>4598921.75448405</v>
      </c>
      <c r="L265" s="5">
        <v>3303957.20538184</v>
      </c>
      <c r="M265" s="5">
        <v>9101131.6331071705</v>
      </c>
      <c r="N265" s="5">
        <v>4442617.3983094702</v>
      </c>
      <c r="O265" s="5">
        <v>2737495.6994020799</v>
      </c>
      <c r="P265" s="5">
        <v>4586264.3631640803</v>
      </c>
      <c r="Q265" s="5">
        <v>3282798.3841803302</v>
      </c>
      <c r="R265" s="5">
        <v>1516461.8805074301</v>
      </c>
      <c r="S265" s="5">
        <v>2574280.1717031202</v>
      </c>
      <c r="T265" s="5">
        <v>12273782.604802299</v>
      </c>
      <c r="U265" s="5">
        <v>7894512.4946834203</v>
      </c>
      <c r="V265" s="5">
        <v>6590913.9153582202</v>
      </c>
      <c r="W265" s="5">
        <v>3362807.4654051298</v>
      </c>
      <c r="X265" s="5">
        <v>3072710.9327014</v>
      </c>
      <c r="Y265" s="5">
        <v>3643959.1481130598</v>
      </c>
      <c r="Z265" s="5">
        <v>3397734.4729294698</v>
      </c>
      <c r="AA265" s="5">
        <v>3599341.3586304099</v>
      </c>
      <c r="AB265" s="5">
        <v>4108055.94117259</v>
      </c>
      <c r="AC265" s="5">
        <v>4437648.1141072903</v>
      </c>
      <c r="AD265" s="5">
        <v>4410159.2714962503</v>
      </c>
      <c r="AE265" s="5">
        <v>4268317.7290072804</v>
      </c>
      <c r="AF265" s="5">
        <v>4260003.90872839</v>
      </c>
      <c r="AG265">
        <f t="shared" si="17"/>
        <v>4344032.255834803</v>
      </c>
      <c r="AH265">
        <f t="shared" si="18"/>
        <v>92969.822721381279</v>
      </c>
      <c r="AI265">
        <f t="shared" si="19"/>
        <v>2.1401733975733347E-2</v>
      </c>
    </row>
    <row r="266" spans="1:35" x14ac:dyDescent="0.45">
      <c r="A266" s="5" t="s">
        <v>240</v>
      </c>
      <c r="B266" s="2">
        <f t="shared" si="16"/>
        <v>120789089.41308349</v>
      </c>
      <c r="C266" s="2">
        <v>109131637.36824624</v>
      </c>
      <c r="D266" s="2">
        <v>3.4465491820973811E-2</v>
      </c>
      <c r="E266" s="5">
        <v>149319726.70115501</v>
      </c>
      <c r="F266" s="5">
        <v>159310794.978562</v>
      </c>
      <c r="G266" s="5">
        <v>118782751.07351901</v>
      </c>
      <c r="H266" s="5">
        <v>139355421.60398799</v>
      </c>
      <c r="I266" s="5">
        <v>102737742.502297</v>
      </c>
      <c r="J266" s="5">
        <v>93698034.264289394</v>
      </c>
      <c r="K266" s="5">
        <v>128967688.080586</v>
      </c>
      <c r="L266" s="5">
        <v>118177497.51263399</v>
      </c>
      <c r="M266" s="5">
        <v>98153825.868498802</v>
      </c>
      <c r="N266" s="5">
        <v>124162492.12025701</v>
      </c>
      <c r="O266" s="5">
        <v>147298314.25456899</v>
      </c>
      <c r="P266" s="5">
        <v>88532466.568923295</v>
      </c>
      <c r="Q266" s="5">
        <v>100028759.95527799</v>
      </c>
      <c r="R266" s="5">
        <v>132995190.195179</v>
      </c>
      <c r="S266" s="5">
        <v>131888022.366394</v>
      </c>
      <c r="T266" s="5">
        <v>95929869.493262202</v>
      </c>
      <c r="U266" s="5">
        <v>131218556.860117</v>
      </c>
      <c r="V266" s="5">
        <v>98973472.7769344</v>
      </c>
      <c r="W266" s="5">
        <v>153029360.37951899</v>
      </c>
      <c r="X266" s="5">
        <v>112101183.56457201</v>
      </c>
      <c r="Y266" s="5">
        <v>104743712.118412</v>
      </c>
      <c r="Z266" s="5">
        <v>121878107.377453</v>
      </c>
      <c r="AA266" s="5">
        <v>113904851.394701</v>
      </c>
      <c r="AB266" s="5">
        <v>133750303.902904</v>
      </c>
      <c r="AC266" s="5">
        <v>104021573.700432</v>
      </c>
      <c r="AD266" s="5">
        <v>111749535.69893</v>
      </c>
      <c r="AE266" s="5">
        <v>108593063.905784</v>
      </c>
      <c r="AF266" s="5">
        <v>112162376.16783901</v>
      </c>
      <c r="AG266">
        <f t="shared" si="17"/>
        <v>109131637.36824624</v>
      </c>
      <c r="AH266">
        <f t="shared" si="18"/>
        <v>3761275.5551247708</v>
      </c>
      <c r="AI266">
        <f t="shared" si="19"/>
        <v>3.4465491820973811E-2</v>
      </c>
    </row>
    <row r="267" spans="1:35" x14ac:dyDescent="0.45">
      <c r="A267" s="5" t="s">
        <v>241</v>
      </c>
      <c r="B267" s="2">
        <f t="shared" si="16"/>
        <v>36500834.424191862</v>
      </c>
      <c r="C267" s="2">
        <v>30076354.922692623</v>
      </c>
      <c r="D267" s="2">
        <v>6.7972115984495873E-2</v>
      </c>
      <c r="E267" s="5">
        <v>29836870.671820998</v>
      </c>
      <c r="F267" s="5">
        <v>31441270.820295598</v>
      </c>
      <c r="G267" s="5">
        <v>38868268.506096102</v>
      </c>
      <c r="H267" s="5">
        <v>62371344.098036297</v>
      </c>
      <c r="I267" s="5">
        <v>28207755.1554217</v>
      </c>
      <c r="J267" s="5">
        <v>28150410.827223498</v>
      </c>
      <c r="K267" s="5">
        <v>37604662.290168896</v>
      </c>
      <c r="L267" s="5">
        <v>37072143.928752802</v>
      </c>
      <c r="M267" s="5">
        <v>25956068.258497801</v>
      </c>
      <c r="N267" s="5">
        <v>33365767.858200502</v>
      </c>
      <c r="O267" s="5">
        <v>42268195.912795603</v>
      </c>
      <c r="P267" s="5">
        <v>39753294.139951698</v>
      </c>
      <c r="Q267" s="5">
        <v>30194184.9716703</v>
      </c>
      <c r="R267" s="5">
        <v>43481630.9466772</v>
      </c>
      <c r="S267" s="5">
        <v>39598003.310029998</v>
      </c>
      <c r="T267" s="5">
        <v>55801730.586988099</v>
      </c>
      <c r="U267" s="5">
        <v>34574424.4059567</v>
      </c>
      <c r="V267" s="5">
        <v>24590260.879184701</v>
      </c>
      <c r="W267" s="5">
        <v>38321345.583522096</v>
      </c>
      <c r="X267" s="5">
        <v>33467212.010107901</v>
      </c>
      <c r="Y267" s="5">
        <v>25460013.593326401</v>
      </c>
      <c r="Z267" s="5">
        <v>40150235.986582197</v>
      </c>
      <c r="AA267" s="5">
        <v>40040400.533422798</v>
      </c>
      <c r="AB267" s="5">
        <v>35444530.905874804</v>
      </c>
      <c r="AC267" s="5">
        <v>29008545.270490699</v>
      </c>
      <c r="AD267" s="5">
        <v>27983042.094545599</v>
      </c>
      <c r="AE267" s="5">
        <v>30652023.183591101</v>
      </c>
      <c r="AF267" s="5">
        <v>32661809.142143101</v>
      </c>
      <c r="AG267">
        <f t="shared" si="17"/>
        <v>30076354.922692623</v>
      </c>
      <c r="AH267">
        <f t="shared" si="18"/>
        <v>2044353.4851961264</v>
      </c>
      <c r="AI267">
        <f t="shared" si="19"/>
        <v>6.7972115984495873E-2</v>
      </c>
    </row>
    <row r="268" spans="1:35" x14ac:dyDescent="0.45">
      <c r="A268" s="5" t="s">
        <v>356</v>
      </c>
      <c r="B268" s="2">
        <f t="shared" si="16"/>
        <v>454802890.98447156</v>
      </c>
      <c r="C268" s="2">
        <v>491173976.41557276</v>
      </c>
      <c r="D268" s="2">
        <v>3.4353367911105187E-2</v>
      </c>
      <c r="E268" s="5">
        <v>130288505.942139</v>
      </c>
      <c r="F268" s="5">
        <v>234759282.756845</v>
      </c>
      <c r="G268" s="5">
        <v>329231997.25188297</v>
      </c>
      <c r="H268" s="5">
        <v>470997940.04339498</v>
      </c>
      <c r="I268" s="5">
        <v>935895253.086604</v>
      </c>
      <c r="J268" s="5">
        <v>839433162.654719</v>
      </c>
      <c r="K268" s="5">
        <v>242560868.00203499</v>
      </c>
      <c r="L268" s="5">
        <v>357297039.51975298</v>
      </c>
      <c r="M268" s="5">
        <v>526572497.91244501</v>
      </c>
      <c r="N268" s="5">
        <v>163778345.71489999</v>
      </c>
      <c r="O268" s="5">
        <v>351688840.76891398</v>
      </c>
      <c r="P268" s="5">
        <v>236027284.31462899</v>
      </c>
      <c r="Q268" s="5">
        <v>1052965514.9524</v>
      </c>
      <c r="R268" s="5">
        <v>218643152.94949099</v>
      </c>
      <c r="S268" s="5">
        <v>499859457.744528</v>
      </c>
      <c r="T268" s="5">
        <v>664123894.25983</v>
      </c>
      <c r="U268" s="5">
        <v>384319488.75931197</v>
      </c>
      <c r="V268" s="5">
        <v>347046393.06641501</v>
      </c>
      <c r="W268" s="5">
        <v>221515985.49668601</v>
      </c>
      <c r="X268" s="5">
        <v>573574915.54670596</v>
      </c>
      <c r="Y268" s="5">
        <v>439883355.65970302</v>
      </c>
      <c r="Z268" s="5">
        <v>473846522.10184002</v>
      </c>
      <c r="AA268" s="5">
        <v>958614430.68661201</v>
      </c>
      <c r="AB268" s="5">
        <v>262345254.43553701</v>
      </c>
      <c r="AC268" s="5">
        <v>469402759.84988803</v>
      </c>
      <c r="AD268" s="5">
        <v>486560290.21642601</v>
      </c>
      <c r="AE268" s="5">
        <v>502043768.083781</v>
      </c>
      <c r="AF268" s="5">
        <v>506689087.512196</v>
      </c>
      <c r="AG268">
        <f t="shared" si="17"/>
        <v>491173976.41557276</v>
      </c>
      <c r="AH268">
        <f t="shared" si="18"/>
        <v>16873480.320164673</v>
      </c>
      <c r="AI268">
        <f t="shared" si="19"/>
        <v>3.4353367911105187E-2</v>
      </c>
    </row>
    <row r="269" spans="1:35" x14ac:dyDescent="0.45">
      <c r="A269" s="5" t="s">
        <v>350</v>
      </c>
      <c r="B269" s="2">
        <f t="shared" si="16"/>
        <v>83257440.274571076</v>
      </c>
      <c r="C269" s="2">
        <v>51572926.597539723</v>
      </c>
      <c r="D269" s="2">
        <v>3.5004424690939014E-2</v>
      </c>
      <c r="E269" s="5">
        <v>4782739.0774009302</v>
      </c>
      <c r="F269" s="5">
        <v>13838528.041893801</v>
      </c>
      <c r="G269" s="5">
        <v>328009308.69440699</v>
      </c>
      <c r="H269" s="5">
        <v>214504659.10986301</v>
      </c>
      <c r="I269" s="5">
        <v>209233708.91771299</v>
      </c>
      <c r="J269" s="5">
        <v>24323936.5284371</v>
      </c>
      <c r="K269" s="5">
        <v>22995767.753222398</v>
      </c>
      <c r="L269" s="5">
        <v>12486072.139316199</v>
      </c>
      <c r="M269" s="5">
        <v>17637088.5549055</v>
      </c>
      <c r="N269" s="5">
        <v>27318193.8545021</v>
      </c>
      <c r="O269" s="5">
        <v>251008750.45039299</v>
      </c>
      <c r="P269" s="5">
        <v>10647101.845811799</v>
      </c>
      <c r="Q269" s="5">
        <v>74152658.960701406</v>
      </c>
      <c r="R269" s="5">
        <v>1456367.92953295</v>
      </c>
      <c r="S269" s="5">
        <v>29964240.3184947</v>
      </c>
      <c r="T269" s="5">
        <v>10520350.710827099</v>
      </c>
      <c r="U269" s="5">
        <v>15635948.0208055</v>
      </c>
      <c r="V269" s="5">
        <v>4635174.0453324197</v>
      </c>
      <c r="W269" s="5">
        <v>302051392.75088</v>
      </c>
      <c r="X269" s="5">
        <v>30496541.579627901</v>
      </c>
      <c r="Y269" s="5">
        <v>343953566.496499</v>
      </c>
      <c r="Z269" s="5">
        <v>13170660.900938001</v>
      </c>
      <c r="AA269" s="5">
        <v>25499227.903216898</v>
      </c>
      <c r="AB269" s="5">
        <v>9856582.0049837306</v>
      </c>
      <c r="AC269" s="5">
        <v>50861744.633195199</v>
      </c>
      <c r="AD269" s="5">
        <v>49839221.939708203</v>
      </c>
      <c r="AE269" s="5">
        <v>51515356.728568196</v>
      </c>
      <c r="AF269" s="5">
        <v>54075383.088687301</v>
      </c>
      <c r="AG269">
        <f t="shared" si="17"/>
        <v>51572926.597539723</v>
      </c>
      <c r="AH269">
        <f t="shared" si="18"/>
        <v>1805280.6251749049</v>
      </c>
      <c r="AI269">
        <f t="shared" si="19"/>
        <v>3.5004424690939014E-2</v>
      </c>
    </row>
    <row r="270" spans="1:35" x14ac:dyDescent="0.45">
      <c r="A270" s="5" t="s">
        <v>383</v>
      </c>
      <c r="B270" s="2">
        <f t="shared" si="16"/>
        <v>6438084.6889592409</v>
      </c>
      <c r="C270" s="2">
        <v>5007401.4369326979</v>
      </c>
      <c r="D270" s="2">
        <v>2.4009210133501928E-2</v>
      </c>
      <c r="E270" s="5">
        <v>3794748.4249442201</v>
      </c>
      <c r="F270" s="5">
        <v>4310999.7825389402</v>
      </c>
      <c r="G270" s="5">
        <v>4953911.8165616998</v>
      </c>
      <c r="H270" s="5">
        <v>1968475.37334268</v>
      </c>
      <c r="I270" s="5">
        <v>5946882.6653754497</v>
      </c>
      <c r="J270" s="5">
        <v>4571667.3840758102</v>
      </c>
      <c r="K270" s="5">
        <v>6248448.9527443899</v>
      </c>
      <c r="L270" s="5">
        <v>5664215.5182956196</v>
      </c>
      <c r="M270" s="5">
        <v>5306601.8405828504</v>
      </c>
      <c r="N270" s="5">
        <v>6281514.0462283697</v>
      </c>
      <c r="O270" s="5">
        <v>6331461.3385651</v>
      </c>
      <c r="P270" s="5">
        <v>3828957.83223157</v>
      </c>
      <c r="Q270" s="5">
        <v>10381632.5066528</v>
      </c>
      <c r="R270" s="5">
        <v>3901831.2636178201</v>
      </c>
      <c r="S270" s="5">
        <v>7937046.9154758202</v>
      </c>
      <c r="T270" s="5">
        <v>26085511.737129901</v>
      </c>
      <c r="U270" s="5">
        <v>4901268.4123248998</v>
      </c>
      <c r="V270" s="5">
        <v>4556939.6023547798</v>
      </c>
      <c r="W270" s="5">
        <v>6522663.4077686202</v>
      </c>
      <c r="X270" s="5">
        <v>3735681.1031531901</v>
      </c>
      <c r="Y270" s="5">
        <v>7883383.5615427401</v>
      </c>
      <c r="Z270" s="5">
        <v>5599153.4881790597</v>
      </c>
      <c r="AA270" s="5">
        <v>7516574.2496370897</v>
      </c>
      <c r="AB270" s="5">
        <v>6284461.3116983902</v>
      </c>
      <c r="AC270" s="5">
        <v>5021399.1562205199</v>
      </c>
      <c r="AD270" s="5">
        <v>4942788.2714294996</v>
      </c>
      <c r="AE270" s="5">
        <v>5170021.7479359899</v>
      </c>
      <c r="AF270" s="5">
        <v>4895396.5721447803</v>
      </c>
      <c r="AG270">
        <f t="shared" si="17"/>
        <v>5007401.4369326979</v>
      </c>
      <c r="AH270">
        <f t="shared" si="18"/>
        <v>120223.75332211665</v>
      </c>
      <c r="AI270">
        <f t="shared" si="19"/>
        <v>2.4009210133501928E-2</v>
      </c>
    </row>
    <row r="271" spans="1:35" x14ac:dyDescent="0.45">
      <c r="A271" s="5" t="s">
        <v>242</v>
      </c>
      <c r="B271" s="2">
        <f t="shared" si="16"/>
        <v>11489731.926043026</v>
      </c>
      <c r="C271" s="2">
        <v>13127449.1004634</v>
      </c>
      <c r="D271" s="2">
        <v>2.8240576898267738E-2</v>
      </c>
      <c r="E271" s="5">
        <v>2014762.5623805099</v>
      </c>
      <c r="F271" s="5">
        <v>1339025.7097502199</v>
      </c>
      <c r="G271" s="5">
        <v>12102640.2216192</v>
      </c>
      <c r="H271" s="5">
        <v>9100501.1377100907</v>
      </c>
      <c r="I271" s="5">
        <v>37530961.444425799</v>
      </c>
      <c r="J271" s="5">
        <v>17072197.807537802</v>
      </c>
      <c r="K271" s="5">
        <v>3817829.9882110199</v>
      </c>
      <c r="L271" s="5">
        <v>9268589.0038741007</v>
      </c>
      <c r="M271" s="5">
        <v>21651444.280358098</v>
      </c>
      <c r="N271" s="5">
        <v>1450282.35010785</v>
      </c>
      <c r="O271" s="5">
        <v>995984.83507261204</v>
      </c>
      <c r="P271" s="5">
        <v>1375549.8123409301</v>
      </c>
      <c r="Q271" s="5">
        <v>49438313.410631903</v>
      </c>
      <c r="R271" s="5">
        <v>667455.46330644703</v>
      </c>
      <c r="S271" s="5">
        <v>20439948.3485041</v>
      </c>
      <c r="T271" s="5">
        <v>7376439.4745301297</v>
      </c>
      <c r="U271" s="5">
        <v>1523497.23956843</v>
      </c>
      <c r="V271" s="5">
        <v>8512214.74515073</v>
      </c>
      <c r="W271" s="5">
        <v>1203849.7265437499</v>
      </c>
      <c r="X271" s="5">
        <v>4455600.5180206597</v>
      </c>
      <c r="Y271" s="5">
        <v>12588777.255712699</v>
      </c>
      <c r="Z271" s="5">
        <v>12657444.654348399</v>
      </c>
      <c r="AA271" s="5">
        <v>30387696.6655734</v>
      </c>
      <c r="AB271" s="5">
        <v>8782559.5697537009</v>
      </c>
      <c r="AC271" s="5">
        <v>13619856.5518071</v>
      </c>
      <c r="AD271" s="5">
        <v>13202998.326165199</v>
      </c>
      <c r="AE271" s="5">
        <v>12881251.449910499</v>
      </c>
      <c r="AF271" s="5">
        <v>12805690.0739708</v>
      </c>
      <c r="AG271">
        <f t="shared" si="17"/>
        <v>13127449.1004634</v>
      </c>
      <c r="AH271">
        <f t="shared" si="18"/>
        <v>370726.73579973227</v>
      </c>
      <c r="AI271">
        <f t="shared" si="19"/>
        <v>2.8240576898267738E-2</v>
      </c>
    </row>
    <row r="272" spans="1:35" x14ac:dyDescent="0.45">
      <c r="A272" s="5" t="s">
        <v>243</v>
      </c>
      <c r="B272" s="2">
        <f t="shared" si="16"/>
        <v>48788759.311950713</v>
      </c>
      <c r="C272" s="2">
        <v>45198333.537641004</v>
      </c>
      <c r="D272" s="2">
        <v>8.4688240345667326E-2</v>
      </c>
      <c r="E272" s="5">
        <v>39374935.650513701</v>
      </c>
      <c r="F272" s="5">
        <v>59616277.369402699</v>
      </c>
      <c r="G272" s="5">
        <v>63483401.348855197</v>
      </c>
      <c r="H272" s="5">
        <v>40974077.495336398</v>
      </c>
      <c r="I272" s="5">
        <v>58855403.814195797</v>
      </c>
      <c r="J272" s="5">
        <v>47701578.643052399</v>
      </c>
      <c r="K272" s="5">
        <v>59760431.329133697</v>
      </c>
      <c r="L272" s="5">
        <v>47826511.433498301</v>
      </c>
      <c r="M272" s="5">
        <v>27399785.902336501</v>
      </c>
      <c r="N272" s="5">
        <v>58296405.024692103</v>
      </c>
      <c r="O272" s="5">
        <v>35439164.667900898</v>
      </c>
      <c r="P272" s="5">
        <v>40408846.384815499</v>
      </c>
      <c r="Q272" s="5">
        <v>37883001.764288798</v>
      </c>
      <c r="R272" s="5">
        <v>64954176.810854703</v>
      </c>
      <c r="S272" s="5">
        <v>55620045.320015103</v>
      </c>
      <c r="T272" s="5">
        <v>57886854.310588203</v>
      </c>
      <c r="U272" s="5">
        <v>31100946.6738947</v>
      </c>
      <c r="V272" s="5">
        <v>49218171.781088002</v>
      </c>
      <c r="W272" s="5">
        <v>46889449.642918199</v>
      </c>
      <c r="X272" s="5">
        <v>48805332.848209701</v>
      </c>
      <c r="Y272" s="5">
        <v>47595984.568061396</v>
      </c>
      <c r="Z272" s="5">
        <v>49242229.766393498</v>
      </c>
      <c r="AA272" s="5">
        <v>51228363.104255401</v>
      </c>
      <c r="AB272" s="5">
        <v>51368847.832516201</v>
      </c>
      <c r="AC272" s="5">
        <v>44448437.223201603</v>
      </c>
      <c r="AD272" s="5">
        <v>47657627.455443203</v>
      </c>
      <c r="AE272" s="5">
        <v>40107839.819610201</v>
      </c>
      <c r="AF272" s="5">
        <v>48579429.652309</v>
      </c>
      <c r="AG272">
        <f t="shared" si="17"/>
        <v>45198333.537641004</v>
      </c>
      <c r="AH272">
        <f t="shared" si="18"/>
        <v>3827767.3338593775</v>
      </c>
      <c r="AI272">
        <f t="shared" si="19"/>
        <v>8.4688240345667326E-2</v>
      </c>
    </row>
    <row r="273" spans="1:35" x14ac:dyDescent="0.45">
      <c r="A273" s="5" t="s">
        <v>335</v>
      </c>
      <c r="B273" s="2">
        <f t="shared" si="16"/>
        <v>74418490.608757958</v>
      </c>
      <c r="C273" s="2">
        <v>77824240.346655771</v>
      </c>
      <c r="D273" s="2">
        <v>0.11700734840672768</v>
      </c>
      <c r="E273" s="5">
        <v>88419105.303916499</v>
      </c>
      <c r="F273" s="5">
        <v>84595361.839423597</v>
      </c>
      <c r="G273" s="5">
        <v>42641894.219650701</v>
      </c>
      <c r="H273" s="5">
        <v>16537867.3873441</v>
      </c>
      <c r="I273" s="5">
        <v>70661627.478499204</v>
      </c>
      <c r="J273" s="5">
        <v>127323777.34753101</v>
      </c>
      <c r="K273" s="5">
        <v>68348454.028484404</v>
      </c>
      <c r="L273" s="5">
        <v>42883912.4974536</v>
      </c>
      <c r="M273" s="5">
        <v>228205444.853681</v>
      </c>
      <c r="N273" s="5">
        <v>18566963.857768498</v>
      </c>
      <c r="O273" s="5">
        <v>47604720.1846544</v>
      </c>
      <c r="P273" s="5">
        <v>40298164.5529911</v>
      </c>
      <c r="Q273" s="5">
        <v>42625979.446080297</v>
      </c>
      <c r="R273" s="5">
        <v>29481601.323325999</v>
      </c>
      <c r="S273" s="5">
        <v>37122621.647973903</v>
      </c>
      <c r="T273" s="5">
        <v>171602854.24470901</v>
      </c>
      <c r="U273" s="5">
        <v>142546869.34709299</v>
      </c>
      <c r="V273" s="5">
        <v>81310249.152435794</v>
      </c>
      <c r="W273" s="5">
        <v>39845436.166195497</v>
      </c>
      <c r="X273" s="5">
        <v>109207545.972781</v>
      </c>
      <c r="Y273" s="5">
        <v>22085373.237798799</v>
      </c>
      <c r="Z273" s="5">
        <v>119132769.72250301</v>
      </c>
      <c r="AA273" s="5">
        <v>72398734.709985197</v>
      </c>
      <c r="AB273" s="5">
        <v>42596446.087911598</v>
      </c>
      <c r="AC273" s="5">
        <v>81553459.9673305</v>
      </c>
      <c r="AD273" s="5">
        <v>80822072.645528704</v>
      </c>
      <c r="AE273" s="5">
        <v>64380102.944338299</v>
      </c>
      <c r="AF273" s="5">
        <v>84541325.829425603</v>
      </c>
      <c r="AG273">
        <f t="shared" si="17"/>
        <v>77824240.346655771</v>
      </c>
      <c r="AH273">
        <f t="shared" si="18"/>
        <v>9106008.0047300644</v>
      </c>
      <c r="AI273">
        <f t="shared" si="19"/>
        <v>0.11700734840672768</v>
      </c>
    </row>
    <row r="274" spans="1:35" x14ac:dyDescent="0.45">
      <c r="A274" s="5" t="s">
        <v>244</v>
      </c>
      <c r="B274" s="2">
        <f t="shared" si="16"/>
        <v>80791076.278057918</v>
      </c>
      <c r="C274" s="2">
        <v>75693085.221401006</v>
      </c>
      <c r="D274" s="2">
        <v>0.14291332299644785</v>
      </c>
      <c r="E274" s="5">
        <v>46343684.9738051</v>
      </c>
      <c r="F274" s="5">
        <v>97647067.970780998</v>
      </c>
      <c r="G274" s="5">
        <v>59230671.889411397</v>
      </c>
      <c r="H274" s="5">
        <v>37498469.904213101</v>
      </c>
      <c r="I274" s="5">
        <v>75770629.892734006</v>
      </c>
      <c r="J274" s="5">
        <v>96175945.352219194</v>
      </c>
      <c r="K274" s="5">
        <v>56782935.274760403</v>
      </c>
      <c r="L274" s="5">
        <v>68549511.704640001</v>
      </c>
      <c r="M274" s="5">
        <v>155051908.59403399</v>
      </c>
      <c r="N274" s="5">
        <v>67469522.055402696</v>
      </c>
      <c r="O274" s="5">
        <v>71292498.990363404</v>
      </c>
      <c r="P274" s="5">
        <v>89568788.947734505</v>
      </c>
      <c r="Q274" s="5">
        <v>63010110.163959101</v>
      </c>
      <c r="R274" s="5">
        <v>66439830.895600498</v>
      </c>
      <c r="S274" s="5">
        <v>72178223.167035997</v>
      </c>
      <c r="T274" s="5">
        <v>98391203.066164196</v>
      </c>
      <c r="U274" s="5">
        <v>104285552.58246</v>
      </c>
      <c r="V274" s="5">
        <v>92343053.363473594</v>
      </c>
      <c r="W274" s="5">
        <v>77958521.397535697</v>
      </c>
      <c r="X274" s="5">
        <v>135238598.66570601</v>
      </c>
      <c r="Y274" s="5">
        <v>49679987.336767599</v>
      </c>
      <c r="Z274" s="5">
        <v>115357798.640652</v>
      </c>
      <c r="AA274" s="5">
        <v>65119634.446971498</v>
      </c>
      <c r="AB274" s="5">
        <v>77601681.396964997</v>
      </c>
      <c r="AC274" s="5">
        <v>65774165.735040598</v>
      </c>
      <c r="AD274" s="5">
        <v>87260078.124017403</v>
      </c>
      <c r="AE274" s="5">
        <v>67203547.085066095</v>
      </c>
      <c r="AF274" s="5">
        <v>82534549.941479906</v>
      </c>
      <c r="AG274">
        <f t="shared" si="17"/>
        <v>75693085.221401006</v>
      </c>
      <c r="AH274">
        <f t="shared" si="18"/>
        <v>10817550.336843735</v>
      </c>
      <c r="AI274">
        <f t="shared" si="19"/>
        <v>0.14291332299644785</v>
      </c>
    </row>
    <row r="275" spans="1:35" x14ac:dyDescent="0.45">
      <c r="A275" s="5" t="s">
        <v>439</v>
      </c>
      <c r="B275" s="2">
        <f t="shared" si="16"/>
        <v>7562058.7598710125</v>
      </c>
      <c r="C275" s="2">
        <v>9142883.8155271579</v>
      </c>
      <c r="D275" s="2">
        <v>2.2721356122753365E-2</v>
      </c>
      <c r="E275" s="5">
        <v>114319.058285202</v>
      </c>
      <c r="F275" s="5">
        <v>275229.36752825201</v>
      </c>
      <c r="G275" s="5">
        <v>9565398.3890263103</v>
      </c>
      <c r="H275" s="5">
        <v>358181.78412646003</v>
      </c>
      <c r="I275" s="5">
        <v>23327840.998943999</v>
      </c>
      <c r="J275" s="5">
        <v>44478824.927307203</v>
      </c>
      <c r="K275" s="5">
        <v>351625.60720313998</v>
      </c>
      <c r="L275" s="5">
        <v>3021314.5713790599</v>
      </c>
      <c r="M275" s="5">
        <v>22879256.3322885</v>
      </c>
      <c r="N275" s="5">
        <v>73790.6747704265</v>
      </c>
      <c r="O275" s="5">
        <v>153543.21098820001</v>
      </c>
      <c r="P275" s="5">
        <v>174044.08620047299</v>
      </c>
      <c r="Q275" s="5">
        <v>15209017.9727249</v>
      </c>
      <c r="R275" s="5">
        <v>81098.640377666394</v>
      </c>
      <c r="S275" s="5">
        <v>6175633.6257402403</v>
      </c>
      <c r="T275" s="5">
        <v>138739.86813590801</v>
      </c>
      <c r="U275" s="5">
        <v>1659224.62708593</v>
      </c>
      <c r="V275" s="5">
        <v>8207267.0693665203</v>
      </c>
      <c r="W275" s="5">
        <v>85498.782784082097</v>
      </c>
      <c r="X275" s="5">
        <v>23953551.485709898</v>
      </c>
      <c r="Y275" s="5">
        <v>2027819.9851156699</v>
      </c>
      <c r="Z275" s="5">
        <v>6706107.5194054497</v>
      </c>
      <c r="AA275" s="5">
        <v>10764358.629491299</v>
      </c>
      <c r="AB275" s="5">
        <v>1707723.02291948</v>
      </c>
      <c r="AC275" s="5">
        <v>9130797.7447983399</v>
      </c>
      <c r="AD275" s="5">
        <v>8865802.4992952999</v>
      </c>
      <c r="AE275" s="5">
        <v>9214197.0901286192</v>
      </c>
      <c r="AF275" s="5">
        <v>9360737.9278863706</v>
      </c>
      <c r="AG275">
        <f t="shared" si="17"/>
        <v>9142883.8155271579</v>
      </c>
      <c r="AH275">
        <f t="shared" si="18"/>
        <v>207738.71916155063</v>
      </c>
      <c r="AI275">
        <f t="shared" si="19"/>
        <v>2.2721356122753365E-2</v>
      </c>
    </row>
    <row r="276" spans="1:35" x14ac:dyDescent="0.45">
      <c r="A276" s="5" t="s">
        <v>362</v>
      </c>
      <c r="B276" s="2">
        <f t="shared" si="16"/>
        <v>56565214.375112265</v>
      </c>
      <c r="C276" s="2">
        <v>46096006.118386731</v>
      </c>
      <c r="D276" s="2">
        <v>2.5842305047929559E-2</v>
      </c>
      <c r="E276" s="5">
        <v>23965513.843332302</v>
      </c>
      <c r="F276" s="5">
        <v>47608599.168683298</v>
      </c>
      <c r="G276" s="5">
        <v>27699729.9153786</v>
      </c>
      <c r="H276" s="5">
        <v>63895205.758762203</v>
      </c>
      <c r="I276" s="5">
        <v>43028828.3335585</v>
      </c>
      <c r="J276" s="5">
        <v>53611901.1941434</v>
      </c>
      <c r="K276" s="5">
        <v>44848171.868053503</v>
      </c>
      <c r="L276" s="5">
        <v>28910323.427659702</v>
      </c>
      <c r="M276" s="5">
        <v>41987833.1882497</v>
      </c>
      <c r="N276" s="5">
        <v>46717898.676456802</v>
      </c>
      <c r="O276" s="5">
        <v>188595584.980986</v>
      </c>
      <c r="P276" s="5">
        <v>51836021.049262099</v>
      </c>
      <c r="Q276" s="5">
        <v>52561957.101051398</v>
      </c>
      <c r="R276" s="5">
        <v>58865249.8420626</v>
      </c>
      <c r="S276" s="5">
        <v>24399571.026256301</v>
      </c>
      <c r="T276" s="5">
        <v>197140335.62103999</v>
      </c>
      <c r="U276" s="5">
        <v>64248772.470946901</v>
      </c>
      <c r="V276" s="5">
        <v>35867308.632490002</v>
      </c>
      <c r="W276" s="5">
        <v>73539869.333382294</v>
      </c>
      <c r="X276" s="5">
        <v>45818873.280593097</v>
      </c>
      <c r="Y276" s="5">
        <v>34648218.914248601</v>
      </c>
      <c r="Z276" s="5">
        <v>43242829.348669797</v>
      </c>
      <c r="AA276" s="5">
        <v>33820725.002037898</v>
      </c>
      <c r="AB276" s="5">
        <v>30705823.025389299</v>
      </c>
      <c r="AC276" s="5">
        <v>47207109.709956601</v>
      </c>
      <c r="AD276" s="5">
        <v>47042665.889741398</v>
      </c>
      <c r="AE276" s="5">
        <v>44999468.237610303</v>
      </c>
      <c r="AF276" s="5">
        <v>45134780.636238597</v>
      </c>
      <c r="AG276">
        <f t="shared" si="17"/>
        <v>46096006.118386731</v>
      </c>
      <c r="AH276">
        <f t="shared" si="18"/>
        <v>1191227.0516025773</v>
      </c>
      <c r="AI276">
        <f t="shared" si="19"/>
        <v>2.5842305047929559E-2</v>
      </c>
    </row>
    <row r="277" spans="1:35" x14ac:dyDescent="0.45">
      <c r="A277" s="5" t="s">
        <v>245</v>
      </c>
      <c r="B277" s="2">
        <f t="shared" si="16"/>
        <v>28723541.808504585</v>
      </c>
      <c r="C277" s="2">
        <v>27577186.725068051</v>
      </c>
      <c r="D277" s="2">
        <v>7.2767529759165714E-2</v>
      </c>
      <c r="E277" s="5">
        <v>26954071.716443699</v>
      </c>
      <c r="F277" s="5">
        <v>24914774.704307601</v>
      </c>
      <c r="G277" s="5">
        <v>4458609.4102107501</v>
      </c>
      <c r="H277" s="5">
        <v>21150164.5620213</v>
      </c>
      <c r="I277" s="5">
        <v>30273751.091850299</v>
      </c>
      <c r="J277" s="5">
        <v>27526922.034100398</v>
      </c>
      <c r="K277" s="5">
        <v>28363518.952686898</v>
      </c>
      <c r="L277" s="5">
        <v>25156199.186295699</v>
      </c>
      <c r="M277" s="5">
        <v>39274037.186631098</v>
      </c>
      <c r="N277" s="5">
        <v>32593301.992640302</v>
      </c>
      <c r="O277" s="5">
        <v>12101299.325363699</v>
      </c>
      <c r="P277" s="5">
        <v>20961672.5240499</v>
      </c>
      <c r="Q277" s="5">
        <v>57516927.073337696</v>
      </c>
      <c r="R277" s="5">
        <v>15184367.9066683</v>
      </c>
      <c r="S277" s="5">
        <v>34680198.122914098</v>
      </c>
      <c r="T277" s="5">
        <v>35112819.811705999</v>
      </c>
      <c r="U277" s="5">
        <v>30497708.656719599</v>
      </c>
      <c r="V277" s="5">
        <v>30407437.906491999</v>
      </c>
      <c r="W277" s="5">
        <v>32016520.939706199</v>
      </c>
      <c r="X277" s="5">
        <v>20936886.460351299</v>
      </c>
      <c r="Y277" s="5">
        <v>32535390.595232699</v>
      </c>
      <c r="Z277" s="5">
        <v>28061731.573056601</v>
      </c>
      <c r="AA277" s="5">
        <v>43964104.087704897</v>
      </c>
      <c r="AB277" s="5">
        <v>34722587.583618999</v>
      </c>
      <c r="AC277" s="5">
        <v>27312228.566113502</v>
      </c>
      <c r="AD277" s="5">
        <v>29612164.6538518</v>
      </c>
      <c r="AE277" s="5">
        <v>24916930.701510899</v>
      </c>
      <c r="AF277" s="5">
        <v>28467422.978796002</v>
      </c>
      <c r="AG277">
        <f t="shared" si="17"/>
        <v>27577186.725068051</v>
      </c>
      <c r="AH277">
        <f t="shared" si="18"/>
        <v>2006723.7556904592</v>
      </c>
      <c r="AI277">
        <f t="shared" si="19"/>
        <v>7.2767529759165714E-2</v>
      </c>
    </row>
    <row r="278" spans="1:35" x14ac:dyDescent="0.45">
      <c r="A278" s="5" t="s">
        <v>363</v>
      </c>
      <c r="B278" s="2">
        <f t="shared" si="16"/>
        <v>766234886.54378045</v>
      </c>
      <c r="C278" s="2">
        <v>438536001.35404849</v>
      </c>
      <c r="D278" s="2">
        <v>5.4963791568212794E-2</v>
      </c>
      <c r="E278" s="5">
        <v>126430520.24762499</v>
      </c>
      <c r="F278" s="5">
        <v>224820320.325571</v>
      </c>
      <c r="G278" s="5">
        <v>170599124.95657399</v>
      </c>
      <c r="H278" s="5">
        <v>446453685.68670499</v>
      </c>
      <c r="I278" s="5">
        <v>144033029.05278</v>
      </c>
      <c r="J278" s="5">
        <v>445398593.85688698</v>
      </c>
      <c r="K278" s="5">
        <v>204473777.55213201</v>
      </c>
      <c r="L278" s="5">
        <v>133904821.458928</v>
      </c>
      <c r="M278" s="5">
        <v>85111299.723097801</v>
      </c>
      <c r="N278" s="5">
        <v>179302581.54195201</v>
      </c>
      <c r="O278" s="5">
        <v>688597614.04757202</v>
      </c>
      <c r="P278" s="5">
        <v>570783675.78626597</v>
      </c>
      <c r="Q278" s="5">
        <v>68820467.938351497</v>
      </c>
      <c r="R278" s="5">
        <v>299307808.79783201</v>
      </c>
      <c r="S278" s="5">
        <v>133991245.02143499</v>
      </c>
      <c r="T278" s="5">
        <v>13057207181.755501</v>
      </c>
      <c r="U278" s="5">
        <v>239670709.56117699</v>
      </c>
      <c r="V278" s="5">
        <v>274268888.47691202</v>
      </c>
      <c r="W278" s="5">
        <v>176383118.641251</v>
      </c>
      <c r="X278" s="5">
        <v>152507167.766864</v>
      </c>
      <c r="Y278" s="5">
        <v>120225460.369386</v>
      </c>
      <c r="Z278" s="5">
        <v>155944009.623833</v>
      </c>
      <c r="AA278" s="5">
        <v>137115046.89460599</v>
      </c>
      <c r="AB278" s="5">
        <v>154287127.967493</v>
      </c>
      <c r="AC278" s="5">
        <v>404951163.70476103</v>
      </c>
      <c r="AD278" s="5">
        <v>452918195.210931</v>
      </c>
      <c r="AE278" s="5">
        <v>437559251.28144199</v>
      </c>
      <c r="AF278" s="5">
        <v>458715395.21906</v>
      </c>
      <c r="AG278">
        <f t="shared" si="17"/>
        <v>438536001.35404849</v>
      </c>
      <c r="AH278">
        <f t="shared" si="18"/>
        <v>24103601.373581406</v>
      </c>
      <c r="AI278">
        <f t="shared" si="19"/>
        <v>5.4963791568212794E-2</v>
      </c>
    </row>
    <row r="279" spans="1:35" x14ac:dyDescent="0.45">
      <c r="A279" s="5" t="s">
        <v>336</v>
      </c>
      <c r="B279" s="2">
        <f t="shared" si="16"/>
        <v>6537160.3796331463</v>
      </c>
      <c r="C279" s="2">
        <v>4402891.1078658253</v>
      </c>
      <c r="D279" s="2">
        <v>2.9337128794481714E-2</v>
      </c>
      <c r="E279" s="5">
        <v>4641679.1479379497</v>
      </c>
      <c r="F279" s="5">
        <v>9756009.3736778405</v>
      </c>
      <c r="G279" s="5">
        <v>4317062.1427441398</v>
      </c>
      <c r="H279" s="5">
        <v>5526705.5247470597</v>
      </c>
      <c r="I279" s="5">
        <v>2821957.9508224302</v>
      </c>
      <c r="J279" s="5">
        <v>6150701.7338523697</v>
      </c>
      <c r="K279" s="5">
        <v>4593128.1819365602</v>
      </c>
      <c r="L279" s="5">
        <v>6043393.0071627302</v>
      </c>
      <c r="M279" s="5">
        <v>3754414.8302132501</v>
      </c>
      <c r="N279" s="5">
        <v>7729061.9096897496</v>
      </c>
      <c r="O279" s="5">
        <v>10507373.4466998</v>
      </c>
      <c r="P279" s="5">
        <v>19101119.161124099</v>
      </c>
      <c r="Q279" s="5">
        <v>2468705.6705032401</v>
      </c>
      <c r="R279" s="5">
        <v>11457672.3204857</v>
      </c>
      <c r="S279" s="5">
        <v>5476682.8655466298</v>
      </c>
      <c r="T279" s="5">
        <v>10574251.594080901</v>
      </c>
      <c r="U279" s="5">
        <v>4815815.51190296</v>
      </c>
      <c r="V279" s="5">
        <v>6963698.41706286</v>
      </c>
      <c r="W279" s="5">
        <v>8755739.4328675494</v>
      </c>
      <c r="X279" s="5">
        <v>3977000.90458804</v>
      </c>
      <c r="Y279" s="5">
        <v>2583234.1471368601</v>
      </c>
      <c r="Z279" s="5">
        <v>6816838.9669273198</v>
      </c>
      <c r="AA279" s="5">
        <v>3651915.3717521699</v>
      </c>
      <c r="AB279" s="5">
        <v>4407687.4977332801</v>
      </c>
      <c r="AC279" s="5">
        <v>4548653.2830959102</v>
      </c>
      <c r="AD279" s="5">
        <v>4344895.9741126904</v>
      </c>
      <c r="AE279" s="5">
        <v>4255104.5437791096</v>
      </c>
      <c r="AF279" s="5">
        <v>4462910.63047559</v>
      </c>
      <c r="AG279">
        <f t="shared" si="17"/>
        <v>4402891.1078658253</v>
      </c>
      <c r="AH279">
        <f t="shared" si="18"/>
        <v>129168.18349953799</v>
      </c>
      <c r="AI279">
        <f t="shared" si="19"/>
        <v>2.9337128794481714E-2</v>
      </c>
    </row>
    <row r="280" spans="1:35" x14ac:dyDescent="0.45">
      <c r="A280" s="5" t="s">
        <v>337</v>
      </c>
      <c r="B280" s="2">
        <f t="shared" si="16"/>
        <v>364020185.15369672</v>
      </c>
      <c r="C280" s="2">
        <v>294832231.10246921</v>
      </c>
      <c r="D280" s="2">
        <v>0.18915584679526518</v>
      </c>
      <c r="E280" s="5">
        <v>264257839.84107101</v>
      </c>
      <c r="F280" s="5">
        <v>236368931.785395</v>
      </c>
      <c r="G280" s="5">
        <v>835168155.36120296</v>
      </c>
      <c r="H280" s="5">
        <v>399166158.020181</v>
      </c>
      <c r="I280" s="5">
        <v>151415499.337439</v>
      </c>
      <c r="J280" s="5">
        <v>256115543.968734</v>
      </c>
      <c r="K280" s="5">
        <v>212707297.44817999</v>
      </c>
      <c r="L280" s="5">
        <v>366135869.01415002</v>
      </c>
      <c r="M280" s="5">
        <v>482050333.842296</v>
      </c>
      <c r="N280" s="5">
        <v>240755925.723214</v>
      </c>
      <c r="O280" s="5">
        <v>468153850.397021</v>
      </c>
      <c r="P280" s="5">
        <v>345365775.18297499</v>
      </c>
      <c r="Q280" s="5">
        <v>427908664.83252603</v>
      </c>
      <c r="R280" s="5">
        <v>309489091.56364101</v>
      </c>
      <c r="S280" s="5">
        <v>592260957.67839801</v>
      </c>
      <c r="T280" s="5">
        <v>628178448.91517401</v>
      </c>
      <c r="U280" s="5">
        <v>217700347.722451</v>
      </c>
      <c r="V280" s="5">
        <v>188083553.59490401</v>
      </c>
      <c r="W280" s="5">
        <v>488981654.56179702</v>
      </c>
      <c r="X280" s="5">
        <v>360150443.00055701</v>
      </c>
      <c r="Y280" s="5">
        <v>298038472.00326502</v>
      </c>
      <c r="Z280" s="5">
        <v>319466002.25393802</v>
      </c>
      <c r="AA280" s="5">
        <v>353849546.10294503</v>
      </c>
      <c r="AB280" s="5">
        <v>294716081.53726399</v>
      </c>
      <c r="AC280" s="5">
        <v>233650073.48527199</v>
      </c>
      <c r="AD280" s="5">
        <v>280767283.96368998</v>
      </c>
      <c r="AE280" s="5">
        <v>368222261.97230399</v>
      </c>
      <c r="AF280" s="5">
        <v>296689304.98861098</v>
      </c>
      <c r="AG280">
        <f t="shared" si="17"/>
        <v>294832231.10246921</v>
      </c>
      <c r="AH280">
        <f t="shared" si="18"/>
        <v>55769240.336724877</v>
      </c>
      <c r="AI280">
        <f t="shared" si="19"/>
        <v>0.18915584679526518</v>
      </c>
    </row>
    <row r="281" spans="1:35" x14ac:dyDescent="0.45">
      <c r="A281" s="5" t="s">
        <v>338</v>
      </c>
      <c r="B281" s="2">
        <f t="shared" si="16"/>
        <v>139977506.52760139</v>
      </c>
      <c r="C281" s="2">
        <v>142722227.16583347</v>
      </c>
      <c r="D281" s="2">
        <v>8.3854057030099363E-2</v>
      </c>
      <c r="E281" s="5">
        <v>176933249.30985001</v>
      </c>
      <c r="F281" s="5">
        <v>75670397.502667099</v>
      </c>
      <c r="G281" s="5">
        <v>73630766.979032993</v>
      </c>
      <c r="H281" s="5">
        <v>23737409.534182899</v>
      </c>
      <c r="I281" s="5">
        <v>186348021.51135901</v>
      </c>
      <c r="J281" s="5">
        <v>205210533.97150499</v>
      </c>
      <c r="K281" s="5">
        <v>174603062.15867499</v>
      </c>
      <c r="L281" s="5">
        <v>109845526.75652701</v>
      </c>
      <c r="M281" s="5">
        <v>391831476.59380198</v>
      </c>
      <c r="N281" s="5">
        <v>62270734.503083996</v>
      </c>
      <c r="O281" s="5">
        <v>70859755.015722498</v>
      </c>
      <c r="P281" s="5">
        <v>63653561.6262706</v>
      </c>
      <c r="Q281" s="5">
        <v>157628187.649685</v>
      </c>
      <c r="R281" s="5">
        <v>87033283.964049593</v>
      </c>
      <c r="S281" s="5">
        <v>73491351.999026403</v>
      </c>
      <c r="T281" s="5">
        <v>185054794.11302799</v>
      </c>
      <c r="U281" s="5">
        <v>326323045.73568898</v>
      </c>
      <c r="V281" s="5">
        <v>118356739.44078</v>
      </c>
      <c r="W281" s="5">
        <v>87871860.255335003</v>
      </c>
      <c r="X281" s="5">
        <v>207903921.56422499</v>
      </c>
      <c r="Y281" s="5">
        <v>59522173.286698297</v>
      </c>
      <c r="Z281" s="5">
        <v>208534300.25938001</v>
      </c>
      <c r="AA281" s="5">
        <v>133328690.572668</v>
      </c>
      <c r="AB281" s="5">
        <v>99817312.359190807</v>
      </c>
      <c r="AC281" s="5">
        <v>128292661.31624199</v>
      </c>
      <c r="AD281" s="5">
        <v>138282917.53505099</v>
      </c>
      <c r="AE281" s="5">
        <v>155602702.59891099</v>
      </c>
      <c r="AF281" s="5">
        <v>148710627.21313</v>
      </c>
      <c r="AG281">
        <f t="shared" si="17"/>
        <v>142722227.16583347</v>
      </c>
      <c r="AH281">
        <f t="shared" si="18"/>
        <v>11967837.776226597</v>
      </c>
      <c r="AI281">
        <f t="shared" si="19"/>
        <v>8.3854057030099363E-2</v>
      </c>
    </row>
    <row r="282" spans="1:35" x14ac:dyDescent="0.45">
      <c r="A282" s="5" t="s">
        <v>246</v>
      </c>
      <c r="B282" s="2">
        <f t="shared" si="16"/>
        <v>25204241.780886319</v>
      </c>
      <c r="C282" s="2">
        <v>16470697.76860375</v>
      </c>
      <c r="D282" s="2">
        <v>5.8245839305084264E-2</v>
      </c>
      <c r="E282" s="5">
        <v>37762702.673784703</v>
      </c>
      <c r="F282" s="5">
        <v>14955341.6168894</v>
      </c>
      <c r="G282" s="5">
        <v>40251528.730453297</v>
      </c>
      <c r="H282" s="5">
        <v>2104534.9776081401</v>
      </c>
      <c r="I282" s="5">
        <v>18559494.9111211</v>
      </c>
      <c r="J282" s="5">
        <v>14243284.5207459</v>
      </c>
      <c r="K282" s="5">
        <v>5563192.0159444399</v>
      </c>
      <c r="L282" s="5">
        <v>20164686.982303601</v>
      </c>
      <c r="M282" s="5">
        <v>29185236.302959401</v>
      </c>
      <c r="N282" s="5">
        <v>4977404.7923681904</v>
      </c>
      <c r="O282" s="5">
        <v>90377248.270936206</v>
      </c>
      <c r="P282" s="5">
        <v>14785869.4024441</v>
      </c>
      <c r="Q282" s="5">
        <v>5301900.6987664904</v>
      </c>
      <c r="R282" s="5">
        <v>17885063.892124899</v>
      </c>
      <c r="S282" s="5">
        <v>7543970.6210461799</v>
      </c>
      <c r="T282" s="5">
        <v>105725893.644774</v>
      </c>
      <c r="U282" s="5">
        <v>53427068.975213997</v>
      </c>
      <c r="V282" s="5">
        <v>9231208.0415824801</v>
      </c>
      <c r="W282" s="5">
        <v>39456856.680936404</v>
      </c>
      <c r="X282" s="5">
        <v>24066918.576513499</v>
      </c>
      <c r="Y282" s="5">
        <v>6695014.8450500499</v>
      </c>
      <c r="Z282" s="5">
        <v>21773549.3261212</v>
      </c>
      <c r="AA282" s="5">
        <v>8677021.9848468509</v>
      </c>
      <c r="AB282" s="5">
        <v>12186810.256736999</v>
      </c>
      <c r="AC282" s="5">
        <v>17662984.598247498</v>
      </c>
      <c r="AD282" s="5">
        <v>15656290.485133599</v>
      </c>
      <c r="AE282" s="5">
        <v>16831690.478147101</v>
      </c>
      <c r="AF282" s="5">
        <v>15731825.5128868</v>
      </c>
      <c r="AG282">
        <f t="shared" si="17"/>
        <v>16470697.76860375</v>
      </c>
      <c r="AH282">
        <f t="shared" si="18"/>
        <v>959349.61547270394</v>
      </c>
      <c r="AI282">
        <f t="shared" si="19"/>
        <v>5.8245839305084264E-2</v>
      </c>
    </row>
    <row r="283" spans="1:35" x14ac:dyDescent="0.45">
      <c r="A283" s="5" t="s">
        <v>339</v>
      </c>
      <c r="B283" s="2">
        <f t="shared" si="16"/>
        <v>87808928.598339126</v>
      </c>
      <c r="C283" s="2">
        <v>76586827.875146553</v>
      </c>
      <c r="D283" s="2">
        <v>5.9461782158860277E-2</v>
      </c>
      <c r="E283" s="5">
        <v>113550381.616771</v>
      </c>
      <c r="F283" s="5">
        <v>24164429.741404399</v>
      </c>
      <c r="G283" s="5">
        <v>119964819.00606</v>
      </c>
      <c r="H283" s="5">
        <v>35269427.6049878</v>
      </c>
      <c r="I283" s="5">
        <v>183754481.804234</v>
      </c>
      <c r="J283" s="5">
        <v>249703843.96782601</v>
      </c>
      <c r="K283" s="5">
        <v>11212809.4084951</v>
      </c>
      <c r="L283" s="5">
        <v>43195535.838419497</v>
      </c>
      <c r="M283" s="5">
        <v>169310841.63587299</v>
      </c>
      <c r="N283" s="5">
        <v>7507379.6202251399</v>
      </c>
      <c r="O283" s="5">
        <v>44248809.135511398</v>
      </c>
      <c r="P283" s="5">
        <v>17048703.015561901</v>
      </c>
      <c r="Q283" s="5">
        <v>69856451.488730803</v>
      </c>
      <c r="R283" s="5">
        <v>21924643.3796639</v>
      </c>
      <c r="S283" s="5">
        <v>86475888.377774805</v>
      </c>
      <c r="T283" s="5">
        <v>33866295.7072699</v>
      </c>
      <c r="U283" s="5">
        <v>19641201.8164827</v>
      </c>
      <c r="V283" s="5">
        <v>45984364.759231701</v>
      </c>
      <c r="W283" s="5">
        <v>14580191.953472</v>
      </c>
      <c r="X283" s="5">
        <v>148668478.94447199</v>
      </c>
      <c r="Y283" s="5">
        <v>86137482.626512796</v>
      </c>
      <c r="Z283" s="5">
        <v>231795571.84623101</v>
      </c>
      <c r="AA283" s="5">
        <v>267445536.65997899</v>
      </c>
      <c r="AB283" s="5">
        <v>62106716.404948696</v>
      </c>
      <c r="AC283" s="5">
        <v>76543619.497901395</v>
      </c>
      <c r="AD283" s="5">
        <v>70531431.383375093</v>
      </c>
      <c r="AE283" s="5">
        <v>81500301.794442698</v>
      </c>
      <c r="AF283" s="5">
        <v>77771958.824866995</v>
      </c>
      <c r="AG283">
        <f t="shared" si="17"/>
        <v>76586827.875146553</v>
      </c>
      <c r="AH283">
        <f t="shared" si="18"/>
        <v>4553989.275350092</v>
      </c>
      <c r="AI283">
        <f t="shared" si="19"/>
        <v>5.9461782158860277E-2</v>
      </c>
    </row>
    <row r="284" spans="1:35" x14ac:dyDescent="0.45">
      <c r="A284" s="5" t="s">
        <v>247</v>
      </c>
      <c r="B284" s="2">
        <f t="shared" si="16"/>
        <v>1135889967.3179488</v>
      </c>
      <c r="C284" s="2">
        <v>933785031.64772797</v>
      </c>
      <c r="D284" s="2">
        <v>3.9124065567934213E-2</v>
      </c>
      <c r="E284" s="5">
        <v>1282625485.7718599</v>
      </c>
      <c r="F284" s="5">
        <v>1052058353.5822001</v>
      </c>
      <c r="G284" s="5">
        <v>525319852.69322801</v>
      </c>
      <c r="H284" s="5">
        <v>1066586669.41468</v>
      </c>
      <c r="I284" s="5">
        <v>1063570563.45215</v>
      </c>
      <c r="J284" s="5">
        <v>1376554069.9904799</v>
      </c>
      <c r="K284" s="5">
        <v>421211486.823237</v>
      </c>
      <c r="L284" s="5">
        <v>665611028.05404305</v>
      </c>
      <c r="M284" s="5">
        <v>1326317410.23648</v>
      </c>
      <c r="N284" s="5">
        <v>225948560.00694501</v>
      </c>
      <c r="O284" s="5">
        <v>2061978321.43959</v>
      </c>
      <c r="P284" s="5">
        <v>172557609.23899001</v>
      </c>
      <c r="Q284" s="5">
        <v>714863432.41117597</v>
      </c>
      <c r="R284" s="5">
        <v>1005006898.89404</v>
      </c>
      <c r="S284" s="5">
        <v>521454876.24394703</v>
      </c>
      <c r="T284" s="5">
        <v>6506444364.35495</v>
      </c>
      <c r="U284" s="5">
        <v>981984977.407215</v>
      </c>
      <c r="V284" s="5">
        <v>631539635.79007602</v>
      </c>
      <c r="W284" s="5">
        <v>525137451.31319898</v>
      </c>
      <c r="X284" s="5">
        <v>1102117519.59217</v>
      </c>
      <c r="Y284" s="5">
        <v>796029241.00745499</v>
      </c>
      <c r="Z284" s="5">
        <v>1193672952.1273601</v>
      </c>
      <c r="AA284" s="5">
        <v>1031190012.37967</v>
      </c>
      <c r="AB284" s="5">
        <v>1011578443.40563</v>
      </c>
      <c r="AC284" s="5">
        <v>890334227.05956495</v>
      </c>
      <c r="AD284" s="5">
        <v>940368225.93275106</v>
      </c>
      <c r="AE284" s="5">
        <v>925826021.68618095</v>
      </c>
      <c r="AF284" s="5">
        <v>978611651.91241503</v>
      </c>
      <c r="AG284">
        <f t="shared" si="17"/>
        <v>933785031.64772797</v>
      </c>
      <c r="AH284">
        <f t="shared" si="18"/>
        <v>36533466.80454123</v>
      </c>
      <c r="AI284">
        <f t="shared" si="19"/>
        <v>3.9124065567934213E-2</v>
      </c>
    </row>
    <row r="285" spans="1:35" x14ac:dyDescent="0.45">
      <c r="A285" s="5" t="s">
        <v>248</v>
      </c>
      <c r="B285" s="2">
        <f t="shared" si="16"/>
        <v>103886303.079033</v>
      </c>
      <c r="C285" s="2">
        <v>64465065.1010997</v>
      </c>
      <c r="D285" s="2">
        <v>0.15927008114371219</v>
      </c>
      <c r="E285" s="5">
        <v>53628643.064673297</v>
      </c>
      <c r="F285" s="5">
        <v>47858054.044372797</v>
      </c>
      <c r="G285" s="5">
        <v>23878800.901343402</v>
      </c>
      <c r="H285" s="5">
        <v>158224553.24669701</v>
      </c>
      <c r="I285" s="5">
        <v>13196971.095460201</v>
      </c>
      <c r="J285" s="5">
        <v>28938237.683520202</v>
      </c>
      <c r="K285" s="5">
        <v>47055444.422279701</v>
      </c>
      <c r="L285" s="5">
        <v>32926329.741275899</v>
      </c>
      <c r="M285" s="5">
        <v>25629449.288602199</v>
      </c>
      <c r="N285" s="5">
        <v>58862516.832040697</v>
      </c>
      <c r="O285" s="5">
        <v>1281437819.88797</v>
      </c>
      <c r="P285" s="5">
        <v>140822247.79590401</v>
      </c>
      <c r="Q285" s="5">
        <v>19797533.861644901</v>
      </c>
      <c r="R285" s="5">
        <v>31139953.0897827</v>
      </c>
      <c r="S285" s="5">
        <v>28265188.509534899</v>
      </c>
      <c r="T285" s="5">
        <v>88283695.814796299</v>
      </c>
      <c r="U285" s="5">
        <v>36158688.783996202</v>
      </c>
      <c r="V285" s="5">
        <v>112770299.76030099</v>
      </c>
      <c r="W285" s="5">
        <v>49956922.682894498</v>
      </c>
      <c r="X285" s="5">
        <v>112383062.473875</v>
      </c>
      <c r="Y285" s="5">
        <v>16282693.640468201</v>
      </c>
      <c r="Z285" s="5">
        <v>30728788.3156964</v>
      </c>
      <c r="AA285" s="5">
        <v>24769166.603965499</v>
      </c>
      <c r="AB285" s="5">
        <v>30276212.355697501</v>
      </c>
      <c r="AC285" s="5">
        <v>77582770.552493393</v>
      </c>
      <c r="AD285" s="5">
        <v>66968360.782248899</v>
      </c>
      <c r="AE285" s="5">
        <v>53834344.406971097</v>
      </c>
      <c r="AF285" s="5">
        <v>59474784.662685402</v>
      </c>
      <c r="AG285">
        <f t="shared" si="17"/>
        <v>64465065.1010997</v>
      </c>
      <c r="AH285">
        <f t="shared" si="18"/>
        <v>10267356.149586838</v>
      </c>
      <c r="AI285">
        <f t="shared" si="19"/>
        <v>0.15927008114371219</v>
      </c>
    </row>
    <row r="286" spans="1:35" x14ac:dyDescent="0.45">
      <c r="A286" s="5" t="s">
        <v>430</v>
      </c>
      <c r="B286" s="2">
        <f t="shared" si="16"/>
        <v>2474195120.1646829</v>
      </c>
      <c r="C286" s="2">
        <v>2194619466.2677598</v>
      </c>
      <c r="D286" s="2">
        <v>2.7735920474648366E-2</v>
      </c>
      <c r="E286" s="5">
        <v>2781884106.04632</v>
      </c>
      <c r="F286" s="5">
        <v>2473151802.52144</v>
      </c>
      <c r="G286" s="5">
        <v>2584915369.7751398</v>
      </c>
      <c r="H286" s="5">
        <v>1916234970.13344</v>
      </c>
      <c r="I286" s="5">
        <v>2049104500.22088</v>
      </c>
      <c r="J286" s="5">
        <v>1899363470.4591999</v>
      </c>
      <c r="K286" s="5">
        <v>2946832044.0671201</v>
      </c>
      <c r="L286" s="5">
        <v>2885676814.2269702</v>
      </c>
      <c r="M286" s="5">
        <v>2022112842.5030501</v>
      </c>
      <c r="N286" s="5">
        <v>2784050629.0967202</v>
      </c>
      <c r="O286" s="5">
        <v>2786284597.6461501</v>
      </c>
      <c r="P286" s="5">
        <v>2727839800.4681001</v>
      </c>
      <c r="Q286" s="5">
        <v>1883198304.2565401</v>
      </c>
      <c r="R286" s="5">
        <v>3004423368.8592501</v>
      </c>
      <c r="S286" s="5">
        <v>2707171885.23247</v>
      </c>
      <c r="T286" s="5">
        <v>2771784616.7982402</v>
      </c>
      <c r="U286" s="5">
        <v>2361856386.8777399</v>
      </c>
      <c r="V286" s="5">
        <v>2407737587.7234101</v>
      </c>
      <c r="W286" s="5">
        <v>2715764030.9798999</v>
      </c>
      <c r="X286" s="5">
        <v>2277438615.6809001</v>
      </c>
      <c r="Y286" s="5">
        <v>2121145647.3087101</v>
      </c>
      <c r="Z286" s="5">
        <v>2449170480.9198298</v>
      </c>
      <c r="AA286" s="5">
        <v>2014465533.71084</v>
      </c>
      <c r="AB286" s="5">
        <v>2809075478.4400301</v>
      </c>
      <c r="AC286" s="5">
        <v>2245591752.4699502</v>
      </c>
      <c r="AD286" s="5">
        <v>2209180912.0764899</v>
      </c>
      <c r="AE286" s="5">
        <v>2106364539.9042399</v>
      </c>
      <c r="AF286" s="5">
        <v>2217340660.6203599</v>
      </c>
      <c r="AG286">
        <f t="shared" si="17"/>
        <v>2194619466.2677598</v>
      </c>
      <c r="AH286">
        <f t="shared" si="18"/>
        <v>60869790.988517828</v>
      </c>
      <c r="AI286">
        <f t="shared" si="19"/>
        <v>2.7735920474648366E-2</v>
      </c>
    </row>
    <row r="287" spans="1:35" x14ac:dyDescent="0.45">
      <c r="A287" s="5" t="s">
        <v>379</v>
      </c>
      <c r="B287" s="2">
        <f t="shared" si="16"/>
        <v>56419370.487588607</v>
      </c>
      <c r="C287" s="2">
        <v>40239842.215807877</v>
      </c>
      <c r="D287" s="2">
        <v>4.2814580456445823E-2</v>
      </c>
      <c r="E287" s="5">
        <v>29360433.5516489</v>
      </c>
      <c r="F287" s="5">
        <v>23500125.392800599</v>
      </c>
      <c r="G287" s="5">
        <v>22114681.182217199</v>
      </c>
      <c r="H287" s="5">
        <v>109334858.265965</v>
      </c>
      <c r="I287" s="5">
        <v>4742826.7453273702</v>
      </c>
      <c r="J287" s="5">
        <v>59072234.748084202</v>
      </c>
      <c r="K287" s="5">
        <v>23859832.755183101</v>
      </c>
      <c r="L287" s="5">
        <v>24623471.265046101</v>
      </c>
      <c r="M287" s="5">
        <v>47904603.966590598</v>
      </c>
      <c r="N287" s="5">
        <v>22724255.631493799</v>
      </c>
      <c r="O287" s="5">
        <v>145620061.54918301</v>
      </c>
      <c r="P287" s="5">
        <v>54060800.822990403</v>
      </c>
      <c r="Q287" s="5">
        <v>20302252.413059499</v>
      </c>
      <c r="R287" s="5">
        <v>42577800.618979</v>
      </c>
      <c r="S287" s="5">
        <v>23633052.553926598</v>
      </c>
      <c r="T287" s="5">
        <v>457719338.34311497</v>
      </c>
      <c r="U287" s="5">
        <v>46947924.8249759</v>
      </c>
      <c r="V287" s="5">
        <v>24060881.2066103</v>
      </c>
      <c r="W287" s="5">
        <v>21601188.330180101</v>
      </c>
      <c r="X287" s="5">
        <v>42382912.938854001</v>
      </c>
      <c r="Y287" s="5">
        <v>12999298.0692745</v>
      </c>
      <c r="Z287" s="5">
        <v>50280296.268151499</v>
      </c>
      <c r="AA287" s="5">
        <v>23747269.522622399</v>
      </c>
      <c r="AB287" s="5">
        <v>20894490.7358476</v>
      </c>
      <c r="AC287" s="5">
        <v>39009516.715947099</v>
      </c>
      <c r="AD287" s="5">
        <v>38535549.880132101</v>
      </c>
      <c r="AE287" s="5">
        <v>41406857.503444701</v>
      </c>
      <c r="AF287" s="5">
        <v>42007444.763707601</v>
      </c>
      <c r="AG287">
        <f t="shared" si="17"/>
        <v>40239842.215807877</v>
      </c>
      <c r="AH287">
        <f t="shared" si="18"/>
        <v>1722851.9621033915</v>
      </c>
      <c r="AI287">
        <f t="shared" si="19"/>
        <v>4.2814580456445823E-2</v>
      </c>
    </row>
    <row r="288" spans="1:35" x14ac:dyDescent="0.45">
      <c r="A288" s="5" t="s">
        <v>340</v>
      </c>
      <c r="B288" s="2">
        <f t="shared" si="16"/>
        <v>113594281.52804722</v>
      </c>
      <c r="C288" s="2">
        <v>89599929.296854347</v>
      </c>
      <c r="D288" s="2">
        <v>2.2556637488911152E-2</v>
      </c>
      <c r="E288" s="5">
        <v>57744816.756365597</v>
      </c>
      <c r="F288" s="5">
        <v>81511754.836547896</v>
      </c>
      <c r="G288" s="5">
        <v>62498573.831264399</v>
      </c>
      <c r="H288" s="5">
        <v>104584490.44613799</v>
      </c>
      <c r="I288" s="5">
        <v>95630697.156748503</v>
      </c>
      <c r="J288" s="5">
        <v>81115843.426014498</v>
      </c>
      <c r="K288" s="5">
        <v>85895797.289502203</v>
      </c>
      <c r="L288" s="5">
        <v>60938442.877359197</v>
      </c>
      <c r="M288" s="5">
        <v>103618481.039524</v>
      </c>
      <c r="N288" s="5">
        <v>102312873.208717</v>
      </c>
      <c r="O288" s="5">
        <v>406576644.97204202</v>
      </c>
      <c r="P288" s="5">
        <v>75259450.241067797</v>
      </c>
      <c r="Q288" s="5">
        <v>157527680.43541199</v>
      </c>
      <c r="R288" s="5">
        <v>101986122.78220899</v>
      </c>
      <c r="S288" s="5">
        <v>106688983.91222499</v>
      </c>
      <c r="T288" s="5">
        <v>272944617.63462001</v>
      </c>
      <c r="U288" s="5">
        <v>94032151.663261503</v>
      </c>
      <c r="V288" s="5">
        <v>85875399.052104607</v>
      </c>
      <c r="W288" s="5">
        <v>180161592.59840599</v>
      </c>
      <c r="X288" s="5">
        <v>62662607.125533499</v>
      </c>
      <c r="Y288" s="5">
        <v>90409288.202297896</v>
      </c>
      <c r="Z288" s="5">
        <v>84139626.544531107</v>
      </c>
      <c r="AA288" s="5">
        <v>111328020.175772</v>
      </c>
      <c r="AB288" s="5">
        <v>60818800.465469301</v>
      </c>
      <c r="AC288" s="5">
        <v>87537566.016161606</v>
      </c>
      <c r="AD288" s="5">
        <v>90245053.190254599</v>
      </c>
      <c r="AE288" s="5">
        <v>88494658.304705203</v>
      </c>
      <c r="AF288" s="5">
        <v>92122439.676295996</v>
      </c>
      <c r="AG288">
        <f t="shared" si="17"/>
        <v>89599929.296854347</v>
      </c>
      <c r="AH288">
        <f t="shared" si="18"/>
        <v>2021073.1241812136</v>
      </c>
      <c r="AI288">
        <f t="shared" si="19"/>
        <v>2.2556637488911152E-2</v>
      </c>
    </row>
    <row r="289" spans="1:35" x14ac:dyDescent="0.45">
      <c r="A289" s="5" t="s">
        <v>249</v>
      </c>
      <c r="B289" s="2">
        <f t="shared" si="16"/>
        <v>21385559.455725651</v>
      </c>
      <c r="C289" s="2">
        <v>17586439.469186675</v>
      </c>
      <c r="D289" s="2">
        <v>9.8902957397115493E-2</v>
      </c>
      <c r="E289" s="5">
        <v>20287463.761265699</v>
      </c>
      <c r="F289" s="5">
        <v>12074164.5352506</v>
      </c>
      <c r="G289" s="5">
        <v>16577129.4511126</v>
      </c>
      <c r="H289" s="5">
        <v>7855402.9849528298</v>
      </c>
      <c r="I289" s="5">
        <v>17093313.0824995</v>
      </c>
      <c r="J289" s="5">
        <v>17263128.262439702</v>
      </c>
      <c r="K289" s="5">
        <v>22895022.568817701</v>
      </c>
      <c r="L289" s="5">
        <v>18172680.9197031</v>
      </c>
      <c r="M289" s="5">
        <v>23273838.1952173</v>
      </c>
      <c r="N289" s="5">
        <v>16216856.4658603</v>
      </c>
      <c r="O289" s="5">
        <v>17310784.9819916</v>
      </c>
      <c r="P289" s="5">
        <v>22539603.5081225</v>
      </c>
      <c r="Q289" s="5">
        <v>40748801.138119899</v>
      </c>
      <c r="R289" s="5">
        <v>17839386.396231201</v>
      </c>
      <c r="S289" s="5">
        <v>32139801.810718801</v>
      </c>
      <c r="T289" s="5">
        <v>41389016.4455119</v>
      </c>
      <c r="U289" s="5">
        <v>30009874.349793602</v>
      </c>
      <c r="V289" s="5">
        <v>16193842.272325801</v>
      </c>
      <c r="W289" s="5">
        <v>20635788.216389999</v>
      </c>
      <c r="X289" s="5">
        <v>15435629.3307402</v>
      </c>
      <c r="Y289" s="5">
        <v>22367716.563317601</v>
      </c>
      <c r="Z289" s="5">
        <v>19547146.732230499</v>
      </c>
      <c r="AA289" s="5">
        <v>28882289.582902201</v>
      </c>
      <c r="AB289" s="5">
        <v>16504745.381900501</v>
      </c>
      <c r="AC289" s="5">
        <v>15907615.123641901</v>
      </c>
      <c r="AD289" s="5">
        <v>16288894.4534672</v>
      </c>
      <c r="AE289" s="5">
        <v>18805772.103142001</v>
      </c>
      <c r="AF289" s="5">
        <v>19343476.1964956</v>
      </c>
      <c r="AG289">
        <f t="shared" si="17"/>
        <v>17586439.469186675</v>
      </c>
      <c r="AH289">
        <f t="shared" si="18"/>
        <v>1739350.8735879201</v>
      </c>
      <c r="AI289">
        <f t="shared" si="19"/>
        <v>9.8902957397115493E-2</v>
      </c>
    </row>
    <row r="290" spans="1:35" x14ac:dyDescent="0.45">
      <c r="A290" s="5" t="s">
        <v>250</v>
      </c>
      <c r="B290" s="2">
        <f t="shared" si="16"/>
        <v>7349173.3315479821</v>
      </c>
      <c r="C290" s="2">
        <v>7398030.8359499965</v>
      </c>
      <c r="D290" s="2">
        <v>0.102533216754152</v>
      </c>
      <c r="E290" s="5">
        <v>6582489.7182328803</v>
      </c>
      <c r="F290" s="5">
        <v>4406522.2708662301</v>
      </c>
      <c r="G290" s="5">
        <v>6509268.9043255104</v>
      </c>
      <c r="H290" s="5">
        <v>5132520.6342422701</v>
      </c>
      <c r="I290" s="5">
        <v>6962842.99638863</v>
      </c>
      <c r="J290" s="5">
        <v>7409370.1783208</v>
      </c>
      <c r="K290" s="5">
        <v>7220926.1093969001</v>
      </c>
      <c r="L290" s="5">
        <v>7844053.4421162298</v>
      </c>
      <c r="M290" s="5">
        <v>7910769.8641953403</v>
      </c>
      <c r="N290" s="5">
        <v>5282220.5723890597</v>
      </c>
      <c r="O290" s="5">
        <v>9174959.0175844394</v>
      </c>
      <c r="P290" s="5">
        <v>6655163.8880392304</v>
      </c>
      <c r="Q290" s="5">
        <v>14210432.072906001</v>
      </c>
      <c r="R290" s="5">
        <v>5634182.4758430896</v>
      </c>
      <c r="S290" s="5">
        <v>8933810.1879779398</v>
      </c>
      <c r="T290" s="5">
        <v>11740361.209790699</v>
      </c>
      <c r="U290" s="5">
        <v>7309456.6276009697</v>
      </c>
      <c r="V290" s="5">
        <v>5592700.5134819997</v>
      </c>
      <c r="W290" s="5">
        <v>7058749.11397833</v>
      </c>
      <c r="X290" s="5">
        <v>5664879.3784738202</v>
      </c>
      <c r="Y290" s="5">
        <v>7663762.7896532603</v>
      </c>
      <c r="Z290" s="5">
        <v>5870612.9533846602</v>
      </c>
      <c r="AA290" s="5">
        <v>10748842.1679902</v>
      </c>
      <c r="AB290" s="5">
        <v>4861262.8699730504</v>
      </c>
      <c r="AC290" s="5">
        <v>6546858.1010045204</v>
      </c>
      <c r="AD290" s="5">
        <v>8366821.5936673498</v>
      </c>
      <c r="AE290" s="5">
        <v>7506850.8565120297</v>
      </c>
      <c r="AF290" s="5">
        <v>7171592.7926160898</v>
      </c>
      <c r="AG290">
        <f t="shared" si="17"/>
        <v>7398030.8359499965</v>
      </c>
      <c r="AH290">
        <f t="shared" si="18"/>
        <v>758543.8992563613</v>
      </c>
      <c r="AI290">
        <f t="shared" si="19"/>
        <v>0.102533216754152</v>
      </c>
    </row>
    <row r="291" spans="1:35" x14ac:dyDescent="0.45">
      <c r="A291" s="5" t="s">
        <v>251</v>
      </c>
      <c r="B291" s="2">
        <f t="shared" si="16"/>
        <v>20267783.403426215</v>
      </c>
      <c r="C291" s="2">
        <v>19958078.771961823</v>
      </c>
      <c r="D291" s="2">
        <v>2.4858116736306477E-2</v>
      </c>
      <c r="E291" s="5">
        <v>20261152.8807601</v>
      </c>
      <c r="F291" s="5">
        <v>14931415.638974199</v>
      </c>
      <c r="G291" s="5">
        <v>16883715.4592719</v>
      </c>
      <c r="H291" s="5">
        <v>9312122.4002869409</v>
      </c>
      <c r="I291" s="5">
        <v>16819400.084429398</v>
      </c>
      <c r="J291" s="5">
        <v>21671258.795109201</v>
      </c>
      <c r="K291" s="5">
        <v>16705621.555441</v>
      </c>
      <c r="L291" s="5">
        <v>24811408.045945</v>
      </c>
      <c r="M291" s="5">
        <v>31678496.6337515</v>
      </c>
      <c r="N291" s="5">
        <v>16596137.6265602</v>
      </c>
      <c r="O291" s="5">
        <v>5904276.0647762604</v>
      </c>
      <c r="P291" s="5">
        <v>11747481.1527611</v>
      </c>
      <c r="Q291" s="5">
        <v>55869724.843057401</v>
      </c>
      <c r="R291" s="5">
        <v>10351139.8599637</v>
      </c>
      <c r="S291" s="5">
        <v>24563952.794160299</v>
      </c>
      <c r="T291" s="5">
        <v>19275745.0420774</v>
      </c>
      <c r="U291" s="5">
        <v>23801072.840851702</v>
      </c>
      <c r="V291" s="5">
        <v>17435904.491945598</v>
      </c>
      <c r="W291" s="5">
        <v>16417992.0740408</v>
      </c>
      <c r="X291" s="5">
        <v>14416044.940037301</v>
      </c>
      <c r="Y291" s="5">
        <v>26680103.152468301</v>
      </c>
      <c r="Z291" s="5">
        <v>15509661.781947199</v>
      </c>
      <c r="AA291" s="5">
        <v>31472355.614672799</v>
      </c>
      <c r="AB291" s="5">
        <v>23310617.908939701</v>
      </c>
      <c r="AC291" s="5">
        <v>20689616.198849302</v>
      </c>
      <c r="AD291" s="5">
        <v>19637499.920658</v>
      </c>
      <c r="AE291" s="5">
        <v>19663032.104759101</v>
      </c>
      <c r="AF291" s="5">
        <v>19842166.863580901</v>
      </c>
      <c r="AG291">
        <f t="shared" si="17"/>
        <v>19958078.771961823</v>
      </c>
      <c r="AH291">
        <f t="shared" si="18"/>
        <v>496120.25194582721</v>
      </c>
      <c r="AI291">
        <f t="shared" si="19"/>
        <v>2.4858116736306477E-2</v>
      </c>
    </row>
    <row r="292" spans="1:35" x14ac:dyDescent="0.45">
      <c r="A292" s="5" t="s">
        <v>431</v>
      </c>
      <c r="B292" s="2">
        <f t="shared" si="16"/>
        <v>86629515.381280348</v>
      </c>
      <c r="C292" s="2">
        <v>85062424.136847883</v>
      </c>
      <c r="D292" s="2">
        <v>1.5942401976096188E-2</v>
      </c>
      <c r="E292" s="5">
        <v>77331908.361558706</v>
      </c>
      <c r="F292" s="5">
        <v>81901105.164370596</v>
      </c>
      <c r="G292" s="5">
        <v>73621474.069603696</v>
      </c>
      <c r="H292" s="5">
        <v>37158836.500607297</v>
      </c>
      <c r="I292" s="5">
        <v>100623689.34742901</v>
      </c>
      <c r="J292" s="5">
        <v>107593716.29525299</v>
      </c>
      <c r="K292" s="5">
        <v>137877971.8996</v>
      </c>
      <c r="L292" s="5">
        <v>89895452.059759498</v>
      </c>
      <c r="M292" s="5">
        <v>110127789.61466099</v>
      </c>
      <c r="N292" s="5">
        <v>77476510.227758899</v>
      </c>
      <c r="O292" s="5">
        <v>6098602.4691594103</v>
      </c>
      <c r="P292" s="5">
        <v>77245556.558823198</v>
      </c>
      <c r="Q292" s="5">
        <v>169604137.41261101</v>
      </c>
      <c r="R292" s="5">
        <v>63505347.628868401</v>
      </c>
      <c r="S292" s="5">
        <v>95878532.922976598</v>
      </c>
      <c r="T292" s="5">
        <v>27345119.641146801</v>
      </c>
      <c r="U292" s="5">
        <v>97276167.596957698</v>
      </c>
      <c r="V292" s="5">
        <v>76043145.699558198</v>
      </c>
      <c r="W292" s="5">
        <v>99799686.571246505</v>
      </c>
      <c r="X292" s="5">
        <v>69426400.735966206</v>
      </c>
      <c r="Y292" s="5">
        <v>112755122.59945901</v>
      </c>
      <c r="Z292" s="5">
        <v>84737847.517820895</v>
      </c>
      <c r="AA292" s="5">
        <v>120433967.583253</v>
      </c>
      <c r="AB292" s="5">
        <v>85350280.672280401</v>
      </c>
      <c r="AC292" s="5">
        <v>84302761.902539</v>
      </c>
      <c r="AD292" s="5">
        <v>87094679.629088297</v>
      </c>
      <c r="AE292" s="5">
        <v>84418364.919507802</v>
      </c>
      <c r="AF292" s="5">
        <v>84433890.096256405</v>
      </c>
      <c r="AG292">
        <f t="shared" si="17"/>
        <v>85062424.136847883</v>
      </c>
      <c r="AH292">
        <f t="shared" si="18"/>
        <v>1356099.3586508157</v>
      </c>
      <c r="AI292">
        <f t="shared" si="19"/>
        <v>1.5942401976096188E-2</v>
      </c>
    </row>
    <row r="293" spans="1:35" x14ac:dyDescent="0.45">
      <c r="A293" s="5" t="s">
        <v>252</v>
      </c>
      <c r="B293" s="2">
        <f t="shared" si="16"/>
        <v>22086754.215247072</v>
      </c>
      <c r="C293" s="2">
        <v>22691928.198510576</v>
      </c>
      <c r="D293" s="2">
        <v>0.16002166569884699</v>
      </c>
      <c r="E293" s="5">
        <v>12027654.9020814</v>
      </c>
      <c r="F293" s="5">
        <v>24001279.691051502</v>
      </c>
      <c r="G293" s="5">
        <v>19771078.807054199</v>
      </c>
      <c r="H293" s="5">
        <v>11419159.416576499</v>
      </c>
      <c r="I293" s="5">
        <v>25206379.6326789</v>
      </c>
      <c r="J293" s="5">
        <v>30349088.708369501</v>
      </c>
      <c r="K293" s="5">
        <v>34177160.402621701</v>
      </c>
      <c r="L293" s="5">
        <v>7024457.8058924796</v>
      </c>
      <c r="M293" s="5">
        <v>36040694.981184997</v>
      </c>
      <c r="N293" s="5">
        <v>21808423.043967102</v>
      </c>
      <c r="O293" s="5">
        <v>22396545.171963401</v>
      </c>
      <c r="P293" s="5">
        <v>27404506.265144501</v>
      </c>
      <c r="Q293" s="5">
        <v>7101532.3078228598</v>
      </c>
      <c r="R293" s="5">
        <v>5393919.9730306296</v>
      </c>
      <c r="S293" s="5">
        <v>24498023.3572491</v>
      </c>
      <c r="T293" s="5">
        <v>30847168.674458999</v>
      </c>
      <c r="U293" s="5">
        <v>32390849.410126898</v>
      </c>
      <c r="V293" s="5">
        <v>16777959.732089099</v>
      </c>
      <c r="W293" s="5">
        <v>22440591.3725265</v>
      </c>
      <c r="X293" s="5">
        <v>30056422.739427701</v>
      </c>
      <c r="Y293" s="5">
        <v>19246006.414740998</v>
      </c>
      <c r="Z293" s="5">
        <v>16464054.169115899</v>
      </c>
      <c r="AA293" s="5">
        <v>26588540.3533771</v>
      </c>
      <c r="AB293" s="5">
        <v>26650603.833377801</v>
      </c>
      <c r="AC293" s="5">
        <v>22670504.122251902</v>
      </c>
      <c r="AD293" s="5">
        <v>24869825.5806248</v>
      </c>
      <c r="AE293" s="5">
        <v>25644073.598957598</v>
      </c>
      <c r="AF293" s="5">
        <v>17583309.492208</v>
      </c>
      <c r="AG293">
        <f t="shared" si="17"/>
        <v>22691928.198510576</v>
      </c>
      <c r="AH293">
        <f t="shared" si="18"/>
        <v>3631200.1482442985</v>
      </c>
      <c r="AI293">
        <f t="shared" si="19"/>
        <v>0.16002166569884699</v>
      </c>
    </row>
    <row r="294" spans="1:35" x14ac:dyDescent="0.45">
      <c r="A294" s="5" t="s">
        <v>253</v>
      </c>
      <c r="B294" s="2">
        <f t="shared" si="16"/>
        <v>158826957.30935773</v>
      </c>
      <c r="C294" s="2">
        <v>90023192.838412195</v>
      </c>
      <c r="D294" s="2">
        <v>5.7709901841854865E-2</v>
      </c>
      <c r="E294" s="5">
        <v>44798263.5939788</v>
      </c>
      <c r="F294" s="5">
        <v>63762613.620208196</v>
      </c>
      <c r="G294" s="5">
        <v>41092686.306788303</v>
      </c>
      <c r="H294" s="5">
        <v>367094843.64952397</v>
      </c>
      <c r="I294" s="5">
        <v>53277790.659615502</v>
      </c>
      <c r="J294" s="5">
        <v>44560928.233501501</v>
      </c>
      <c r="K294" s="5">
        <v>88668571.886381596</v>
      </c>
      <c r="L294" s="5">
        <v>53737963.3678248</v>
      </c>
      <c r="M294" s="5">
        <v>41902315.510949299</v>
      </c>
      <c r="N294" s="5">
        <v>140421430.84349701</v>
      </c>
      <c r="O294" s="5">
        <v>1342993553.76632</v>
      </c>
      <c r="P294" s="5">
        <v>163213905.48813</v>
      </c>
      <c r="Q294" s="5">
        <v>59280950.2764128</v>
      </c>
      <c r="R294" s="5">
        <v>124138476.409445</v>
      </c>
      <c r="S294" s="5">
        <v>46181041.0079161</v>
      </c>
      <c r="T294" s="5">
        <v>590071391.43034399</v>
      </c>
      <c r="U294" s="5">
        <v>79977565.481968105</v>
      </c>
      <c r="V294" s="5">
        <v>47224606.660487399</v>
      </c>
      <c r="W294" s="5">
        <v>155761120.514285</v>
      </c>
      <c r="X294" s="5">
        <v>44204380.914456099</v>
      </c>
      <c r="Y294" s="5">
        <v>69213443.081964701</v>
      </c>
      <c r="Z294" s="5">
        <v>48375570.884694599</v>
      </c>
      <c r="AA294" s="5">
        <v>55890907.067800999</v>
      </c>
      <c r="AB294" s="5">
        <v>46002654.7680922</v>
      </c>
      <c r="AC294" s="5">
        <v>84224349.271879703</v>
      </c>
      <c r="AD294" s="5">
        <v>92184253.473602399</v>
      </c>
      <c r="AE294" s="5">
        <v>87596043.184632495</v>
      </c>
      <c r="AF294" s="5">
        <v>96088125.4235342</v>
      </c>
      <c r="AG294">
        <f t="shared" si="17"/>
        <v>90023192.838412195</v>
      </c>
      <c r="AH294">
        <f t="shared" si="18"/>
        <v>5195229.6221951395</v>
      </c>
      <c r="AI294">
        <f t="shared" si="19"/>
        <v>5.7709901841854865E-2</v>
      </c>
    </row>
    <row r="295" spans="1:35" x14ac:dyDescent="0.45">
      <c r="A295" s="5" t="s">
        <v>254</v>
      </c>
      <c r="B295" s="2">
        <f t="shared" si="16"/>
        <v>65241109.668308638</v>
      </c>
      <c r="C295" s="2">
        <v>60717113.79349155</v>
      </c>
      <c r="D295" s="2">
        <v>4.7757837722991532E-2</v>
      </c>
      <c r="E295" s="5">
        <v>56581089.705544397</v>
      </c>
      <c r="F295" s="5">
        <v>71262501.215774104</v>
      </c>
      <c r="G295" s="5">
        <v>66066023.9826442</v>
      </c>
      <c r="H295" s="5">
        <v>80398594.300638005</v>
      </c>
      <c r="I295" s="5">
        <v>64673546.811032698</v>
      </c>
      <c r="J295" s="5">
        <v>76872224.622428</v>
      </c>
      <c r="K295" s="5">
        <v>75364243.265883893</v>
      </c>
      <c r="L295" s="5">
        <v>58631008.768542498</v>
      </c>
      <c r="M295" s="5">
        <v>57249081.647272199</v>
      </c>
      <c r="N295" s="5">
        <v>58618389.302436799</v>
      </c>
      <c r="O295" s="5">
        <v>53824302.078114301</v>
      </c>
      <c r="P295" s="5">
        <v>68660528.092592895</v>
      </c>
      <c r="Q295" s="5">
        <v>53224734.932720803</v>
      </c>
      <c r="R295" s="5">
        <v>79721329.823839098</v>
      </c>
      <c r="S295" s="5">
        <v>73068518.199403897</v>
      </c>
      <c r="T295" s="5">
        <v>73152243.1083498</v>
      </c>
      <c r="U295" s="5">
        <v>69347915.474289</v>
      </c>
      <c r="V295" s="5">
        <v>66869898.903918102</v>
      </c>
      <c r="W295" s="5">
        <v>58912941.068298303</v>
      </c>
      <c r="X295" s="5">
        <v>79540115.399561197</v>
      </c>
      <c r="Y295" s="5">
        <v>60857981.421243399</v>
      </c>
      <c r="Z295" s="5">
        <v>80182114.958916694</v>
      </c>
      <c r="AA295" s="5">
        <v>73832988.898164004</v>
      </c>
      <c r="AB295" s="5">
        <v>8874316.0577988308</v>
      </c>
      <c r="AC295" s="5">
        <v>56447182.995387703</v>
      </c>
      <c r="AD295" s="5">
        <v>61853504.6805906</v>
      </c>
      <c r="AE295" s="5">
        <v>61654652.011809997</v>
      </c>
      <c r="AF295" s="5">
        <v>62913115.486177899</v>
      </c>
      <c r="AG295">
        <f t="shared" si="17"/>
        <v>60717113.79349155</v>
      </c>
      <c r="AH295">
        <f t="shared" si="18"/>
        <v>2899718.0675579803</v>
      </c>
      <c r="AI295">
        <f t="shared" si="19"/>
        <v>4.7757837722991532E-2</v>
      </c>
    </row>
    <row r="296" spans="1:35" x14ac:dyDescent="0.45">
      <c r="A296" s="5" t="s">
        <v>255</v>
      </c>
      <c r="B296" s="2">
        <f t="shared" si="16"/>
        <v>30901798.477089684</v>
      </c>
      <c r="C296" s="2">
        <v>12815601.69083585</v>
      </c>
      <c r="D296" s="2">
        <v>4.3852727483075976E-2</v>
      </c>
      <c r="E296" s="5">
        <v>415853.82404431998</v>
      </c>
      <c r="F296" s="5">
        <v>405648.51345944899</v>
      </c>
      <c r="G296" s="5">
        <v>265191.46496214299</v>
      </c>
      <c r="H296" s="5">
        <v>737019.83724680101</v>
      </c>
      <c r="I296" s="5">
        <v>292920.41599931999</v>
      </c>
      <c r="J296" s="5">
        <v>7357428.6749438699</v>
      </c>
      <c r="K296" s="5">
        <v>693136.14571469405</v>
      </c>
      <c r="L296" s="5">
        <v>273549.33743663598</v>
      </c>
      <c r="M296" s="5">
        <v>4222098.33147626</v>
      </c>
      <c r="N296" s="5">
        <v>5426606.2889289604</v>
      </c>
      <c r="O296" s="5">
        <v>5341582.5494862897</v>
      </c>
      <c r="P296" s="5">
        <v>3208850.5316890199</v>
      </c>
      <c r="Q296" s="5">
        <v>225050.77041684199</v>
      </c>
      <c r="R296" s="5">
        <v>361353.11284843099</v>
      </c>
      <c r="S296" s="5">
        <v>255723.169140382</v>
      </c>
      <c r="T296" s="5">
        <v>681735415.75797403</v>
      </c>
      <c r="U296" s="5">
        <v>8817642.8216806296</v>
      </c>
      <c r="V296" s="5">
        <v>478668.62078688602</v>
      </c>
      <c r="W296" s="5">
        <v>951510.08799191297</v>
      </c>
      <c r="X296" s="5">
        <v>6459968.2175029796</v>
      </c>
      <c r="Y296" s="5">
        <v>146099.756314664</v>
      </c>
      <c r="Z296" s="5">
        <v>8195333.5519591598</v>
      </c>
      <c r="AA296" s="5">
        <v>5123745.80024915</v>
      </c>
      <c r="AB296" s="5">
        <v>252765.86789949701</v>
      </c>
      <c r="AC296" s="5">
        <v>12550752.924903899</v>
      </c>
      <c r="AD296" s="5">
        <v>12205503.664576801</v>
      </c>
      <c r="AE296" s="5">
        <v>13500459.920048799</v>
      </c>
      <c r="AF296" s="5">
        <v>13005690.2538139</v>
      </c>
      <c r="AG296">
        <f t="shared" si="17"/>
        <v>12815601.69083585</v>
      </c>
      <c r="AH296">
        <f t="shared" si="18"/>
        <v>561999.08847987221</v>
      </c>
      <c r="AI296">
        <f t="shared" si="19"/>
        <v>4.3852727483075976E-2</v>
      </c>
    </row>
    <row r="297" spans="1:35" x14ac:dyDescent="0.45">
      <c r="A297" s="5" t="s">
        <v>364</v>
      </c>
      <c r="B297" s="2">
        <f t="shared" si="16"/>
        <v>59195071.389454097</v>
      </c>
      <c r="C297" s="2">
        <v>32942947.154504102</v>
      </c>
      <c r="D297" s="2">
        <v>3.8695870196246547E-2</v>
      </c>
      <c r="E297" s="5">
        <v>21299404.494963899</v>
      </c>
      <c r="F297" s="5">
        <v>26092612.028003599</v>
      </c>
      <c r="G297" s="5">
        <v>17900682.217519801</v>
      </c>
      <c r="H297" s="5">
        <v>129056224.204248</v>
      </c>
      <c r="I297" s="5">
        <v>28573973.031166099</v>
      </c>
      <c r="J297" s="5">
        <v>15700766.651892001</v>
      </c>
      <c r="K297" s="5">
        <v>30208907.331948198</v>
      </c>
      <c r="L297" s="5">
        <v>22096063.649773002</v>
      </c>
      <c r="M297" s="5">
        <v>18508261.816643301</v>
      </c>
      <c r="N297" s="5">
        <v>53258791.401432797</v>
      </c>
      <c r="O297" s="5">
        <v>468252886.60444897</v>
      </c>
      <c r="P297" s="5">
        <v>58165558.382093698</v>
      </c>
      <c r="Q297" s="5">
        <v>38660580.335234798</v>
      </c>
      <c r="R297" s="5">
        <v>40294552.810890801</v>
      </c>
      <c r="S297" s="5">
        <v>17624944.3567895</v>
      </c>
      <c r="T297" s="5">
        <v>201019735.27862599</v>
      </c>
      <c r="U297" s="5">
        <v>31320626.806967799</v>
      </c>
      <c r="V297" s="5">
        <v>19481234.574390501</v>
      </c>
      <c r="W297" s="5">
        <v>56059123.405146196</v>
      </c>
      <c r="X297" s="5">
        <v>18618919.521948099</v>
      </c>
      <c r="Y297" s="5">
        <v>39778546.105101801</v>
      </c>
      <c r="Z297" s="5">
        <v>17010321.255630199</v>
      </c>
      <c r="AA297" s="5">
        <v>20197979.301456802</v>
      </c>
      <c r="AB297" s="5">
        <v>31501017.7805827</v>
      </c>
      <c r="AC297" s="5">
        <v>32871188.765377998</v>
      </c>
      <c r="AD297" s="5">
        <v>34319178.426995099</v>
      </c>
      <c r="AE297" s="5">
        <v>31259928.946775101</v>
      </c>
      <c r="AF297" s="5">
        <v>33321492.478868201</v>
      </c>
      <c r="AG297">
        <f t="shared" si="17"/>
        <v>32942947.154504102</v>
      </c>
      <c r="AH297">
        <f t="shared" si="18"/>
        <v>1274756.0069725004</v>
      </c>
      <c r="AI297">
        <f t="shared" si="19"/>
        <v>3.8695870196246547E-2</v>
      </c>
    </row>
    <row r="298" spans="1:35" x14ac:dyDescent="0.45">
      <c r="A298" s="5" t="s">
        <v>256</v>
      </c>
      <c r="B298" s="2">
        <f t="shared" si="16"/>
        <v>28991857.12400949</v>
      </c>
      <c r="C298" s="2">
        <v>21808668.792515449</v>
      </c>
      <c r="D298" s="2">
        <v>1.4602606951641575E-2</v>
      </c>
      <c r="E298" s="5">
        <v>2804115.9764161799</v>
      </c>
      <c r="F298" s="5">
        <v>15220928.779403901</v>
      </c>
      <c r="G298" s="5">
        <v>2339685.30716372</v>
      </c>
      <c r="H298" s="5">
        <v>183612435.012187</v>
      </c>
      <c r="I298" s="5">
        <v>5066853.5763714397</v>
      </c>
      <c r="J298" s="5">
        <v>56301743.848038703</v>
      </c>
      <c r="K298" s="5">
        <v>17635303.029474799</v>
      </c>
      <c r="L298" s="5">
        <v>3070526.4186638598</v>
      </c>
      <c r="M298" s="5">
        <v>7701584.9973341897</v>
      </c>
      <c r="N298" s="5">
        <v>109086475.683948</v>
      </c>
      <c r="O298" s="5">
        <v>5855253.4671160802</v>
      </c>
      <c r="P298" s="5">
        <v>25678629.082754601</v>
      </c>
      <c r="Q298" s="5">
        <v>3218218.0824347399</v>
      </c>
      <c r="R298" s="5">
        <v>34818325.9837301</v>
      </c>
      <c r="S298" s="5">
        <v>145560748.87936899</v>
      </c>
      <c r="T298" s="5">
        <v>6638109.9932640595</v>
      </c>
      <c r="U298" s="5">
        <v>8867034.1184764206</v>
      </c>
      <c r="V298" s="5">
        <v>20815452.150178201</v>
      </c>
      <c r="W298" s="5">
        <v>1781333.8525944999</v>
      </c>
      <c r="X298" s="5">
        <v>5954147.4461604999</v>
      </c>
      <c r="Y298" s="5">
        <v>11091586.0853144</v>
      </c>
      <c r="Z298" s="5">
        <v>15848850.995100699</v>
      </c>
      <c r="AA298" s="5">
        <v>4258349.0793777602</v>
      </c>
      <c r="AB298" s="5">
        <v>2578879.1313549099</v>
      </c>
      <c r="AC298" s="5">
        <v>21771465.203556199</v>
      </c>
      <c r="AD298" s="5">
        <v>21799983.122122899</v>
      </c>
      <c r="AE298" s="5">
        <v>21443190.722780999</v>
      </c>
      <c r="AF298" s="5">
        <v>22220036.121601701</v>
      </c>
      <c r="AG298">
        <f t="shared" si="17"/>
        <v>21808668.792515449</v>
      </c>
      <c r="AH298">
        <f t="shared" si="18"/>
        <v>318463.41851563478</v>
      </c>
      <c r="AI298">
        <f t="shared" si="19"/>
        <v>1.4602606951641575E-2</v>
      </c>
    </row>
    <row r="299" spans="1:35" x14ac:dyDescent="0.45">
      <c r="A299" s="5" t="s">
        <v>341</v>
      </c>
      <c r="B299" s="2">
        <f t="shared" si="16"/>
        <v>5968364.481453117</v>
      </c>
      <c r="C299" s="2">
        <v>4778288.4214892853</v>
      </c>
      <c r="D299" s="2">
        <v>6.5361889085465932E-2</v>
      </c>
      <c r="E299" s="5">
        <v>4169476.2527526901</v>
      </c>
      <c r="F299" s="5">
        <v>6628902.0499152904</v>
      </c>
      <c r="G299" s="5">
        <v>5640160.3032451002</v>
      </c>
      <c r="H299" s="5">
        <v>7640554.1966983704</v>
      </c>
      <c r="I299" s="5">
        <v>7198928.8967289096</v>
      </c>
      <c r="J299" s="5">
        <v>3989714.33630689</v>
      </c>
      <c r="K299" s="5">
        <v>6679579.59413171</v>
      </c>
      <c r="L299" s="5">
        <v>8298980.0827393103</v>
      </c>
      <c r="M299" s="5">
        <v>5094647.2882128898</v>
      </c>
      <c r="N299" s="5">
        <v>5125359.4674156001</v>
      </c>
      <c r="O299" s="5">
        <v>4403459.1805916503</v>
      </c>
      <c r="P299" s="5">
        <v>6087594.9369658902</v>
      </c>
      <c r="Q299" s="5">
        <v>4520126.3068495197</v>
      </c>
      <c r="R299" s="5">
        <v>8049301.6800182499</v>
      </c>
      <c r="S299" s="5">
        <v>7636237.5127344802</v>
      </c>
      <c r="T299" s="5">
        <v>7337410.5274111601</v>
      </c>
      <c r="U299" s="5">
        <v>4763065.2499620104</v>
      </c>
      <c r="V299" s="5">
        <v>6521409.5655441098</v>
      </c>
      <c r="W299" s="5">
        <v>3917318.6010969202</v>
      </c>
      <c r="X299" s="5">
        <v>7685858.9754214603</v>
      </c>
      <c r="Y299" s="5">
        <v>6820042.7240123702</v>
      </c>
      <c r="Z299" s="5">
        <v>4041611.1225173399</v>
      </c>
      <c r="AA299" s="5">
        <v>5968755.71933241</v>
      </c>
      <c r="AB299" s="5">
        <v>5022252.9842704805</v>
      </c>
      <c r="AC299" s="5">
        <v>4754996.9763579201</v>
      </c>
      <c r="AD299" s="5">
        <v>4346315.3368622996</v>
      </c>
      <c r="AE299" s="5">
        <v>4975495.4743635701</v>
      </c>
      <c r="AF299" s="5">
        <v>5036345.8983733496</v>
      </c>
      <c r="AG299">
        <f t="shared" si="17"/>
        <v>4778288.4214892853</v>
      </c>
      <c r="AH299">
        <f t="shared" si="18"/>
        <v>312317.95782374876</v>
      </c>
      <c r="AI299">
        <f t="shared" si="19"/>
        <v>6.5361889085465932E-2</v>
      </c>
    </row>
    <row r="300" spans="1:35" x14ac:dyDescent="0.45">
      <c r="A300" s="5" t="s">
        <v>380</v>
      </c>
      <c r="B300" s="2">
        <f t="shared" si="16"/>
        <v>457738834.24592048</v>
      </c>
      <c r="C300" s="2">
        <v>375406308.27913249</v>
      </c>
      <c r="D300" s="2">
        <v>2.3476765035408218E-2</v>
      </c>
      <c r="E300" s="5">
        <v>330295190.77289099</v>
      </c>
      <c r="F300" s="5">
        <v>306570891.22738397</v>
      </c>
      <c r="G300" s="5">
        <v>328180588.75646299</v>
      </c>
      <c r="H300" s="5">
        <v>194859191.826621</v>
      </c>
      <c r="I300" s="5">
        <v>378116868.615982</v>
      </c>
      <c r="J300" s="5">
        <v>230092136.34457201</v>
      </c>
      <c r="K300" s="5">
        <v>518823215.56877702</v>
      </c>
      <c r="L300" s="5">
        <v>446587430.37665898</v>
      </c>
      <c r="M300" s="5">
        <v>247547804.564634</v>
      </c>
      <c r="N300" s="5">
        <v>328506139.99653298</v>
      </c>
      <c r="O300" s="5">
        <v>1262801696.57781</v>
      </c>
      <c r="P300" s="5">
        <v>419688564.24807698</v>
      </c>
      <c r="Q300" s="5">
        <v>625232998.92089605</v>
      </c>
      <c r="R300" s="5">
        <v>459422982.75596601</v>
      </c>
      <c r="S300" s="5">
        <v>382206084.88303697</v>
      </c>
      <c r="T300" s="5">
        <v>789145613.24369597</v>
      </c>
      <c r="U300" s="5">
        <v>473542882.29224002</v>
      </c>
      <c r="V300" s="5">
        <v>244750410.34977099</v>
      </c>
      <c r="W300" s="5">
        <v>682363044.83611703</v>
      </c>
      <c r="X300" s="5">
        <v>182353293.81919399</v>
      </c>
      <c r="Y300" s="5">
        <v>699689933.67678595</v>
      </c>
      <c r="Z300" s="5">
        <v>472869455.33134103</v>
      </c>
      <c r="AA300" s="5">
        <v>523560753.09720403</v>
      </c>
      <c r="AB300" s="5">
        <v>458524849.81944102</v>
      </c>
      <c r="AC300" s="5">
        <v>367376384.30462801</v>
      </c>
      <c r="AD300" s="5">
        <v>369334238.19528598</v>
      </c>
      <c r="AE300" s="5">
        <v>386472358.04296899</v>
      </c>
      <c r="AF300" s="5">
        <v>378442252.57364702</v>
      </c>
      <c r="AG300">
        <f t="shared" si="17"/>
        <v>375406308.27913249</v>
      </c>
      <c r="AH300">
        <f t="shared" si="18"/>
        <v>8813325.6922792159</v>
      </c>
      <c r="AI300">
        <f t="shared" si="19"/>
        <v>2.3476765035408218E-2</v>
      </c>
    </row>
    <row r="301" spans="1:35" x14ac:dyDescent="0.45">
      <c r="A301" s="5" t="s">
        <v>342</v>
      </c>
      <c r="B301" s="2">
        <f t="shared" si="16"/>
        <v>120048292.3715151</v>
      </c>
      <c r="C301" s="2">
        <v>124742535.20942849</v>
      </c>
      <c r="D301" s="2">
        <v>9.8929119992287276E-2</v>
      </c>
      <c r="E301" s="5">
        <v>179858065.340487</v>
      </c>
      <c r="F301" s="5">
        <v>199892446.51200899</v>
      </c>
      <c r="G301" s="5">
        <v>124016268.20804401</v>
      </c>
      <c r="H301" s="5">
        <v>21431241.1195747</v>
      </c>
      <c r="I301" s="5">
        <v>91098310.752692893</v>
      </c>
      <c r="J301" s="5">
        <v>244132521.814318</v>
      </c>
      <c r="K301" s="5">
        <v>97533018.597485706</v>
      </c>
      <c r="L301" s="5">
        <v>138950690.770549</v>
      </c>
      <c r="M301" s="5">
        <v>128001192.69591101</v>
      </c>
      <c r="N301" s="5">
        <v>60807842.1194425</v>
      </c>
      <c r="O301" s="5">
        <v>17015317.366645701</v>
      </c>
      <c r="P301" s="5">
        <v>48713182.876198404</v>
      </c>
      <c r="Q301" s="5">
        <v>65932717.924501397</v>
      </c>
      <c r="R301" s="5">
        <v>90950823.747033998</v>
      </c>
      <c r="S301" s="5">
        <v>112500402.89951199</v>
      </c>
      <c r="T301" s="5">
        <v>203413161.078437</v>
      </c>
      <c r="U301" s="5">
        <v>141682310.098988</v>
      </c>
      <c r="V301" s="5">
        <v>156408118.74357799</v>
      </c>
      <c r="W301" s="5">
        <v>57335206.193614103</v>
      </c>
      <c r="X301" s="5">
        <v>124378396.87342501</v>
      </c>
      <c r="Y301" s="5">
        <v>89353048.519311205</v>
      </c>
      <c r="Z301" s="5">
        <v>193661181.04425001</v>
      </c>
      <c r="AA301" s="5">
        <v>184154269.63863701</v>
      </c>
      <c r="AB301" s="5">
        <v>109939281.98171601</v>
      </c>
      <c r="AC301" s="5">
        <v>112710248.82769901</v>
      </c>
      <c r="AD301" s="5">
        <v>126611860.558485</v>
      </c>
      <c r="AE301" s="5">
        <v>118489043.954486</v>
      </c>
      <c r="AF301" s="5">
        <v>141158987.497044</v>
      </c>
      <c r="AG301">
        <f t="shared" si="17"/>
        <v>124742535.20942849</v>
      </c>
      <c r="AH301">
        <f t="shared" si="18"/>
        <v>12340669.233875671</v>
      </c>
      <c r="AI301">
        <f t="shared" si="19"/>
        <v>9.8929119992287276E-2</v>
      </c>
    </row>
    <row r="302" spans="1:35" x14ac:dyDescent="0.45">
      <c r="A302" s="5" t="s">
        <v>257</v>
      </c>
      <c r="B302" s="2">
        <f t="shared" si="16"/>
        <v>3210209.0963188955</v>
      </c>
      <c r="C302" s="2">
        <v>3009587.6535025071</v>
      </c>
      <c r="D302" s="2">
        <v>0.167291175762393</v>
      </c>
      <c r="E302" s="5">
        <v>2091971.6002710799</v>
      </c>
      <c r="F302" s="5">
        <v>1650769.4580101799</v>
      </c>
      <c r="G302" s="5">
        <v>2553831.42685962</v>
      </c>
      <c r="H302" s="5">
        <v>700480.20024347003</v>
      </c>
      <c r="I302" s="5">
        <v>5743571.2634213697</v>
      </c>
      <c r="J302" s="5">
        <v>3492753.0842098002</v>
      </c>
      <c r="K302" s="5">
        <v>1506524.2690614399</v>
      </c>
      <c r="L302" s="5">
        <v>3512223.8330816198</v>
      </c>
      <c r="M302" s="5">
        <v>4099923.2107664198</v>
      </c>
      <c r="N302" s="5">
        <v>1357352.7268692299</v>
      </c>
      <c r="O302" s="5">
        <v>4274659.0942031303</v>
      </c>
      <c r="P302" s="5">
        <v>1686869.8047697099</v>
      </c>
      <c r="Q302" s="5">
        <v>7228601.0521526802</v>
      </c>
      <c r="R302" s="5">
        <v>1543954.57295917</v>
      </c>
      <c r="S302" s="5">
        <v>5370864.3146018097</v>
      </c>
      <c r="T302" s="5">
        <v>1554947.5975927899</v>
      </c>
      <c r="U302" s="5">
        <v>2692236.8521276698</v>
      </c>
      <c r="V302" s="5">
        <v>2777131.34008695</v>
      </c>
      <c r="W302" s="5">
        <v>1968556.82456669</v>
      </c>
      <c r="X302" s="5">
        <v>2250786.9507180899</v>
      </c>
      <c r="Y302" s="5">
        <v>2580303.98195701</v>
      </c>
      <c r="Z302" s="5">
        <v>3239324.9804793498</v>
      </c>
      <c r="AA302" s="5">
        <v>7945797.6236527003</v>
      </c>
      <c r="AB302" s="5">
        <v>5221582.2489915099</v>
      </c>
      <c r="AC302" s="5">
        <v>2329054.5682667498</v>
      </c>
      <c r="AD302" s="5">
        <v>3208104.0649332199</v>
      </c>
      <c r="AE302" s="5">
        <v>2984358.7213701298</v>
      </c>
      <c r="AF302" s="5">
        <v>3516833.2594399299</v>
      </c>
      <c r="AG302">
        <f t="shared" si="17"/>
        <v>3009587.6535025071</v>
      </c>
      <c r="AH302">
        <f t="shared" si="18"/>
        <v>503477.45711441583</v>
      </c>
      <c r="AI302">
        <f t="shared" si="19"/>
        <v>0.167291175762393</v>
      </c>
    </row>
    <row r="303" spans="1:35" x14ac:dyDescent="0.45">
      <c r="A303" s="5" t="s">
        <v>258</v>
      </c>
      <c r="B303" s="2">
        <f t="shared" si="16"/>
        <v>162993538.79756221</v>
      </c>
      <c r="C303" s="2">
        <v>98452331.621113613</v>
      </c>
      <c r="D303" s="2">
        <v>2.9296002141964265E-2</v>
      </c>
      <c r="E303" s="5">
        <v>109344067.766653</v>
      </c>
      <c r="F303" s="5">
        <v>226272.69887813699</v>
      </c>
      <c r="G303" s="5">
        <v>954999.83709644503</v>
      </c>
      <c r="H303" s="5">
        <v>182797472.54184499</v>
      </c>
      <c r="I303" s="5">
        <v>985132.34254080104</v>
      </c>
      <c r="J303" s="5">
        <v>343403.00229476299</v>
      </c>
      <c r="K303" s="5">
        <v>1319629.6211814</v>
      </c>
      <c r="L303" s="5">
        <v>1390987.8150291501</v>
      </c>
      <c r="M303" s="5">
        <v>79633218.046392307</v>
      </c>
      <c r="N303" s="5">
        <v>1746721.69386139</v>
      </c>
      <c r="O303" s="5">
        <v>283671491.23256397</v>
      </c>
      <c r="P303" s="5">
        <v>5859583.86028946</v>
      </c>
      <c r="Q303" s="5">
        <v>894687.54018164403</v>
      </c>
      <c r="R303" s="5">
        <v>52399749.940339297</v>
      </c>
      <c r="S303" s="5">
        <v>1077146.74975066</v>
      </c>
      <c r="T303" s="5">
        <v>3081056238.56142</v>
      </c>
      <c r="U303" s="5">
        <v>28580120.249696001</v>
      </c>
      <c r="V303" s="5">
        <v>1034517.08787337</v>
      </c>
      <c r="W303" s="5">
        <v>31336276.857318401</v>
      </c>
      <c r="X303" s="5">
        <v>39099631.7001881</v>
      </c>
      <c r="Y303" s="5">
        <v>196319.76997512401</v>
      </c>
      <c r="Z303" s="5">
        <v>1673730.9882922701</v>
      </c>
      <c r="AA303" s="5">
        <v>1232862.3333586799</v>
      </c>
      <c r="AB303" s="5">
        <v>4990668.9044735199</v>
      </c>
      <c r="AC303" s="5">
        <v>97291333.5939219</v>
      </c>
      <c r="AD303" s="5">
        <v>95138377.225216597</v>
      </c>
      <c r="AE303" s="5">
        <v>99546555.320769906</v>
      </c>
      <c r="AF303" s="5">
        <v>101833060.34454601</v>
      </c>
      <c r="AG303">
        <f t="shared" si="17"/>
        <v>98452331.621113613</v>
      </c>
      <c r="AH303">
        <f t="shared" si="18"/>
        <v>2884259.7180535207</v>
      </c>
      <c r="AI303">
        <f t="shared" si="19"/>
        <v>2.9296002141964265E-2</v>
      </c>
    </row>
    <row r="304" spans="1:35" x14ac:dyDescent="0.45">
      <c r="A304" s="5" t="s">
        <v>343</v>
      </c>
      <c r="B304" s="2">
        <f t="shared" si="16"/>
        <v>108519889.49959637</v>
      </c>
      <c r="C304" s="2">
        <v>93793364.213868737</v>
      </c>
      <c r="D304" s="2">
        <v>4.0710850066935984E-2</v>
      </c>
      <c r="E304" s="5">
        <v>83788862.453841403</v>
      </c>
      <c r="F304" s="5">
        <v>46465344.475340903</v>
      </c>
      <c r="G304" s="5">
        <v>104860245.593373</v>
      </c>
      <c r="H304" s="5">
        <v>20135240.359387401</v>
      </c>
      <c r="I304" s="5">
        <v>148822249.40904099</v>
      </c>
      <c r="J304" s="5">
        <v>110228231.45187999</v>
      </c>
      <c r="K304" s="5">
        <v>51846015.574450798</v>
      </c>
      <c r="L304" s="5">
        <v>119045774.99996801</v>
      </c>
      <c r="M304" s="5">
        <v>151980486.57378</v>
      </c>
      <c r="N304" s="5">
        <v>47516007.076315403</v>
      </c>
      <c r="O304" s="5">
        <v>137495062.190615</v>
      </c>
      <c r="P304" s="5">
        <v>61483373.476779297</v>
      </c>
      <c r="Q304" s="5">
        <v>238471943.020201</v>
      </c>
      <c r="R304" s="5">
        <v>46476733.795880601</v>
      </c>
      <c r="S304" s="5">
        <v>181254458.52300799</v>
      </c>
      <c r="T304" s="5">
        <v>70197579.439203501</v>
      </c>
      <c r="U304" s="5">
        <v>79275439.548187301</v>
      </c>
      <c r="V304" s="5">
        <v>95137940.435774699</v>
      </c>
      <c r="W304" s="5">
        <v>79295504.530776396</v>
      </c>
      <c r="X304" s="5">
        <v>79622671.163378596</v>
      </c>
      <c r="Y304" s="5">
        <v>76436683.520170897</v>
      </c>
      <c r="Z304" s="5">
        <v>125115568.54825801</v>
      </c>
      <c r="AA304" s="5">
        <v>284492560.62475699</v>
      </c>
      <c r="AB304" s="5">
        <v>165033371.20594499</v>
      </c>
      <c r="AC304" s="5">
        <v>88920279.128718704</v>
      </c>
      <c r="AD304" s="5">
        <v>92978045.692616895</v>
      </c>
      <c r="AE304" s="5">
        <v>97892563.862979397</v>
      </c>
      <c r="AF304" s="5">
        <v>95382568.171159893</v>
      </c>
      <c r="AG304">
        <f t="shared" si="17"/>
        <v>93793364.213868737</v>
      </c>
      <c r="AH304">
        <f t="shared" si="18"/>
        <v>3818407.587784329</v>
      </c>
      <c r="AI304">
        <f t="shared" si="19"/>
        <v>4.0710850066935984E-2</v>
      </c>
    </row>
    <row r="305" spans="1:35" x14ac:dyDescent="0.45">
      <c r="A305" s="5" t="s">
        <v>259</v>
      </c>
      <c r="B305" s="2">
        <f t="shared" si="16"/>
        <v>64910558.764126725</v>
      </c>
      <c r="C305" s="2">
        <v>65083709.865660921</v>
      </c>
      <c r="D305" s="2">
        <v>0.13594637052391995</v>
      </c>
      <c r="E305" s="5">
        <v>38860233.408805303</v>
      </c>
      <c r="F305" s="5">
        <v>63821365.158321202</v>
      </c>
      <c r="G305" s="5">
        <v>49573529.593229704</v>
      </c>
      <c r="H305" s="5">
        <v>52635007.2468675</v>
      </c>
      <c r="I305" s="5">
        <v>82104792.339865103</v>
      </c>
      <c r="J305" s="5">
        <v>86100098.179172203</v>
      </c>
      <c r="K305" s="5">
        <v>90791417.079363704</v>
      </c>
      <c r="L305" s="5">
        <v>61193241.496804297</v>
      </c>
      <c r="M305" s="5">
        <v>119289353.099636</v>
      </c>
      <c r="N305" s="5">
        <v>55387414.075992502</v>
      </c>
      <c r="O305" s="5">
        <v>47678503.737459198</v>
      </c>
      <c r="P305" s="5">
        <v>68208623.052141801</v>
      </c>
      <c r="Q305" s="5">
        <v>63145527.9777252</v>
      </c>
      <c r="R305" s="5">
        <v>16060655.733490899</v>
      </c>
      <c r="S305" s="5">
        <v>64067200.326754399</v>
      </c>
      <c r="T305" s="5">
        <v>18529485.884183999</v>
      </c>
      <c r="U305" s="5">
        <v>109306252.85706399</v>
      </c>
      <c r="V305" s="5">
        <v>61792029.368285</v>
      </c>
      <c r="W305" s="5">
        <v>58538179.916436799</v>
      </c>
      <c r="X305" s="5">
        <v>81885956.712378904</v>
      </c>
      <c r="Y305" s="5">
        <v>53858410.108779199</v>
      </c>
      <c r="Z305" s="5">
        <v>84041555.778246105</v>
      </c>
      <c r="AA305" s="5">
        <v>76079879.971498802</v>
      </c>
      <c r="AB305" s="5">
        <v>54904697.236539602</v>
      </c>
      <c r="AC305" s="5">
        <v>62822235.633069202</v>
      </c>
      <c r="AD305" s="5">
        <v>69633773.326460093</v>
      </c>
      <c r="AE305" s="5">
        <v>74098635.901310503</v>
      </c>
      <c r="AF305" s="5">
        <v>53780194.601803899</v>
      </c>
      <c r="AG305">
        <f t="shared" si="17"/>
        <v>65083709.865660921</v>
      </c>
      <c r="AH305">
        <f t="shared" si="18"/>
        <v>8847894.136468444</v>
      </c>
      <c r="AI305">
        <f t="shared" si="19"/>
        <v>0.13594637052391995</v>
      </c>
    </row>
    <row r="306" spans="1:35" x14ac:dyDescent="0.45">
      <c r="A306" s="5" t="s">
        <v>381</v>
      </c>
      <c r="B306" s="2">
        <f t="shared" si="16"/>
        <v>1152392708.7939737</v>
      </c>
      <c r="C306" s="2">
        <v>1030025284.0383205</v>
      </c>
      <c r="D306" s="2">
        <v>3.6481171612837072E-2</v>
      </c>
      <c r="E306" s="5">
        <v>410776344.258964</v>
      </c>
      <c r="F306" s="5">
        <v>729037541.80488396</v>
      </c>
      <c r="G306" s="5">
        <v>713413908.20195496</v>
      </c>
      <c r="H306" s="5">
        <v>1668975262.33988</v>
      </c>
      <c r="I306" s="5">
        <v>855517857.65337205</v>
      </c>
      <c r="J306" s="5">
        <v>1611559582.46698</v>
      </c>
      <c r="K306" s="5">
        <v>609548420.84476101</v>
      </c>
      <c r="L306" s="5">
        <v>714492445.66720295</v>
      </c>
      <c r="M306" s="5">
        <v>1076425132.7044101</v>
      </c>
      <c r="N306" s="5">
        <v>652182828.37081003</v>
      </c>
      <c r="O306" s="5">
        <v>2716240624.2409902</v>
      </c>
      <c r="P306" s="5">
        <v>2350519965.1125398</v>
      </c>
      <c r="Q306" s="5">
        <v>970153477.18989098</v>
      </c>
      <c r="R306" s="5">
        <v>1741882685.2286</v>
      </c>
      <c r="S306" s="5">
        <v>493508879.515939</v>
      </c>
      <c r="T306" s="5">
        <v>2665990673.5538201</v>
      </c>
      <c r="U306" s="5">
        <v>1351307569.0669701</v>
      </c>
      <c r="V306" s="5">
        <v>755257503.88906705</v>
      </c>
      <c r="W306" s="5">
        <v>1165116400.3108399</v>
      </c>
      <c r="X306" s="5">
        <v>902705379.29503095</v>
      </c>
      <c r="Y306" s="5">
        <v>1158433875.31371</v>
      </c>
      <c r="Z306" s="5">
        <v>1284999214.0009401</v>
      </c>
      <c r="AA306" s="5">
        <v>339974609.37639499</v>
      </c>
      <c r="AB306" s="5">
        <v>719404830.64741397</v>
      </c>
      <c r="AC306" s="5">
        <v>979028724.58681202</v>
      </c>
      <c r="AD306" s="5">
        <v>1062356021.6221499</v>
      </c>
      <c r="AE306" s="5">
        <v>1024938512.10712</v>
      </c>
      <c r="AF306" s="5">
        <v>1053777877.8372</v>
      </c>
      <c r="AG306">
        <f t="shared" si="17"/>
        <v>1030025284.0383205</v>
      </c>
      <c r="AH306">
        <f t="shared" si="18"/>
        <v>37576529.152563222</v>
      </c>
      <c r="AI306">
        <f t="shared" si="19"/>
        <v>3.6481171612837072E-2</v>
      </c>
    </row>
    <row r="307" spans="1:35" x14ac:dyDescent="0.45">
      <c r="A307" s="5" t="s">
        <v>260</v>
      </c>
      <c r="B307" s="2">
        <f t="shared" si="16"/>
        <v>72316467.583477184</v>
      </c>
      <c r="C307" s="2">
        <v>82786597.351253539</v>
      </c>
      <c r="D307" s="2">
        <v>1.9528146880058161E-2</v>
      </c>
      <c r="E307" s="5">
        <v>64554483.620576702</v>
      </c>
      <c r="F307" s="5">
        <v>88428781.016184494</v>
      </c>
      <c r="G307" s="5">
        <v>55383933.350595199</v>
      </c>
      <c r="H307" s="5">
        <v>70374658.763059497</v>
      </c>
      <c r="I307" s="5">
        <v>15544951.992878299</v>
      </c>
      <c r="J307" s="5">
        <v>56029533.371792197</v>
      </c>
      <c r="K307" s="5">
        <v>55528104.848903403</v>
      </c>
      <c r="L307" s="5">
        <v>68101773.077913806</v>
      </c>
      <c r="M307" s="5">
        <v>47247790.376309</v>
      </c>
      <c r="N307" s="5">
        <v>93783369.979610994</v>
      </c>
      <c r="O307" s="5">
        <v>136907166.71377999</v>
      </c>
      <c r="P307" s="5">
        <v>84905556.536583602</v>
      </c>
      <c r="Q307" s="5">
        <v>41020315.104681402</v>
      </c>
      <c r="R307" s="5">
        <v>67622896.143675506</v>
      </c>
      <c r="S307" s="5">
        <v>52959798.804054201</v>
      </c>
      <c r="T307" s="5">
        <v>111840072.32791799</v>
      </c>
      <c r="U307" s="5">
        <v>61750561.506377399</v>
      </c>
      <c r="V307" s="5">
        <v>58196471.018140003</v>
      </c>
      <c r="W307" s="5">
        <v>152155516.64628601</v>
      </c>
      <c r="X307" s="5">
        <v>57097745.046199001</v>
      </c>
      <c r="Y307" s="5">
        <v>60355517.211839803</v>
      </c>
      <c r="Z307" s="5">
        <v>63653852.193744697</v>
      </c>
      <c r="AA307" s="5">
        <v>53303110.724302702</v>
      </c>
      <c r="AB307" s="5">
        <v>118849261.62804601</v>
      </c>
      <c r="AC307" s="5">
        <v>83204970.537374407</v>
      </c>
      <c r="AD307" s="5">
        <v>82704756.574761897</v>
      </c>
      <c r="AE307" s="5">
        <v>80668652.547582701</v>
      </c>
      <c r="AF307" s="5">
        <v>84568009.745295197</v>
      </c>
      <c r="AG307">
        <f t="shared" si="17"/>
        <v>82786597.351253539</v>
      </c>
      <c r="AH307">
        <f t="shared" si="18"/>
        <v>1616668.8327755129</v>
      </c>
      <c r="AI307">
        <f t="shared" si="19"/>
        <v>1.9528146880058161E-2</v>
      </c>
    </row>
    <row r="308" spans="1:35" x14ac:dyDescent="0.45">
      <c r="A308" s="5" t="s">
        <v>344</v>
      </c>
      <c r="B308" s="2">
        <f t="shared" si="16"/>
        <v>17997648.005651932</v>
      </c>
      <c r="C308" s="2">
        <v>19125126.458590973</v>
      </c>
      <c r="D308" s="2">
        <v>0.18328767612834118</v>
      </c>
      <c r="E308" s="5">
        <v>24420411.896585599</v>
      </c>
      <c r="F308" s="5">
        <v>12123923.5548389</v>
      </c>
      <c r="G308" s="5">
        <v>16742022.715652199</v>
      </c>
      <c r="H308" s="5">
        <v>13721702.5252956</v>
      </c>
      <c r="I308" s="5">
        <v>36871367.098135702</v>
      </c>
      <c r="J308" s="5">
        <v>25987600.039234601</v>
      </c>
      <c r="K308" s="5">
        <v>12936604.166837299</v>
      </c>
      <c r="L308" s="5">
        <v>13253354.908874501</v>
      </c>
      <c r="M308" s="5">
        <v>21796254.4976255</v>
      </c>
      <c r="N308" s="5">
        <v>7534820.9501109598</v>
      </c>
      <c r="O308" s="5">
        <v>18180161.341264602</v>
      </c>
      <c r="P308" s="5">
        <v>18826442.314721901</v>
      </c>
      <c r="Q308" s="5">
        <v>13138718.268335</v>
      </c>
      <c r="R308" s="5">
        <v>15900277.2079098</v>
      </c>
      <c r="S308" s="5">
        <v>14282457.4931123</v>
      </c>
      <c r="T308" s="5">
        <v>32902002.272190001</v>
      </c>
      <c r="U308" s="5">
        <v>17431936.228955802</v>
      </c>
      <c r="V308" s="5">
        <v>15914999.667461701</v>
      </c>
      <c r="W308" s="5">
        <v>9099926.8630479407</v>
      </c>
      <c r="X308" s="5">
        <v>15612115.4386288</v>
      </c>
      <c r="Y308" s="5">
        <v>10792408.764344901</v>
      </c>
      <c r="Z308" s="5">
        <v>25697083.255845301</v>
      </c>
      <c r="AA308" s="5">
        <v>23137339.9335844</v>
      </c>
      <c r="AB308" s="5">
        <v>15639620.733053099</v>
      </c>
      <c r="AC308" s="5">
        <v>24337679.7563482</v>
      </c>
      <c r="AD308" s="5">
        <v>16802070.4691136</v>
      </c>
      <c r="AE308" s="5">
        <v>17926942.998037402</v>
      </c>
      <c r="AF308" s="5">
        <v>17433812.610864699</v>
      </c>
      <c r="AG308">
        <f t="shared" si="17"/>
        <v>19125126.458590973</v>
      </c>
      <c r="AH308">
        <f t="shared" si="18"/>
        <v>3505399.9842557912</v>
      </c>
      <c r="AI308">
        <f t="shared" si="19"/>
        <v>0.18328767612834118</v>
      </c>
    </row>
    <row r="309" spans="1:35" x14ac:dyDescent="0.45">
      <c r="A309" s="5" t="s">
        <v>261</v>
      </c>
      <c r="B309" s="2">
        <f t="shared" si="16"/>
        <v>32487975.438881267</v>
      </c>
      <c r="C309" s="2">
        <v>42549290.752277873</v>
      </c>
      <c r="D309" s="2">
        <v>5.5267187349712671E-2</v>
      </c>
      <c r="E309" s="5">
        <v>38101809.062947601</v>
      </c>
      <c r="F309" s="5">
        <v>26322652.126909699</v>
      </c>
      <c r="G309" s="5">
        <v>18485097.9532336</v>
      </c>
      <c r="H309" s="5">
        <v>8108194.2334102504</v>
      </c>
      <c r="I309" s="5">
        <v>45865079.852921598</v>
      </c>
      <c r="J309" s="5">
        <v>49900950.193298697</v>
      </c>
      <c r="K309" s="5">
        <v>29950636.606283799</v>
      </c>
      <c r="L309" s="5">
        <v>20878580.6014576</v>
      </c>
      <c r="M309" s="5">
        <v>57005241.206188403</v>
      </c>
      <c r="N309" s="5">
        <v>15432294.712768801</v>
      </c>
      <c r="O309" s="5">
        <v>10360423.4475896</v>
      </c>
      <c r="P309" s="5">
        <v>19846423.878804501</v>
      </c>
      <c r="Q309" s="5">
        <v>117637458.535181</v>
      </c>
      <c r="R309" s="5">
        <v>11845849.550209001</v>
      </c>
      <c r="S309" s="5">
        <v>20375602.1199436</v>
      </c>
      <c r="T309" s="5">
        <v>15622474.181896901</v>
      </c>
      <c r="U309" s="5">
        <v>41065699.137460701</v>
      </c>
      <c r="V309" s="5">
        <v>15026046.526837301</v>
      </c>
      <c r="W309" s="5">
        <v>18923832.492162399</v>
      </c>
      <c r="X309" s="5">
        <v>29508816.020964202</v>
      </c>
      <c r="Y309" s="5">
        <v>32869845.604799598</v>
      </c>
      <c r="Z309" s="5">
        <v>39229513.517091803</v>
      </c>
      <c r="AA309" s="5">
        <v>68116895.609608993</v>
      </c>
      <c r="AB309" s="5">
        <v>29231993.361180902</v>
      </c>
      <c r="AC309" s="5">
        <v>45790829.710133798</v>
      </c>
      <c r="AD309" s="5">
        <v>42607772.977058999</v>
      </c>
      <c r="AE309" s="5">
        <v>41462181.257779397</v>
      </c>
      <c r="AF309" s="5">
        <v>40336379.064139299</v>
      </c>
      <c r="AG309">
        <f t="shared" si="17"/>
        <v>42549290.752277873</v>
      </c>
      <c r="AH309">
        <f t="shared" si="18"/>
        <v>2351579.6236035381</v>
      </c>
      <c r="AI309">
        <f t="shared" si="19"/>
        <v>5.5267187349712671E-2</v>
      </c>
    </row>
    <row r="310" spans="1:35" x14ac:dyDescent="0.45">
      <c r="A310" s="5" t="s">
        <v>262</v>
      </c>
      <c r="B310" s="2">
        <f t="shared" si="16"/>
        <v>11715325.516362259</v>
      </c>
      <c r="C310" s="2">
        <v>12432903.06105585</v>
      </c>
      <c r="D310" s="2">
        <v>4.0653905244594481E-2</v>
      </c>
      <c r="E310" s="5">
        <v>8729085.5788252391</v>
      </c>
      <c r="F310" s="5">
        <v>4261894.3453272404</v>
      </c>
      <c r="G310" s="5">
        <v>13267000.914238799</v>
      </c>
      <c r="H310" s="5">
        <v>1630691.39541668</v>
      </c>
      <c r="I310" s="5">
        <v>16228560.932099599</v>
      </c>
      <c r="J310" s="5">
        <v>14754123.848146001</v>
      </c>
      <c r="K310" s="5">
        <v>8002829.2953228904</v>
      </c>
      <c r="L310" s="5">
        <v>18392585.072953299</v>
      </c>
      <c r="M310" s="5">
        <v>21777501.829897501</v>
      </c>
      <c r="N310" s="5">
        <v>5218431.4926774697</v>
      </c>
      <c r="O310" s="5">
        <v>2211560.9297142602</v>
      </c>
      <c r="P310" s="5">
        <v>4697302.4965305096</v>
      </c>
      <c r="Q310" s="5">
        <v>38400113.236741297</v>
      </c>
      <c r="R310" s="5">
        <v>2642182.6571032801</v>
      </c>
      <c r="S310" s="5">
        <v>15507659.901302001</v>
      </c>
      <c r="T310" s="5">
        <v>3397401.5786062502</v>
      </c>
      <c r="U310" s="5">
        <v>8427042.8510943092</v>
      </c>
      <c r="V310" s="5">
        <v>10615138.383888001</v>
      </c>
      <c r="W310" s="5">
        <v>5009894.1711566905</v>
      </c>
      <c r="X310" s="5">
        <v>9251087.0767194908</v>
      </c>
      <c r="Y310" s="5">
        <v>19972677.109755699</v>
      </c>
      <c r="Z310" s="5">
        <v>10312149.825652201</v>
      </c>
      <c r="AA310" s="5">
        <v>22209608.020511001</v>
      </c>
      <c r="AB310" s="5">
        <v>16251289.4490145</v>
      </c>
      <c r="AC310" s="5">
        <v>12768940.472209901</v>
      </c>
      <c r="AD310" s="5">
        <v>12813038.174455799</v>
      </c>
      <c r="AE310" s="5">
        <v>11719463.60892</v>
      </c>
      <c r="AF310" s="5">
        <v>12430169.988637701</v>
      </c>
      <c r="AG310">
        <f t="shared" si="17"/>
        <v>12432903.06105585</v>
      </c>
      <c r="AH310">
        <f t="shared" si="18"/>
        <v>505446.0629593932</v>
      </c>
      <c r="AI310">
        <f t="shared" si="19"/>
        <v>4.0653905244594481E-2</v>
      </c>
    </row>
    <row r="311" spans="1:35" x14ac:dyDescent="0.45">
      <c r="A311" s="5" t="s">
        <v>263</v>
      </c>
      <c r="B311" s="2">
        <f t="shared" si="16"/>
        <v>94588884.625491321</v>
      </c>
      <c r="C311" s="2">
        <v>78084331.397422567</v>
      </c>
      <c r="D311" s="2">
        <v>4.604949022082154E-2</v>
      </c>
      <c r="E311" s="5">
        <v>26833022.403499</v>
      </c>
      <c r="F311" s="5">
        <v>36012407.4642727</v>
      </c>
      <c r="G311" s="5">
        <v>86023344.1223028</v>
      </c>
      <c r="H311" s="5">
        <v>51964566.608068801</v>
      </c>
      <c r="I311" s="5">
        <v>144001713.24734601</v>
      </c>
      <c r="J311" s="5">
        <v>67357184.633039907</v>
      </c>
      <c r="K311" s="5">
        <v>65110765.865493603</v>
      </c>
      <c r="L311" s="5">
        <v>109091052.773369</v>
      </c>
      <c r="M311" s="5">
        <v>76706623.657701403</v>
      </c>
      <c r="N311" s="5">
        <v>48845447.1810022</v>
      </c>
      <c r="O311" s="5">
        <v>285232711.28207803</v>
      </c>
      <c r="P311" s="5">
        <v>66775328.579650298</v>
      </c>
      <c r="Q311" s="5">
        <v>175605325.70991799</v>
      </c>
      <c r="R311" s="5">
        <v>60081332.058307096</v>
      </c>
      <c r="S311" s="5">
        <v>88889982.194021896</v>
      </c>
      <c r="T311" s="5">
        <v>55854790.418788299</v>
      </c>
      <c r="U311" s="5">
        <v>78399101.060773805</v>
      </c>
      <c r="V311" s="5">
        <v>57441372.642011501</v>
      </c>
      <c r="W311" s="5">
        <v>108841394.064934</v>
      </c>
      <c r="X311" s="5">
        <v>52848221.326458603</v>
      </c>
      <c r="Y311" s="5">
        <v>132775504.533187</v>
      </c>
      <c r="Z311" s="5">
        <v>100419891.962354</v>
      </c>
      <c r="AA311" s="5">
        <v>196282320.82067299</v>
      </c>
      <c r="AB311" s="5">
        <v>98739826.402540699</v>
      </c>
      <c r="AC311" s="5">
        <v>73275622.819407701</v>
      </c>
      <c r="AD311" s="5">
        <v>77668765.912002996</v>
      </c>
      <c r="AE311" s="5">
        <v>79735941.309957504</v>
      </c>
      <c r="AF311" s="5">
        <v>81656995.548322096</v>
      </c>
      <c r="AG311">
        <f t="shared" si="17"/>
        <v>78084331.397422567</v>
      </c>
      <c r="AH311">
        <f t="shared" si="18"/>
        <v>3595743.6550849988</v>
      </c>
      <c r="AI311">
        <f t="shared" si="19"/>
        <v>4.604949022082154E-2</v>
      </c>
    </row>
    <row r="312" spans="1:35" x14ac:dyDescent="0.45">
      <c r="A312" s="5" t="s">
        <v>264</v>
      </c>
      <c r="B312" s="2">
        <f t="shared" si="16"/>
        <v>14209921.611567149</v>
      </c>
      <c r="C312" s="2">
        <v>12123451.733455101</v>
      </c>
      <c r="D312" s="2">
        <v>1.5105496380010438E-2</v>
      </c>
      <c r="E312" s="5">
        <v>1575661.3439252099</v>
      </c>
      <c r="F312" s="5">
        <v>8316334.0311045405</v>
      </c>
      <c r="G312" s="5">
        <v>7348780.1762407403</v>
      </c>
      <c r="H312" s="5">
        <v>7283409.2351807198</v>
      </c>
      <c r="I312" s="5">
        <v>17002639.641451702</v>
      </c>
      <c r="J312" s="5">
        <v>8105619.4065397503</v>
      </c>
      <c r="K312" s="5">
        <v>13176967.8664736</v>
      </c>
      <c r="L312" s="5">
        <v>14776672.8103444</v>
      </c>
      <c r="M312" s="5">
        <v>13030002.354714001</v>
      </c>
      <c r="N312" s="5">
        <v>10988799.8292538</v>
      </c>
      <c r="O312" s="5">
        <v>13330518.832748201</v>
      </c>
      <c r="P312" s="5">
        <v>8673902.4127563201</v>
      </c>
      <c r="Q312" s="5">
        <v>36772761.297183603</v>
      </c>
      <c r="R312" s="5">
        <v>15763000.275582399</v>
      </c>
      <c r="S312" s="5">
        <v>15110060.3422173</v>
      </c>
      <c r="T312" s="5">
        <v>25739567.675153598</v>
      </c>
      <c r="U312" s="5">
        <v>8589646.8059511706</v>
      </c>
      <c r="V312" s="5">
        <v>15307329.913411999</v>
      </c>
      <c r="W312" s="5">
        <v>15656569.510358401</v>
      </c>
      <c r="X312" s="5">
        <v>11238269.9051945</v>
      </c>
      <c r="Y312" s="5">
        <v>5918745.8499878095</v>
      </c>
      <c r="Z312" s="5">
        <v>13114112.0272475</v>
      </c>
      <c r="AA312" s="5">
        <v>41097685.153151803</v>
      </c>
      <c r="AB312" s="5">
        <v>13121061.981438501</v>
      </c>
      <c r="AC312" s="5">
        <v>12296513.0081205</v>
      </c>
      <c r="AD312" s="5">
        <v>11875190.702879701</v>
      </c>
      <c r="AE312" s="5">
        <v>12105376.769948</v>
      </c>
      <c r="AF312" s="5">
        <v>12216726.4528722</v>
      </c>
      <c r="AG312">
        <f t="shared" si="17"/>
        <v>12123451.733455101</v>
      </c>
      <c r="AH312">
        <f t="shared" si="18"/>
        <v>183130.75627293729</v>
      </c>
      <c r="AI312">
        <f t="shared" si="19"/>
        <v>1.5105496380010438E-2</v>
      </c>
    </row>
    <row r="313" spans="1:35" x14ac:dyDescent="0.45">
      <c r="A313" s="5" t="s">
        <v>265</v>
      </c>
      <c r="B313" s="2">
        <f t="shared" si="16"/>
        <v>23182333.676134232</v>
      </c>
      <c r="C313" s="2">
        <v>15537869.288355624</v>
      </c>
      <c r="D313" s="2">
        <v>6.8222509219560593E-2</v>
      </c>
      <c r="E313" s="5">
        <v>9310527.4579635095</v>
      </c>
      <c r="F313" s="5">
        <v>6003318.4067804599</v>
      </c>
      <c r="G313" s="5">
        <v>5703794.5077758403</v>
      </c>
      <c r="H313" s="5">
        <v>20811171.2424936</v>
      </c>
      <c r="I313" s="5">
        <v>10517970.9838157</v>
      </c>
      <c r="J313" s="5">
        <v>21550598.250023998</v>
      </c>
      <c r="K313" s="5">
        <v>28572968.6658126</v>
      </c>
      <c r="L313" s="5">
        <v>22197577.026346199</v>
      </c>
      <c r="M313" s="5">
        <v>6125493.0116098803</v>
      </c>
      <c r="N313" s="5">
        <v>4362775.4336820496</v>
      </c>
      <c r="O313" s="5">
        <v>60327458.628802598</v>
      </c>
      <c r="P313" s="5">
        <v>28064298.502013098</v>
      </c>
      <c r="Q313" s="5">
        <v>10825472.712313401</v>
      </c>
      <c r="R313" s="5">
        <v>14209288.616236299</v>
      </c>
      <c r="S313" s="5">
        <v>10999927.897210401</v>
      </c>
      <c r="T313" s="5">
        <v>175462763.64713901</v>
      </c>
      <c r="U313" s="5">
        <v>9755451.6411314402</v>
      </c>
      <c r="V313" s="5">
        <v>3788599.7998847798</v>
      </c>
      <c r="W313" s="5">
        <v>19724773.689964801</v>
      </c>
      <c r="X313" s="5">
        <v>30502061.151590999</v>
      </c>
      <c r="Y313" s="5">
        <v>3357238.3937272602</v>
      </c>
      <c r="Z313" s="5">
        <v>22348404.065236099</v>
      </c>
      <c r="AA313" s="5">
        <v>13027081.754172999</v>
      </c>
      <c r="AB313" s="5">
        <v>18826992.741494499</v>
      </c>
      <c r="AC313" s="5">
        <v>14664564.016432101</v>
      </c>
      <c r="AD313" s="5">
        <v>16976507.654100198</v>
      </c>
      <c r="AE313" s="5">
        <v>14819965.413053</v>
      </c>
      <c r="AF313" s="5">
        <v>15690440.0698372</v>
      </c>
      <c r="AG313">
        <f t="shared" si="17"/>
        <v>15537869.288355624</v>
      </c>
      <c r="AH313">
        <f t="shared" si="18"/>
        <v>1060032.4307771691</v>
      </c>
      <c r="AI313">
        <f t="shared" si="19"/>
        <v>6.8222509219560593E-2</v>
      </c>
    </row>
    <row r="314" spans="1:35" x14ac:dyDescent="0.45">
      <c r="A314" s="5" t="s">
        <v>266</v>
      </c>
      <c r="B314" s="2">
        <f t="shared" si="16"/>
        <v>3791587.8952719024</v>
      </c>
      <c r="C314" s="2">
        <v>2935172.7063262826</v>
      </c>
      <c r="D314" s="2">
        <v>0.20018606408544945</v>
      </c>
      <c r="E314" s="5">
        <v>3319814.8830569098</v>
      </c>
      <c r="F314" s="5">
        <v>8170943.52013388</v>
      </c>
      <c r="G314" s="5">
        <v>3822753.92935722</v>
      </c>
      <c r="H314" s="5">
        <v>2703478.0740074799</v>
      </c>
      <c r="I314" s="5">
        <v>2595098.0847189901</v>
      </c>
      <c r="J314" s="5">
        <v>2089199.6539563299</v>
      </c>
      <c r="K314" s="5">
        <v>4157980.6832550098</v>
      </c>
      <c r="L314" s="5">
        <v>2515432.7636970901</v>
      </c>
      <c r="M314" s="5">
        <v>3173772.5845993198</v>
      </c>
      <c r="N314" s="5">
        <v>4225297.3071432598</v>
      </c>
      <c r="O314" s="5">
        <v>5662856.7636838704</v>
      </c>
      <c r="P314" s="5">
        <v>2822364.8042896902</v>
      </c>
      <c r="Q314" s="5">
        <v>3400152.18455783</v>
      </c>
      <c r="R314" s="5">
        <v>4787407.88974497</v>
      </c>
      <c r="S314" s="5">
        <v>4769839.96801663</v>
      </c>
      <c r="T314" s="5">
        <v>4444589.6368441796</v>
      </c>
      <c r="U314" s="5">
        <v>4060676.8654728699</v>
      </c>
      <c r="V314" s="5">
        <v>6998107.1197186196</v>
      </c>
      <c r="W314" s="5">
        <v>3215221.89992079</v>
      </c>
      <c r="X314" s="5">
        <v>2959576.5278163799</v>
      </c>
      <c r="Y314" s="5">
        <v>1797145.8261267301</v>
      </c>
      <c r="Z314" s="5">
        <v>3917468.34362324</v>
      </c>
      <c r="AA314" s="5">
        <v>2975898.5454593101</v>
      </c>
      <c r="AB314" s="5">
        <v>2413031.6273250501</v>
      </c>
      <c r="AC314" s="5">
        <v>2770940.09105221</v>
      </c>
      <c r="AD314" s="5">
        <v>2173518.9999513598</v>
      </c>
      <c r="AE314" s="5">
        <v>3394136.17715667</v>
      </c>
      <c r="AF314" s="5">
        <v>3402095.5571448901</v>
      </c>
      <c r="AG314">
        <f t="shared" si="17"/>
        <v>2935172.7063262826</v>
      </c>
      <c r="AH314">
        <f t="shared" si="18"/>
        <v>587580.67149049533</v>
      </c>
      <c r="AI314">
        <f t="shared" si="19"/>
        <v>0.20018606408544945</v>
      </c>
    </row>
    <row r="315" spans="1:35" x14ac:dyDescent="0.45">
      <c r="A315" s="5" t="s">
        <v>345</v>
      </c>
      <c r="B315" s="2">
        <f t="shared" si="16"/>
        <v>22797727.259058956</v>
      </c>
      <c r="C315" s="2">
        <v>15584118.659247451</v>
      </c>
      <c r="D315" s="2">
        <v>9.1806951592085795E-2</v>
      </c>
      <c r="E315" s="5">
        <v>6762517.8154239403</v>
      </c>
      <c r="F315" s="5">
        <v>8455178.7578755207</v>
      </c>
      <c r="G315" s="5">
        <v>6101919.7622449398</v>
      </c>
      <c r="H315" s="5">
        <v>18450141.332228798</v>
      </c>
      <c r="I315" s="5">
        <v>32686148.854828801</v>
      </c>
      <c r="J315" s="5">
        <v>14919690.2967517</v>
      </c>
      <c r="K315" s="5">
        <v>16690654.1051649</v>
      </c>
      <c r="L315" s="5">
        <v>11184316.588002499</v>
      </c>
      <c r="M315" s="5">
        <v>22562784.8398927</v>
      </c>
      <c r="N315" s="5">
        <v>9993666.1875196397</v>
      </c>
      <c r="O315" s="5">
        <v>66159021.763088398</v>
      </c>
      <c r="P315" s="5">
        <v>19324234.402107202</v>
      </c>
      <c r="Q315" s="5">
        <v>10530655.0657518</v>
      </c>
      <c r="R315" s="5">
        <v>126057305.36759201</v>
      </c>
      <c r="S315" s="5">
        <v>39465785.215233698</v>
      </c>
      <c r="T315" s="5">
        <v>30120989.880991999</v>
      </c>
      <c r="U315" s="5">
        <v>13893940.328340599</v>
      </c>
      <c r="V315" s="5">
        <v>9180498.6868375707</v>
      </c>
      <c r="W315" s="5">
        <v>14064218.2920988</v>
      </c>
      <c r="X315" s="5">
        <v>12798995.4625035</v>
      </c>
      <c r="Y315" s="5">
        <v>29057840.044536401</v>
      </c>
      <c r="Z315" s="5">
        <v>9413537.8031680603</v>
      </c>
      <c r="AA315" s="5">
        <v>9680204.31358096</v>
      </c>
      <c r="AB315" s="5">
        <v>9591209.0516504906</v>
      </c>
      <c r="AC315" s="5">
        <v>15620482.7385264</v>
      </c>
      <c r="AD315" s="5">
        <v>15266489.0214031</v>
      </c>
      <c r="AE315" s="5">
        <v>13992815.7328874</v>
      </c>
      <c r="AF315" s="5">
        <v>17456687.144172899</v>
      </c>
      <c r="AG315">
        <f t="shared" si="17"/>
        <v>15584118.659247451</v>
      </c>
      <c r="AH315">
        <f t="shared" si="18"/>
        <v>1430730.4273548517</v>
      </c>
      <c r="AI315">
        <f t="shared" si="19"/>
        <v>9.1806951592085795E-2</v>
      </c>
    </row>
    <row r="316" spans="1:35" x14ac:dyDescent="0.45">
      <c r="A316" s="5" t="s">
        <v>365</v>
      </c>
      <c r="B316" s="2">
        <f t="shared" si="16"/>
        <v>123576584.2237314</v>
      </c>
      <c r="C316" s="2">
        <v>93485962.808168679</v>
      </c>
      <c r="D316" s="2">
        <v>3.4895803156492169E-2</v>
      </c>
      <c r="E316" s="5">
        <v>94258287.626168102</v>
      </c>
      <c r="F316" s="5">
        <v>84127044.597795606</v>
      </c>
      <c r="G316" s="5">
        <v>83018416.841554195</v>
      </c>
      <c r="H316" s="5">
        <v>397187445.853625</v>
      </c>
      <c r="I316" s="5">
        <v>66613135.536649004</v>
      </c>
      <c r="J316" s="5">
        <v>162950338.682547</v>
      </c>
      <c r="K316" s="5">
        <v>80132602.4842439</v>
      </c>
      <c r="L316" s="5">
        <v>95073280.505669206</v>
      </c>
      <c r="M316" s="5">
        <v>99979794.197904497</v>
      </c>
      <c r="N316" s="5">
        <v>512317684.72862399</v>
      </c>
      <c r="O316" s="5">
        <v>138939650.80507699</v>
      </c>
      <c r="P316" s="5">
        <v>73015756.110063195</v>
      </c>
      <c r="Q316" s="5">
        <v>105908124.16636001</v>
      </c>
      <c r="R316" s="5">
        <v>128385904.661992</v>
      </c>
      <c r="S316" s="5">
        <v>66199434.529382199</v>
      </c>
      <c r="T316" s="5">
        <v>71766663.091087997</v>
      </c>
      <c r="U316" s="5">
        <v>149750988.920091</v>
      </c>
      <c r="V316" s="5">
        <v>77280695.050330803</v>
      </c>
      <c r="W316" s="5">
        <v>69526757.624575794</v>
      </c>
      <c r="X316" s="5">
        <v>84303662.3623835</v>
      </c>
      <c r="Y316" s="5">
        <v>67716235.527245507</v>
      </c>
      <c r="Z316" s="5">
        <v>89941648.393560499</v>
      </c>
      <c r="AA316" s="5">
        <v>68454517.730714202</v>
      </c>
      <c r="AB316" s="5">
        <v>98989951.341910005</v>
      </c>
      <c r="AC316" s="5">
        <v>88945317.777421206</v>
      </c>
      <c r="AD316" s="5">
        <v>96340479.405305907</v>
      </c>
      <c r="AE316" s="5">
        <v>93396306.302953303</v>
      </c>
      <c r="AF316" s="5">
        <v>95261747.746994302</v>
      </c>
      <c r="AG316">
        <f t="shared" si="17"/>
        <v>93485962.808168679</v>
      </c>
      <c r="AH316">
        <f t="shared" si="18"/>
        <v>3262267.7560490021</v>
      </c>
      <c r="AI316">
        <f t="shared" si="19"/>
        <v>3.4895803156492169E-2</v>
      </c>
    </row>
    <row r="317" spans="1:35" x14ac:dyDescent="0.45">
      <c r="A317" s="5" t="s">
        <v>366</v>
      </c>
      <c r="B317" s="2">
        <f t="shared" si="16"/>
        <v>258730654.669058</v>
      </c>
      <c r="C317" s="2">
        <v>276126401.92767477</v>
      </c>
      <c r="D317" s="2">
        <v>3.1712588506084216E-2</v>
      </c>
      <c r="E317" s="5">
        <v>106701226.88316301</v>
      </c>
      <c r="F317" s="5">
        <v>94059921.715687096</v>
      </c>
      <c r="G317" s="5">
        <v>224495515.380624</v>
      </c>
      <c r="H317" s="5">
        <v>84115750.199458495</v>
      </c>
      <c r="I317" s="5">
        <v>246610405.51157501</v>
      </c>
      <c r="J317" s="5">
        <v>599809177.03420401</v>
      </c>
      <c r="K317" s="5">
        <v>77622871.113451704</v>
      </c>
      <c r="L317" s="5">
        <v>185820540.96911201</v>
      </c>
      <c r="M317" s="5">
        <v>376180619.03927702</v>
      </c>
      <c r="N317" s="5">
        <v>99971417.985643998</v>
      </c>
      <c r="O317" s="5">
        <v>72241197.738151103</v>
      </c>
      <c r="P317" s="5">
        <v>41479289.822878197</v>
      </c>
      <c r="Q317" s="5">
        <v>773499585.53151596</v>
      </c>
      <c r="R317" s="5">
        <v>73365135.058835402</v>
      </c>
      <c r="S317" s="5">
        <v>316871185.29827601</v>
      </c>
      <c r="T317" s="5">
        <v>618636281.81357098</v>
      </c>
      <c r="U317" s="5">
        <v>189192645.106924</v>
      </c>
      <c r="V317" s="5">
        <v>151565010.528483</v>
      </c>
      <c r="W317" s="5">
        <v>43975615.227279097</v>
      </c>
      <c r="X317" s="5">
        <v>743408766.58459401</v>
      </c>
      <c r="Y317" s="5">
        <v>106458037.207718</v>
      </c>
      <c r="Z317" s="5">
        <v>336442997.81894797</v>
      </c>
      <c r="AA317" s="5">
        <v>559782456.36326694</v>
      </c>
      <c r="AB317" s="5">
        <v>87230062.124756098</v>
      </c>
      <c r="AC317" s="5">
        <v>263082122.67020199</v>
      </c>
      <c r="AD317" s="5">
        <v>281533924.67399299</v>
      </c>
      <c r="AE317" s="5">
        <v>279083403.15153402</v>
      </c>
      <c r="AF317" s="5">
        <v>280806157.21496999</v>
      </c>
      <c r="AG317">
        <f t="shared" si="17"/>
        <v>276126401.92767477</v>
      </c>
      <c r="AH317">
        <f t="shared" si="18"/>
        <v>8756682.9599979687</v>
      </c>
      <c r="AI317">
        <f t="shared" si="19"/>
        <v>3.1712588506084216E-2</v>
      </c>
    </row>
    <row r="318" spans="1:35" x14ac:dyDescent="0.45">
      <c r="A318" s="5" t="s">
        <v>346</v>
      </c>
      <c r="B318" s="2">
        <f t="shared" si="16"/>
        <v>52796105.052609242</v>
      </c>
      <c r="C318" s="2">
        <v>32665502.934671722</v>
      </c>
      <c r="D318" s="2">
        <v>5.3992193617211838E-2</v>
      </c>
      <c r="E318" s="5">
        <v>11659563.108562</v>
      </c>
      <c r="F318" s="5">
        <v>26236019.635216601</v>
      </c>
      <c r="G318" s="5">
        <v>41710909.380718596</v>
      </c>
      <c r="H318" s="5">
        <v>31551635.834705699</v>
      </c>
      <c r="I318" s="5">
        <v>41420319.155082099</v>
      </c>
      <c r="J318" s="5">
        <v>42545981.667694204</v>
      </c>
      <c r="K318" s="5">
        <v>16022671.5829085</v>
      </c>
      <c r="L318" s="5">
        <v>21397869.659687899</v>
      </c>
      <c r="M318" s="5">
        <v>40948494.129361503</v>
      </c>
      <c r="N318" s="5">
        <v>19436902.2638762</v>
      </c>
      <c r="O318" s="5">
        <v>327645900.34907699</v>
      </c>
      <c r="P318" s="5">
        <v>14900819.272639399</v>
      </c>
      <c r="Q318" s="5">
        <v>60646942.396182701</v>
      </c>
      <c r="R318" s="5">
        <v>18875531.080013499</v>
      </c>
      <c r="S318" s="5">
        <v>18727160.8277569</v>
      </c>
      <c r="T318" s="5">
        <v>282552890.60543299</v>
      </c>
      <c r="U318" s="5">
        <v>25344217.868834101</v>
      </c>
      <c r="V318" s="5">
        <v>45934697.253875002</v>
      </c>
      <c r="W318" s="5">
        <v>33497982.049189702</v>
      </c>
      <c r="X318" s="5">
        <v>34864479.964639097</v>
      </c>
      <c r="Y318" s="5">
        <v>23331694.5996489</v>
      </c>
      <c r="Z318" s="5">
        <v>46548861.692376003</v>
      </c>
      <c r="AA318" s="5">
        <v>22885897.403372299</v>
      </c>
      <c r="AB318" s="5">
        <v>18419079.481771</v>
      </c>
      <c r="AC318" s="5">
        <v>30669393.2392358</v>
      </c>
      <c r="AD318" s="5">
        <v>34250698.809604198</v>
      </c>
      <c r="AE318" s="5">
        <v>31698356.051559601</v>
      </c>
      <c r="AF318" s="5">
        <v>34043563.638287298</v>
      </c>
      <c r="AG318">
        <f t="shared" si="17"/>
        <v>32665502.934671722</v>
      </c>
      <c r="AH318">
        <f t="shared" si="18"/>
        <v>1763682.1590523971</v>
      </c>
      <c r="AI318">
        <f t="shared" si="19"/>
        <v>5.3992193617211838E-2</v>
      </c>
    </row>
    <row r="319" spans="1:35" x14ac:dyDescent="0.45">
      <c r="A319" s="5" t="s">
        <v>347</v>
      </c>
      <c r="B319" s="2">
        <f t="shared" si="16"/>
        <v>901005290.74721897</v>
      </c>
      <c r="C319" s="2">
        <v>794976287.37450695</v>
      </c>
      <c r="D319" s="2">
        <v>3.0724070997121343E-2</v>
      </c>
      <c r="E319" s="5">
        <v>2032091893.0416701</v>
      </c>
      <c r="F319" s="5">
        <v>556220371.23461294</v>
      </c>
      <c r="G319" s="5">
        <v>734818433.48469198</v>
      </c>
      <c r="H319" s="5">
        <v>153110130.05842099</v>
      </c>
      <c r="I319" s="5">
        <v>948711893.66633904</v>
      </c>
      <c r="J319" s="5">
        <v>673772146.79470003</v>
      </c>
      <c r="K319" s="5">
        <v>579600634.61956799</v>
      </c>
      <c r="L319" s="5">
        <v>1296818520.8919899</v>
      </c>
      <c r="M319" s="5">
        <v>914868392.56221604</v>
      </c>
      <c r="N319" s="5">
        <v>339859206.62750602</v>
      </c>
      <c r="O319" s="5">
        <v>4254212271.5663199</v>
      </c>
      <c r="P319" s="5">
        <v>100268908.170366</v>
      </c>
      <c r="Q319" s="5">
        <v>1444119148.30284</v>
      </c>
      <c r="R319" s="5">
        <v>249712838.89516699</v>
      </c>
      <c r="S319" s="5">
        <v>1358261750.5143299</v>
      </c>
      <c r="T319" s="5">
        <v>243240290.361947</v>
      </c>
      <c r="U319" s="5">
        <v>512088260.87436998</v>
      </c>
      <c r="V319" s="5">
        <v>222194754.85953099</v>
      </c>
      <c r="W319" s="5">
        <v>579195898.60130799</v>
      </c>
      <c r="X319" s="5">
        <v>320327957.88777298</v>
      </c>
      <c r="Y319" s="5">
        <v>1242466602.25967</v>
      </c>
      <c r="Z319" s="5">
        <v>473323076.79872602</v>
      </c>
      <c r="AA319" s="5">
        <v>1479070162.6781299</v>
      </c>
      <c r="AB319" s="5">
        <v>915773433.18106401</v>
      </c>
      <c r="AC319" s="5">
        <v>784661491.88146806</v>
      </c>
      <c r="AD319" s="5">
        <v>768205878.14116502</v>
      </c>
      <c r="AE319" s="5">
        <v>825330374.73230696</v>
      </c>
      <c r="AF319" s="5">
        <v>801707404.74308801</v>
      </c>
      <c r="AG319">
        <f t="shared" si="17"/>
        <v>794976287.37450695</v>
      </c>
      <c r="AH319">
        <f t="shared" si="18"/>
        <v>24424907.894322291</v>
      </c>
      <c r="AI319">
        <f t="shared" si="19"/>
        <v>3.0724070997121343E-2</v>
      </c>
    </row>
    <row r="320" spans="1:35" x14ac:dyDescent="0.45">
      <c r="A320" s="5" t="s">
        <v>348</v>
      </c>
      <c r="B320" s="2">
        <f t="shared" si="16"/>
        <v>111014454.22500116</v>
      </c>
      <c r="C320" s="2">
        <v>106122601.67540325</v>
      </c>
      <c r="D320" s="2">
        <v>2.7619879905554003E-2</v>
      </c>
      <c r="E320" s="5">
        <v>102269509.77423</v>
      </c>
      <c r="F320" s="5">
        <v>113562414.266324</v>
      </c>
      <c r="G320" s="5">
        <v>115232747.629673</v>
      </c>
      <c r="H320" s="5">
        <v>182419752.155238</v>
      </c>
      <c r="I320" s="5">
        <v>71612115.672001705</v>
      </c>
      <c r="J320" s="5">
        <v>89655616.017963603</v>
      </c>
      <c r="K320" s="5">
        <v>95526102.900101498</v>
      </c>
      <c r="L320" s="5">
        <v>105375252.017703</v>
      </c>
      <c r="M320" s="5">
        <v>113823794.64474</v>
      </c>
      <c r="N320" s="5">
        <v>95126790.713699907</v>
      </c>
      <c r="O320" s="5">
        <v>137017908.65091601</v>
      </c>
      <c r="P320" s="5">
        <v>94254875.660846397</v>
      </c>
      <c r="Q320" s="5">
        <v>144932953.462681</v>
      </c>
      <c r="R320" s="5">
        <v>106135805.401233</v>
      </c>
      <c r="S320" s="5">
        <v>119324909.14088599</v>
      </c>
      <c r="T320" s="5">
        <v>72475307.177797303</v>
      </c>
      <c r="U320" s="5">
        <v>117502179.98798101</v>
      </c>
      <c r="V320" s="5">
        <v>129466432.575928</v>
      </c>
      <c r="W320" s="5">
        <v>102404254.50282501</v>
      </c>
      <c r="X320" s="5">
        <v>126402545.952722</v>
      </c>
      <c r="Y320" s="5">
        <v>101354435.66607</v>
      </c>
      <c r="Z320" s="5">
        <v>104648332.36664601</v>
      </c>
      <c r="AA320" s="5">
        <v>117892394.134137</v>
      </c>
      <c r="AB320" s="5">
        <v>105930470.92768399</v>
      </c>
      <c r="AC320" s="5">
        <v>109231282.282022</v>
      </c>
      <c r="AD320" s="5">
        <v>103630413.655642</v>
      </c>
      <c r="AE320" s="5">
        <v>103611062.41907699</v>
      </c>
      <c r="AF320" s="5">
        <v>108017648.344872</v>
      </c>
      <c r="AG320">
        <f t="shared" si="17"/>
        <v>106122601.67540325</v>
      </c>
      <c r="AH320">
        <f t="shared" si="18"/>
        <v>2931093.513539582</v>
      </c>
      <c r="AI320">
        <f t="shared" si="19"/>
        <v>2.7619879905554003E-2</v>
      </c>
    </row>
  </sheetData>
  <sortState xmlns:xlrd2="http://schemas.microsoft.com/office/spreadsheetml/2017/richdata2" ref="A2:AI320">
    <sortCondition ref="A288:A320"/>
  </sortState>
  <conditionalFormatting sqref="A1:A212">
    <cfRule type="duplicateValues" dxfId="11" priority="124"/>
  </conditionalFormatting>
  <conditionalFormatting sqref="A213:A320">
    <cfRule type="duplicateValues" dxfId="10" priority="13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3F42-F040-4827-8224-AF630C3346DB}">
  <dimension ref="A1:AC321"/>
  <sheetViews>
    <sheetView topLeftCell="A285" workbookViewId="0">
      <selection activeCell="A3" sqref="A3:XFD321"/>
    </sheetView>
  </sheetViews>
  <sheetFormatPr defaultRowHeight="14.25" x14ac:dyDescent="0.45"/>
  <sheetData>
    <row r="1" spans="1:29" x14ac:dyDescent="0.45">
      <c r="A1" s="1" t="s">
        <v>0</v>
      </c>
      <c r="B1" s="1" t="s">
        <v>385</v>
      </c>
      <c r="C1" s="1" t="s">
        <v>393</v>
      </c>
      <c r="D1" s="1" t="s">
        <v>401</v>
      </c>
      <c r="E1" s="1" t="s">
        <v>386</v>
      </c>
      <c r="F1" s="1" t="s">
        <v>394</v>
      </c>
      <c r="G1" s="1" t="s">
        <v>402</v>
      </c>
      <c r="H1" s="1" t="s">
        <v>387</v>
      </c>
      <c r="I1" s="1" t="s">
        <v>395</v>
      </c>
      <c r="J1" s="1" t="s">
        <v>403</v>
      </c>
      <c r="K1" s="1" t="s">
        <v>388</v>
      </c>
      <c r="L1" s="1" t="s">
        <v>396</v>
      </c>
      <c r="M1" s="1" t="s">
        <v>404</v>
      </c>
      <c r="N1" s="1" t="s">
        <v>389</v>
      </c>
      <c r="O1" s="1" t="s">
        <v>397</v>
      </c>
      <c r="P1" s="1" t="s">
        <v>405</v>
      </c>
      <c r="Q1" s="1" t="s">
        <v>390</v>
      </c>
      <c r="R1" s="1" t="s">
        <v>398</v>
      </c>
      <c r="S1" s="1" t="s">
        <v>406</v>
      </c>
      <c r="T1" s="1" t="s">
        <v>391</v>
      </c>
      <c r="U1" s="1" t="s">
        <v>399</v>
      </c>
      <c r="V1" s="1" t="s">
        <v>407</v>
      </c>
      <c r="W1" s="1" t="s">
        <v>392</v>
      </c>
      <c r="X1" s="1" t="s">
        <v>400</v>
      </c>
      <c r="Y1" s="1" t="s">
        <v>408</v>
      </c>
      <c r="Z1" s="3" t="s">
        <v>409</v>
      </c>
      <c r="AA1" s="3" t="s">
        <v>410</v>
      </c>
      <c r="AB1" s="3" t="s">
        <v>411</v>
      </c>
      <c r="AC1" s="3" t="s">
        <v>412</v>
      </c>
    </row>
    <row r="2" spans="1:29" x14ac:dyDescent="0.45">
      <c r="A2" s="1" t="s">
        <v>384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3" t="s">
        <v>413</v>
      </c>
      <c r="AA2" s="3" t="s">
        <v>413</v>
      </c>
      <c r="AB2" s="3" t="s">
        <v>413</v>
      </c>
      <c r="AC2" s="3" t="s">
        <v>413</v>
      </c>
    </row>
    <row r="3" spans="1:29" x14ac:dyDescent="0.45">
      <c r="A3" s="5" t="s">
        <v>268</v>
      </c>
      <c r="B3" s="5">
        <v>75345850.730866</v>
      </c>
      <c r="C3" s="5">
        <v>95965616.2612845</v>
      </c>
      <c r="D3" s="5">
        <v>112605508.90070499</v>
      </c>
      <c r="E3" s="5">
        <v>61915617.043654598</v>
      </c>
      <c r="F3" s="5">
        <v>43339211.627363399</v>
      </c>
      <c r="G3" s="5">
        <v>51517847.953360602</v>
      </c>
      <c r="H3" s="5">
        <v>50029380.772060104</v>
      </c>
      <c r="I3" s="5">
        <v>86457873.819209993</v>
      </c>
      <c r="J3" s="5">
        <v>66599271.856720597</v>
      </c>
      <c r="K3" s="5">
        <v>40885692.749117702</v>
      </c>
      <c r="L3" s="5">
        <v>30527231.223404799</v>
      </c>
      <c r="M3" s="5">
        <v>77540533.349484906</v>
      </c>
      <c r="N3" s="5">
        <v>52849893.491137899</v>
      </c>
      <c r="O3" s="5">
        <v>48976534.200910002</v>
      </c>
      <c r="P3" s="5">
        <v>33522336.5591597</v>
      </c>
      <c r="Q3" s="5">
        <v>53049330.852642797</v>
      </c>
      <c r="R3" s="5">
        <v>50486333.924070902</v>
      </c>
      <c r="S3" s="5">
        <v>56051817.513710603</v>
      </c>
      <c r="T3" s="5">
        <v>84116109.700296894</v>
      </c>
      <c r="U3" s="5">
        <v>50153267.510801703</v>
      </c>
      <c r="V3" s="5">
        <v>59904168.711342096</v>
      </c>
      <c r="W3" s="5">
        <v>52490045.022516102</v>
      </c>
      <c r="X3" s="5">
        <v>100171770.339747</v>
      </c>
      <c r="Y3" s="5">
        <v>48742557.751261503</v>
      </c>
      <c r="Z3" s="5">
        <v>56741820.294224396</v>
      </c>
      <c r="AA3" s="5">
        <v>54032787.406869002</v>
      </c>
      <c r="AB3" s="5">
        <v>54589436.408894703</v>
      </c>
      <c r="AC3" s="5">
        <v>54927844.148232803</v>
      </c>
    </row>
    <row r="4" spans="1:29" x14ac:dyDescent="0.45">
      <c r="A4" s="5" t="s">
        <v>36</v>
      </c>
      <c r="B4" s="5">
        <v>8383763.3458479298</v>
      </c>
      <c r="C4" s="5">
        <v>5724707.9623893304</v>
      </c>
      <c r="D4" s="5">
        <v>3695059.79196632</v>
      </c>
      <c r="E4" s="5">
        <v>6983852.7725216402</v>
      </c>
      <c r="F4" s="5">
        <v>12115428.8973675</v>
      </c>
      <c r="G4" s="5">
        <v>12659113.7665687</v>
      </c>
      <c r="H4" s="5">
        <v>19883181.175872002</v>
      </c>
      <c r="I4" s="5">
        <v>25374100.947886299</v>
      </c>
      <c r="J4" s="5">
        <v>14308708.9072599</v>
      </c>
      <c r="K4" s="5">
        <v>25849052.737084299</v>
      </c>
      <c r="L4" s="5">
        <v>28577960.191169702</v>
      </c>
      <c r="M4" s="5">
        <v>25635564.487869199</v>
      </c>
      <c r="N4" s="5">
        <v>8541618.6611038707</v>
      </c>
      <c r="O4" s="5">
        <v>3341474.6931849499</v>
      </c>
      <c r="P4" s="5">
        <v>2708660.5524059799</v>
      </c>
      <c r="Q4" s="5">
        <v>9016184.4443127494</v>
      </c>
      <c r="R4" s="5">
        <v>34161793.124871597</v>
      </c>
      <c r="S4" s="5">
        <v>9609234.0868422296</v>
      </c>
      <c r="T4" s="5">
        <v>26830433.3579599</v>
      </c>
      <c r="U4" s="5">
        <v>29445928.280573498</v>
      </c>
      <c r="V4" s="5">
        <v>43200434.801208802</v>
      </c>
      <c r="W4" s="5">
        <v>20920075.442821398</v>
      </c>
      <c r="X4" s="5">
        <v>28596401.542687099</v>
      </c>
      <c r="Y4" s="5">
        <v>4051970.8753255201</v>
      </c>
      <c r="Z4" s="5">
        <v>12368266.6168688</v>
      </c>
      <c r="AA4" s="5">
        <v>12775342.5369936</v>
      </c>
      <c r="AB4" s="5">
        <v>10399475.3107778</v>
      </c>
      <c r="AC4" s="5">
        <v>13724366.423760301</v>
      </c>
    </row>
    <row r="5" spans="1:29" x14ac:dyDescent="0.45">
      <c r="A5" s="5" t="s">
        <v>37</v>
      </c>
      <c r="B5" s="5">
        <v>35334575.493547499</v>
      </c>
      <c r="C5" s="5">
        <v>36321582.469314203</v>
      </c>
      <c r="D5" s="5">
        <v>36344844.968899898</v>
      </c>
      <c r="E5" s="5">
        <v>28297413.538245901</v>
      </c>
      <c r="F5" s="5">
        <v>18973697.654916301</v>
      </c>
      <c r="G5" s="5">
        <v>17880428.4690497</v>
      </c>
      <c r="H5" s="5">
        <v>20617511.0105533</v>
      </c>
      <c r="I5" s="5">
        <v>30364070.681552801</v>
      </c>
      <c r="J5" s="5">
        <v>23598030.9191138</v>
      </c>
      <c r="K5" s="5">
        <v>20674098.1003328</v>
      </c>
      <c r="L5" s="5">
        <v>16762962.286130499</v>
      </c>
      <c r="M5" s="5">
        <v>31361325.971753601</v>
      </c>
      <c r="N5" s="5">
        <v>27373147.863927901</v>
      </c>
      <c r="O5" s="5">
        <v>20179779.482656799</v>
      </c>
      <c r="P5" s="5">
        <v>19346842.591584601</v>
      </c>
      <c r="Q5" s="5">
        <v>29911349.939321902</v>
      </c>
      <c r="R5" s="5">
        <v>11868127.985095499</v>
      </c>
      <c r="S5" s="5">
        <v>22052744.059505999</v>
      </c>
      <c r="T5" s="5">
        <v>31506908.477357</v>
      </c>
      <c r="U5" s="5">
        <v>20748441.994557202</v>
      </c>
      <c r="V5" s="5">
        <v>24132656.349437799</v>
      </c>
      <c r="W5" s="5">
        <v>23968559.887555901</v>
      </c>
      <c r="X5" s="5">
        <v>27120257.404696502</v>
      </c>
      <c r="Y5" s="5">
        <v>26817212.871417399</v>
      </c>
      <c r="Z5" s="5">
        <v>25600748.231525201</v>
      </c>
      <c r="AA5" s="5">
        <v>26297189.466731202</v>
      </c>
      <c r="AB5" s="5">
        <v>26123102.900389299</v>
      </c>
      <c r="AC5" s="5">
        <v>25136796.633699998</v>
      </c>
    </row>
    <row r="6" spans="1:29" x14ac:dyDescent="0.45">
      <c r="A6" s="5" t="s">
        <v>38</v>
      </c>
      <c r="B6" s="5">
        <v>22240103.3582213</v>
      </c>
      <c r="C6" s="5">
        <v>14371637.394386901</v>
      </c>
      <c r="D6" s="5">
        <v>15953473.1058685</v>
      </c>
      <c r="E6" s="5">
        <v>20320043.1403604</v>
      </c>
      <c r="F6" s="5">
        <v>24199735.698990598</v>
      </c>
      <c r="G6" s="5">
        <v>11321001.406595999</v>
      </c>
      <c r="H6" s="5">
        <v>7758337.3365562102</v>
      </c>
      <c r="I6" s="5">
        <v>31392575.399015199</v>
      </c>
      <c r="J6" s="5">
        <v>9653852.4871366192</v>
      </c>
      <c r="K6" s="5">
        <v>27183715.230270799</v>
      </c>
      <c r="L6" s="5">
        <v>13631147.0040549</v>
      </c>
      <c r="M6" s="5">
        <v>12604638.360569101</v>
      </c>
      <c r="N6" s="5">
        <v>14363561.674943101</v>
      </c>
      <c r="O6" s="5">
        <v>11536349.164746599</v>
      </c>
      <c r="P6" s="5">
        <v>6079821.7003457202</v>
      </c>
      <c r="Q6" s="5">
        <v>16636573.6355871</v>
      </c>
      <c r="R6" s="5">
        <v>23166416.302883901</v>
      </c>
      <c r="S6" s="5">
        <v>20447297.479107</v>
      </c>
      <c r="T6" s="5">
        <v>14941099.2565645</v>
      </c>
      <c r="U6" s="5">
        <v>16941023.316720501</v>
      </c>
      <c r="V6" s="5">
        <v>13002592.174551001</v>
      </c>
      <c r="W6" s="5">
        <v>9243198.6792709902</v>
      </c>
      <c r="X6" s="5">
        <v>13830371.123634599</v>
      </c>
      <c r="Y6" s="5">
        <v>14558918.0531861</v>
      </c>
      <c r="Z6" s="5">
        <v>19087245.9900042</v>
      </c>
      <c r="AA6" s="5">
        <v>13671954.7468831</v>
      </c>
      <c r="AB6" s="5">
        <v>13689512.036785699</v>
      </c>
      <c r="AC6" s="5">
        <v>17278451.973534301</v>
      </c>
    </row>
    <row r="7" spans="1:29" x14ac:dyDescent="0.45">
      <c r="A7" s="5" t="s">
        <v>39</v>
      </c>
      <c r="B7" s="5">
        <v>28752544.6167849</v>
      </c>
      <c r="C7" s="5">
        <v>42668850.7057252</v>
      </c>
      <c r="D7" s="5">
        <v>30327462.762488201</v>
      </c>
      <c r="E7" s="5">
        <v>54879684.399627797</v>
      </c>
      <c r="F7" s="5">
        <v>43662951.771904103</v>
      </c>
      <c r="G7" s="5">
        <v>48626837.464085802</v>
      </c>
      <c r="H7" s="5">
        <v>36889659.825171597</v>
      </c>
      <c r="I7" s="5">
        <v>177430878.02428901</v>
      </c>
      <c r="J7" s="5">
        <v>35360216.425193101</v>
      </c>
      <c r="K7" s="5">
        <v>87452911.7591483</v>
      </c>
      <c r="L7" s="5">
        <v>59262588.216159701</v>
      </c>
      <c r="M7" s="5">
        <v>90477759.207083493</v>
      </c>
      <c r="N7" s="5">
        <v>124871812.638586</v>
      </c>
      <c r="O7" s="5">
        <v>61389700.171481699</v>
      </c>
      <c r="P7" s="5">
        <v>28812024.170425601</v>
      </c>
      <c r="Q7" s="5">
        <v>93541205.359110296</v>
      </c>
      <c r="R7" s="5">
        <v>46924881.966085799</v>
      </c>
      <c r="S7" s="5">
        <v>38538002.084274001</v>
      </c>
      <c r="T7" s="5">
        <v>31438254.070438001</v>
      </c>
      <c r="U7" s="5">
        <v>36345247.579809599</v>
      </c>
      <c r="V7" s="5">
        <v>54345938.591724202</v>
      </c>
      <c r="W7" s="5">
        <v>44999960.211597003</v>
      </c>
      <c r="X7" s="5">
        <v>232894167.769925</v>
      </c>
      <c r="Y7" s="5">
        <v>33628617.336753502</v>
      </c>
      <c r="Z7" s="5">
        <v>46060697.301805802</v>
      </c>
      <c r="AA7" s="5">
        <v>50905190.199217603</v>
      </c>
      <c r="AB7" s="5">
        <v>47735094.385320403</v>
      </c>
      <c r="AC7" s="5">
        <v>51889448.659668803</v>
      </c>
    </row>
    <row r="8" spans="1:29" x14ac:dyDescent="0.45">
      <c r="A8" s="5" t="s">
        <v>40</v>
      </c>
      <c r="B8" s="5">
        <v>25500472.8560348</v>
      </c>
      <c r="C8" s="5">
        <v>23377058.420962099</v>
      </c>
      <c r="D8" s="5">
        <v>20489042.212133799</v>
      </c>
      <c r="E8" s="5">
        <v>22601546.379236002</v>
      </c>
      <c r="F8" s="5">
        <v>20896065.705451101</v>
      </c>
      <c r="G8" s="5">
        <v>19824278.305764101</v>
      </c>
      <c r="H8" s="5">
        <v>18290221.696195301</v>
      </c>
      <c r="I8" s="5">
        <v>17163281.170955699</v>
      </c>
      <c r="J8" s="5">
        <v>17077734.1873773</v>
      </c>
      <c r="K8" s="5">
        <v>15427200.0785638</v>
      </c>
      <c r="L8" s="5">
        <v>18301908.3794576</v>
      </c>
      <c r="M8" s="5">
        <v>20798629.6051041</v>
      </c>
      <c r="N8" s="5">
        <v>18692012.656461202</v>
      </c>
      <c r="O8" s="5">
        <v>18462928.632025</v>
      </c>
      <c r="P8" s="5">
        <v>18519332.0938094</v>
      </c>
      <c r="Q8" s="5">
        <v>22815099.301512498</v>
      </c>
      <c r="R8" s="5">
        <v>16517832.1777425</v>
      </c>
      <c r="S8" s="5">
        <v>22606117.219689701</v>
      </c>
      <c r="T8" s="5">
        <v>23956026.996922199</v>
      </c>
      <c r="U8" s="5">
        <v>20758501.816831399</v>
      </c>
      <c r="V8" s="5">
        <v>22527398.253299799</v>
      </c>
      <c r="W8" s="5">
        <v>17638197.737114001</v>
      </c>
      <c r="X8" s="5">
        <v>4643799.0659681195</v>
      </c>
      <c r="Y8" s="5">
        <v>21576845.272015098</v>
      </c>
      <c r="Z8" s="5">
        <v>19717395.901257399</v>
      </c>
      <c r="AA8" s="5">
        <v>18831267.5201496</v>
      </c>
      <c r="AB8" s="5">
        <v>19277951.218294099</v>
      </c>
      <c r="AC8" s="5">
        <v>18181302.720258798</v>
      </c>
    </row>
    <row r="9" spans="1:29" x14ac:dyDescent="0.45">
      <c r="A9" s="5" t="s">
        <v>269</v>
      </c>
      <c r="B9" s="5">
        <v>7534566.20852248</v>
      </c>
      <c r="C9" s="5">
        <v>5552564.0728104301</v>
      </c>
      <c r="D9" s="5">
        <v>5566158.6577258697</v>
      </c>
      <c r="E9" s="5">
        <v>6431007.7443915997</v>
      </c>
      <c r="F9" s="5">
        <v>7243411.4540186003</v>
      </c>
      <c r="G9" s="5">
        <v>4570961.6792879198</v>
      </c>
      <c r="H9" s="5">
        <v>7085808.3501704698</v>
      </c>
      <c r="I9" s="5">
        <v>2700533.3758851602</v>
      </c>
      <c r="J9" s="5">
        <v>5618225.1194996098</v>
      </c>
      <c r="K9" s="5">
        <v>6323254.1780016897</v>
      </c>
      <c r="L9" s="5">
        <v>6380026.2575646397</v>
      </c>
      <c r="M9" s="5">
        <v>5336871.39109274</v>
      </c>
      <c r="N9" s="5">
        <v>4864010.7113510296</v>
      </c>
      <c r="O9" s="5">
        <v>5106671.1226845598</v>
      </c>
      <c r="P9" s="5">
        <v>7035133.3707763497</v>
      </c>
      <c r="Q9" s="5">
        <v>5387679.2672331799</v>
      </c>
      <c r="R9" s="5">
        <v>8006608.3860511901</v>
      </c>
      <c r="S9" s="5">
        <v>7174613.2887183698</v>
      </c>
      <c r="T9" s="5">
        <v>5997925.9755105497</v>
      </c>
      <c r="U9" s="5">
        <v>8352704.6687939903</v>
      </c>
      <c r="V9" s="5">
        <v>6504012.0208540903</v>
      </c>
      <c r="W9" s="5">
        <v>7373183.7989508603</v>
      </c>
      <c r="X9" s="5">
        <v>4309480.10757853</v>
      </c>
      <c r="Y9" s="5">
        <v>6481394.8099402301</v>
      </c>
      <c r="Z9" s="5">
        <v>5192040.7460679403</v>
      </c>
      <c r="AA9" s="5">
        <v>5982902.2222134601</v>
      </c>
      <c r="AB9" s="5">
        <v>5619037.3742404701</v>
      </c>
      <c r="AC9" s="5">
        <v>5151675.3977543497</v>
      </c>
    </row>
    <row r="10" spans="1:29" x14ac:dyDescent="0.45">
      <c r="A10" s="5" t="s">
        <v>41</v>
      </c>
      <c r="B10" s="5">
        <v>5839094.39439933</v>
      </c>
      <c r="C10" s="5">
        <v>3782274.85378952</v>
      </c>
      <c r="D10" s="5">
        <v>5654474.4725239296</v>
      </c>
      <c r="E10" s="5">
        <v>2571610.0179839199</v>
      </c>
      <c r="F10" s="5">
        <v>2702544.5408725501</v>
      </c>
      <c r="G10" s="5">
        <v>2144296.9046577401</v>
      </c>
      <c r="H10" s="5">
        <v>1861525.9818441099</v>
      </c>
      <c r="I10" s="5">
        <v>14056987.1156084</v>
      </c>
      <c r="J10" s="5">
        <v>3509217.5057687899</v>
      </c>
      <c r="K10" s="5">
        <v>3082989.7501709</v>
      </c>
      <c r="L10" s="5">
        <v>2427314.6307226401</v>
      </c>
      <c r="M10" s="5">
        <v>2808592.2159218001</v>
      </c>
      <c r="N10" s="5">
        <v>1342514.8640044699</v>
      </c>
      <c r="O10" s="5">
        <v>3530414.21224254</v>
      </c>
      <c r="P10" s="5">
        <v>1127669.5670882899</v>
      </c>
      <c r="Q10" s="5">
        <v>1803399.8955306001</v>
      </c>
      <c r="R10" s="5">
        <v>2173467.7739559398</v>
      </c>
      <c r="S10" s="5">
        <v>3721675.5570795098</v>
      </c>
      <c r="T10" s="5">
        <v>6997101.4288566597</v>
      </c>
      <c r="U10" s="5">
        <v>2348649.2020351598</v>
      </c>
      <c r="V10" s="5">
        <v>1783205.82598476</v>
      </c>
      <c r="W10" s="5">
        <v>1878283.4997351901</v>
      </c>
      <c r="X10" s="5">
        <v>4792460.1575963097</v>
      </c>
      <c r="Y10" s="5">
        <v>1835777.46945972</v>
      </c>
      <c r="Z10" s="5">
        <v>2066385.73716121</v>
      </c>
      <c r="AA10" s="5">
        <v>1784097.1671895699</v>
      </c>
      <c r="AB10" s="5">
        <v>1840936.4059334199</v>
      </c>
      <c r="AC10" s="5">
        <v>1832291.5028325999</v>
      </c>
    </row>
    <row r="11" spans="1:29" x14ac:dyDescent="0.45">
      <c r="A11" s="5" t="s">
        <v>42</v>
      </c>
      <c r="B11" s="5">
        <v>18561002.464969002</v>
      </c>
      <c r="C11" s="5">
        <v>22425457.8615386</v>
      </c>
      <c r="D11" s="5">
        <v>28332985.019832201</v>
      </c>
      <c r="E11" s="5">
        <v>27818141.114626899</v>
      </c>
      <c r="F11" s="5">
        <v>24629051.629060701</v>
      </c>
      <c r="G11" s="5">
        <v>23665822.028781701</v>
      </c>
      <c r="H11" s="5">
        <v>28194519.2044704</v>
      </c>
      <c r="I11" s="5">
        <v>32836507.673675202</v>
      </c>
      <c r="J11" s="5">
        <v>27269596.733964801</v>
      </c>
      <c r="K11" s="5">
        <v>24094139.722488899</v>
      </c>
      <c r="L11" s="5">
        <v>25048224.6131626</v>
      </c>
      <c r="M11" s="5">
        <v>25045184.622878999</v>
      </c>
      <c r="N11" s="5">
        <v>27922303.627216499</v>
      </c>
      <c r="O11" s="5">
        <v>22016114.2959482</v>
      </c>
      <c r="P11" s="5">
        <v>22005057.564440001</v>
      </c>
      <c r="Q11" s="5">
        <v>34011462.100426503</v>
      </c>
      <c r="R11" s="5">
        <v>28245761.4887143</v>
      </c>
      <c r="S11" s="5">
        <v>18327127.972439799</v>
      </c>
      <c r="T11" s="5">
        <v>30025160.3845031</v>
      </c>
      <c r="U11" s="5">
        <v>29617138.310609799</v>
      </c>
      <c r="V11" s="5">
        <v>23622345.628669798</v>
      </c>
      <c r="W11" s="5">
        <v>33259213.689081099</v>
      </c>
      <c r="X11" s="5">
        <v>34494254.410614997</v>
      </c>
      <c r="Y11" s="5">
        <v>8871520.8924744502</v>
      </c>
      <c r="Z11" s="5">
        <v>24264960.3988363</v>
      </c>
      <c r="AA11" s="5">
        <v>25344482.165024702</v>
      </c>
      <c r="AB11" s="5">
        <v>25417851.9874309</v>
      </c>
      <c r="AC11" s="5">
        <v>23894147.201788802</v>
      </c>
    </row>
    <row r="12" spans="1:29" x14ac:dyDescent="0.45">
      <c r="A12" s="5" t="s">
        <v>43</v>
      </c>
      <c r="B12" s="5">
        <v>6910915.3755718097</v>
      </c>
      <c r="C12" s="5">
        <v>5555549.8383753197</v>
      </c>
      <c r="D12" s="5">
        <v>1540219.3968767701</v>
      </c>
      <c r="E12" s="5">
        <v>3028943.0990335401</v>
      </c>
      <c r="F12" s="5">
        <v>7179273.1244138302</v>
      </c>
      <c r="G12" s="5">
        <v>4638511.3562983498</v>
      </c>
      <c r="H12" s="5">
        <v>2277714.1348850601</v>
      </c>
      <c r="I12" s="5">
        <v>3643692.24311904</v>
      </c>
      <c r="J12" s="5">
        <v>8576256.1096518803</v>
      </c>
      <c r="K12" s="5">
        <v>4617909.0138325104</v>
      </c>
      <c r="L12" s="5">
        <v>4824092.8292988399</v>
      </c>
      <c r="M12" s="5">
        <v>3860440.2776873498</v>
      </c>
      <c r="N12" s="5">
        <v>3581920.6077038902</v>
      </c>
      <c r="O12" s="5">
        <v>3556262.7661210201</v>
      </c>
      <c r="P12" s="5">
        <v>3484130.5257746698</v>
      </c>
      <c r="Q12" s="5">
        <v>3328851.22852366</v>
      </c>
      <c r="R12" s="5">
        <v>4847758.4885832304</v>
      </c>
      <c r="S12" s="5">
        <v>4284787.1514746398</v>
      </c>
      <c r="T12" s="5">
        <v>8579426.7455923092</v>
      </c>
      <c r="U12" s="5">
        <v>6037325.4583235504</v>
      </c>
      <c r="V12" s="5">
        <v>4922948.8225779096</v>
      </c>
      <c r="W12" s="5">
        <v>4320559.3188170101</v>
      </c>
      <c r="X12" s="5">
        <v>3606678.9424799299</v>
      </c>
      <c r="Y12" s="5">
        <v>3990034.7399334898</v>
      </c>
      <c r="Z12" s="5">
        <v>4474907.8111750502</v>
      </c>
      <c r="AA12" s="5">
        <v>3877091.5441339002</v>
      </c>
      <c r="AB12" s="5">
        <v>4218775.7242558002</v>
      </c>
      <c r="AC12" s="5">
        <v>5139255.9551284397</v>
      </c>
    </row>
    <row r="13" spans="1:29" x14ac:dyDescent="0.45">
      <c r="A13" s="5" t="s">
        <v>44</v>
      </c>
      <c r="B13" s="5">
        <v>3018659.9679766502</v>
      </c>
      <c r="C13" s="5">
        <v>3222363.6773597202</v>
      </c>
      <c r="D13" s="5">
        <v>4031156.2393889199</v>
      </c>
      <c r="E13" s="5">
        <v>5689407.3866782598</v>
      </c>
      <c r="F13" s="5">
        <v>5055115.2561785802</v>
      </c>
      <c r="G13" s="5">
        <v>3831179.2250718698</v>
      </c>
      <c r="H13" s="5">
        <v>4971740.9527367996</v>
      </c>
      <c r="I13" s="5">
        <v>9198024.0414210204</v>
      </c>
      <c r="J13" s="5">
        <v>6407620.9186429102</v>
      </c>
      <c r="K13" s="5">
        <v>8192686.4418742498</v>
      </c>
      <c r="L13" s="5">
        <v>3940303.0171775599</v>
      </c>
      <c r="M13" s="5">
        <v>3998719.8348298701</v>
      </c>
      <c r="N13" s="5">
        <v>3562569.4951142902</v>
      </c>
      <c r="O13" s="5">
        <v>2161132.5012641102</v>
      </c>
      <c r="P13" s="5">
        <v>2736725.7400736301</v>
      </c>
      <c r="Q13" s="5">
        <v>3280125.0057653799</v>
      </c>
      <c r="R13" s="5">
        <v>8408455.3183139395</v>
      </c>
      <c r="S13" s="5">
        <v>3674626.4055164298</v>
      </c>
      <c r="T13" s="5">
        <v>4311299.4538042899</v>
      </c>
      <c r="U13" s="5">
        <v>4963088.6814942099</v>
      </c>
      <c r="V13" s="5">
        <v>3468416.10096741</v>
      </c>
      <c r="W13" s="5">
        <v>4827803.7626759401</v>
      </c>
      <c r="X13" s="5">
        <v>5731471.99580542</v>
      </c>
      <c r="Y13" s="5">
        <v>3494448.4990224601</v>
      </c>
      <c r="Z13" s="5">
        <v>4487790.1661691396</v>
      </c>
      <c r="AA13" s="5">
        <v>3382555.04615037</v>
      </c>
      <c r="AB13" s="5">
        <v>4400568.1218759902</v>
      </c>
      <c r="AC13" s="5">
        <v>4239933.3117037304</v>
      </c>
    </row>
    <row r="14" spans="1:29" x14ac:dyDescent="0.45">
      <c r="A14" s="5" t="s">
        <v>45</v>
      </c>
      <c r="B14" s="5">
        <v>54077205.129528798</v>
      </c>
      <c r="C14" s="5">
        <v>16304830.5921707</v>
      </c>
      <c r="D14" s="5">
        <v>18611756.1093878</v>
      </c>
      <c r="E14" s="5">
        <v>19749369.8379732</v>
      </c>
      <c r="F14" s="5">
        <v>41538060.579282999</v>
      </c>
      <c r="G14" s="5">
        <v>15497995.1403536</v>
      </c>
      <c r="H14" s="5">
        <v>37876886.773075901</v>
      </c>
      <c r="I14" s="5">
        <v>87824754.337101296</v>
      </c>
      <c r="J14" s="5">
        <v>49870439.2120151</v>
      </c>
      <c r="K14" s="5">
        <v>23419936.572315499</v>
      </c>
      <c r="L14" s="5">
        <v>16084090.281747499</v>
      </c>
      <c r="M14" s="5">
        <v>32387592.218570799</v>
      </c>
      <c r="N14" s="5">
        <v>26835430.745629601</v>
      </c>
      <c r="O14" s="5">
        <v>33187754.697344702</v>
      </c>
      <c r="P14" s="5">
        <v>33172576.155074801</v>
      </c>
      <c r="Q14" s="5">
        <v>19835556.474820599</v>
      </c>
      <c r="R14" s="5">
        <v>31654623.007564999</v>
      </c>
      <c r="S14" s="5">
        <v>26182585.4106596</v>
      </c>
      <c r="T14" s="5">
        <v>12926526.7671398</v>
      </c>
      <c r="U14" s="5">
        <v>53646937.273337796</v>
      </c>
      <c r="V14" s="5">
        <v>19130175.473348901</v>
      </c>
      <c r="W14" s="5">
        <v>35799957.102978602</v>
      </c>
      <c r="X14" s="5">
        <v>24654578.613026299</v>
      </c>
      <c r="Y14" s="5">
        <v>18899604.576501101</v>
      </c>
      <c r="Z14" s="5">
        <v>21136167.4851669</v>
      </c>
      <c r="AA14" s="5">
        <v>20248242.4882266</v>
      </c>
      <c r="AB14" s="5">
        <v>31668557.043233499</v>
      </c>
      <c r="AC14" s="5">
        <v>22219417.2243292</v>
      </c>
    </row>
    <row r="15" spans="1:29" x14ac:dyDescent="0.45">
      <c r="A15" s="5" t="s">
        <v>46</v>
      </c>
      <c r="B15" s="5">
        <v>7638087.3089077203</v>
      </c>
      <c r="C15" s="5">
        <v>6748794.1544965403</v>
      </c>
      <c r="D15" s="5">
        <v>6888520.9803954205</v>
      </c>
      <c r="E15" s="5">
        <v>6374026.2113955198</v>
      </c>
      <c r="F15" s="5">
        <v>7550248.2597098704</v>
      </c>
      <c r="G15" s="5">
        <v>7680231.7777560102</v>
      </c>
      <c r="H15" s="5">
        <v>6446165.7066342803</v>
      </c>
      <c r="I15" s="5">
        <v>9313653.0918124709</v>
      </c>
      <c r="J15" s="5">
        <v>6434209.4795861803</v>
      </c>
      <c r="K15" s="5">
        <v>14282167.236741699</v>
      </c>
      <c r="L15" s="5">
        <v>8301549.1087209499</v>
      </c>
      <c r="M15" s="5">
        <v>7053646.8817431498</v>
      </c>
      <c r="N15" s="5">
        <v>15332969.728388799</v>
      </c>
      <c r="O15" s="5">
        <v>6480938.0214740196</v>
      </c>
      <c r="P15" s="5">
        <v>9125550.4042146392</v>
      </c>
      <c r="Q15" s="5">
        <v>6240546.0065518199</v>
      </c>
      <c r="R15" s="5">
        <v>10406571.5748342</v>
      </c>
      <c r="S15" s="5">
        <v>6486780.2007939396</v>
      </c>
      <c r="T15" s="5">
        <v>3817811.3057257398</v>
      </c>
      <c r="U15" s="5">
        <v>6895629.0134268804</v>
      </c>
      <c r="V15" s="5">
        <v>5161749.85793682</v>
      </c>
      <c r="W15" s="5">
        <v>10457243.9329716</v>
      </c>
      <c r="X15" s="5">
        <v>8030607.7262609098</v>
      </c>
      <c r="Y15" s="5">
        <v>7101041.07869031</v>
      </c>
      <c r="Z15" s="5">
        <v>5360282.7640653597</v>
      </c>
      <c r="AA15" s="5">
        <v>6088869.0365898097</v>
      </c>
      <c r="AB15" s="5">
        <v>5911173.8322941</v>
      </c>
      <c r="AC15" s="5">
        <v>6613603.4871324496</v>
      </c>
    </row>
    <row r="16" spans="1:29" x14ac:dyDescent="0.45">
      <c r="A16" s="5" t="s">
        <v>270</v>
      </c>
      <c r="B16" s="5">
        <v>1753835248.2804899</v>
      </c>
      <c r="C16" s="5">
        <v>1722592847.5970099</v>
      </c>
      <c r="D16" s="5">
        <v>2032495852.67804</v>
      </c>
      <c r="E16" s="5">
        <v>2061248801.68483</v>
      </c>
      <c r="F16" s="5">
        <v>2253146475.0961399</v>
      </c>
      <c r="G16" s="5">
        <v>2093708256.2877901</v>
      </c>
      <c r="H16" s="5">
        <v>434656313.61014903</v>
      </c>
      <c r="I16" s="5">
        <v>749281547.668244</v>
      </c>
      <c r="J16" s="5">
        <v>678549232.40262198</v>
      </c>
      <c r="K16" s="5">
        <v>1108247701.5337</v>
      </c>
      <c r="L16" s="5">
        <v>1839710459.53332</v>
      </c>
      <c r="M16" s="5">
        <v>1464153711.5551701</v>
      </c>
      <c r="N16" s="5">
        <v>1880396598.71457</v>
      </c>
      <c r="O16" s="5">
        <v>1757436473.3833499</v>
      </c>
      <c r="P16" s="5">
        <v>1460769503.4540401</v>
      </c>
      <c r="Q16" s="5">
        <v>1954442279.6248901</v>
      </c>
      <c r="R16" s="5">
        <v>2127243047.49277</v>
      </c>
      <c r="S16" s="5">
        <v>2133892077.47278</v>
      </c>
      <c r="T16" s="5">
        <v>2058344858.9892001</v>
      </c>
      <c r="U16" s="5">
        <v>1920551246.8550501</v>
      </c>
      <c r="V16" s="5">
        <v>1768150939.19925</v>
      </c>
      <c r="W16" s="5">
        <v>1745362013.9869399</v>
      </c>
      <c r="X16" s="5">
        <v>1573029899.8383801</v>
      </c>
      <c r="Y16" s="5">
        <v>1849829299.17904</v>
      </c>
      <c r="Z16" s="5">
        <v>1515648396.2661099</v>
      </c>
      <c r="AA16" s="5">
        <v>1529767887.3823299</v>
      </c>
      <c r="AB16" s="5">
        <v>1604462854.1804299</v>
      </c>
      <c r="AC16" s="5">
        <v>1603769016.41959</v>
      </c>
    </row>
    <row r="17" spans="1:29" x14ac:dyDescent="0.45">
      <c r="A17" s="5" t="s">
        <v>51</v>
      </c>
      <c r="B17" s="5">
        <v>497232822.60781902</v>
      </c>
      <c r="C17" s="5">
        <v>383263896.866211</v>
      </c>
      <c r="D17" s="5">
        <v>444324389.092273</v>
      </c>
      <c r="E17" s="5">
        <v>484118726.18784201</v>
      </c>
      <c r="F17" s="5">
        <v>438994223.84005398</v>
      </c>
      <c r="G17" s="5">
        <v>460194761.29399401</v>
      </c>
      <c r="H17" s="5">
        <v>460900684.23060101</v>
      </c>
      <c r="I17" s="5">
        <v>248045203.54047701</v>
      </c>
      <c r="J17" s="5">
        <v>385971793.53836399</v>
      </c>
      <c r="K17" s="5">
        <v>601015718.59507203</v>
      </c>
      <c r="L17" s="5">
        <v>478064133.92284697</v>
      </c>
      <c r="M17" s="5">
        <v>414020781.030738</v>
      </c>
      <c r="N17" s="5">
        <v>543824731.83668303</v>
      </c>
      <c r="O17" s="5">
        <v>402923152.70511901</v>
      </c>
      <c r="P17" s="5">
        <v>410510567.97929698</v>
      </c>
      <c r="Q17" s="5">
        <v>411671360.58025199</v>
      </c>
      <c r="R17" s="5">
        <v>526605824.69692802</v>
      </c>
      <c r="S17" s="5">
        <v>448033442.87182599</v>
      </c>
      <c r="T17" s="5">
        <v>506089309.59480602</v>
      </c>
      <c r="U17" s="5">
        <v>525318796.29129899</v>
      </c>
      <c r="V17" s="5">
        <v>547319320.12648201</v>
      </c>
      <c r="W17" s="5">
        <v>549409384.68359804</v>
      </c>
      <c r="X17" s="5">
        <v>272006541.92773497</v>
      </c>
      <c r="Y17" s="5">
        <v>479241431.19165599</v>
      </c>
      <c r="Z17" s="5">
        <v>359468672.21380103</v>
      </c>
      <c r="AA17" s="5">
        <v>504110033.211559</v>
      </c>
      <c r="AB17" s="5">
        <v>389798294.71492797</v>
      </c>
      <c r="AC17" s="5">
        <v>498593602.030586</v>
      </c>
    </row>
    <row r="18" spans="1:29" x14ac:dyDescent="0.45">
      <c r="A18" s="5" t="s">
        <v>271</v>
      </c>
      <c r="B18" s="5">
        <v>118813784.256881</v>
      </c>
      <c r="C18" s="5">
        <v>77267063.830506399</v>
      </c>
      <c r="D18" s="5">
        <v>71369730.641427293</v>
      </c>
      <c r="E18" s="5">
        <v>76477052.082824796</v>
      </c>
      <c r="F18" s="5">
        <v>105360012.222873</v>
      </c>
      <c r="G18" s="5">
        <v>78239290.938123897</v>
      </c>
      <c r="H18" s="5">
        <v>102551324.325866</v>
      </c>
      <c r="I18" s="5">
        <v>453888863.05071801</v>
      </c>
      <c r="J18" s="5">
        <v>181719527.42540899</v>
      </c>
      <c r="K18" s="5">
        <v>79613199.181408897</v>
      </c>
      <c r="L18" s="5">
        <v>120119849.57600699</v>
      </c>
      <c r="M18" s="5">
        <v>107962167.78804</v>
      </c>
      <c r="N18" s="5">
        <v>29497844.368012901</v>
      </c>
      <c r="O18" s="5">
        <v>98321456.578861102</v>
      </c>
      <c r="P18" s="5">
        <v>67130557.704639003</v>
      </c>
      <c r="Q18" s="5">
        <v>35237490.098310597</v>
      </c>
      <c r="R18" s="5">
        <v>49192049.685323998</v>
      </c>
      <c r="S18" s="5">
        <v>65545185.495175697</v>
      </c>
      <c r="T18" s="5">
        <v>91953739.720066398</v>
      </c>
      <c r="U18" s="5">
        <v>173211350.16466299</v>
      </c>
      <c r="V18" s="5">
        <v>277543015.68375599</v>
      </c>
      <c r="W18" s="5">
        <v>126820179.981484</v>
      </c>
      <c r="X18" s="5">
        <v>154923691.372448</v>
      </c>
      <c r="Y18" s="5">
        <v>110499733.64951199</v>
      </c>
      <c r="Z18" s="5">
        <v>82199868.689757794</v>
      </c>
      <c r="AA18" s="5">
        <v>80400147.656861097</v>
      </c>
      <c r="AB18" s="5">
        <v>54498667.696295999</v>
      </c>
      <c r="AC18" s="5">
        <v>80932763.833152801</v>
      </c>
    </row>
    <row r="19" spans="1:29" x14ac:dyDescent="0.45">
      <c r="A19" s="5" t="s">
        <v>272</v>
      </c>
      <c r="B19" s="5">
        <v>118756787.970072</v>
      </c>
      <c r="C19" s="5">
        <v>77267063.830506399</v>
      </c>
      <c r="D19" s="5">
        <v>71369730.641427293</v>
      </c>
      <c r="E19" s="5">
        <v>76477052.082824796</v>
      </c>
      <c r="F19" s="5">
        <v>105360012.222873</v>
      </c>
      <c r="G19" s="5">
        <v>78239290.938123897</v>
      </c>
      <c r="H19" s="5">
        <v>103184851.881798</v>
      </c>
      <c r="I19" s="5">
        <v>453888863.05071801</v>
      </c>
      <c r="J19" s="5">
        <v>178945283.83639601</v>
      </c>
      <c r="K19" s="5">
        <v>79660854.310309395</v>
      </c>
      <c r="L19" s="5">
        <v>120119849.57600699</v>
      </c>
      <c r="M19" s="5">
        <v>107962167.78804</v>
      </c>
      <c r="N19" s="5">
        <v>29497844.368012901</v>
      </c>
      <c r="O19" s="5">
        <v>98321456.578861102</v>
      </c>
      <c r="P19" s="5">
        <v>68922102.521097004</v>
      </c>
      <c r="Q19" s="5">
        <v>34398272.697971798</v>
      </c>
      <c r="R19" s="5">
        <v>53501221.922472201</v>
      </c>
      <c r="S19" s="5">
        <v>65545185.495175697</v>
      </c>
      <c r="T19" s="5">
        <v>91923276.239266306</v>
      </c>
      <c r="U19" s="5">
        <v>173211350.16466299</v>
      </c>
      <c r="V19" s="5">
        <v>90476576.601411298</v>
      </c>
      <c r="W19" s="5">
        <v>126438648.291052</v>
      </c>
      <c r="X19" s="5">
        <v>58160265.583743103</v>
      </c>
      <c r="Y19" s="5">
        <v>110964861.47471701</v>
      </c>
      <c r="Z19" s="5">
        <v>82199868.689757794</v>
      </c>
      <c r="AA19" s="5">
        <v>80400147.656861097</v>
      </c>
      <c r="AB19" s="5">
        <v>54498667.696295999</v>
      </c>
      <c r="AC19" s="5">
        <v>80932763.833152801</v>
      </c>
    </row>
    <row r="20" spans="1:29" x14ac:dyDescent="0.45">
      <c r="A20" s="5" t="s">
        <v>52</v>
      </c>
      <c r="B20" s="5">
        <v>29291549.633044802</v>
      </c>
      <c r="C20" s="5">
        <v>34392960.430629</v>
      </c>
      <c r="D20" s="5">
        <v>35395386.541677304</v>
      </c>
      <c r="E20" s="5">
        <v>34284550.869236998</v>
      </c>
      <c r="F20" s="5">
        <v>29969576.843715198</v>
      </c>
      <c r="G20" s="5">
        <v>30269119.428496499</v>
      </c>
      <c r="H20" s="5">
        <v>30798672.675822999</v>
      </c>
      <c r="I20" s="5">
        <v>30280779.8291145</v>
      </c>
      <c r="J20" s="5">
        <v>29705917.9240545</v>
      </c>
      <c r="K20" s="5">
        <v>26251134.0413507</v>
      </c>
      <c r="L20" s="5">
        <v>27773255.0739391</v>
      </c>
      <c r="M20" s="5">
        <v>31114656.538210701</v>
      </c>
      <c r="N20" s="5">
        <v>32410397.727083798</v>
      </c>
      <c r="O20" s="5">
        <v>29042474.099635102</v>
      </c>
      <c r="P20" s="5">
        <v>29380770.881221201</v>
      </c>
      <c r="Q20" s="5">
        <v>34845791.549758904</v>
      </c>
      <c r="R20" s="5">
        <v>33651206.9959016</v>
      </c>
      <c r="S20" s="5">
        <v>36287150.901217699</v>
      </c>
      <c r="T20" s="5">
        <v>35391731.585553199</v>
      </c>
      <c r="U20" s="5">
        <v>34905205.986654997</v>
      </c>
      <c r="V20" s="5">
        <v>34540999.847527802</v>
      </c>
      <c r="W20" s="5">
        <v>31659852.3064963</v>
      </c>
      <c r="X20" s="5">
        <v>28537676.664080199</v>
      </c>
      <c r="Y20" s="5">
        <v>33885912.3728057</v>
      </c>
      <c r="Z20" s="5">
        <v>31141032.5482888</v>
      </c>
      <c r="AA20" s="5">
        <v>29189201.775635902</v>
      </c>
      <c r="AB20" s="5">
        <v>30469798.206174001</v>
      </c>
      <c r="AC20" s="5">
        <v>28852930.4346685</v>
      </c>
    </row>
    <row r="21" spans="1:29" x14ac:dyDescent="0.45">
      <c r="A21" s="5" t="s">
        <v>53</v>
      </c>
      <c r="B21" s="5">
        <v>208971850.55688399</v>
      </c>
      <c r="C21" s="5">
        <v>573305798.71502304</v>
      </c>
      <c r="D21" s="5">
        <v>610103817.07426298</v>
      </c>
      <c r="E21" s="5">
        <v>339207265.78545803</v>
      </c>
      <c r="F21" s="5">
        <v>289822729.068771</v>
      </c>
      <c r="G21" s="5">
        <v>217285338.67532799</v>
      </c>
      <c r="H21" s="5">
        <v>96431852.425490007</v>
      </c>
      <c r="I21" s="5">
        <v>273275718.19775403</v>
      </c>
      <c r="J21" s="5">
        <v>313779705.30437499</v>
      </c>
      <c r="K21" s="5">
        <v>178016676.11508599</v>
      </c>
      <c r="L21" s="5">
        <v>542532655.47147906</v>
      </c>
      <c r="M21" s="5">
        <v>475938905.42061502</v>
      </c>
      <c r="N21" s="5">
        <v>317970296.43999702</v>
      </c>
      <c r="O21" s="5">
        <v>322766971.56266803</v>
      </c>
      <c r="P21" s="5">
        <v>196918959.79522899</v>
      </c>
      <c r="Q21" s="5">
        <v>365815534.831173</v>
      </c>
      <c r="R21" s="5">
        <v>217338641.84302899</v>
      </c>
      <c r="S21" s="5">
        <v>316863314.213377</v>
      </c>
      <c r="T21" s="5">
        <v>414167091.36173201</v>
      </c>
      <c r="U21" s="5">
        <v>229506309.08291599</v>
      </c>
      <c r="V21" s="5">
        <v>349120457.64239299</v>
      </c>
      <c r="W21" s="5">
        <v>265266619.26144299</v>
      </c>
      <c r="X21" s="5">
        <v>212092801.635187</v>
      </c>
      <c r="Y21" s="5">
        <v>202525205.47077301</v>
      </c>
      <c r="Z21" s="5">
        <v>344547106.74338102</v>
      </c>
      <c r="AA21" s="5">
        <v>229405900.22982201</v>
      </c>
      <c r="AB21" s="5">
        <v>351232454.51474398</v>
      </c>
      <c r="AC21" s="5">
        <v>343844036.14851898</v>
      </c>
    </row>
    <row r="22" spans="1:29" x14ac:dyDescent="0.45">
      <c r="A22" s="5" t="s">
        <v>54</v>
      </c>
      <c r="B22" s="5">
        <v>12812469.9537708</v>
      </c>
      <c r="C22" s="5">
        <v>34479328.647046797</v>
      </c>
      <c r="D22" s="5">
        <v>41380934.050835997</v>
      </c>
      <c r="E22" s="5">
        <v>40074931.815759897</v>
      </c>
      <c r="F22" s="5">
        <v>36337837.659179203</v>
      </c>
      <c r="G22" s="5">
        <v>34398254.305095904</v>
      </c>
      <c r="H22" s="5">
        <v>21078232.0804324</v>
      </c>
      <c r="I22" s="5">
        <v>23086606.199097399</v>
      </c>
      <c r="J22" s="5">
        <v>37229221.309582897</v>
      </c>
      <c r="K22" s="5">
        <v>33243138.6059204</v>
      </c>
      <c r="L22" s="5">
        <v>33885790.508761302</v>
      </c>
      <c r="M22" s="5">
        <v>35077433.565844603</v>
      </c>
      <c r="N22" s="5">
        <v>38067027.213145003</v>
      </c>
      <c r="O22" s="5">
        <v>31739051.281439401</v>
      </c>
      <c r="P22" s="5">
        <v>32686226.855557598</v>
      </c>
      <c r="Q22" s="5">
        <v>40231537.304709204</v>
      </c>
      <c r="R22" s="5">
        <v>28362757.464696299</v>
      </c>
      <c r="S22" s="5">
        <v>35924038.992638998</v>
      </c>
      <c r="T22" s="5">
        <v>42388650.879502401</v>
      </c>
      <c r="U22" s="5">
        <v>34047857.701719001</v>
      </c>
      <c r="V22" s="5">
        <v>37377730.546470597</v>
      </c>
      <c r="W22" s="5">
        <v>40587613.216056399</v>
      </c>
      <c r="X22" s="5">
        <v>34981636.262085102</v>
      </c>
      <c r="Y22" s="5">
        <v>42240179.767261498</v>
      </c>
      <c r="Z22" s="5">
        <v>35201137.5020824</v>
      </c>
      <c r="AA22" s="5">
        <v>35485673.623926103</v>
      </c>
      <c r="AB22" s="5">
        <v>35995444.174333103</v>
      </c>
      <c r="AC22" s="5">
        <v>27788141.0205549</v>
      </c>
    </row>
    <row r="23" spans="1:29" x14ac:dyDescent="0.45">
      <c r="A23" s="5" t="s">
        <v>55</v>
      </c>
      <c r="B23" s="5">
        <v>268278793.735048</v>
      </c>
      <c r="C23" s="5">
        <v>403259656.77763402</v>
      </c>
      <c r="D23" s="5">
        <v>467698229.73109698</v>
      </c>
      <c r="E23" s="5">
        <v>263048028.257368</v>
      </c>
      <c r="F23" s="5">
        <v>232375197.64079201</v>
      </c>
      <c r="G23" s="5">
        <v>224622806.79288599</v>
      </c>
      <c r="H23" s="5">
        <v>157578077.93091401</v>
      </c>
      <c r="I23" s="5">
        <v>265748279.73157001</v>
      </c>
      <c r="J23" s="5">
        <v>240709591.39519799</v>
      </c>
      <c r="K23" s="5">
        <v>302743584.01353103</v>
      </c>
      <c r="L23" s="5">
        <v>499673723.74562401</v>
      </c>
      <c r="M23" s="5">
        <v>331695447.309672</v>
      </c>
      <c r="N23" s="5">
        <v>174500223.37841299</v>
      </c>
      <c r="O23" s="5">
        <v>205079381.88245699</v>
      </c>
      <c r="P23" s="5">
        <v>112401016.837209</v>
      </c>
      <c r="Q23" s="5">
        <v>210130771.68900201</v>
      </c>
      <c r="R23" s="5">
        <v>94346503.361306801</v>
      </c>
      <c r="S23" s="5">
        <v>179971718.876708</v>
      </c>
      <c r="T23" s="5">
        <v>490329198.87700498</v>
      </c>
      <c r="U23" s="5">
        <v>187737431.669218</v>
      </c>
      <c r="V23" s="5">
        <v>91502146.731268793</v>
      </c>
      <c r="W23" s="5">
        <v>196011083.22728801</v>
      </c>
      <c r="X23" s="5">
        <v>536603168.85842502</v>
      </c>
      <c r="Y23" s="5">
        <v>200084537.71373901</v>
      </c>
      <c r="Z23" s="5">
        <v>250474940.61670399</v>
      </c>
      <c r="AA23" s="5">
        <v>239976783.13765299</v>
      </c>
      <c r="AB23" s="5">
        <v>250782841.87310901</v>
      </c>
      <c r="AC23" s="5">
        <v>248516025.438402</v>
      </c>
    </row>
    <row r="24" spans="1:29" x14ac:dyDescent="0.45">
      <c r="A24" s="5" t="s">
        <v>56</v>
      </c>
      <c r="B24" s="5">
        <v>1766169.52528022</v>
      </c>
      <c r="C24" s="5">
        <v>970760.03673426202</v>
      </c>
      <c r="D24" s="5">
        <v>1133111.76527965</v>
      </c>
      <c r="E24" s="5">
        <v>1748898.86823509</v>
      </c>
      <c r="F24" s="5">
        <v>1213953.6704540499</v>
      </c>
      <c r="G24" s="5">
        <v>1351879.9368112199</v>
      </c>
      <c r="H24" s="5">
        <v>3652867.9105481501</v>
      </c>
      <c r="I24" s="5">
        <v>2143536.61406133</v>
      </c>
      <c r="J24" s="5">
        <v>2226227.0817447798</v>
      </c>
      <c r="K24" s="5">
        <v>869942.21916558396</v>
      </c>
      <c r="L24" s="5">
        <v>925489.67449375603</v>
      </c>
      <c r="M24" s="5">
        <v>1495365.41757713</v>
      </c>
      <c r="N24" s="5">
        <v>1161738.5218515799</v>
      </c>
      <c r="O24" s="5">
        <v>1553533.64851517</v>
      </c>
      <c r="P24" s="5">
        <v>2426943.0583382999</v>
      </c>
      <c r="Q24" s="5">
        <v>900443.33417343302</v>
      </c>
      <c r="R24" s="5">
        <v>2629255.9311618502</v>
      </c>
      <c r="S24" s="5">
        <v>3239850.12663987</v>
      </c>
      <c r="T24" s="5">
        <v>3401834.83989977</v>
      </c>
      <c r="U24" s="5">
        <v>3258142.0862015099</v>
      </c>
      <c r="V24" s="5">
        <v>2270873.6525688199</v>
      </c>
      <c r="W24" s="5">
        <v>1197187.18663569</v>
      </c>
      <c r="X24" s="5">
        <v>1889925.8818764701</v>
      </c>
      <c r="Y24" s="5">
        <v>948983.12197307602</v>
      </c>
      <c r="Z24" s="5">
        <v>1517191.8543058699</v>
      </c>
      <c r="AA24" s="5">
        <v>1391089.1336636499</v>
      </c>
      <c r="AB24" s="5">
        <v>1650900.0094558999</v>
      </c>
      <c r="AC24" s="5">
        <v>1203676.6691657901</v>
      </c>
    </row>
    <row r="25" spans="1:29" x14ac:dyDescent="0.45">
      <c r="A25" s="5" t="s">
        <v>57</v>
      </c>
      <c r="B25" s="5">
        <v>21415066.1165612</v>
      </c>
      <c r="C25" s="5">
        <v>25422037.439426798</v>
      </c>
      <c r="D25" s="5">
        <v>41397413.042630203</v>
      </c>
      <c r="E25" s="5">
        <v>28449974.6682254</v>
      </c>
      <c r="F25" s="5">
        <v>36309813.4994203</v>
      </c>
      <c r="G25" s="5">
        <v>24599422.166453999</v>
      </c>
      <c r="H25" s="5">
        <v>12009511.105141001</v>
      </c>
      <c r="I25" s="5">
        <v>31814365.672103502</v>
      </c>
      <c r="J25" s="5">
        <v>25904609.718773998</v>
      </c>
      <c r="K25" s="5">
        <v>33243138.6059204</v>
      </c>
      <c r="L25" s="5">
        <v>33855236.781245403</v>
      </c>
      <c r="M25" s="5">
        <v>35069406.208141498</v>
      </c>
      <c r="N25" s="5">
        <v>27131311.560159899</v>
      </c>
      <c r="O25" s="5">
        <v>31731957.242646299</v>
      </c>
      <c r="P25" s="5">
        <v>32708418.306858301</v>
      </c>
      <c r="Q25" s="5">
        <v>40209400.642902099</v>
      </c>
      <c r="R25" s="5">
        <v>9552620.5291379597</v>
      </c>
      <c r="S25" s="5">
        <v>41126514.038419597</v>
      </c>
      <c r="T25" s="5">
        <v>42352498.704265699</v>
      </c>
      <c r="U25" s="5">
        <v>23778346.782086801</v>
      </c>
      <c r="V25" s="5">
        <v>31360327.8865715</v>
      </c>
      <c r="W25" s="5">
        <v>40560221.217548303</v>
      </c>
      <c r="X25" s="5">
        <v>39528578.212188803</v>
      </c>
      <c r="Y25" s="5">
        <v>23837346.305388801</v>
      </c>
      <c r="Z25" s="5">
        <v>35260270.650512099</v>
      </c>
      <c r="AA25" s="5">
        <v>35495388.644534901</v>
      </c>
      <c r="AB25" s="5">
        <v>36033981.894405603</v>
      </c>
      <c r="AC25" s="5">
        <v>33911024.740913101</v>
      </c>
    </row>
    <row r="26" spans="1:29" x14ac:dyDescent="0.45">
      <c r="A26" s="5" t="s">
        <v>58</v>
      </c>
      <c r="B26" s="5">
        <v>19665050.2434453</v>
      </c>
      <c r="C26" s="5">
        <v>24079433.370450001</v>
      </c>
      <c r="D26" s="5">
        <v>28417066.1508081</v>
      </c>
      <c r="E26" s="5">
        <v>25763465.5125755</v>
      </c>
      <c r="F26" s="5">
        <v>18259543.788780801</v>
      </c>
      <c r="G26" s="5">
        <v>22073996.025225699</v>
      </c>
      <c r="H26" s="5">
        <v>13225195.5703308</v>
      </c>
      <c r="I26" s="5">
        <v>31105602.158422999</v>
      </c>
      <c r="J26" s="5">
        <v>24469965.479049001</v>
      </c>
      <c r="K26" s="5">
        <v>19131981.0589616</v>
      </c>
      <c r="L26" s="5">
        <v>22259267.5391526</v>
      </c>
      <c r="M26" s="5">
        <v>23802064.3339753</v>
      </c>
      <c r="N26" s="5">
        <v>27322142.980057999</v>
      </c>
      <c r="O26" s="5">
        <v>21789878.1427604</v>
      </c>
      <c r="P26" s="5">
        <v>9900973.7710953001</v>
      </c>
      <c r="Q26" s="5">
        <v>28931843.520084701</v>
      </c>
      <c r="R26" s="5">
        <v>25933622.2051115</v>
      </c>
      <c r="S26" s="5">
        <v>29294689.412613399</v>
      </c>
      <c r="T26" s="5">
        <v>27618806.1449879</v>
      </c>
      <c r="U26" s="5">
        <v>24536501.435433399</v>
      </c>
      <c r="V26" s="5">
        <v>25321921.403693002</v>
      </c>
      <c r="W26" s="5">
        <v>28736797.577801101</v>
      </c>
      <c r="X26" s="5">
        <v>26691780.924102999</v>
      </c>
      <c r="Y26" s="5">
        <v>6542869.5149851702</v>
      </c>
      <c r="Z26" s="5">
        <v>24498371.844006199</v>
      </c>
      <c r="AA26" s="5">
        <v>23179083.6068803</v>
      </c>
      <c r="AB26" s="5">
        <v>23623069.5776489</v>
      </c>
      <c r="AC26" s="5">
        <v>22954749.173410799</v>
      </c>
    </row>
    <row r="27" spans="1:29" x14ac:dyDescent="0.45">
      <c r="A27" s="5" t="s">
        <v>273</v>
      </c>
      <c r="B27" s="5">
        <v>30981514.856093701</v>
      </c>
      <c r="C27" s="5">
        <v>31232049.601390701</v>
      </c>
      <c r="D27" s="5">
        <v>36693758.456748098</v>
      </c>
      <c r="E27" s="5">
        <v>23833682.977819201</v>
      </c>
      <c r="F27" s="5">
        <v>42822069.492822297</v>
      </c>
      <c r="G27" s="5">
        <v>40785224.0102413</v>
      </c>
      <c r="H27" s="5">
        <v>41941463.156524703</v>
      </c>
      <c r="I27" s="5">
        <v>74820632.662764296</v>
      </c>
      <c r="J27" s="5">
        <v>42964443.8482062</v>
      </c>
      <c r="K27" s="5">
        <v>14707666.6635995</v>
      </c>
      <c r="L27" s="5">
        <v>44153935.2752003</v>
      </c>
      <c r="M27" s="5">
        <v>24802550.7040364</v>
      </c>
      <c r="N27" s="5">
        <v>29761579.2042045</v>
      </c>
      <c r="O27" s="5">
        <v>63376278.017904997</v>
      </c>
      <c r="P27" s="5">
        <v>61718929.755139798</v>
      </c>
      <c r="Q27" s="5">
        <v>79162278.484623298</v>
      </c>
      <c r="R27" s="5">
        <v>54037382.698878199</v>
      </c>
      <c r="S27" s="5">
        <v>54626131.9286955</v>
      </c>
      <c r="T27" s="5">
        <v>53130843.561926603</v>
      </c>
      <c r="U27" s="5">
        <v>92102902.653521493</v>
      </c>
      <c r="V27" s="5">
        <v>43132278.808856301</v>
      </c>
      <c r="W27" s="5">
        <v>28751782.184014101</v>
      </c>
      <c r="X27" s="5">
        <v>63604358.091474801</v>
      </c>
      <c r="Y27" s="5">
        <v>48896794.106905498</v>
      </c>
      <c r="Z27" s="5">
        <v>45234091.716246203</v>
      </c>
      <c r="AA27" s="5">
        <v>43932657.097075902</v>
      </c>
      <c r="AB27" s="5">
        <v>46849041.273510501</v>
      </c>
      <c r="AC27" s="5">
        <v>45753080.518157102</v>
      </c>
    </row>
    <row r="28" spans="1:29" x14ac:dyDescent="0.45">
      <c r="A28" s="5" t="s">
        <v>59</v>
      </c>
      <c r="B28" s="5">
        <v>334878.47257704701</v>
      </c>
      <c r="C28" s="5">
        <v>226173.09412937699</v>
      </c>
      <c r="D28" s="5">
        <v>1347779.66622595</v>
      </c>
      <c r="E28" s="5">
        <v>567022.816825188</v>
      </c>
      <c r="F28" s="5">
        <v>309187.89636074699</v>
      </c>
      <c r="G28" s="5">
        <v>538821.53163847001</v>
      </c>
      <c r="H28" s="5">
        <v>208909838.12117299</v>
      </c>
      <c r="I28" s="5">
        <v>7896964.59748937</v>
      </c>
      <c r="J28" s="5">
        <v>3983956.0057601202</v>
      </c>
      <c r="K28" s="5">
        <v>2771080.7467269199</v>
      </c>
      <c r="L28" s="5">
        <v>2403425.41652598</v>
      </c>
      <c r="M28" s="5">
        <v>475945.27180941601</v>
      </c>
      <c r="N28" s="5">
        <v>74106173.388376802</v>
      </c>
      <c r="O28" s="5">
        <v>72451793.197723404</v>
      </c>
      <c r="P28" s="5">
        <v>97626358.260069802</v>
      </c>
      <c r="Q28" s="5">
        <v>269243.07561052102</v>
      </c>
      <c r="R28" s="5">
        <v>2200293.6390099898</v>
      </c>
      <c r="S28" s="5">
        <v>618652.991820405</v>
      </c>
      <c r="T28" s="5">
        <v>1459462.4031452299</v>
      </c>
      <c r="U28" s="5">
        <v>1682017.32764351</v>
      </c>
      <c r="V28" s="5">
        <v>1573129.92527043</v>
      </c>
      <c r="W28" s="5">
        <v>1256562.9546932301</v>
      </c>
      <c r="X28" s="5">
        <v>68767011.225811899</v>
      </c>
      <c r="Y28" s="5">
        <v>903959.36000628804</v>
      </c>
      <c r="Z28" s="5">
        <v>16672588.0398934</v>
      </c>
      <c r="AA28" s="5">
        <v>18444134.1987295</v>
      </c>
      <c r="AB28" s="5">
        <v>17672283.946884599</v>
      </c>
      <c r="AC28" s="5">
        <v>17088185.8914713</v>
      </c>
    </row>
    <row r="29" spans="1:29" x14ac:dyDescent="0.45">
      <c r="A29" s="5" t="s">
        <v>60</v>
      </c>
      <c r="B29" s="5">
        <v>689409.41011527996</v>
      </c>
      <c r="C29" s="5">
        <v>1507565.2278425901</v>
      </c>
      <c r="D29" s="5">
        <v>1814555.5671105599</v>
      </c>
      <c r="E29" s="5">
        <v>813819.32566794194</v>
      </c>
      <c r="F29" s="5">
        <v>1704033.8596365501</v>
      </c>
      <c r="G29" s="5">
        <v>1687757.20375685</v>
      </c>
      <c r="H29" s="5">
        <v>24239625.0118002</v>
      </c>
      <c r="I29" s="5">
        <v>74042146.701349303</v>
      </c>
      <c r="J29" s="5">
        <v>4184036.4039336098</v>
      </c>
      <c r="K29" s="5">
        <v>10809476.1782782</v>
      </c>
      <c r="L29" s="5">
        <v>1906464.78830366</v>
      </c>
      <c r="M29" s="5">
        <v>1544336.7111526299</v>
      </c>
      <c r="N29" s="5">
        <v>23565428.0390638</v>
      </c>
      <c r="O29" s="5">
        <v>34432547.926903598</v>
      </c>
      <c r="P29" s="5">
        <v>2799225.8250794401</v>
      </c>
      <c r="Q29" s="5">
        <v>731265.94616216305</v>
      </c>
      <c r="R29" s="5">
        <v>1868805.71612163</v>
      </c>
      <c r="S29" s="5">
        <v>1443591.66227721</v>
      </c>
      <c r="T29" s="5">
        <v>2319191.8227540902</v>
      </c>
      <c r="U29" s="5">
        <v>4091003.3298075302</v>
      </c>
      <c r="V29" s="5">
        <v>4406167.3263503797</v>
      </c>
      <c r="W29" s="5">
        <v>1306583.4618844299</v>
      </c>
      <c r="X29" s="5">
        <v>60786966.549309798</v>
      </c>
      <c r="Y29" s="5">
        <v>2415030.9015299701</v>
      </c>
      <c r="Z29" s="5">
        <v>9365098.75781269</v>
      </c>
      <c r="AA29" s="5">
        <v>9241816.0077896807</v>
      </c>
      <c r="AB29" s="5">
        <v>9222152.6075788103</v>
      </c>
      <c r="AC29" s="5">
        <v>9730448.8025963698</v>
      </c>
    </row>
    <row r="30" spans="1:29" x14ac:dyDescent="0.45">
      <c r="A30" s="5" t="s">
        <v>61</v>
      </c>
      <c r="B30" s="5">
        <v>66097329.361507997</v>
      </c>
      <c r="C30" s="5">
        <v>53239016.608230598</v>
      </c>
      <c r="D30" s="5">
        <v>59869365.557039298</v>
      </c>
      <c r="E30" s="5">
        <v>53856188.441284902</v>
      </c>
      <c r="F30" s="5">
        <v>53926463.208229601</v>
      </c>
      <c r="G30" s="5">
        <v>42016716.377906501</v>
      </c>
      <c r="H30" s="5">
        <v>40361496.609134398</v>
      </c>
      <c r="I30" s="5">
        <v>8966023.4058541991</v>
      </c>
      <c r="J30" s="5">
        <v>61780028.323651798</v>
      </c>
      <c r="K30" s="5">
        <v>40636131.413272299</v>
      </c>
      <c r="L30" s="5">
        <v>47317961.3814115</v>
      </c>
      <c r="M30" s="5">
        <v>49880393.172455996</v>
      </c>
      <c r="N30" s="5">
        <v>61526115.4831236</v>
      </c>
      <c r="O30" s="5">
        <v>108695389.851382</v>
      </c>
      <c r="P30" s="5">
        <v>82559285.719410405</v>
      </c>
      <c r="Q30" s="5">
        <v>62314574.556265399</v>
      </c>
      <c r="R30" s="5">
        <v>63880484.842022203</v>
      </c>
      <c r="S30" s="5">
        <v>57409851.833157197</v>
      </c>
      <c r="T30" s="5">
        <v>85410759.748505399</v>
      </c>
      <c r="U30" s="5">
        <v>70510520.085617006</v>
      </c>
      <c r="V30" s="5">
        <v>68014405.901957393</v>
      </c>
      <c r="W30" s="5">
        <v>64045883.377205603</v>
      </c>
      <c r="X30" s="5">
        <v>43477958.038361497</v>
      </c>
      <c r="Y30" s="5">
        <v>53607223.912956797</v>
      </c>
      <c r="Z30" s="5">
        <v>47993431.7415023</v>
      </c>
      <c r="AA30" s="5">
        <v>54713555.977045402</v>
      </c>
      <c r="AB30" s="5">
        <v>47091573.399069197</v>
      </c>
      <c r="AC30" s="5">
        <v>51860562.282815799</v>
      </c>
    </row>
    <row r="31" spans="1:29" x14ac:dyDescent="0.45">
      <c r="A31" s="5" t="s">
        <v>62</v>
      </c>
      <c r="B31" s="5">
        <v>32158106.0119</v>
      </c>
      <c r="C31" s="5">
        <v>30360194.671729598</v>
      </c>
      <c r="D31" s="5">
        <v>30244019.076182</v>
      </c>
      <c r="E31" s="5">
        <v>30135318.720586602</v>
      </c>
      <c r="F31" s="5">
        <v>28735880.469726998</v>
      </c>
      <c r="G31" s="5">
        <v>8340109.4586584298</v>
      </c>
      <c r="H31" s="5">
        <v>39162808.974857301</v>
      </c>
      <c r="I31" s="5">
        <v>14099050.311925899</v>
      </c>
      <c r="J31" s="5">
        <v>37257007.759213701</v>
      </c>
      <c r="K31" s="5">
        <v>58424585.520713203</v>
      </c>
      <c r="L31" s="5">
        <v>41556512.864925303</v>
      </c>
      <c r="M31" s="5">
        <v>41793147.3670936</v>
      </c>
      <c r="N31" s="5">
        <v>42837377.448803701</v>
      </c>
      <c r="O31" s="5">
        <v>37151897.975127898</v>
      </c>
      <c r="P31" s="5">
        <v>40421329.153887503</v>
      </c>
      <c r="Q31" s="5">
        <v>51681696.589272797</v>
      </c>
      <c r="R31" s="5">
        <v>8841858.44573416</v>
      </c>
      <c r="S31" s="5">
        <v>32307689.243952699</v>
      </c>
      <c r="T31" s="5">
        <v>35391214.616841897</v>
      </c>
      <c r="U31" s="5">
        <v>21960743.696057301</v>
      </c>
      <c r="V31" s="5">
        <v>30639968.674877301</v>
      </c>
      <c r="W31" s="5">
        <v>44406994.298580401</v>
      </c>
      <c r="X31" s="5">
        <v>54899617.049534701</v>
      </c>
      <c r="Y31" s="5">
        <v>14185009.505501</v>
      </c>
      <c r="Z31" s="5">
        <v>31071584.007472999</v>
      </c>
      <c r="AA31" s="5">
        <v>34162226.667367399</v>
      </c>
      <c r="AB31" s="5">
        <v>36299371.580103897</v>
      </c>
      <c r="AC31" s="5">
        <v>35011671.104252398</v>
      </c>
    </row>
    <row r="32" spans="1:29" x14ac:dyDescent="0.45">
      <c r="A32" s="5" t="s">
        <v>63</v>
      </c>
      <c r="B32" s="5">
        <v>1910170.7316417501</v>
      </c>
      <c r="C32" s="5">
        <v>5248177.8975829296</v>
      </c>
      <c r="D32" s="5">
        <v>4910379.5896121096</v>
      </c>
      <c r="E32" s="5">
        <v>2877579.2338429298</v>
      </c>
      <c r="F32" s="5">
        <v>1679099.88655662</v>
      </c>
      <c r="G32" s="5">
        <v>3092417.99222962</v>
      </c>
      <c r="H32" s="5">
        <v>3524902.1911648</v>
      </c>
      <c r="I32" s="5">
        <v>5710127.5948092099</v>
      </c>
      <c r="J32" s="5">
        <v>2402813.5317178802</v>
      </c>
      <c r="K32" s="5">
        <v>18454155.248176198</v>
      </c>
      <c r="L32" s="5">
        <v>4512859.3629049901</v>
      </c>
      <c r="M32" s="5">
        <v>11172027.580097901</v>
      </c>
      <c r="N32" s="5">
        <v>4131161.9829215999</v>
      </c>
      <c r="O32" s="5">
        <v>4649112.8143656198</v>
      </c>
      <c r="P32" s="5">
        <v>4052766.9117804202</v>
      </c>
      <c r="Q32" s="5">
        <v>7427539.2856813604</v>
      </c>
      <c r="R32" s="5">
        <v>182771.83535859</v>
      </c>
      <c r="S32" s="5">
        <v>8528455.7861970495</v>
      </c>
      <c r="T32" s="5">
        <v>195426.331005121</v>
      </c>
      <c r="U32" s="5">
        <v>300265.10231894098</v>
      </c>
      <c r="V32" s="5">
        <v>291316.42565882002</v>
      </c>
      <c r="W32" s="5">
        <v>3894399.93382979</v>
      </c>
      <c r="X32" s="5">
        <v>8795489.4618717507</v>
      </c>
      <c r="Y32" s="5">
        <v>4690668.4670371898</v>
      </c>
      <c r="Z32" s="5">
        <v>2589966.963221</v>
      </c>
      <c r="AA32" s="5">
        <v>2595652.2677066401</v>
      </c>
      <c r="AB32" s="5">
        <v>2482246.14039414</v>
      </c>
      <c r="AC32" s="5">
        <v>2643502.4337299699</v>
      </c>
    </row>
    <row r="33" spans="1:29" x14ac:dyDescent="0.45">
      <c r="A33" s="5" t="s">
        <v>64</v>
      </c>
      <c r="B33" s="5">
        <v>57520713.596543603</v>
      </c>
      <c r="C33" s="5">
        <v>53215172.729506902</v>
      </c>
      <c r="D33" s="5">
        <v>61428051.8783793</v>
      </c>
      <c r="E33" s="5">
        <v>63321346.502553999</v>
      </c>
      <c r="F33" s="5">
        <v>63410014.461920001</v>
      </c>
      <c r="G33" s="5">
        <v>61487808.210845299</v>
      </c>
      <c r="H33" s="5">
        <v>56546541.451531298</v>
      </c>
      <c r="I33" s="5">
        <v>45089550.284998402</v>
      </c>
      <c r="J33" s="5">
        <v>46794136.406222597</v>
      </c>
      <c r="K33" s="5">
        <v>71781185.408150703</v>
      </c>
      <c r="L33" s="5">
        <v>72473960.766930804</v>
      </c>
      <c r="M33" s="5">
        <v>73346005.431113198</v>
      </c>
      <c r="N33" s="5">
        <v>9222177.3827876095</v>
      </c>
      <c r="O33" s="5">
        <v>43197615.085890099</v>
      </c>
      <c r="P33" s="5">
        <v>10217101.738086101</v>
      </c>
      <c r="Q33" s="5">
        <v>24667526.268322598</v>
      </c>
      <c r="R33" s="5">
        <v>75204270.861449093</v>
      </c>
      <c r="S33" s="5">
        <v>71263743.200120196</v>
      </c>
      <c r="T33" s="5">
        <v>68337485.552708</v>
      </c>
      <c r="U33" s="5">
        <v>66910056.730746798</v>
      </c>
      <c r="V33" s="5">
        <v>61568256.327256501</v>
      </c>
      <c r="W33" s="5">
        <v>21775476.4817346</v>
      </c>
      <c r="X33" s="5">
        <v>29439039.2393439</v>
      </c>
      <c r="Y33" s="5">
        <v>11608581.316893</v>
      </c>
      <c r="Z33" s="5">
        <v>41106178.665393099</v>
      </c>
      <c r="AA33" s="5">
        <v>44113342.470941797</v>
      </c>
      <c r="AB33" s="5">
        <v>46413588.748838797</v>
      </c>
      <c r="AC33" s="5">
        <v>46307441.849573098</v>
      </c>
    </row>
    <row r="34" spans="1:29" x14ac:dyDescent="0.45">
      <c r="A34" s="5" t="s">
        <v>65</v>
      </c>
      <c r="B34" s="5">
        <v>2901210.5989479101</v>
      </c>
      <c r="C34" s="5">
        <v>5736012.8676709402</v>
      </c>
      <c r="D34" s="5">
        <v>3755526.64250017</v>
      </c>
      <c r="E34" s="5">
        <v>2194115.2381321099</v>
      </c>
      <c r="F34" s="5">
        <v>2841938.7601834801</v>
      </c>
      <c r="G34" s="5">
        <v>2107028.6408426198</v>
      </c>
      <c r="H34" s="5">
        <v>2144155.82827221</v>
      </c>
      <c r="I34" s="5">
        <v>3118711.6401550602</v>
      </c>
      <c r="J34" s="5">
        <v>3852462.3814876499</v>
      </c>
      <c r="K34" s="5">
        <v>3647409.0285400301</v>
      </c>
      <c r="L34" s="5">
        <v>2779919.9095352502</v>
      </c>
      <c r="M34" s="5">
        <v>3265788.3643378098</v>
      </c>
      <c r="N34" s="5">
        <v>2149966.1900720699</v>
      </c>
      <c r="O34" s="5">
        <v>2649990.42345428</v>
      </c>
      <c r="P34" s="5">
        <v>1895722.92696591</v>
      </c>
      <c r="Q34" s="5">
        <v>1982805.2083959901</v>
      </c>
      <c r="R34" s="5">
        <v>4969984.8895294098</v>
      </c>
      <c r="S34" s="5">
        <v>2799240.2689378201</v>
      </c>
      <c r="T34" s="5">
        <v>4228721.3549883496</v>
      </c>
      <c r="U34" s="5">
        <v>3176788.00651561</v>
      </c>
      <c r="V34" s="5">
        <v>1996913.1621504501</v>
      </c>
      <c r="W34" s="5">
        <v>2156425.5994571</v>
      </c>
      <c r="X34" s="5">
        <v>4453166.7427845905</v>
      </c>
      <c r="Y34" s="5">
        <v>2329678.9262344702</v>
      </c>
      <c r="Z34" s="5">
        <v>2725888.3192444998</v>
      </c>
      <c r="AA34" s="5">
        <v>3442881.7714888002</v>
      </c>
      <c r="AB34" s="5">
        <v>3039745.6902754102</v>
      </c>
      <c r="AC34" s="5">
        <v>2935158.18182552</v>
      </c>
    </row>
    <row r="35" spans="1:29" x14ac:dyDescent="0.45">
      <c r="A35" s="5" t="s">
        <v>66</v>
      </c>
      <c r="B35" s="5">
        <v>725379.04688313405</v>
      </c>
      <c r="C35" s="5">
        <v>1704804.04325962</v>
      </c>
      <c r="D35" s="5">
        <v>1012549.92416747</v>
      </c>
      <c r="E35" s="5">
        <v>617103.49249810795</v>
      </c>
      <c r="F35" s="5">
        <v>721664.31554219103</v>
      </c>
      <c r="G35" s="5">
        <v>1691696.0272520899</v>
      </c>
      <c r="H35" s="5">
        <v>876503.50167029095</v>
      </c>
      <c r="I35" s="5">
        <v>1626778.6837286099</v>
      </c>
      <c r="J35" s="5">
        <v>447624.26424804103</v>
      </c>
      <c r="K35" s="5">
        <v>822901.95751353295</v>
      </c>
      <c r="L35" s="5">
        <v>1008453.39411251</v>
      </c>
      <c r="M35" s="5">
        <v>924890.91289710498</v>
      </c>
      <c r="N35" s="5">
        <v>3175348.2257622899</v>
      </c>
      <c r="O35" s="5">
        <v>2172865.6658713799</v>
      </c>
      <c r="P35" s="5">
        <v>2724181.0767511199</v>
      </c>
      <c r="Q35" s="5">
        <v>1140061.9695059699</v>
      </c>
      <c r="R35" s="5">
        <v>814481.57092386601</v>
      </c>
      <c r="S35" s="5">
        <v>1230691.1400055699</v>
      </c>
      <c r="T35" s="5">
        <v>1102478.3332169801</v>
      </c>
      <c r="U35" s="5">
        <v>699516.20589439198</v>
      </c>
      <c r="V35" s="5">
        <v>1063688.28020242</v>
      </c>
      <c r="W35" s="5">
        <v>915393.17791260697</v>
      </c>
      <c r="X35" s="5">
        <v>2376005.5817413302</v>
      </c>
      <c r="Y35" s="5">
        <v>1394320.40221656</v>
      </c>
      <c r="Z35" s="5">
        <v>1326323.6403159001</v>
      </c>
      <c r="AA35" s="5">
        <v>1232093.69411235</v>
      </c>
      <c r="AB35" s="5">
        <v>1211263.9167215801</v>
      </c>
      <c r="AC35" s="5">
        <v>1257267.1310671601</v>
      </c>
    </row>
    <row r="36" spans="1:29" x14ac:dyDescent="0.45">
      <c r="A36" s="5" t="s">
        <v>67</v>
      </c>
      <c r="B36" s="5">
        <v>2041529.0574394499</v>
      </c>
      <c r="C36" s="5">
        <v>327943.28555814398</v>
      </c>
      <c r="D36" s="5">
        <v>2888119.0624818201</v>
      </c>
      <c r="E36" s="5">
        <v>1232877.0972112601</v>
      </c>
      <c r="F36" s="5">
        <v>1677533.3073841501</v>
      </c>
      <c r="G36" s="5">
        <v>733724.84643157397</v>
      </c>
      <c r="H36" s="5">
        <v>680830.56238192902</v>
      </c>
      <c r="I36" s="5">
        <v>1118663.11345728</v>
      </c>
      <c r="J36" s="5">
        <v>4598518.4326520804</v>
      </c>
      <c r="K36" s="5">
        <v>1816749.18935725</v>
      </c>
      <c r="L36" s="5">
        <v>1533627.4253294801</v>
      </c>
      <c r="M36" s="5">
        <v>715897.83571103995</v>
      </c>
      <c r="N36" s="5">
        <v>97558.0388298053</v>
      </c>
      <c r="O36" s="5">
        <v>76383.321535168405</v>
      </c>
      <c r="P36" s="5">
        <v>162001.73638864199</v>
      </c>
      <c r="Q36" s="5">
        <v>372346.52396163798</v>
      </c>
      <c r="R36" s="5">
        <v>1054602.9319094301</v>
      </c>
      <c r="S36" s="5">
        <v>1337468.94851713</v>
      </c>
      <c r="T36" s="5">
        <v>1216741.90630285</v>
      </c>
      <c r="U36" s="5">
        <v>487337.52681598498</v>
      </c>
      <c r="V36" s="5">
        <v>255558.29915581399</v>
      </c>
      <c r="W36" s="5">
        <v>483061.23132964497</v>
      </c>
      <c r="X36" s="5">
        <v>401101.43550133199</v>
      </c>
      <c r="Y36" s="5">
        <v>489897.13745565002</v>
      </c>
      <c r="Z36" s="5">
        <v>519137.14554547699</v>
      </c>
      <c r="AA36" s="5">
        <v>516957.46178307798</v>
      </c>
      <c r="AB36" s="5">
        <v>505363.98394372402</v>
      </c>
      <c r="AC36" s="5">
        <v>611611.02238125703</v>
      </c>
    </row>
    <row r="37" spans="1:29" x14ac:dyDescent="0.45">
      <c r="A37" s="5" t="s">
        <v>68</v>
      </c>
      <c r="B37" s="5">
        <v>293342375.71030402</v>
      </c>
      <c r="C37" s="5">
        <v>265061045.101208</v>
      </c>
      <c r="D37" s="5">
        <v>312130416.01379502</v>
      </c>
      <c r="E37" s="5">
        <v>313813937.24974602</v>
      </c>
      <c r="F37" s="5">
        <v>308204072.12074202</v>
      </c>
      <c r="G37" s="5">
        <v>306887497.10029399</v>
      </c>
      <c r="H37" s="5">
        <v>278441210.45422602</v>
      </c>
      <c r="I37" s="5">
        <v>161013864.930305</v>
      </c>
      <c r="J37" s="5">
        <v>216367505.61405799</v>
      </c>
      <c r="K37" s="5">
        <v>337858309.62412</v>
      </c>
      <c r="L37" s="5">
        <v>341834916.12341398</v>
      </c>
      <c r="M37" s="5">
        <v>352897107.71500599</v>
      </c>
      <c r="N37" s="5">
        <v>21419356.7782926</v>
      </c>
      <c r="O37" s="5">
        <v>196951320.52863199</v>
      </c>
      <c r="P37" s="5">
        <v>15670901.954882201</v>
      </c>
      <c r="Q37" s="5">
        <v>106386473.936499</v>
      </c>
      <c r="R37" s="5">
        <v>328159082.59645802</v>
      </c>
      <c r="S37" s="5">
        <v>330018635.18402803</v>
      </c>
      <c r="T37" s="5">
        <v>314953064.35792297</v>
      </c>
      <c r="U37" s="5">
        <v>305429155.90333998</v>
      </c>
      <c r="V37" s="5">
        <v>283328330.09967101</v>
      </c>
      <c r="W37" s="5">
        <v>32943980.668257002</v>
      </c>
      <c r="X37" s="5">
        <v>86134410.529138893</v>
      </c>
      <c r="Y37" s="5">
        <v>34342374.693928003</v>
      </c>
      <c r="Z37" s="5">
        <v>203222331.59764099</v>
      </c>
      <c r="AA37" s="5">
        <v>202734388.62622401</v>
      </c>
      <c r="AB37" s="5">
        <v>205814354.64893299</v>
      </c>
      <c r="AC37" s="5">
        <v>203926679.80224699</v>
      </c>
    </row>
    <row r="38" spans="1:29" x14ac:dyDescent="0.45">
      <c r="A38" s="5" t="s">
        <v>373</v>
      </c>
      <c r="B38" s="5">
        <v>37159042.374290504</v>
      </c>
      <c r="C38" s="5">
        <v>97944862.069568694</v>
      </c>
      <c r="D38" s="5">
        <v>49236799.147445098</v>
      </c>
      <c r="E38" s="5">
        <v>44195847.393281199</v>
      </c>
      <c r="F38" s="5">
        <v>49159720.295849703</v>
      </c>
      <c r="G38" s="5">
        <v>68798710.1970644</v>
      </c>
      <c r="H38" s="5">
        <v>69221717.614495099</v>
      </c>
      <c r="I38" s="5">
        <v>52432562.371240199</v>
      </c>
      <c r="J38" s="5">
        <v>36176057.905993097</v>
      </c>
      <c r="K38" s="5">
        <v>157365778.85244</v>
      </c>
      <c r="L38" s="5">
        <v>76042311.361110806</v>
      </c>
      <c r="M38" s="5">
        <v>90831522.045466796</v>
      </c>
      <c r="N38" s="5">
        <v>138823247.12863201</v>
      </c>
      <c r="O38" s="5">
        <v>81787101.198053598</v>
      </c>
      <c r="P38" s="5">
        <v>104079726.848812</v>
      </c>
      <c r="Q38" s="5">
        <v>93902364.168285906</v>
      </c>
      <c r="R38" s="5">
        <v>37460074.522212699</v>
      </c>
      <c r="S38" s="5">
        <v>94037322.233350903</v>
      </c>
      <c r="T38" s="5">
        <v>49162129.434619501</v>
      </c>
      <c r="U38" s="5">
        <v>50056406.408660598</v>
      </c>
      <c r="V38" s="5">
        <v>51672498.4124415</v>
      </c>
      <c r="W38" s="5">
        <v>36214090.814046502</v>
      </c>
      <c r="X38" s="5">
        <v>80077011.826123998</v>
      </c>
      <c r="Y38" s="5">
        <v>74219436.851828396</v>
      </c>
      <c r="Z38" s="5">
        <v>74840649.300541803</v>
      </c>
      <c r="AA38" s="5">
        <v>74667558.015144303</v>
      </c>
      <c r="AB38" s="5">
        <v>84806211.074567601</v>
      </c>
      <c r="AC38" s="5">
        <v>79438618.379827201</v>
      </c>
    </row>
    <row r="39" spans="1:29" x14ac:dyDescent="0.45">
      <c r="A39" s="5" t="s">
        <v>69</v>
      </c>
      <c r="B39" s="5">
        <v>15281308.3393276</v>
      </c>
      <c r="C39" s="5">
        <v>16924315.053881198</v>
      </c>
      <c r="D39" s="5">
        <v>19666667.147004999</v>
      </c>
      <c r="E39" s="5">
        <v>19907251.062805101</v>
      </c>
      <c r="F39" s="5">
        <v>16942508.5851858</v>
      </c>
      <c r="G39" s="5">
        <v>23191562.540008299</v>
      </c>
      <c r="H39" s="5">
        <v>18018563.335620899</v>
      </c>
      <c r="I39" s="5">
        <v>8848538.9153389707</v>
      </c>
      <c r="J39" s="5">
        <v>14174014.806121901</v>
      </c>
      <c r="K39" s="5">
        <v>26202247.505629301</v>
      </c>
      <c r="L39" s="5">
        <v>22831312.0741923</v>
      </c>
      <c r="M39" s="5">
        <v>26086275.372845698</v>
      </c>
      <c r="N39" s="5">
        <v>20030601.2878103</v>
      </c>
      <c r="O39" s="5">
        <v>12531274.4654484</v>
      </c>
      <c r="P39" s="5">
        <v>20292931.631621599</v>
      </c>
      <c r="Q39" s="5">
        <v>22862402.4187015</v>
      </c>
      <c r="R39" s="5">
        <v>22671726.2669308</v>
      </c>
      <c r="S39" s="5">
        <v>22172908.603843201</v>
      </c>
      <c r="T39" s="5">
        <v>24906790.639212899</v>
      </c>
      <c r="U39" s="5">
        <v>20535482.644607201</v>
      </c>
      <c r="V39" s="5">
        <v>20064071.5656537</v>
      </c>
      <c r="W39" s="5">
        <v>18511712.9532535</v>
      </c>
      <c r="X39" s="5">
        <v>1587028.3730822799</v>
      </c>
      <c r="Y39" s="5">
        <v>169588.49766409601</v>
      </c>
      <c r="Z39" s="5">
        <v>18139269.584239502</v>
      </c>
      <c r="AA39" s="5">
        <v>17375482.179186001</v>
      </c>
      <c r="AB39" s="5">
        <v>17022331.198310301</v>
      </c>
      <c r="AC39" s="5">
        <v>17407855.206696201</v>
      </c>
    </row>
    <row r="40" spans="1:29" x14ac:dyDescent="0.45">
      <c r="A40" s="5" t="s">
        <v>70</v>
      </c>
      <c r="B40" s="5">
        <v>1356404.37772779</v>
      </c>
      <c r="C40" s="5">
        <v>2266804.8125481298</v>
      </c>
      <c r="D40" s="5">
        <v>2043838.43578721</v>
      </c>
      <c r="E40" s="5">
        <v>1529652.6116413199</v>
      </c>
      <c r="F40" s="5">
        <v>1616183.7180224201</v>
      </c>
      <c r="G40" s="5">
        <v>1883282.64431883</v>
      </c>
      <c r="H40" s="5">
        <v>1539584.37198927</v>
      </c>
      <c r="I40" s="5">
        <v>22247470.644761201</v>
      </c>
      <c r="J40" s="5">
        <v>1819406.49314765</v>
      </c>
      <c r="K40" s="5">
        <v>3608152.7933052401</v>
      </c>
      <c r="L40" s="5">
        <v>1577433.6239916401</v>
      </c>
      <c r="M40" s="5">
        <v>2919527.2910953802</v>
      </c>
      <c r="N40" s="5">
        <v>1543575.1146957199</v>
      </c>
      <c r="O40" s="5">
        <v>4551947.3858771203</v>
      </c>
      <c r="P40" s="5">
        <v>1054204.4661111301</v>
      </c>
      <c r="Q40" s="5">
        <v>1971895.9800917001</v>
      </c>
      <c r="R40" s="5">
        <v>2259858.1318224301</v>
      </c>
      <c r="S40" s="5">
        <v>1094278.4615233899</v>
      </c>
      <c r="T40" s="5">
        <v>2218522.5804885002</v>
      </c>
      <c r="U40" s="5">
        <v>5026329.5172667103</v>
      </c>
      <c r="V40" s="5">
        <v>3540815.74648403</v>
      </c>
      <c r="W40" s="5">
        <v>1615368.79608278</v>
      </c>
      <c r="X40" s="5">
        <v>4004903.4877889198</v>
      </c>
      <c r="Y40" s="5">
        <v>2274654.8592033498</v>
      </c>
      <c r="Z40" s="5">
        <v>1811301.52296142</v>
      </c>
      <c r="AA40" s="5">
        <v>2126120.2297877399</v>
      </c>
      <c r="AB40" s="5">
        <v>2262252.1749799098</v>
      </c>
      <c r="AC40" s="5">
        <v>2455891.7103451798</v>
      </c>
    </row>
    <row r="41" spans="1:29" x14ac:dyDescent="0.45">
      <c r="A41" s="5" t="s">
        <v>71</v>
      </c>
      <c r="B41" s="5">
        <v>2337385.0187862101</v>
      </c>
      <c r="C41" s="5">
        <v>1250970.3931060501</v>
      </c>
      <c r="D41" s="5">
        <v>3253891.5910352101</v>
      </c>
      <c r="E41" s="5">
        <v>1612556.0855443</v>
      </c>
      <c r="F41" s="5">
        <v>1359856.95482448</v>
      </c>
      <c r="G41" s="5">
        <v>1195174.6946083501</v>
      </c>
      <c r="H41" s="5">
        <v>1457967.61089309</v>
      </c>
      <c r="I41" s="5">
        <v>1909028.52991318</v>
      </c>
      <c r="J41" s="5">
        <v>1493960.5602603101</v>
      </c>
      <c r="K41" s="5">
        <v>2281494.9812197299</v>
      </c>
      <c r="L41" s="5">
        <v>1696183.30192024</v>
      </c>
      <c r="M41" s="5">
        <v>1218503.0748739101</v>
      </c>
      <c r="N41" s="5">
        <v>1920093.5250395201</v>
      </c>
      <c r="O41" s="5">
        <v>1027939.2833348199</v>
      </c>
      <c r="P41" s="5">
        <v>1676705.0888938</v>
      </c>
      <c r="Q41" s="5">
        <v>1569995.50768412</v>
      </c>
      <c r="R41" s="5">
        <v>2309247.2556981202</v>
      </c>
      <c r="S41" s="5">
        <v>2023721.8120285701</v>
      </c>
      <c r="T41" s="5">
        <v>2078676.1006444599</v>
      </c>
      <c r="U41" s="5">
        <v>2256867.0553506701</v>
      </c>
      <c r="V41" s="5">
        <v>1586857.8824396399</v>
      </c>
      <c r="W41" s="5">
        <v>1545897.20288316</v>
      </c>
      <c r="X41" s="5">
        <v>4108467.6433508201</v>
      </c>
      <c r="Y41" s="5">
        <v>1789225.6438585301</v>
      </c>
      <c r="Z41" s="5">
        <v>1638316.9044977201</v>
      </c>
      <c r="AA41" s="5">
        <v>1647009.3716390899</v>
      </c>
      <c r="AB41" s="5">
        <v>1697951.4834328301</v>
      </c>
      <c r="AC41" s="5">
        <v>1575789.3173278701</v>
      </c>
    </row>
    <row r="42" spans="1:29" x14ac:dyDescent="0.45">
      <c r="A42" s="5" t="s">
        <v>72</v>
      </c>
      <c r="B42" s="5">
        <v>19881998.728196099</v>
      </c>
      <c r="C42" s="5">
        <v>12930745.1288293</v>
      </c>
      <c r="D42" s="5">
        <v>14523714.3629911</v>
      </c>
      <c r="E42" s="5">
        <v>8464040.2185145691</v>
      </c>
      <c r="F42" s="5">
        <v>17874205.508593202</v>
      </c>
      <c r="G42" s="5">
        <v>4916629.8244288703</v>
      </c>
      <c r="H42" s="5">
        <v>10568163.872708401</v>
      </c>
      <c r="I42" s="5">
        <v>4675758.9093551598</v>
      </c>
      <c r="J42" s="5">
        <v>7454357.7627105303</v>
      </c>
      <c r="K42" s="5">
        <v>18808777.117219001</v>
      </c>
      <c r="L42" s="5">
        <v>7471159.5939943204</v>
      </c>
      <c r="M42" s="5">
        <v>9746815.3156618606</v>
      </c>
      <c r="N42" s="5">
        <v>12944465.7317314</v>
      </c>
      <c r="O42" s="5">
        <v>16400225.0814874</v>
      </c>
      <c r="P42" s="5">
        <v>20587219.424329199</v>
      </c>
      <c r="Q42" s="5">
        <v>11737076.477007199</v>
      </c>
      <c r="R42" s="5">
        <v>22746005.098394498</v>
      </c>
      <c r="S42" s="5">
        <v>13032083.8661115</v>
      </c>
      <c r="T42" s="5">
        <v>13669630.5456216</v>
      </c>
      <c r="U42" s="5">
        <v>18731221.850310899</v>
      </c>
      <c r="V42" s="5">
        <v>20581647.713912498</v>
      </c>
      <c r="W42" s="5">
        <v>18762576.8060981</v>
      </c>
      <c r="X42" s="5">
        <v>7585306.2162661999</v>
      </c>
      <c r="Y42" s="5">
        <v>22756401.493406199</v>
      </c>
      <c r="Z42" s="5">
        <v>12010287.6280664</v>
      </c>
      <c r="AA42" s="5">
        <v>12786317.0908489</v>
      </c>
      <c r="AB42" s="5">
        <v>11583976.562946299</v>
      </c>
      <c r="AC42" s="5">
        <v>12901480.5045026</v>
      </c>
    </row>
    <row r="43" spans="1:29" x14ac:dyDescent="0.45">
      <c r="A43" s="5" t="s">
        <v>73</v>
      </c>
      <c r="B43" s="5">
        <v>30818376.528545901</v>
      </c>
      <c r="C43" s="5">
        <v>36287961.443423197</v>
      </c>
      <c r="D43" s="5">
        <v>33233989.622960899</v>
      </c>
      <c r="E43" s="5">
        <v>31257297.044675998</v>
      </c>
      <c r="F43" s="5">
        <v>44213235.741444901</v>
      </c>
      <c r="G43" s="5">
        <v>38466671.892183103</v>
      </c>
      <c r="H43" s="5">
        <v>33932168.756655999</v>
      </c>
      <c r="I43" s="5">
        <v>27903435.509780701</v>
      </c>
      <c r="J43" s="5">
        <v>32786805.2547401</v>
      </c>
      <c r="K43" s="5">
        <v>19948103.917080902</v>
      </c>
      <c r="L43" s="5">
        <v>49295624.817414902</v>
      </c>
      <c r="M43" s="5">
        <v>25951292.100239702</v>
      </c>
      <c r="N43" s="5">
        <v>44346561.707377501</v>
      </c>
      <c r="O43" s="5">
        <v>39514943.179635197</v>
      </c>
      <c r="P43" s="5">
        <v>63126165.660594702</v>
      </c>
      <c r="Q43" s="5">
        <v>41193410.897446699</v>
      </c>
      <c r="R43" s="5">
        <v>88420977.005252302</v>
      </c>
      <c r="S43" s="5">
        <v>28799348.443840198</v>
      </c>
      <c r="T43" s="5">
        <v>18386938.4399997</v>
      </c>
      <c r="U43" s="5">
        <v>33634863.613054901</v>
      </c>
      <c r="V43" s="5">
        <v>34828661.184224702</v>
      </c>
      <c r="W43" s="5">
        <v>50862112.394019999</v>
      </c>
      <c r="X43" s="5">
        <v>41711505.347778901</v>
      </c>
      <c r="Y43" s="5">
        <v>18430463.578768998</v>
      </c>
      <c r="Z43" s="5">
        <v>31568245.247903701</v>
      </c>
      <c r="AA43" s="5">
        <v>45643217.366055399</v>
      </c>
      <c r="AB43" s="5">
        <v>45565630.065239199</v>
      </c>
      <c r="AC43" s="5">
        <v>39922717.574392401</v>
      </c>
    </row>
    <row r="44" spans="1:29" x14ac:dyDescent="0.45">
      <c r="A44" s="5" t="s">
        <v>74</v>
      </c>
      <c r="B44" s="5">
        <v>30684261.3614951</v>
      </c>
      <c r="C44" s="5">
        <v>20103844.375891499</v>
      </c>
      <c r="D44" s="5">
        <v>26202994.1732472</v>
      </c>
      <c r="E44" s="5">
        <v>35775752.972667597</v>
      </c>
      <c r="F44" s="5">
        <v>37018824.017147698</v>
      </c>
      <c r="G44" s="5">
        <v>29989138.3759683</v>
      </c>
      <c r="H44" s="5">
        <v>34407513.482558802</v>
      </c>
      <c r="I44" s="5">
        <v>7046304.8584941896</v>
      </c>
      <c r="J44" s="5">
        <v>33095169.8058482</v>
      </c>
      <c r="K44" s="5">
        <v>11219833.592421699</v>
      </c>
      <c r="L44" s="5">
        <v>28587754.045955501</v>
      </c>
      <c r="M44" s="5">
        <v>24487137.356878899</v>
      </c>
      <c r="N44" s="5">
        <v>31450085.230580799</v>
      </c>
      <c r="O44" s="5">
        <v>22237063.895219401</v>
      </c>
      <c r="P44" s="5">
        <v>28519034.697003901</v>
      </c>
      <c r="Q44" s="5">
        <v>18218010.986081298</v>
      </c>
      <c r="R44" s="5">
        <v>36210385.731927499</v>
      </c>
      <c r="S44" s="5">
        <v>22971790.400420599</v>
      </c>
      <c r="T44" s="5">
        <v>29016812.935424399</v>
      </c>
      <c r="U44" s="5">
        <v>30981808.579825599</v>
      </c>
      <c r="V44" s="5">
        <v>9392921.8577158991</v>
      </c>
      <c r="W44" s="5">
        <v>35360790.331442803</v>
      </c>
      <c r="X44" s="5">
        <v>66474078.337384298</v>
      </c>
      <c r="Y44" s="5">
        <v>36428662.685347401</v>
      </c>
      <c r="Z44" s="5">
        <v>22477848.9415153</v>
      </c>
      <c r="AA44" s="5">
        <v>25219249.387696799</v>
      </c>
      <c r="AB44" s="5">
        <v>22128027.6937216</v>
      </c>
      <c r="AC44" s="5">
        <v>25326804.252550799</v>
      </c>
    </row>
    <row r="45" spans="1:29" x14ac:dyDescent="0.45">
      <c r="A45" s="5" t="s">
        <v>75</v>
      </c>
      <c r="B45" s="5">
        <v>38471283.213633098</v>
      </c>
      <c r="C45" s="5">
        <v>26565588.8773573</v>
      </c>
      <c r="D45" s="5">
        <v>34703991.011995599</v>
      </c>
      <c r="E45" s="5">
        <v>44143076.061458699</v>
      </c>
      <c r="F45" s="5">
        <v>43405344.200943999</v>
      </c>
      <c r="G45" s="5">
        <v>32842468.721919999</v>
      </c>
      <c r="H45" s="5">
        <v>36242089.343838498</v>
      </c>
      <c r="I45" s="5">
        <v>41634320.394635998</v>
      </c>
      <c r="J45" s="5">
        <v>42270945.387730502</v>
      </c>
      <c r="K45" s="5">
        <v>55117122.222386397</v>
      </c>
      <c r="L45" s="5">
        <v>42478715.521041602</v>
      </c>
      <c r="M45" s="5">
        <v>32933004.813636299</v>
      </c>
      <c r="N45" s="5">
        <v>27895538.789299801</v>
      </c>
      <c r="O45" s="5">
        <v>32775887.680020101</v>
      </c>
      <c r="P45" s="5">
        <v>48471993.040644303</v>
      </c>
      <c r="Q45" s="5">
        <v>30472429.219353501</v>
      </c>
      <c r="R45" s="5">
        <v>65634244.703552201</v>
      </c>
      <c r="S45" s="5">
        <v>38990171.101666003</v>
      </c>
      <c r="T45" s="5">
        <v>48427197.717800498</v>
      </c>
      <c r="U45" s="5">
        <v>44686290.134555496</v>
      </c>
      <c r="V45" s="5">
        <v>33350265.839923799</v>
      </c>
      <c r="W45" s="5">
        <v>40514553.319099098</v>
      </c>
      <c r="X45" s="5">
        <v>37362085.644812301</v>
      </c>
      <c r="Y45" s="5">
        <v>47015231.077339903</v>
      </c>
      <c r="Z45" s="5">
        <v>31749493.698304001</v>
      </c>
      <c r="AA45" s="5">
        <v>34685804.591006197</v>
      </c>
      <c r="AB45" s="5">
        <v>34207689.293198101</v>
      </c>
      <c r="AC45" s="5">
        <v>35331630.008285902</v>
      </c>
    </row>
    <row r="46" spans="1:29" x14ac:dyDescent="0.45">
      <c r="A46" s="5" t="s">
        <v>76</v>
      </c>
      <c r="B46" s="5">
        <v>346883725.85656101</v>
      </c>
      <c r="C46" s="5">
        <v>258240509.61265701</v>
      </c>
      <c r="D46" s="5">
        <v>254825219.04899001</v>
      </c>
      <c r="E46" s="5">
        <v>282150801.950984</v>
      </c>
      <c r="F46" s="5">
        <v>270398840.07969099</v>
      </c>
      <c r="G46" s="5">
        <v>224741087.18669999</v>
      </c>
      <c r="H46" s="5">
        <v>433659888.114039</v>
      </c>
      <c r="I46" s="5">
        <v>422500648.013924</v>
      </c>
      <c r="J46" s="5">
        <v>364066116.09177101</v>
      </c>
      <c r="K46" s="5">
        <v>624530020.51094103</v>
      </c>
      <c r="L46" s="5">
        <v>388590665.76243198</v>
      </c>
      <c r="M46" s="5">
        <v>342907311.11312598</v>
      </c>
      <c r="N46" s="5">
        <v>302647967.52027798</v>
      </c>
      <c r="O46" s="5">
        <v>275948108.18845999</v>
      </c>
      <c r="P46" s="5">
        <v>436116808.89994299</v>
      </c>
      <c r="Q46" s="5">
        <v>378541564.66246802</v>
      </c>
      <c r="R46" s="5">
        <v>532125131.10257</v>
      </c>
      <c r="S46" s="5">
        <v>337315149.13926399</v>
      </c>
      <c r="T46" s="5">
        <v>329485809.24515498</v>
      </c>
      <c r="U46" s="5">
        <v>395452796.815521</v>
      </c>
      <c r="V46" s="5">
        <v>315975108.18139201</v>
      </c>
      <c r="W46" s="5">
        <v>395922117.79364997</v>
      </c>
      <c r="X46" s="5">
        <v>372738473.450854</v>
      </c>
      <c r="Y46" s="5">
        <v>504872443.54679</v>
      </c>
      <c r="Z46" s="5">
        <v>282130704.93530601</v>
      </c>
      <c r="AA46" s="5">
        <v>308687304.96517003</v>
      </c>
      <c r="AB46" s="5">
        <v>308504145.95867801</v>
      </c>
      <c r="AC46" s="5">
        <v>331030154.96209598</v>
      </c>
    </row>
    <row r="47" spans="1:29" x14ac:dyDescent="0.45">
      <c r="A47" s="5" t="s">
        <v>274</v>
      </c>
      <c r="B47" s="5">
        <v>36069576.059000403</v>
      </c>
      <c r="C47" s="5">
        <v>45165333.396073699</v>
      </c>
      <c r="D47" s="5">
        <v>50109742.707367897</v>
      </c>
      <c r="E47" s="5">
        <v>44015923.350928001</v>
      </c>
      <c r="F47" s="5">
        <v>40707995.137067601</v>
      </c>
      <c r="G47" s="5">
        <v>28142986.4400068</v>
      </c>
      <c r="H47" s="5">
        <v>36561083.954529896</v>
      </c>
      <c r="I47" s="5">
        <v>11052425.724757301</v>
      </c>
      <c r="J47" s="5">
        <v>35268995.032718599</v>
      </c>
      <c r="K47" s="5">
        <v>53147032.237152703</v>
      </c>
      <c r="L47" s="5">
        <v>33559512.852501199</v>
      </c>
      <c r="M47" s="5">
        <v>62477178.341357</v>
      </c>
      <c r="N47" s="5">
        <v>53488996.100788303</v>
      </c>
      <c r="O47" s="5">
        <v>36107063.789432697</v>
      </c>
      <c r="P47" s="5">
        <v>40937144.984462</v>
      </c>
      <c r="Q47" s="5">
        <v>34214080.850607403</v>
      </c>
      <c r="R47" s="5">
        <v>22850236.9713884</v>
      </c>
      <c r="S47" s="5">
        <v>38350459.979994699</v>
      </c>
      <c r="T47" s="5">
        <v>41275759.643224597</v>
      </c>
      <c r="U47" s="5">
        <v>42953113.483417898</v>
      </c>
      <c r="V47" s="5">
        <v>35893537.831464902</v>
      </c>
      <c r="W47" s="5">
        <v>33568341.313792698</v>
      </c>
      <c r="X47" s="5">
        <v>69133847.724545702</v>
      </c>
      <c r="Y47" s="5">
        <v>34602329.564849898</v>
      </c>
      <c r="Z47" s="5">
        <v>35665251.776525497</v>
      </c>
      <c r="AA47" s="5">
        <v>36149146.012067303</v>
      </c>
      <c r="AB47" s="5">
        <v>36600936.376755297</v>
      </c>
      <c r="AC47" s="5">
        <v>36217416.446987197</v>
      </c>
    </row>
    <row r="48" spans="1:29" x14ac:dyDescent="0.45">
      <c r="A48" s="5" t="s">
        <v>77</v>
      </c>
      <c r="B48" s="5">
        <v>97464966.329753399</v>
      </c>
      <c r="C48" s="5">
        <v>75590939.4962513</v>
      </c>
      <c r="D48" s="5">
        <v>62067449.549510702</v>
      </c>
      <c r="E48" s="5">
        <v>156883937.78721699</v>
      </c>
      <c r="F48" s="5">
        <v>191794969.52536601</v>
      </c>
      <c r="G48" s="5">
        <v>104478585.576969</v>
      </c>
      <c r="H48" s="5">
        <v>112794271.854727</v>
      </c>
      <c r="I48" s="5">
        <v>218977862.24164599</v>
      </c>
      <c r="J48" s="5">
        <v>128769653.824772</v>
      </c>
      <c r="K48" s="5">
        <v>45783448.755064398</v>
      </c>
      <c r="L48" s="5">
        <v>205674905.916989</v>
      </c>
      <c r="M48" s="5">
        <v>231294926.79138699</v>
      </c>
      <c r="N48" s="5">
        <v>131428263.24998701</v>
      </c>
      <c r="O48" s="5">
        <v>52100595.608268797</v>
      </c>
      <c r="P48" s="5">
        <v>87724712.929958194</v>
      </c>
      <c r="Q48" s="5">
        <v>121586884.954432</v>
      </c>
      <c r="R48" s="5">
        <v>43393663.434472904</v>
      </c>
      <c r="S48" s="5">
        <v>155193950.64021701</v>
      </c>
      <c r="T48" s="5">
        <v>238134648.84470499</v>
      </c>
      <c r="U48" s="5">
        <v>49097847.484120198</v>
      </c>
      <c r="V48" s="5">
        <v>69047779.018178597</v>
      </c>
      <c r="W48" s="5">
        <v>131501939.652998</v>
      </c>
      <c r="X48" s="5">
        <v>1125795480.0392201</v>
      </c>
      <c r="Y48" s="5">
        <v>89964443.090655401</v>
      </c>
      <c r="Z48" s="5">
        <v>112762042.775931</v>
      </c>
      <c r="AA48" s="5">
        <v>124540621.873933</v>
      </c>
      <c r="AB48" s="5">
        <v>120844306.88542999</v>
      </c>
      <c r="AC48" s="5">
        <v>128381221.163102</v>
      </c>
    </row>
    <row r="49" spans="1:29" x14ac:dyDescent="0.45">
      <c r="A49" s="5" t="s">
        <v>275</v>
      </c>
      <c r="B49" s="5">
        <v>51937276.689418197</v>
      </c>
      <c r="C49" s="5">
        <v>36640314.956805401</v>
      </c>
      <c r="D49" s="5">
        <v>37432997.882814802</v>
      </c>
      <c r="E49" s="5">
        <v>80162723.485176399</v>
      </c>
      <c r="F49" s="5">
        <v>72787878.569873795</v>
      </c>
      <c r="G49" s="5">
        <v>55032216.807226099</v>
      </c>
      <c r="H49" s="5">
        <v>51047641.926791899</v>
      </c>
      <c r="I49" s="5">
        <v>55458337.390135899</v>
      </c>
      <c r="J49" s="5">
        <v>67960749.266641393</v>
      </c>
      <c r="K49" s="5">
        <v>59306789.063423</v>
      </c>
      <c r="L49" s="5">
        <v>61349746.503995001</v>
      </c>
      <c r="M49" s="5">
        <v>44876225.322471</v>
      </c>
      <c r="N49" s="5">
        <v>70089242.758965999</v>
      </c>
      <c r="O49" s="5">
        <v>67963327.778530404</v>
      </c>
      <c r="P49" s="5">
        <v>77637591.284789503</v>
      </c>
      <c r="Q49" s="5">
        <v>28800631.7466636</v>
      </c>
      <c r="R49" s="5">
        <v>41878485.469576403</v>
      </c>
      <c r="S49" s="5">
        <v>44762935.978373498</v>
      </c>
      <c r="T49" s="5">
        <v>39073254.914222397</v>
      </c>
      <c r="U49" s="5">
        <v>43412817.532235399</v>
      </c>
      <c r="V49" s="5">
        <v>43196429.268215202</v>
      </c>
      <c r="W49" s="5">
        <v>74568867.847675994</v>
      </c>
      <c r="X49" s="5">
        <v>230413413.14984399</v>
      </c>
      <c r="Y49" s="5">
        <v>77872631.796343997</v>
      </c>
      <c r="Z49" s="5">
        <v>43490888.386134803</v>
      </c>
      <c r="AA49" s="5">
        <v>43137878.964396402</v>
      </c>
      <c r="AB49" s="5">
        <v>46272905.075914197</v>
      </c>
      <c r="AC49" s="5">
        <v>44443978.4139686</v>
      </c>
    </row>
    <row r="50" spans="1:29" x14ac:dyDescent="0.45">
      <c r="A50" s="5" t="s">
        <v>78</v>
      </c>
      <c r="B50" s="5">
        <v>36540738.787317201</v>
      </c>
      <c r="C50" s="5">
        <v>52508529.324158899</v>
      </c>
      <c r="D50" s="5">
        <v>23873510.7879816</v>
      </c>
      <c r="E50" s="5">
        <v>32761503.027299199</v>
      </c>
      <c r="F50" s="5">
        <v>27780399.058882602</v>
      </c>
      <c r="G50" s="5">
        <v>35402917.915555201</v>
      </c>
      <c r="H50" s="5">
        <v>29510838.353067901</v>
      </c>
      <c r="I50" s="5">
        <v>19446831.6254705</v>
      </c>
      <c r="J50" s="5">
        <v>20308459.6351377</v>
      </c>
      <c r="K50" s="5">
        <v>16763576.240389699</v>
      </c>
      <c r="L50" s="5">
        <v>26702525.499021798</v>
      </c>
      <c r="M50" s="5">
        <v>47010448.119979799</v>
      </c>
      <c r="N50" s="5">
        <v>38407682.1571915</v>
      </c>
      <c r="O50" s="5">
        <v>31290757.921833999</v>
      </c>
      <c r="P50" s="5">
        <v>39378487.631218903</v>
      </c>
      <c r="Q50" s="5">
        <v>25953035.702871699</v>
      </c>
      <c r="R50" s="5">
        <v>20028562.044647101</v>
      </c>
      <c r="S50" s="5">
        <v>31468458.326134302</v>
      </c>
      <c r="T50" s="5">
        <v>21752933.184158999</v>
      </c>
      <c r="U50" s="5">
        <v>23993317.057027299</v>
      </c>
      <c r="V50" s="5">
        <v>32340922.072477199</v>
      </c>
      <c r="W50" s="5">
        <v>29588473.091389898</v>
      </c>
      <c r="X50" s="5">
        <v>109664984.736719</v>
      </c>
      <c r="Y50" s="5">
        <v>32593716.2278849</v>
      </c>
      <c r="Z50" s="5">
        <v>25568648.957858</v>
      </c>
      <c r="AA50" s="5">
        <v>28293429.8140264</v>
      </c>
      <c r="AB50" s="5">
        <v>30749981.508133199</v>
      </c>
      <c r="AC50" s="5">
        <v>26939766.023150899</v>
      </c>
    </row>
    <row r="51" spans="1:29" x14ac:dyDescent="0.45">
      <c r="A51" s="5" t="s">
        <v>276</v>
      </c>
      <c r="B51" s="5">
        <v>814064181.886608</v>
      </c>
      <c r="C51" s="5">
        <v>718180934.49414897</v>
      </c>
      <c r="D51" s="5">
        <v>1026076256.0886199</v>
      </c>
      <c r="E51" s="5">
        <v>473316424.47171497</v>
      </c>
      <c r="F51" s="5">
        <v>372562166.84847498</v>
      </c>
      <c r="G51" s="5">
        <v>449726417.74815798</v>
      </c>
      <c r="H51" s="5">
        <v>231771968.95105001</v>
      </c>
      <c r="I51" s="5">
        <v>252142568.04750201</v>
      </c>
      <c r="J51" s="5">
        <v>356029745.830607</v>
      </c>
      <c r="K51" s="5">
        <v>197394850.15748</v>
      </c>
      <c r="L51" s="5">
        <v>419653602.35182399</v>
      </c>
      <c r="M51" s="5">
        <v>622205859.537727</v>
      </c>
      <c r="N51" s="5">
        <v>573509588.35435903</v>
      </c>
      <c r="O51" s="5">
        <v>294695594.83552498</v>
      </c>
      <c r="P51" s="5">
        <v>350508147.860865</v>
      </c>
      <c r="Q51" s="5">
        <v>593265588.28064096</v>
      </c>
      <c r="R51" s="5">
        <v>432156490.87156099</v>
      </c>
      <c r="S51" s="5">
        <v>560308747.70538604</v>
      </c>
      <c r="T51" s="5">
        <v>538424267.96092403</v>
      </c>
      <c r="U51" s="5">
        <v>292494922.916933</v>
      </c>
      <c r="V51" s="5">
        <v>413984752.27380902</v>
      </c>
      <c r="W51" s="5">
        <v>437117501.08742499</v>
      </c>
      <c r="X51" s="5">
        <v>456832064.71261299</v>
      </c>
      <c r="Y51" s="5">
        <v>564053607.46167803</v>
      </c>
      <c r="Z51" s="5">
        <v>444527044.704234</v>
      </c>
      <c r="AA51" s="5">
        <v>461704125.29940099</v>
      </c>
      <c r="AB51" s="5">
        <v>499418562.71894097</v>
      </c>
      <c r="AC51" s="5">
        <v>485959477.36047202</v>
      </c>
    </row>
    <row r="52" spans="1:29" x14ac:dyDescent="0.45">
      <c r="A52" s="5" t="s">
        <v>277</v>
      </c>
      <c r="B52" s="5">
        <v>947678.73921796901</v>
      </c>
      <c r="C52" s="5">
        <v>1594696.1591706499</v>
      </c>
      <c r="D52" s="5">
        <v>592885.61857608706</v>
      </c>
      <c r="E52" s="5">
        <v>909880.99415909895</v>
      </c>
      <c r="F52" s="5">
        <v>847663.41733492899</v>
      </c>
      <c r="G52" s="5">
        <v>1193670.01195921</v>
      </c>
      <c r="H52" s="5">
        <v>376148.61377433699</v>
      </c>
      <c r="I52" s="5">
        <v>456120.88821305201</v>
      </c>
      <c r="J52" s="5">
        <v>531049.65940841299</v>
      </c>
      <c r="K52" s="5">
        <v>1206388.63697807</v>
      </c>
      <c r="L52" s="5">
        <v>1138973.3801178201</v>
      </c>
      <c r="M52" s="5">
        <v>363536.98297465499</v>
      </c>
      <c r="N52" s="5">
        <v>98091.449618654398</v>
      </c>
      <c r="O52" s="5">
        <v>620633.43421481003</v>
      </c>
      <c r="P52" s="5">
        <v>765130.25271680404</v>
      </c>
      <c r="Q52" s="5">
        <v>89742.199289234195</v>
      </c>
      <c r="R52" s="5">
        <v>345640.74664546101</v>
      </c>
      <c r="S52" s="5">
        <v>342772.61284515099</v>
      </c>
      <c r="T52" s="5">
        <v>629932.77546248795</v>
      </c>
      <c r="U52" s="5">
        <v>320346.16773398197</v>
      </c>
      <c r="V52" s="5">
        <v>238915.978176359</v>
      </c>
      <c r="W52" s="5">
        <v>675353.11506143096</v>
      </c>
      <c r="X52" s="5">
        <v>3733337.4665907598</v>
      </c>
      <c r="Y52" s="5">
        <v>603502.91163110198</v>
      </c>
      <c r="Z52" s="5">
        <v>375211.196578036</v>
      </c>
      <c r="AA52" s="5">
        <v>412161.47429762798</v>
      </c>
      <c r="AB52" s="5">
        <v>421028.32640905899</v>
      </c>
      <c r="AC52" s="5">
        <v>407684.12369332497</v>
      </c>
    </row>
    <row r="53" spans="1:29" x14ac:dyDescent="0.45">
      <c r="A53" s="5" t="s">
        <v>278</v>
      </c>
      <c r="B53" s="5">
        <v>13611922.309676901</v>
      </c>
      <c r="C53" s="5">
        <v>25744441.548199199</v>
      </c>
      <c r="D53" s="5">
        <v>16420591.7564077</v>
      </c>
      <c r="E53" s="5">
        <v>11401246.2167887</v>
      </c>
      <c r="F53" s="5">
        <v>10090079.7130682</v>
      </c>
      <c r="G53" s="5">
        <v>27067031.345320199</v>
      </c>
      <c r="H53" s="5">
        <v>12193556.1552277</v>
      </c>
      <c r="I53" s="5">
        <v>166994219.81990299</v>
      </c>
      <c r="J53" s="5">
        <v>8039008.11119965</v>
      </c>
      <c r="K53" s="5">
        <v>5902381.0131401801</v>
      </c>
      <c r="L53" s="5">
        <v>22783304.400598601</v>
      </c>
      <c r="M53" s="5">
        <v>39705133.198342197</v>
      </c>
      <c r="N53" s="5">
        <v>5105583.1560674701</v>
      </c>
      <c r="O53" s="5">
        <v>19865146.856409699</v>
      </c>
      <c r="P53" s="5">
        <v>11373718.995526301</v>
      </c>
      <c r="Q53" s="5">
        <v>25009968.476885699</v>
      </c>
      <c r="R53" s="5">
        <v>13744075.0415729</v>
      </c>
      <c r="S53" s="5">
        <v>19945526.489489</v>
      </c>
      <c r="T53" s="5">
        <v>14490994.139000401</v>
      </c>
      <c r="U53" s="5">
        <v>11274408.7247645</v>
      </c>
      <c r="V53" s="5">
        <v>11964173.003237501</v>
      </c>
      <c r="W53" s="5">
        <v>11414805.220784299</v>
      </c>
      <c r="X53" s="5">
        <v>16223533.07877</v>
      </c>
      <c r="Y53" s="5">
        <v>10097765.8417325</v>
      </c>
      <c r="Z53" s="5">
        <v>18113584.784561899</v>
      </c>
      <c r="AA53" s="5">
        <v>16451275.9712651</v>
      </c>
      <c r="AB53" s="5">
        <v>18421819.214102399</v>
      </c>
      <c r="AC53" s="5">
        <v>18255516.614865199</v>
      </c>
    </row>
    <row r="54" spans="1:29" x14ac:dyDescent="0.45">
      <c r="A54" s="5" t="s">
        <v>279</v>
      </c>
      <c r="B54" s="5">
        <v>387968732.69322002</v>
      </c>
      <c r="C54" s="5">
        <v>301593726.33443499</v>
      </c>
      <c r="D54" s="5">
        <v>418959553.03988099</v>
      </c>
      <c r="E54" s="5">
        <v>398410731.22098702</v>
      </c>
      <c r="F54" s="5">
        <v>359163777.30523503</v>
      </c>
      <c r="G54" s="5">
        <v>382154524.80357701</v>
      </c>
      <c r="H54" s="5">
        <v>278378282.94308901</v>
      </c>
      <c r="I54" s="5">
        <v>202852002.313164</v>
      </c>
      <c r="J54" s="5">
        <v>310415133.41453701</v>
      </c>
      <c r="K54" s="5">
        <v>374316473.867926</v>
      </c>
      <c r="L54" s="5">
        <v>366047768.26755297</v>
      </c>
      <c r="M54" s="5">
        <v>331754462.38029599</v>
      </c>
      <c r="N54" s="5">
        <v>351420247.372805</v>
      </c>
      <c r="O54" s="5">
        <v>312393561.25916702</v>
      </c>
      <c r="P54" s="5">
        <v>333388012.63109398</v>
      </c>
      <c r="Q54" s="5">
        <v>200169916.902284</v>
      </c>
      <c r="R54" s="5">
        <v>378840972.72163099</v>
      </c>
      <c r="S54" s="5">
        <v>260895553.384175</v>
      </c>
      <c r="T54" s="5">
        <v>289559333.73698699</v>
      </c>
      <c r="U54" s="5">
        <v>321462926.50973803</v>
      </c>
      <c r="V54" s="5">
        <v>259938853.931115</v>
      </c>
      <c r="W54" s="5">
        <v>372116257.57894999</v>
      </c>
      <c r="X54" s="5">
        <v>479597444.46562999</v>
      </c>
      <c r="Y54" s="5">
        <v>334515816.09372002</v>
      </c>
      <c r="Z54" s="5">
        <v>299072389.76439101</v>
      </c>
      <c r="AA54" s="5">
        <v>300157716.661578</v>
      </c>
      <c r="AB54" s="5">
        <v>262569176.91557401</v>
      </c>
      <c r="AC54" s="5">
        <v>308744167.24290901</v>
      </c>
    </row>
    <row r="55" spans="1:29" x14ac:dyDescent="0.45">
      <c r="A55" s="5" t="s">
        <v>79</v>
      </c>
      <c r="B55" s="5">
        <v>7887945.1092735203</v>
      </c>
      <c r="C55" s="5">
        <v>5505135.8325883104</v>
      </c>
      <c r="D55" s="5">
        <v>7867221.2569649499</v>
      </c>
      <c r="E55" s="5">
        <v>8343257.8519163299</v>
      </c>
      <c r="F55" s="5">
        <v>4298129.5906470995</v>
      </c>
      <c r="G55" s="5">
        <v>6943136.3588525802</v>
      </c>
      <c r="H55" s="5">
        <v>8267196.4996874304</v>
      </c>
      <c r="I55" s="5">
        <v>15823811.796253899</v>
      </c>
      <c r="J55" s="5">
        <v>8325889.5916815205</v>
      </c>
      <c r="K55" s="5">
        <v>17741730.9199677</v>
      </c>
      <c r="L55" s="5">
        <v>8151372.1986767603</v>
      </c>
      <c r="M55" s="5">
        <v>13510653.6570882</v>
      </c>
      <c r="N55" s="5">
        <v>9163685.6369449701</v>
      </c>
      <c r="O55" s="5">
        <v>5441518.4295903901</v>
      </c>
      <c r="P55" s="5">
        <v>5923307.6058162097</v>
      </c>
      <c r="Q55" s="5">
        <v>7199181.0775345303</v>
      </c>
      <c r="R55" s="5">
        <v>8812970.4216303304</v>
      </c>
      <c r="S55" s="5">
        <v>9729525.7274280097</v>
      </c>
      <c r="T55" s="5">
        <v>8106558.6113615604</v>
      </c>
      <c r="U55" s="5">
        <v>6960630.2698011799</v>
      </c>
      <c r="V55" s="5">
        <v>6822646.6274800403</v>
      </c>
      <c r="W55" s="5">
        <v>9115766.9450032897</v>
      </c>
      <c r="X55" s="5">
        <v>176829348.68492201</v>
      </c>
      <c r="Y55" s="5">
        <v>6856177.5213832101</v>
      </c>
      <c r="Z55" s="5">
        <v>8347676.7454411797</v>
      </c>
      <c r="AA55" s="5">
        <v>10018422.158563999</v>
      </c>
      <c r="AB55" s="5">
        <v>9528398.0144520495</v>
      </c>
      <c r="AC55" s="5">
        <v>10080580.1026727</v>
      </c>
    </row>
    <row r="56" spans="1:29" x14ac:dyDescent="0.45">
      <c r="A56" s="5" t="s">
        <v>280</v>
      </c>
      <c r="B56" s="5">
        <v>28937393.559222002</v>
      </c>
      <c r="C56" s="5">
        <v>30655230.556457698</v>
      </c>
      <c r="D56" s="5">
        <v>26361498.296354</v>
      </c>
      <c r="E56" s="5">
        <v>24268200.5468463</v>
      </c>
      <c r="F56" s="5">
        <v>25041822.622255199</v>
      </c>
      <c r="G56" s="5">
        <v>27327524.025603801</v>
      </c>
      <c r="H56" s="5">
        <v>30991161.0108632</v>
      </c>
      <c r="I56" s="5">
        <v>16775962.8264881</v>
      </c>
      <c r="J56" s="5">
        <v>41274982.186327301</v>
      </c>
      <c r="K56" s="5">
        <v>32671573.070278399</v>
      </c>
      <c r="L56" s="5">
        <v>25183891.340173502</v>
      </c>
      <c r="M56" s="5">
        <v>23446266.764309801</v>
      </c>
      <c r="N56" s="5">
        <v>209686136.100761</v>
      </c>
      <c r="O56" s="5">
        <v>159226726.28881499</v>
      </c>
      <c r="P56" s="5">
        <v>188118602.151887</v>
      </c>
      <c r="Q56" s="5">
        <v>22935296.9326014</v>
      </c>
      <c r="R56" s="5">
        <v>26488214.186613299</v>
      </c>
      <c r="S56" s="5">
        <v>24928278.840276401</v>
      </c>
      <c r="T56" s="5">
        <v>24284148.4905705</v>
      </c>
      <c r="U56" s="5">
        <v>22337064.802572802</v>
      </c>
      <c r="V56" s="5">
        <v>24047427.3038144</v>
      </c>
      <c r="W56" s="5">
        <v>24662601.626445901</v>
      </c>
      <c r="X56" s="5">
        <v>26682078.717165601</v>
      </c>
      <c r="Y56" s="5">
        <v>23125038.6945915</v>
      </c>
      <c r="Z56" s="5">
        <v>47622224.875077598</v>
      </c>
      <c r="AA56" s="5">
        <v>47251997.933809899</v>
      </c>
      <c r="AB56" s="5">
        <v>48324474.291647799</v>
      </c>
      <c r="AC56" s="5">
        <v>50070441.364945501</v>
      </c>
    </row>
    <row r="57" spans="1:29" x14ac:dyDescent="0.45">
      <c r="A57" s="5" t="s">
        <v>80</v>
      </c>
      <c r="B57" s="5">
        <v>54474758.936060399</v>
      </c>
      <c r="C57" s="5">
        <v>41683649.504776098</v>
      </c>
      <c r="D57" s="5">
        <v>44484470.363464698</v>
      </c>
      <c r="E57" s="5">
        <v>54643777.533310503</v>
      </c>
      <c r="F57" s="5">
        <v>45532044.153336398</v>
      </c>
      <c r="G57" s="5">
        <v>43098427.8115004</v>
      </c>
      <c r="H57" s="5">
        <v>49215936.6319611</v>
      </c>
      <c r="I57" s="5">
        <v>36252428.763235196</v>
      </c>
      <c r="J57" s="5">
        <v>40205508.353811704</v>
      </c>
      <c r="K57" s="5">
        <v>108725570.995217</v>
      </c>
      <c r="L57" s="5">
        <v>61424772.042924702</v>
      </c>
      <c r="M57" s="5">
        <v>53485886.093328297</v>
      </c>
      <c r="N57" s="5">
        <v>41478840.178006403</v>
      </c>
      <c r="O57" s="5">
        <v>30024645.604104601</v>
      </c>
      <c r="P57" s="5">
        <v>36301062.790914997</v>
      </c>
      <c r="Q57" s="5">
        <v>45280301.507944003</v>
      </c>
      <c r="R57" s="5">
        <v>51686413.120737903</v>
      </c>
      <c r="S57" s="5">
        <v>48856287.468681403</v>
      </c>
      <c r="T57" s="5">
        <v>56482670.0298234</v>
      </c>
      <c r="U57" s="5">
        <v>49726980.4972478</v>
      </c>
      <c r="V57" s="5">
        <v>64493588.2088691</v>
      </c>
      <c r="W57" s="5">
        <v>73449211.667014301</v>
      </c>
      <c r="X57" s="5">
        <v>25125731.269500401</v>
      </c>
      <c r="Y57" s="5">
        <v>75905932.900353894</v>
      </c>
      <c r="Z57" s="5">
        <v>40803734.711799502</v>
      </c>
      <c r="AA57" s="5">
        <v>43739417.466640599</v>
      </c>
      <c r="AB57" s="5">
        <v>43599053.907694601</v>
      </c>
      <c r="AC57" s="5">
        <v>42784367.692215301</v>
      </c>
    </row>
    <row r="58" spans="1:29" x14ac:dyDescent="0.45">
      <c r="A58" s="5" t="s">
        <v>281</v>
      </c>
      <c r="B58" s="5">
        <v>7856641.0999620697</v>
      </c>
      <c r="C58" s="5">
        <v>10064020.756440399</v>
      </c>
      <c r="D58" s="5">
        <v>9821782.1354747191</v>
      </c>
      <c r="E58" s="5">
        <v>6682761.4787563104</v>
      </c>
      <c r="F58" s="5">
        <v>8863273.6377096307</v>
      </c>
      <c r="G58" s="5">
        <v>7290440.0253561102</v>
      </c>
      <c r="H58" s="5">
        <v>6671187.7095367098</v>
      </c>
      <c r="I58" s="5">
        <v>499399162.76363403</v>
      </c>
      <c r="J58" s="5">
        <v>18669816.675081201</v>
      </c>
      <c r="K58" s="5">
        <v>8572017.8323938102</v>
      </c>
      <c r="L58" s="5">
        <v>30213956.8729393</v>
      </c>
      <c r="M58" s="5">
        <v>4870566.1529606897</v>
      </c>
      <c r="N58" s="5">
        <v>7896233.1502948198</v>
      </c>
      <c r="O58" s="5">
        <v>12197608.622919301</v>
      </c>
      <c r="P58" s="5">
        <v>9073868.2385795992</v>
      </c>
      <c r="Q58" s="5">
        <v>6625376.0906664999</v>
      </c>
      <c r="R58" s="5">
        <v>10627879.3365754</v>
      </c>
      <c r="S58" s="5">
        <v>8392222.2979826704</v>
      </c>
      <c r="T58" s="5">
        <v>6870853.5003761696</v>
      </c>
      <c r="U58" s="5">
        <v>3898283.1900152802</v>
      </c>
      <c r="V58" s="5">
        <v>7131490.2112055896</v>
      </c>
      <c r="W58" s="5">
        <v>6492123.64511743</v>
      </c>
      <c r="X58" s="5">
        <v>59823986.056018703</v>
      </c>
      <c r="Y58" s="5">
        <v>5853359.6691483399</v>
      </c>
      <c r="Z58" s="5">
        <v>17771379.204507701</v>
      </c>
      <c r="AA58" s="5">
        <v>14077347.5278296</v>
      </c>
      <c r="AB58" s="5">
        <v>15503341.724137399</v>
      </c>
      <c r="AC58" s="5">
        <v>17897404.411929101</v>
      </c>
    </row>
    <row r="59" spans="1:29" x14ac:dyDescent="0.45">
      <c r="A59" s="5" t="s">
        <v>81</v>
      </c>
      <c r="B59" s="5">
        <v>19841039.288121901</v>
      </c>
      <c r="C59" s="5">
        <v>33277153.833333001</v>
      </c>
      <c r="D59" s="5">
        <v>20767802.0515095</v>
      </c>
      <c r="E59" s="5">
        <v>19324299.547400199</v>
      </c>
      <c r="F59" s="5">
        <v>19233877.858121999</v>
      </c>
      <c r="G59" s="5">
        <v>31951225.4864133</v>
      </c>
      <c r="H59" s="5">
        <v>24221353.546560299</v>
      </c>
      <c r="I59" s="5">
        <v>34187439.4415465</v>
      </c>
      <c r="J59" s="5">
        <v>17858153.931279302</v>
      </c>
      <c r="K59" s="5">
        <v>5352806.9500797903</v>
      </c>
      <c r="L59" s="5">
        <v>6248207.6502678804</v>
      </c>
      <c r="M59" s="5">
        <v>10364539.0703358</v>
      </c>
      <c r="N59" s="5">
        <v>54431409.9633485</v>
      </c>
      <c r="O59" s="5">
        <v>48256846.1049788</v>
      </c>
      <c r="P59" s="5">
        <v>50115335.148918003</v>
      </c>
      <c r="Q59" s="5">
        <v>34723498.126039699</v>
      </c>
      <c r="R59" s="5">
        <v>6748999.13600899</v>
      </c>
      <c r="S59" s="5">
        <v>11366330.5211793</v>
      </c>
      <c r="T59" s="5">
        <v>6329609.3675555699</v>
      </c>
      <c r="U59" s="5">
        <v>25313902.6143528</v>
      </c>
      <c r="V59" s="5">
        <v>36676147.095481098</v>
      </c>
      <c r="W59" s="5">
        <v>33334242.709235098</v>
      </c>
      <c r="X59" s="5">
        <v>26475649.038741</v>
      </c>
      <c r="Y59" s="5">
        <v>30459754.014416698</v>
      </c>
      <c r="Z59" s="5">
        <v>30670587.402889099</v>
      </c>
      <c r="AA59" s="5">
        <v>30580422.271296099</v>
      </c>
      <c r="AB59" s="5">
        <v>29382008.119897701</v>
      </c>
      <c r="AC59" s="5">
        <v>28921832.884341601</v>
      </c>
    </row>
    <row r="60" spans="1:29" x14ac:dyDescent="0.45">
      <c r="A60" s="5" t="s">
        <v>82</v>
      </c>
      <c r="B60" s="5">
        <v>5262902.7153907605</v>
      </c>
      <c r="C60" s="5">
        <v>34277459.077613302</v>
      </c>
      <c r="D60" s="5">
        <v>21938490.889163502</v>
      </c>
      <c r="E60" s="5">
        <v>13509973.248741601</v>
      </c>
      <c r="F60" s="5">
        <v>7494565.0288237203</v>
      </c>
      <c r="G60" s="5">
        <v>32550137.539036602</v>
      </c>
      <c r="H60" s="5">
        <v>28101767.1201251</v>
      </c>
      <c r="I60" s="5">
        <v>10602282.175810199</v>
      </c>
      <c r="J60" s="5">
        <v>4597733.3551858999</v>
      </c>
      <c r="K60" s="5">
        <v>17390889.7731557</v>
      </c>
      <c r="L60" s="5">
        <v>18016298.524632201</v>
      </c>
      <c r="M60" s="5">
        <v>43259593.977309696</v>
      </c>
      <c r="N60" s="5">
        <v>40331505.6398656</v>
      </c>
      <c r="O60" s="5">
        <v>42075593.089079998</v>
      </c>
      <c r="P60" s="5">
        <v>25634408.185104501</v>
      </c>
      <c r="Q60" s="5">
        <v>45231255.227908097</v>
      </c>
      <c r="R60" s="5">
        <v>16888477.311121602</v>
      </c>
      <c r="S60" s="5">
        <v>31392967.808674801</v>
      </c>
      <c r="T60" s="5">
        <v>11556128.0354886</v>
      </c>
      <c r="U60" s="5">
        <v>23782947.801193699</v>
      </c>
      <c r="V60" s="5">
        <v>35828605.062895603</v>
      </c>
      <c r="W60" s="5">
        <v>21543409.8953829</v>
      </c>
      <c r="X60" s="5">
        <v>26499952.660358999</v>
      </c>
      <c r="Y60" s="5">
        <v>18177315.620137699</v>
      </c>
      <c r="Z60" s="5">
        <v>25068426.816928498</v>
      </c>
      <c r="AA60" s="5">
        <v>22381409.4076715</v>
      </c>
      <c r="AB60" s="5">
        <v>28241664.394966699</v>
      </c>
      <c r="AC60" s="5">
        <v>28771753.878322501</v>
      </c>
    </row>
    <row r="61" spans="1:29" x14ac:dyDescent="0.45">
      <c r="A61" s="5" t="s">
        <v>83</v>
      </c>
      <c r="B61" s="5">
        <v>17227114.160704698</v>
      </c>
      <c r="C61" s="5">
        <v>38776648.068980798</v>
      </c>
      <c r="D61" s="5">
        <v>36808253.452685103</v>
      </c>
      <c r="E61" s="5">
        <v>25460614.327335101</v>
      </c>
      <c r="F61" s="5">
        <v>27356227.761644099</v>
      </c>
      <c r="G61" s="5">
        <v>23089943.296848301</v>
      </c>
      <c r="H61" s="5">
        <v>23136941.141011499</v>
      </c>
      <c r="I61" s="5">
        <v>7314440.9991933098</v>
      </c>
      <c r="J61" s="5">
        <v>25867016.343835101</v>
      </c>
      <c r="K61" s="5">
        <v>19532323.490297601</v>
      </c>
      <c r="L61" s="5">
        <v>32815828.475446001</v>
      </c>
      <c r="M61" s="5">
        <v>38269310.944615804</v>
      </c>
      <c r="N61" s="5">
        <v>29228650.301477298</v>
      </c>
      <c r="O61" s="5">
        <v>14178416.0688744</v>
      </c>
      <c r="P61" s="5">
        <v>25418651.504168801</v>
      </c>
      <c r="Q61" s="5">
        <v>36585375.104883999</v>
      </c>
      <c r="R61" s="5">
        <v>8899072.0404503699</v>
      </c>
      <c r="S61" s="5">
        <v>31153266.0532277</v>
      </c>
      <c r="T61" s="5">
        <v>41948439.898470402</v>
      </c>
      <c r="U61" s="5">
        <v>8281142.6180313602</v>
      </c>
      <c r="V61" s="5">
        <v>32488148.907795701</v>
      </c>
      <c r="W61" s="5">
        <v>29307116.7523029</v>
      </c>
      <c r="X61" s="5">
        <v>25492999.285643801</v>
      </c>
      <c r="Y61" s="5">
        <v>12350274.0539781</v>
      </c>
      <c r="Z61" s="5">
        <v>31775104.429432102</v>
      </c>
      <c r="AA61" s="5">
        <v>28199694.489401001</v>
      </c>
      <c r="AB61" s="5">
        <v>27587836.346182901</v>
      </c>
      <c r="AC61" s="5">
        <v>27186035.655150801</v>
      </c>
    </row>
    <row r="62" spans="1:29" x14ac:dyDescent="0.45">
      <c r="A62" s="5" t="s">
        <v>84</v>
      </c>
      <c r="B62" s="5">
        <v>37980566.108376399</v>
      </c>
      <c r="C62" s="5">
        <v>89258129.8118072</v>
      </c>
      <c r="D62" s="5">
        <v>80499656.859260499</v>
      </c>
      <c r="E62" s="5">
        <v>61209089.892901197</v>
      </c>
      <c r="F62" s="5">
        <v>7416274.4037790904</v>
      </c>
      <c r="G62" s="5">
        <v>38694023.317243896</v>
      </c>
      <c r="H62" s="5">
        <v>32691190.1516832</v>
      </c>
      <c r="I62" s="5">
        <v>151247584.959227</v>
      </c>
      <c r="J62" s="5">
        <v>38738303.302514002</v>
      </c>
      <c r="K62" s="5">
        <v>46189708.449962899</v>
      </c>
      <c r="L62" s="5">
        <v>17725823.0821779</v>
      </c>
      <c r="M62" s="5">
        <v>112895532.168734</v>
      </c>
      <c r="N62" s="5">
        <v>39009028.006308101</v>
      </c>
      <c r="O62" s="5">
        <v>30922024.416298099</v>
      </c>
      <c r="P62" s="5">
        <v>27864007.987191599</v>
      </c>
      <c r="Q62" s="5">
        <v>98151025.376763001</v>
      </c>
      <c r="R62" s="5">
        <v>62557339.971091799</v>
      </c>
      <c r="S62" s="5">
        <v>69857960.440270603</v>
      </c>
      <c r="T62" s="5">
        <v>3833193.1319934102</v>
      </c>
      <c r="U62" s="5">
        <v>19721166.652157102</v>
      </c>
      <c r="V62" s="5">
        <v>35447193.390091799</v>
      </c>
      <c r="W62" s="5">
        <v>26776615.8146533</v>
      </c>
      <c r="X62" s="5">
        <v>597797994.979599</v>
      </c>
      <c r="Y62" s="5">
        <v>4920369.5943578798</v>
      </c>
      <c r="Z62" s="5">
        <v>49356934.573501803</v>
      </c>
      <c r="AA62" s="5">
        <v>55180813.433428101</v>
      </c>
      <c r="AB62" s="5">
        <v>52563109.763286799</v>
      </c>
      <c r="AC62" s="5">
        <v>55218990.298248902</v>
      </c>
    </row>
    <row r="63" spans="1:29" x14ac:dyDescent="0.45">
      <c r="A63" s="5" t="s">
        <v>85</v>
      </c>
      <c r="B63" s="5">
        <v>17064178.8630086</v>
      </c>
      <c r="C63" s="5">
        <v>48325083.766518503</v>
      </c>
      <c r="D63" s="5">
        <v>60013150.603736997</v>
      </c>
      <c r="E63" s="5">
        <v>31358656.649962701</v>
      </c>
      <c r="F63" s="5">
        <v>24839350.652734701</v>
      </c>
      <c r="G63" s="5">
        <v>28373631.295508798</v>
      </c>
      <c r="H63" s="5">
        <v>11270560.2195064</v>
      </c>
      <c r="I63" s="5">
        <v>24324827.562113401</v>
      </c>
      <c r="J63" s="5">
        <v>30735994.270205501</v>
      </c>
      <c r="K63" s="5">
        <v>23300860.5422532</v>
      </c>
      <c r="L63" s="5">
        <v>44931699.027210802</v>
      </c>
      <c r="M63" s="5">
        <v>49798880.462673001</v>
      </c>
      <c r="N63" s="5">
        <v>21441011.1539164</v>
      </c>
      <c r="O63" s="5">
        <v>27692843.282695699</v>
      </c>
      <c r="P63" s="5">
        <v>16603172.935444999</v>
      </c>
      <c r="Q63" s="5">
        <v>35517360.899986103</v>
      </c>
      <c r="R63" s="5">
        <v>24360966.522269901</v>
      </c>
      <c r="S63" s="5">
        <v>33182957.0241214</v>
      </c>
      <c r="T63" s="5">
        <v>59469111.7355875</v>
      </c>
      <c r="U63" s="5">
        <v>27027179.3391429</v>
      </c>
      <c r="V63" s="5">
        <v>32794888.145672102</v>
      </c>
      <c r="W63" s="5">
        <v>19077832.809250399</v>
      </c>
      <c r="X63" s="5">
        <v>50629697.211312398</v>
      </c>
      <c r="Y63" s="5">
        <v>29228104.564119</v>
      </c>
      <c r="Z63" s="5">
        <v>31921113.192209002</v>
      </c>
      <c r="AA63" s="5">
        <v>32791681.806610201</v>
      </c>
      <c r="AB63" s="5">
        <v>32839725.334609199</v>
      </c>
      <c r="AC63" s="5">
        <v>32939503.985903699</v>
      </c>
    </row>
    <row r="64" spans="1:29" x14ac:dyDescent="0.45">
      <c r="A64" s="5" t="s">
        <v>86</v>
      </c>
      <c r="B64" s="5">
        <v>36884576.632171899</v>
      </c>
      <c r="C64" s="5">
        <v>31805849.2822823</v>
      </c>
      <c r="D64" s="5">
        <v>59625323.777469903</v>
      </c>
      <c r="E64" s="5">
        <v>42553214.4257465</v>
      </c>
      <c r="F64" s="5">
        <v>39902985.626782499</v>
      </c>
      <c r="G64" s="5">
        <v>33820404.402256101</v>
      </c>
      <c r="H64" s="5">
        <v>41592268.997665703</v>
      </c>
      <c r="I64" s="5">
        <v>135058020.172968</v>
      </c>
      <c r="J64" s="5">
        <v>77425623.762736797</v>
      </c>
      <c r="K64" s="5">
        <v>25382448.342842799</v>
      </c>
      <c r="L64" s="5">
        <v>57799928.4938896</v>
      </c>
      <c r="M64" s="5">
        <v>27227907.970582899</v>
      </c>
      <c r="N64" s="5">
        <v>58898532.526474804</v>
      </c>
      <c r="O64" s="5">
        <v>83587807.318709895</v>
      </c>
      <c r="P64" s="5">
        <v>94984105.150950894</v>
      </c>
      <c r="Q64" s="5">
        <v>33050579.059150402</v>
      </c>
      <c r="R64" s="5">
        <v>46696457.4011079</v>
      </c>
      <c r="S64" s="5">
        <v>58776206.145489603</v>
      </c>
      <c r="T64" s="5">
        <v>72319691.398665607</v>
      </c>
      <c r="U64" s="5">
        <v>46084786.328613698</v>
      </c>
      <c r="V64" s="5">
        <v>70755675.933106706</v>
      </c>
      <c r="W64" s="5">
        <v>51922919.815573297</v>
      </c>
      <c r="X64" s="5">
        <v>100400968.714499</v>
      </c>
      <c r="Y64" s="5">
        <v>62705480.913340203</v>
      </c>
      <c r="Z64" s="5">
        <v>44645984.727019899</v>
      </c>
      <c r="AA64" s="5">
        <v>52508136.472373202</v>
      </c>
      <c r="AB64" s="5">
        <v>49414614.205397896</v>
      </c>
      <c r="AC64" s="5">
        <v>53433967.571420603</v>
      </c>
    </row>
    <row r="65" spans="1:29" x14ac:dyDescent="0.45">
      <c r="A65" s="5" t="s">
        <v>282</v>
      </c>
      <c r="B65" s="5">
        <v>65961750.739041299</v>
      </c>
      <c r="C65" s="5">
        <v>33109793.2812186</v>
      </c>
      <c r="D65" s="5">
        <v>61172560.914348803</v>
      </c>
      <c r="E65" s="5">
        <v>57141316.808120802</v>
      </c>
      <c r="F65" s="5">
        <v>25505062.717403799</v>
      </c>
      <c r="G65" s="5">
        <v>39353014.877638198</v>
      </c>
      <c r="H65" s="5">
        <v>56033145.824232303</v>
      </c>
      <c r="I65" s="5">
        <v>91282360.128673896</v>
      </c>
      <c r="J65" s="5">
        <v>22579159.430144802</v>
      </c>
      <c r="K65" s="5">
        <v>76936792.682861596</v>
      </c>
      <c r="L65" s="5">
        <v>31658878.791135501</v>
      </c>
      <c r="M65" s="5">
        <v>32140463.388089899</v>
      </c>
      <c r="N65" s="5">
        <v>39091930.685550801</v>
      </c>
      <c r="O65" s="5">
        <v>118603364.25236601</v>
      </c>
      <c r="P65" s="5">
        <v>140048867.14348099</v>
      </c>
      <c r="Q65" s="5">
        <v>9254398.7613899205</v>
      </c>
      <c r="R65" s="5">
        <v>52611139.354537301</v>
      </c>
      <c r="S65" s="5">
        <v>86636080.976089701</v>
      </c>
      <c r="T65" s="5">
        <v>21507799.2776151</v>
      </c>
      <c r="U65" s="5">
        <v>74301859.6770778</v>
      </c>
      <c r="V65" s="5">
        <v>68475874.114025697</v>
      </c>
      <c r="W65" s="5">
        <v>72095908.368745506</v>
      </c>
      <c r="X65" s="5">
        <v>104611886.64763799</v>
      </c>
      <c r="Y65" s="5">
        <v>61658227.639862202</v>
      </c>
      <c r="Z65" s="5">
        <v>55349734.687435701</v>
      </c>
      <c r="AA65" s="5">
        <v>58147442.787318401</v>
      </c>
      <c r="AB65" s="5">
        <v>64471161.388795704</v>
      </c>
      <c r="AC65" s="5">
        <v>62416188.273628198</v>
      </c>
    </row>
    <row r="66" spans="1:29" x14ac:dyDescent="0.45">
      <c r="A66" s="5" t="s">
        <v>87</v>
      </c>
      <c r="B66" s="5">
        <v>786629711.13840604</v>
      </c>
      <c r="C66" s="5">
        <v>574816915.596609</v>
      </c>
      <c r="D66" s="5">
        <v>689794372.06054497</v>
      </c>
      <c r="E66" s="5">
        <v>727693061.81429696</v>
      </c>
      <c r="F66" s="5">
        <v>831780195.35480201</v>
      </c>
      <c r="G66" s="5">
        <v>718090318.47083294</v>
      </c>
      <c r="H66" s="5">
        <v>789282208.887586</v>
      </c>
      <c r="I66" s="5">
        <v>855938781.63506997</v>
      </c>
      <c r="J66" s="5">
        <v>841525948.67498899</v>
      </c>
      <c r="K66" s="5">
        <v>597201675.54854298</v>
      </c>
      <c r="L66" s="5">
        <v>872245140.12962997</v>
      </c>
      <c r="M66" s="5">
        <v>714608724.65515399</v>
      </c>
      <c r="N66" s="5">
        <v>675857770.89492595</v>
      </c>
      <c r="O66" s="5">
        <v>597896118.64356506</v>
      </c>
      <c r="P66" s="5">
        <v>714480959.91036701</v>
      </c>
      <c r="Q66" s="5">
        <v>632623500.68707895</v>
      </c>
      <c r="R66" s="5">
        <v>989269050.36996806</v>
      </c>
      <c r="S66" s="5">
        <v>838871414.42981803</v>
      </c>
      <c r="T66" s="5">
        <v>965153119.71930695</v>
      </c>
      <c r="U66" s="5">
        <v>889804477.29730904</v>
      </c>
      <c r="V66" s="5">
        <v>663524527.52279103</v>
      </c>
      <c r="W66" s="5">
        <v>971535258.98066795</v>
      </c>
      <c r="X66" s="5">
        <v>945271706.48527503</v>
      </c>
      <c r="Y66" s="5">
        <v>955712541.53089797</v>
      </c>
      <c r="Z66" s="5">
        <v>621057117.62894201</v>
      </c>
      <c r="AA66" s="5">
        <v>707217669.81686902</v>
      </c>
      <c r="AB66" s="5">
        <v>704960655.10877502</v>
      </c>
      <c r="AC66" s="5">
        <v>758844835.70095205</v>
      </c>
    </row>
    <row r="67" spans="1:29" x14ac:dyDescent="0.45">
      <c r="A67" s="5" t="s">
        <v>88</v>
      </c>
      <c r="B67" s="5">
        <v>72300796.313485906</v>
      </c>
      <c r="C67" s="5">
        <v>69940155.408752993</v>
      </c>
      <c r="D67" s="5">
        <v>70669631.309311301</v>
      </c>
      <c r="E67" s="5">
        <v>18999189.955992699</v>
      </c>
      <c r="F67" s="5">
        <v>6673207.4722288102</v>
      </c>
      <c r="G67" s="5">
        <v>7945460.5244650804</v>
      </c>
      <c r="H67" s="5">
        <v>5825017.8297349904</v>
      </c>
      <c r="I67" s="5">
        <v>25011403.218855899</v>
      </c>
      <c r="J67" s="5">
        <v>15910279.583362799</v>
      </c>
      <c r="K67" s="5">
        <v>46788229.185685202</v>
      </c>
      <c r="L67" s="5">
        <v>7796993.7540637599</v>
      </c>
      <c r="M67" s="5">
        <v>5498017.3252313295</v>
      </c>
      <c r="N67" s="5">
        <v>36823316.247581199</v>
      </c>
      <c r="O67" s="5">
        <v>21655333.911960199</v>
      </c>
      <c r="P67" s="5">
        <v>24034635.274548899</v>
      </c>
      <c r="Q67" s="5">
        <v>6783728.48438951</v>
      </c>
      <c r="R67" s="5">
        <v>7816989.1649958696</v>
      </c>
      <c r="S67" s="5">
        <v>5970566.9069830403</v>
      </c>
      <c r="T67" s="5">
        <v>8028820.24740062</v>
      </c>
      <c r="U67" s="5">
        <v>21938175.393980499</v>
      </c>
      <c r="V67" s="5">
        <v>9140319.3263149392</v>
      </c>
      <c r="W67" s="5">
        <v>5790216.0857307799</v>
      </c>
      <c r="X67" s="5">
        <v>22396562.429322001</v>
      </c>
      <c r="Y67" s="5">
        <v>22342876.935184099</v>
      </c>
      <c r="Z67" s="5">
        <v>25847167.599489599</v>
      </c>
      <c r="AA67" s="5">
        <v>26185567.3160071</v>
      </c>
      <c r="AB67" s="5">
        <v>25901791.591324899</v>
      </c>
      <c r="AC67" s="5">
        <v>25752588.2264788</v>
      </c>
    </row>
    <row r="68" spans="1:29" x14ac:dyDescent="0.45">
      <c r="A68" s="5" t="s">
        <v>89</v>
      </c>
      <c r="B68" s="5">
        <v>2639342.8973042001</v>
      </c>
      <c r="C68" s="5">
        <v>2982877.4684772301</v>
      </c>
      <c r="D68" s="5">
        <v>2323913.0112563502</v>
      </c>
      <c r="E68" s="5">
        <v>8935877.4963858891</v>
      </c>
      <c r="F68" s="5">
        <v>7629633.49334192</v>
      </c>
      <c r="G68" s="5">
        <v>5831389.6016460396</v>
      </c>
      <c r="H68" s="5">
        <v>4094003.2578380099</v>
      </c>
      <c r="I68" s="5">
        <v>1453848.40124751</v>
      </c>
      <c r="J68" s="5">
        <v>3684809.5092800399</v>
      </c>
      <c r="K68" s="5">
        <v>2476160.1933919098</v>
      </c>
      <c r="L68" s="5">
        <v>4240905.9799752496</v>
      </c>
      <c r="M68" s="5">
        <v>5025321.1307774</v>
      </c>
      <c r="N68" s="5">
        <v>9549139.9185268097</v>
      </c>
      <c r="O68" s="5">
        <v>2974657.4594395799</v>
      </c>
      <c r="P68" s="5">
        <v>6364904.3542130198</v>
      </c>
      <c r="Q68" s="5">
        <v>6331754.1362632401</v>
      </c>
      <c r="R68" s="5">
        <v>7916139.0019081002</v>
      </c>
      <c r="S68" s="5">
        <v>6617265.7239243304</v>
      </c>
      <c r="T68" s="5">
        <v>6580416.4831097499</v>
      </c>
      <c r="U68" s="5">
        <v>5063719.24944288</v>
      </c>
      <c r="V68" s="5">
        <v>9969911.5322009996</v>
      </c>
      <c r="W68" s="5">
        <v>4101972.7504955502</v>
      </c>
      <c r="X68" s="5">
        <v>2754468.2559858798</v>
      </c>
      <c r="Y68" s="5">
        <v>6785078.9410044895</v>
      </c>
      <c r="Z68" s="5">
        <v>3607081.8193839001</v>
      </c>
      <c r="AA68" s="5">
        <v>4688061.8036071602</v>
      </c>
      <c r="AB68" s="5">
        <v>4291387.2651594197</v>
      </c>
      <c r="AC68" s="5">
        <v>4253162.0620962102</v>
      </c>
    </row>
    <row r="69" spans="1:29" x14ac:dyDescent="0.45">
      <c r="A69" s="5" t="s">
        <v>283</v>
      </c>
      <c r="B69" s="5">
        <v>65873108.680822603</v>
      </c>
      <c r="C69" s="5">
        <v>244856402.93563399</v>
      </c>
      <c r="D69" s="5">
        <v>166585487.32469499</v>
      </c>
      <c r="E69" s="5">
        <v>92661051.024431005</v>
      </c>
      <c r="F69" s="5">
        <v>70226499.602753401</v>
      </c>
      <c r="G69" s="5">
        <v>142928251.837859</v>
      </c>
      <c r="H69" s="5">
        <v>150561324.69797799</v>
      </c>
      <c r="I69" s="5">
        <v>188052024.18139401</v>
      </c>
      <c r="J69" s="5">
        <v>106155371.87943</v>
      </c>
      <c r="K69" s="5">
        <v>185146300.305426</v>
      </c>
      <c r="L69" s="5">
        <v>91092673.272835404</v>
      </c>
      <c r="M69" s="5">
        <v>234340360.53400701</v>
      </c>
      <c r="N69" s="5">
        <v>456486830.96472102</v>
      </c>
      <c r="O69" s="5">
        <v>523123917.00344801</v>
      </c>
      <c r="P69" s="5">
        <v>216461846.97337899</v>
      </c>
      <c r="Q69" s="5">
        <v>378950831.20073998</v>
      </c>
      <c r="R69" s="5">
        <v>102447560.648072</v>
      </c>
      <c r="S69" s="5">
        <v>230708725.47137299</v>
      </c>
      <c r="T69" s="5">
        <v>111070847.26508801</v>
      </c>
      <c r="U69" s="5">
        <v>223711271.760075</v>
      </c>
      <c r="V69" s="5">
        <v>464771680.52628899</v>
      </c>
      <c r="W69" s="5">
        <v>185616910.87413901</v>
      </c>
      <c r="X69" s="5">
        <v>276753628.27002603</v>
      </c>
      <c r="Y69" s="5">
        <v>122615641.173833</v>
      </c>
      <c r="Z69" s="5">
        <v>189679879.657076</v>
      </c>
      <c r="AA69" s="5">
        <v>205779642.082196</v>
      </c>
      <c r="AB69" s="5">
        <v>212823128.626416</v>
      </c>
      <c r="AC69" s="5">
        <v>215405784.500227</v>
      </c>
    </row>
    <row r="70" spans="1:29" x14ac:dyDescent="0.45">
      <c r="A70" s="5" t="s">
        <v>90</v>
      </c>
      <c r="B70" s="5">
        <v>69495529.239730701</v>
      </c>
      <c r="C70" s="5">
        <v>58143822.485641703</v>
      </c>
      <c r="D70" s="5">
        <v>60508583.545051299</v>
      </c>
      <c r="E70" s="5">
        <v>79252472.114671603</v>
      </c>
      <c r="F70" s="5">
        <v>94360280.272682801</v>
      </c>
      <c r="G70" s="5">
        <v>69266531.644511297</v>
      </c>
      <c r="H70" s="5">
        <v>81178272.509319097</v>
      </c>
      <c r="I70" s="5">
        <v>127270302.801615</v>
      </c>
      <c r="J70" s="5">
        <v>95859143.296377599</v>
      </c>
      <c r="K70" s="5">
        <v>110280249.998133</v>
      </c>
      <c r="L70" s="5">
        <v>33299366.970409401</v>
      </c>
      <c r="M70" s="5">
        <v>88332249.853648201</v>
      </c>
      <c r="N70" s="5">
        <v>53313603.047368698</v>
      </c>
      <c r="O70" s="5">
        <v>61200582.483765498</v>
      </c>
      <c r="P70" s="5">
        <v>58188250.1478002</v>
      </c>
      <c r="Q70" s="5">
        <v>58222857.353337899</v>
      </c>
      <c r="R70" s="5">
        <v>82939639.313052297</v>
      </c>
      <c r="S70" s="5">
        <v>75360593.485149696</v>
      </c>
      <c r="T70" s="5">
        <v>103095070.048987</v>
      </c>
      <c r="U70" s="5">
        <v>106956272.71202099</v>
      </c>
      <c r="V70" s="5">
        <v>67387396.867631897</v>
      </c>
      <c r="W70" s="5">
        <v>76347046.379192397</v>
      </c>
      <c r="X70" s="5">
        <v>134348602.03304699</v>
      </c>
      <c r="Y70" s="5">
        <v>29003562.625550099</v>
      </c>
      <c r="Z70" s="5">
        <v>64668622.504786603</v>
      </c>
      <c r="AA70" s="5">
        <v>70990899.967720807</v>
      </c>
      <c r="AB70" s="5">
        <v>72713038.439192295</v>
      </c>
      <c r="AC70" s="5">
        <v>76231194.345699102</v>
      </c>
    </row>
    <row r="71" spans="1:29" x14ac:dyDescent="0.45">
      <c r="A71" s="5" t="s">
        <v>284</v>
      </c>
      <c r="B71" s="5">
        <v>49406514.586765803</v>
      </c>
      <c r="C71" s="5">
        <v>37110199.265976198</v>
      </c>
      <c r="D71" s="5">
        <v>40975272.113760702</v>
      </c>
      <c r="E71" s="5">
        <v>42779528.871453702</v>
      </c>
      <c r="F71" s="5">
        <v>46526679.7270317</v>
      </c>
      <c r="G71" s="5">
        <v>44592418.797225296</v>
      </c>
      <c r="H71" s="5">
        <v>40062805.343073703</v>
      </c>
      <c r="I71" s="5">
        <v>37645443.707201898</v>
      </c>
      <c r="J71" s="5">
        <v>41370909.382069297</v>
      </c>
      <c r="K71" s="5">
        <v>33529981.5276764</v>
      </c>
      <c r="L71" s="5">
        <v>41707415.294713803</v>
      </c>
      <c r="M71" s="5">
        <v>37124680.147368401</v>
      </c>
      <c r="N71" s="5">
        <v>35301413.389200903</v>
      </c>
      <c r="O71" s="5">
        <v>29312281.439200301</v>
      </c>
      <c r="P71" s="5">
        <v>40179997.5786478</v>
      </c>
      <c r="Q71" s="5">
        <v>31155354.6892973</v>
      </c>
      <c r="R71" s="5">
        <v>41562962.770161599</v>
      </c>
      <c r="S71" s="5">
        <v>42921709.136792898</v>
      </c>
      <c r="T71" s="5">
        <v>53569089.666339003</v>
      </c>
      <c r="U71" s="5">
        <v>44814007.557147197</v>
      </c>
      <c r="V71" s="5">
        <v>40587836.774343401</v>
      </c>
      <c r="W71" s="5">
        <v>40141883.398695298</v>
      </c>
      <c r="X71" s="5">
        <v>40631909.505008303</v>
      </c>
      <c r="Y71" s="5">
        <v>48318866.041083798</v>
      </c>
      <c r="Z71" s="5">
        <v>32402427.755665701</v>
      </c>
      <c r="AA71" s="5">
        <v>33775675.002831303</v>
      </c>
      <c r="AB71" s="5">
        <v>36040901.4299445</v>
      </c>
      <c r="AC71" s="5">
        <v>34091258.054127797</v>
      </c>
    </row>
    <row r="72" spans="1:29" x14ac:dyDescent="0.45">
      <c r="A72" s="5" t="s">
        <v>285</v>
      </c>
      <c r="B72" s="5">
        <v>61679075.9393254</v>
      </c>
      <c r="C72" s="5">
        <v>61952044.875257</v>
      </c>
      <c r="D72" s="5">
        <v>58990374.960465796</v>
      </c>
      <c r="E72" s="5">
        <v>78221414.574880794</v>
      </c>
      <c r="F72" s="5">
        <v>44220292.475484803</v>
      </c>
      <c r="G72" s="5">
        <v>49218674.043984003</v>
      </c>
      <c r="H72" s="5">
        <v>56650873.413725697</v>
      </c>
      <c r="I72" s="5">
        <v>35324746.973815799</v>
      </c>
      <c r="J72" s="5">
        <v>41102615.3585651</v>
      </c>
      <c r="K72" s="5">
        <v>53965386.559924804</v>
      </c>
      <c r="L72" s="5">
        <v>28883093.786025699</v>
      </c>
      <c r="M72" s="5">
        <v>58518609.139015697</v>
      </c>
      <c r="N72" s="5">
        <v>75828856.760695294</v>
      </c>
      <c r="O72" s="5">
        <v>49254023.507075101</v>
      </c>
      <c r="P72" s="5">
        <v>9789517.9799929094</v>
      </c>
      <c r="Q72" s="5">
        <v>81644022.790533096</v>
      </c>
      <c r="R72" s="5">
        <v>94562887.146360293</v>
      </c>
      <c r="S72" s="5">
        <v>90363024.669651493</v>
      </c>
      <c r="T72" s="5">
        <v>52412586.0347398</v>
      </c>
      <c r="U72" s="5">
        <v>64524340.790741801</v>
      </c>
      <c r="V72" s="5">
        <v>79559360.221627906</v>
      </c>
      <c r="W72" s="5">
        <v>65471494.139601797</v>
      </c>
      <c r="X72" s="5">
        <v>237320762.41631699</v>
      </c>
      <c r="Y72" s="5">
        <v>64051890.442637198</v>
      </c>
      <c r="Z72" s="5">
        <v>47300748.2023037</v>
      </c>
      <c r="AA72" s="5">
        <v>47907436.322479203</v>
      </c>
      <c r="AB72" s="5">
        <v>61373345.6957241</v>
      </c>
      <c r="AC72" s="5">
        <v>62014386.177857898</v>
      </c>
    </row>
    <row r="73" spans="1:29" x14ac:dyDescent="0.45">
      <c r="A73" s="5" t="s">
        <v>286</v>
      </c>
      <c r="B73" s="5">
        <v>6664747.1779255299</v>
      </c>
      <c r="C73" s="5">
        <v>10710342.2446611</v>
      </c>
      <c r="D73" s="5">
        <v>8884683.0259148497</v>
      </c>
      <c r="E73" s="5">
        <v>6489188.8125453098</v>
      </c>
      <c r="F73" s="5">
        <v>9454431.92516643</v>
      </c>
      <c r="G73" s="5">
        <v>10316372.5880893</v>
      </c>
      <c r="H73" s="5">
        <v>9030870.8546040691</v>
      </c>
      <c r="I73" s="5">
        <v>49516898.929958798</v>
      </c>
      <c r="J73" s="5">
        <v>17312263.303389899</v>
      </c>
      <c r="K73" s="5">
        <v>6559799.3139284104</v>
      </c>
      <c r="L73" s="5">
        <v>9898467.98092857</v>
      </c>
      <c r="M73" s="5">
        <v>7815873.7877091803</v>
      </c>
      <c r="N73" s="5">
        <v>10916638.1644729</v>
      </c>
      <c r="O73" s="5">
        <v>13772448.4572051</v>
      </c>
      <c r="P73" s="5">
        <v>8266497.1851507099</v>
      </c>
      <c r="Q73" s="5">
        <v>9667570.3730565291</v>
      </c>
      <c r="R73" s="5">
        <v>11720255.1037577</v>
      </c>
      <c r="S73" s="5">
        <v>9106717.3034877107</v>
      </c>
      <c r="T73" s="5">
        <v>10544172.8531825</v>
      </c>
      <c r="U73" s="5">
        <v>12521700.035861799</v>
      </c>
      <c r="V73" s="5">
        <v>14696085.389579499</v>
      </c>
      <c r="W73" s="5">
        <v>9405784.06164217</v>
      </c>
      <c r="X73" s="5">
        <v>49187465.171255603</v>
      </c>
      <c r="Y73" s="5">
        <v>6944674.5214981101</v>
      </c>
      <c r="Z73" s="5">
        <v>8841174.2530698702</v>
      </c>
      <c r="AA73" s="5">
        <v>9796136.9246741496</v>
      </c>
      <c r="AB73" s="5">
        <v>10388622.618819401</v>
      </c>
      <c r="AC73" s="5">
        <v>10290072.4995366</v>
      </c>
    </row>
    <row r="74" spans="1:29" x14ac:dyDescent="0.45">
      <c r="A74" s="5" t="s">
        <v>91</v>
      </c>
      <c r="B74" s="5">
        <v>23165174.506542299</v>
      </c>
      <c r="C74" s="5">
        <v>25216183.832159299</v>
      </c>
      <c r="D74" s="5">
        <v>24006588.6076313</v>
      </c>
      <c r="E74" s="5">
        <v>16473672.177216301</v>
      </c>
      <c r="F74" s="5">
        <v>19917795.1574688</v>
      </c>
      <c r="G74" s="5">
        <v>15159893.948409799</v>
      </c>
      <c r="H74" s="5">
        <v>29572686.8372606</v>
      </c>
      <c r="I74" s="5">
        <v>39165903.192864299</v>
      </c>
      <c r="J74" s="5">
        <v>26249573.030589599</v>
      </c>
      <c r="K74" s="5">
        <v>16030868.947857801</v>
      </c>
      <c r="L74" s="5">
        <v>32699128.874744002</v>
      </c>
      <c r="M74" s="5">
        <v>23500047.010574199</v>
      </c>
      <c r="N74" s="5">
        <v>26398803.1667905</v>
      </c>
      <c r="O74" s="5">
        <v>43645481.575033396</v>
      </c>
      <c r="P74" s="5">
        <v>47490600.317376502</v>
      </c>
      <c r="Q74" s="5">
        <v>19071580.6614304</v>
      </c>
      <c r="R74" s="5">
        <v>24360528.757107701</v>
      </c>
      <c r="S74" s="5">
        <v>23629458.892340802</v>
      </c>
      <c r="T74" s="5">
        <v>31630378.839966498</v>
      </c>
      <c r="U74" s="5">
        <v>46402953.734584197</v>
      </c>
      <c r="V74" s="5">
        <v>35119671.181810401</v>
      </c>
      <c r="W74" s="5">
        <v>34138687.714966901</v>
      </c>
      <c r="X74" s="5">
        <v>46236041.467570297</v>
      </c>
      <c r="Y74" s="5">
        <v>33551770.4833894</v>
      </c>
      <c r="Z74" s="5">
        <v>24460790.9980071</v>
      </c>
      <c r="AA74" s="5">
        <v>24741861.418345399</v>
      </c>
      <c r="AB74" s="5">
        <v>26909488.288967699</v>
      </c>
      <c r="AC74" s="5">
        <v>26050876.4958224</v>
      </c>
    </row>
    <row r="75" spans="1:29" x14ac:dyDescent="0.45">
      <c r="A75" s="5" t="s">
        <v>92</v>
      </c>
      <c r="B75" s="5">
        <v>13404007.365887601</v>
      </c>
      <c r="C75" s="5">
        <v>13924055.807189601</v>
      </c>
      <c r="D75" s="5">
        <v>7834973.4377237596</v>
      </c>
      <c r="E75" s="5">
        <v>6838053.49434336</v>
      </c>
      <c r="F75" s="5">
        <v>15703994.6320443</v>
      </c>
      <c r="G75" s="5">
        <v>8707586.4524016399</v>
      </c>
      <c r="H75" s="5">
        <v>9064524.1276726406</v>
      </c>
      <c r="I75" s="5">
        <v>13595096.944940001</v>
      </c>
      <c r="J75" s="5">
        <v>5563588.3834571401</v>
      </c>
      <c r="K75" s="5">
        <v>8243209.4319896996</v>
      </c>
      <c r="L75" s="5">
        <v>15415021.7690323</v>
      </c>
      <c r="M75" s="5">
        <v>7054705.0687803999</v>
      </c>
      <c r="N75" s="5">
        <v>10934980.1696166</v>
      </c>
      <c r="O75" s="5">
        <v>18246012.832499102</v>
      </c>
      <c r="P75" s="5">
        <v>10316203.094061101</v>
      </c>
      <c r="Q75" s="5">
        <v>13960908.271201599</v>
      </c>
      <c r="R75" s="5">
        <v>6000154.2889964599</v>
      </c>
      <c r="S75" s="5">
        <v>11585540.739420099</v>
      </c>
      <c r="T75" s="5">
        <v>14934008.7974621</v>
      </c>
      <c r="U75" s="5">
        <v>15114756.5639273</v>
      </c>
      <c r="V75" s="5">
        <v>14798142.4065414</v>
      </c>
      <c r="W75" s="5">
        <v>9004616.0734063908</v>
      </c>
      <c r="X75" s="5">
        <v>9540326.4783353601</v>
      </c>
      <c r="Y75" s="5">
        <v>10433685.3231501</v>
      </c>
      <c r="Z75" s="5">
        <v>8928431.7320197895</v>
      </c>
      <c r="AA75" s="5">
        <v>8693252.4274715707</v>
      </c>
      <c r="AB75" s="5">
        <v>8234483.8103578398</v>
      </c>
      <c r="AC75" s="5">
        <v>8635435.5659396295</v>
      </c>
    </row>
    <row r="76" spans="1:29" x14ac:dyDescent="0.45">
      <c r="A76" s="5" t="s">
        <v>93</v>
      </c>
      <c r="B76" s="5">
        <v>2273931278.50209</v>
      </c>
      <c r="C76" s="5">
        <v>1457263963.5294499</v>
      </c>
      <c r="D76" s="5">
        <v>1911215841.6710801</v>
      </c>
      <c r="E76" s="5">
        <v>2025136959.66959</v>
      </c>
      <c r="F76" s="5">
        <v>1667999003.26104</v>
      </c>
      <c r="G76" s="5">
        <v>1909826481.9391699</v>
      </c>
      <c r="H76" s="5">
        <v>1914934946.1135099</v>
      </c>
      <c r="I76" s="5">
        <v>2230992174.09582</v>
      </c>
      <c r="J76" s="5">
        <v>2008509313.4395499</v>
      </c>
      <c r="K76" s="5">
        <v>3715748583.69032</v>
      </c>
      <c r="L76" s="5">
        <v>1845767866.59904</v>
      </c>
      <c r="M76" s="5">
        <v>1994272855.1352501</v>
      </c>
      <c r="N76" s="5">
        <v>84421949.960254505</v>
      </c>
      <c r="O76" s="5">
        <v>157840917.75259799</v>
      </c>
      <c r="P76" s="5">
        <v>110366504.110441</v>
      </c>
      <c r="Q76" s="5">
        <v>1804667411.9268701</v>
      </c>
      <c r="R76" s="5">
        <v>3575334676.7747998</v>
      </c>
      <c r="S76" s="5">
        <v>2527539735.5062399</v>
      </c>
      <c r="T76" s="5">
        <v>2592721817.5991302</v>
      </c>
      <c r="U76" s="5">
        <v>2343811340.3487802</v>
      </c>
      <c r="V76" s="5">
        <v>1680896669.7049201</v>
      </c>
      <c r="W76" s="5">
        <v>2193662455.96064</v>
      </c>
      <c r="X76" s="5">
        <v>2236364610.6201401</v>
      </c>
      <c r="Y76" s="5">
        <v>1817902169.35028</v>
      </c>
      <c r="Z76" s="5">
        <v>1684058353.2185199</v>
      </c>
      <c r="AA76" s="5">
        <v>1630204816.9512999</v>
      </c>
      <c r="AB76" s="5">
        <v>1546280662.42893</v>
      </c>
      <c r="AC76" s="5">
        <v>1440834316.99564</v>
      </c>
    </row>
    <row r="77" spans="1:29" x14ac:dyDescent="0.45">
      <c r="A77" s="5" t="s">
        <v>94</v>
      </c>
      <c r="B77" s="5">
        <v>410398762.21323699</v>
      </c>
      <c r="C77" s="5">
        <v>449617378.369582</v>
      </c>
      <c r="D77" s="5">
        <v>584376098.20916998</v>
      </c>
      <c r="E77" s="5">
        <v>514050939.60863298</v>
      </c>
      <c r="F77" s="5">
        <v>208345890.38973901</v>
      </c>
      <c r="G77" s="5">
        <v>321622526.848903</v>
      </c>
      <c r="H77" s="5">
        <v>423494664.86486298</v>
      </c>
      <c r="I77" s="5">
        <v>175742120.00805601</v>
      </c>
      <c r="J77" s="5">
        <v>463189796.32146698</v>
      </c>
      <c r="K77" s="5">
        <v>437812013.75084698</v>
      </c>
      <c r="L77" s="5">
        <v>326622032.40712398</v>
      </c>
      <c r="M77" s="5">
        <v>489397049.84502703</v>
      </c>
      <c r="N77" s="5">
        <v>408370108.205127</v>
      </c>
      <c r="O77" s="5">
        <v>465802336.89180201</v>
      </c>
      <c r="P77" s="5">
        <v>238664923.28744501</v>
      </c>
      <c r="Q77" s="5">
        <v>334497742.85113001</v>
      </c>
      <c r="R77" s="5">
        <v>350516543.56759399</v>
      </c>
      <c r="S77" s="5">
        <v>559203710.65669096</v>
      </c>
      <c r="T77" s="5">
        <v>360501265.85706502</v>
      </c>
      <c r="U77" s="5">
        <v>428900624.76450902</v>
      </c>
      <c r="V77" s="5">
        <v>352043634.46128303</v>
      </c>
      <c r="W77" s="5">
        <v>360979840.25514901</v>
      </c>
      <c r="X77" s="5">
        <v>438483687.32617998</v>
      </c>
      <c r="Y77" s="5">
        <v>394680756.70506001</v>
      </c>
      <c r="Z77" s="5">
        <v>401005971.24370599</v>
      </c>
      <c r="AA77" s="5">
        <v>336066430.09085602</v>
      </c>
      <c r="AB77" s="5">
        <v>378719072.748914</v>
      </c>
      <c r="AC77" s="5">
        <v>377611053.01907003</v>
      </c>
    </row>
    <row r="78" spans="1:29" x14ac:dyDescent="0.45">
      <c r="A78" s="5" t="s">
        <v>95</v>
      </c>
      <c r="B78" s="5">
        <v>5467049.4890706297</v>
      </c>
      <c r="C78" s="5">
        <v>10605049.761060899</v>
      </c>
      <c r="D78" s="5">
        <v>10867372.005759999</v>
      </c>
      <c r="E78" s="5">
        <v>1571808.6051038499</v>
      </c>
      <c r="F78" s="5">
        <v>1304488.9658655699</v>
      </c>
      <c r="G78" s="5">
        <v>19669925.2092732</v>
      </c>
      <c r="H78" s="5">
        <v>804679.65487007203</v>
      </c>
      <c r="I78" s="5">
        <v>17844612.239472099</v>
      </c>
      <c r="J78" s="5">
        <v>962179.39539476403</v>
      </c>
      <c r="K78" s="5">
        <v>26460813.235941201</v>
      </c>
      <c r="L78" s="5">
        <v>883546.60323906096</v>
      </c>
      <c r="M78" s="5">
        <v>4375519.3267330099</v>
      </c>
      <c r="N78" s="5">
        <v>9104409.9562917091</v>
      </c>
      <c r="O78" s="5">
        <v>1932170.5091091399</v>
      </c>
      <c r="P78" s="5">
        <v>4252942.1518147998</v>
      </c>
      <c r="Q78" s="5">
        <v>804426.55209731997</v>
      </c>
      <c r="R78" s="5">
        <v>1442193.3569578901</v>
      </c>
      <c r="S78" s="5">
        <v>1433494.24708444</v>
      </c>
      <c r="T78" s="5">
        <v>1127367.11003504</v>
      </c>
      <c r="U78" s="5">
        <v>997701.51677913405</v>
      </c>
      <c r="V78" s="5">
        <v>986934.48055074096</v>
      </c>
      <c r="W78" s="5">
        <v>1702567.48587734</v>
      </c>
      <c r="X78" s="5">
        <v>17721247.750460301</v>
      </c>
      <c r="Y78" s="5">
        <v>3485786.1386631099</v>
      </c>
      <c r="Z78" s="5">
        <v>6545452.0384774702</v>
      </c>
      <c r="AA78" s="5">
        <v>4216713.1533937398</v>
      </c>
      <c r="AB78" s="5">
        <v>4126898.8481728998</v>
      </c>
      <c r="AC78" s="5">
        <v>5427678.4576588804</v>
      </c>
    </row>
    <row r="79" spans="1:29" x14ac:dyDescent="0.45">
      <c r="A79" s="5" t="s">
        <v>96</v>
      </c>
      <c r="B79" s="5">
        <v>85956025.006910294</v>
      </c>
      <c r="C79" s="5">
        <v>99971170.237525806</v>
      </c>
      <c r="D79" s="5">
        <v>130203688.502032</v>
      </c>
      <c r="E79" s="5">
        <v>66445528.997263402</v>
      </c>
      <c r="F79" s="5">
        <v>103675013.10730401</v>
      </c>
      <c r="G79" s="5">
        <v>71880522.885965094</v>
      </c>
      <c r="H79" s="5">
        <v>89664996.1215211</v>
      </c>
      <c r="I79" s="5">
        <v>28474637.253944799</v>
      </c>
      <c r="J79" s="5">
        <v>113795013.492053</v>
      </c>
      <c r="K79" s="5">
        <v>40395195.160674997</v>
      </c>
      <c r="L79" s="5">
        <v>86583863.832217798</v>
      </c>
      <c r="M79" s="5">
        <v>95490500.067392603</v>
      </c>
      <c r="N79" s="5">
        <v>56101497.006515399</v>
      </c>
      <c r="O79" s="5">
        <v>48630157.668907501</v>
      </c>
      <c r="P79" s="5">
        <v>50520909.196122199</v>
      </c>
      <c r="Q79" s="5">
        <v>68324484.444983795</v>
      </c>
      <c r="R79" s="5">
        <v>45970288.5769023</v>
      </c>
      <c r="S79" s="5">
        <v>114108766.424558</v>
      </c>
      <c r="T79" s="5">
        <v>131675808.93243</v>
      </c>
      <c r="U79" s="5">
        <v>97410169.977829501</v>
      </c>
      <c r="V79" s="5">
        <v>84853531.555748403</v>
      </c>
      <c r="W79" s="5">
        <v>66788189.846555598</v>
      </c>
      <c r="X79" s="5">
        <v>30560433.714767601</v>
      </c>
      <c r="Y79" s="5">
        <v>48451511.707822599</v>
      </c>
      <c r="Z79" s="5">
        <v>86096479.709773704</v>
      </c>
      <c r="AA79" s="5">
        <v>86718214.910623193</v>
      </c>
      <c r="AB79" s="5">
        <v>85435430.014083803</v>
      </c>
      <c r="AC79" s="5">
        <v>86164646.826293707</v>
      </c>
    </row>
    <row r="80" spans="1:29" x14ac:dyDescent="0.45">
      <c r="A80" s="5" t="s">
        <v>97</v>
      </c>
      <c r="B80" s="5">
        <v>18733822.987638399</v>
      </c>
      <c r="C80" s="5">
        <v>20981115.307020199</v>
      </c>
      <c r="D80" s="5">
        <v>27199211.8325071</v>
      </c>
      <c r="E80" s="5">
        <v>25451122.446651101</v>
      </c>
      <c r="F80" s="5">
        <v>22224733.545668699</v>
      </c>
      <c r="G80" s="5">
        <v>19873351.179277498</v>
      </c>
      <c r="H80" s="5">
        <v>13907922.080275999</v>
      </c>
      <c r="I80" s="5">
        <v>10929374.747773901</v>
      </c>
      <c r="J80" s="5">
        <v>22826072.5904117</v>
      </c>
      <c r="K80" s="5">
        <v>17493952.106068</v>
      </c>
      <c r="L80" s="5">
        <v>20098286.945348799</v>
      </c>
      <c r="M80" s="5">
        <v>20735597.111370999</v>
      </c>
      <c r="N80" s="5">
        <v>20958016.255827598</v>
      </c>
      <c r="O80" s="5">
        <v>20738472.5638282</v>
      </c>
      <c r="P80" s="5">
        <v>14953093.274622099</v>
      </c>
      <c r="Q80" s="5">
        <v>23761922.286656901</v>
      </c>
      <c r="R80" s="5">
        <v>24386270.9069543</v>
      </c>
      <c r="S80" s="5">
        <v>25758911.420464601</v>
      </c>
      <c r="T80" s="5">
        <v>26879374.954815499</v>
      </c>
      <c r="U80" s="5">
        <v>26591002.270122901</v>
      </c>
      <c r="V80" s="5">
        <v>27000425.077237699</v>
      </c>
      <c r="W80" s="5">
        <v>24009891.277690001</v>
      </c>
      <c r="X80" s="5">
        <v>20645468.6127734</v>
      </c>
      <c r="Y80" s="5">
        <v>19802908.7299558</v>
      </c>
      <c r="Z80" s="5">
        <v>23501278.526201598</v>
      </c>
      <c r="AA80" s="5">
        <v>22777172.422114801</v>
      </c>
      <c r="AB80" s="5">
        <v>22990134.3987929</v>
      </c>
      <c r="AC80" s="5">
        <v>21220147.955067798</v>
      </c>
    </row>
    <row r="81" spans="1:29" x14ac:dyDescent="0.45">
      <c r="A81" s="5" t="s">
        <v>287</v>
      </c>
      <c r="B81" s="5">
        <v>38527639.587489702</v>
      </c>
      <c r="C81" s="5">
        <v>47287411.637023799</v>
      </c>
      <c r="D81" s="5">
        <v>72328519.084152594</v>
      </c>
      <c r="E81" s="5">
        <v>139928866.03051201</v>
      </c>
      <c r="F81" s="5">
        <v>199478145.23391399</v>
      </c>
      <c r="G81" s="5">
        <v>187569038.230685</v>
      </c>
      <c r="H81" s="5">
        <v>106651488.77928901</v>
      </c>
      <c r="I81" s="5">
        <v>591335914.26497102</v>
      </c>
      <c r="J81" s="5">
        <v>22079926.955356698</v>
      </c>
      <c r="K81" s="5">
        <v>540775033.98288798</v>
      </c>
      <c r="L81" s="5">
        <v>56797393.525101699</v>
      </c>
      <c r="M81" s="5">
        <v>104013842.607656</v>
      </c>
      <c r="N81" s="5">
        <v>65125215.523683198</v>
      </c>
      <c r="O81" s="5">
        <v>173655618.60090101</v>
      </c>
      <c r="P81" s="5">
        <v>276904941.831801</v>
      </c>
      <c r="Q81" s="5">
        <v>51273962.237687699</v>
      </c>
      <c r="R81" s="5">
        <v>196243959.917559</v>
      </c>
      <c r="S81" s="5">
        <v>34407945.571403399</v>
      </c>
      <c r="T81" s="5">
        <v>35596202.2659427</v>
      </c>
      <c r="U81" s="5">
        <v>285662801.48966801</v>
      </c>
      <c r="V81" s="5">
        <v>26052902.3003993</v>
      </c>
      <c r="W81" s="5">
        <v>162190816.05430299</v>
      </c>
      <c r="X81" s="5">
        <v>282074327.754673</v>
      </c>
      <c r="Y81" s="5">
        <v>36087223.891976699</v>
      </c>
      <c r="Z81" s="5">
        <v>111445382.301955</v>
      </c>
      <c r="AA81" s="5">
        <v>113098018.874134</v>
      </c>
      <c r="AB81" s="5">
        <v>122853281.309383</v>
      </c>
      <c r="AC81" s="5">
        <v>124190973.169365</v>
      </c>
    </row>
    <row r="82" spans="1:29" x14ac:dyDescent="0.45">
      <c r="A82" s="5" t="s">
        <v>98</v>
      </c>
      <c r="B82" s="5">
        <v>1523919.3963850201</v>
      </c>
      <c r="C82" s="5">
        <v>3276894.5337520898</v>
      </c>
      <c r="D82" s="5">
        <v>1873366.94429097</v>
      </c>
      <c r="E82" s="5">
        <v>1515114.9177942199</v>
      </c>
      <c r="F82" s="5">
        <v>773769.36406927695</v>
      </c>
      <c r="G82" s="5">
        <v>1956830.5272363401</v>
      </c>
      <c r="H82" s="5">
        <v>2537661.7159706699</v>
      </c>
      <c r="I82" s="5">
        <v>1316592.9467175701</v>
      </c>
      <c r="J82" s="5">
        <v>1178848.6068214299</v>
      </c>
      <c r="K82" s="5">
        <v>600407.43533572799</v>
      </c>
      <c r="L82" s="5">
        <v>1065402.97122543</v>
      </c>
      <c r="M82" s="5">
        <v>2263802.59296634</v>
      </c>
      <c r="N82" s="5">
        <v>2836803.8378053298</v>
      </c>
      <c r="O82" s="5">
        <v>2411373.31569312</v>
      </c>
      <c r="P82" s="5">
        <v>1787976.00228548</v>
      </c>
      <c r="Q82" s="5">
        <v>1881159.3546070999</v>
      </c>
      <c r="R82" s="5">
        <v>1070870.67552218</v>
      </c>
      <c r="S82" s="5">
        <v>1632955.3392998499</v>
      </c>
      <c r="T82" s="5">
        <v>878819.45328112994</v>
      </c>
      <c r="U82" s="5">
        <v>1138905.65787493</v>
      </c>
      <c r="V82" s="5">
        <v>1644877.03507559</v>
      </c>
      <c r="W82" s="5">
        <v>2083270.29603312</v>
      </c>
      <c r="X82" s="5">
        <v>1246008.7150673999</v>
      </c>
      <c r="Y82" s="5">
        <v>1107468.9978203899</v>
      </c>
      <c r="Z82" s="5">
        <v>1640989.1263046099</v>
      </c>
      <c r="AA82" s="5">
        <v>1778671.6772372699</v>
      </c>
      <c r="AB82" s="5">
        <v>1595240.2746773399</v>
      </c>
      <c r="AC82" s="5">
        <v>1705144.26331434</v>
      </c>
    </row>
    <row r="83" spans="1:29" x14ac:dyDescent="0.45">
      <c r="A83" s="5" t="s">
        <v>99</v>
      </c>
      <c r="B83" s="5">
        <v>122750506.48329</v>
      </c>
      <c r="C83" s="5">
        <v>87147198.903473407</v>
      </c>
      <c r="D83" s="5">
        <v>100098600.60476901</v>
      </c>
      <c r="E83" s="5">
        <v>121819917.026583</v>
      </c>
      <c r="F83" s="5">
        <v>119479418.46539401</v>
      </c>
      <c r="G83" s="5">
        <v>105866912.690477</v>
      </c>
      <c r="H83" s="5">
        <v>109963879.924081</v>
      </c>
      <c r="I83" s="5">
        <v>378850157.65645999</v>
      </c>
      <c r="J83" s="5">
        <v>117262489.89257599</v>
      </c>
      <c r="K83" s="5">
        <v>168716730.56085399</v>
      </c>
      <c r="L83" s="5">
        <v>112157844.393913</v>
      </c>
      <c r="M83" s="5">
        <v>125581566.56080399</v>
      </c>
      <c r="N83" s="5">
        <v>100051373.817297</v>
      </c>
      <c r="O83" s="5">
        <v>87635996.894673601</v>
      </c>
      <c r="P83" s="5">
        <v>92155083.7012918</v>
      </c>
      <c r="Q83" s="5">
        <v>91087316.425340205</v>
      </c>
      <c r="R83" s="5">
        <v>189833723.51661801</v>
      </c>
      <c r="S83" s="5">
        <v>115898743.953464</v>
      </c>
      <c r="T83" s="5">
        <v>138796052.10624701</v>
      </c>
      <c r="U83" s="5">
        <v>118621411.917771</v>
      </c>
      <c r="V83" s="5">
        <v>108498104.598175</v>
      </c>
      <c r="W83" s="5">
        <v>139103380.787348</v>
      </c>
      <c r="X83" s="5">
        <v>553388700.87680304</v>
      </c>
      <c r="Y83" s="5">
        <v>133909276.448769</v>
      </c>
      <c r="Z83" s="5">
        <v>99566233.997418702</v>
      </c>
      <c r="AA83" s="5">
        <v>110710650.291421</v>
      </c>
      <c r="AB83" s="5">
        <v>101954284.83035199</v>
      </c>
      <c r="AC83" s="5">
        <v>113262451.003795</v>
      </c>
    </row>
    <row r="84" spans="1:29" x14ac:dyDescent="0.45">
      <c r="A84" s="5" t="s">
        <v>100</v>
      </c>
      <c r="B84" s="5">
        <v>92801156.543241605</v>
      </c>
      <c r="C84" s="5">
        <v>104769833.35303099</v>
      </c>
      <c r="D84" s="5">
        <v>113385883.969814</v>
      </c>
      <c r="E84" s="5">
        <v>133719010.527154</v>
      </c>
      <c r="F84" s="5">
        <v>44764880.883227602</v>
      </c>
      <c r="G84" s="5">
        <v>72041849.558878496</v>
      </c>
      <c r="H84" s="5">
        <v>54232971.3316001</v>
      </c>
      <c r="I84" s="5">
        <v>91479327.012140304</v>
      </c>
      <c r="J84" s="5">
        <v>82025778.764899597</v>
      </c>
      <c r="K84" s="5">
        <v>66134760.583627</v>
      </c>
      <c r="L84" s="5">
        <v>18236937.775079899</v>
      </c>
      <c r="M84" s="5">
        <v>84104900.931096405</v>
      </c>
      <c r="N84" s="5">
        <v>154111598.18984199</v>
      </c>
      <c r="O84" s="5">
        <v>95437753.109510601</v>
      </c>
      <c r="P84" s="5">
        <v>66226116.330886401</v>
      </c>
      <c r="Q84" s="5">
        <v>111308036.414755</v>
      </c>
      <c r="R84" s="5">
        <v>83147853.3511585</v>
      </c>
      <c r="S84" s="5">
        <v>74679634.352718204</v>
      </c>
      <c r="T84" s="5">
        <v>82806641.739243299</v>
      </c>
      <c r="U84" s="5">
        <v>141767259.67431301</v>
      </c>
      <c r="V84" s="5">
        <v>108299770.590488</v>
      </c>
      <c r="W84" s="5">
        <v>100266584.022246</v>
      </c>
      <c r="X84" s="5">
        <v>89167491.508837104</v>
      </c>
      <c r="Y84" s="5">
        <v>71758145.081050605</v>
      </c>
      <c r="Z84" s="5">
        <v>96218102.173324898</v>
      </c>
      <c r="AA84" s="5">
        <v>119382798.341392</v>
      </c>
      <c r="AB84" s="5">
        <v>92102969.799422696</v>
      </c>
      <c r="AC84" s="5">
        <v>90214898.761802807</v>
      </c>
    </row>
    <row r="85" spans="1:29" x14ac:dyDescent="0.45">
      <c r="A85" s="5" t="s">
        <v>435</v>
      </c>
      <c r="B85" s="5">
        <v>79107250.291050494</v>
      </c>
      <c r="C85" s="5">
        <v>115347528.703601</v>
      </c>
      <c r="D85" s="5">
        <v>210448560.80559701</v>
      </c>
      <c r="E85" s="5">
        <v>95008427.584666595</v>
      </c>
      <c r="F85" s="5">
        <v>143954576.54498199</v>
      </c>
      <c r="G85" s="5">
        <v>92007670.640441701</v>
      </c>
      <c r="H85" s="5">
        <v>56506100.780163899</v>
      </c>
      <c r="I85" s="5">
        <v>88614997.701842204</v>
      </c>
      <c r="J85" s="5">
        <v>79868066.759954199</v>
      </c>
      <c r="K85" s="5">
        <v>246524726.32971501</v>
      </c>
      <c r="L85" s="5">
        <v>244104094.61377099</v>
      </c>
      <c r="M85" s="5">
        <v>116395021.87644</v>
      </c>
      <c r="N85" s="5">
        <v>45647790.563068002</v>
      </c>
      <c r="O85" s="5">
        <v>87022510.785054103</v>
      </c>
      <c r="P85" s="5">
        <v>21003884.202804402</v>
      </c>
      <c r="Q85" s="5">
        <v>39944089.523049504</v>
      </c>
      <c r="R85" s="5">
        <v>42329519.698886603</v>
      </c>
      <c r="S85" s="5">
        <v>38733468.594340503</v>
      </c>
      <c r="T85" s="5">
        <v>231343892.36664599</v>
      </c>
      <c r="U85" s="5">
        <v>51922651.332871802</v>
      </c>
      <c r="V85" s="5">
        <v>56282423.874110103</v>
      </c>
      <c r="W85" s="5">
        <v>68932562.989898905</v>
      </c>
      <c r="X85" s="5">
        <v>485889742.57856399</v>
      </c>
      <c r="Y85" s="5">
        <v>74198836.129620895</v>
      </c>
      <c r="Z85" s="5">
        <v>103442875.008993</v>
      </c>
      <c r="AA85" s="5">
        <v>98748314.300242797</v>
      </c>
      <c r="AB85" s="5">
        <v>102002742.19750001</v>
      </c>
      <c r="AC85" s="5">
        <v>102135934.37119401</v>
      </c>
    </row>
    <row r="86" spans="1:29" x14ac:dyDescent="0.45">
      <c r="A86" s="5" t="s">
        <v>101</v>
      </c>
      <c r="B86" s="5">
        <v>14974874.0710898</v>
      </c>
      <c r="C86" s="5">
        <v>51089417.949429996</v>
      </c>
      <c r="D86" s="5">
        <v>41180717.8965813</v>
      </c>
      <c r="E86" s="5">
        <v>95140295.341183707</v>
      </c>
      <c r="F86" s="5">
        <v>678702328.36877298</v>
      </c>
      <c r="G86" s="5">
        <v>112466168.361017</v>
      </c>
      <c r="H86" s="5">
        <v>10531572.6434092</v>
      </c>
      <c r="I86" s="5">
        <v>41464462.6785625</v>
      </c>
      <c r="J86" s="5">
        <v>8686899.9626873899</v>
      </c>
      <c r="K86" s="5">
        <v>1221936129.61356</v>
      </c>
      <c r="L86" s="5">
        <v>158653551.79434699</v>
      </c>
      <c r="M86" s="5">
        <v>34967639.977218501</v>
      </c>
      <c r="N86" s="5">
        <v>33165227.074701399</v>
      </c>
      <c r="O86" s="5">
        <v>17875534.368939199</v>
      </c>
      <c r="P86" s="5">
        <v>70067861.111868307</v>
      </c>
      <c r="Q86" s="5">
        <v>348775117.285909</v>
      </c>
      <c r="R86" s="5">
        <v>256126008.05453601</v>
      </c>
      <c r="S86" s="5">
        <v>99693528.607279301</v>
      </c>
      <c r="T86" s="5">
        <v>101407868.819337</v>
      </c>
      <c r="U86" s="5">
        <v>942027175.71144903</v>
      </c>
      <c r="V86" s="5">
        <v>24746483.229683001</v>
      </c>
      <c r="W86" s="5">
        <v>15207006.8267716</v>
      </c>
      <c r="X86" s="5">
        <v>36100967.771447703</v>
      </c>
      <c r="Y86" s="5">
        <v>13773317.264247101</v>
      </c>
      <c r="Z86" s="5">
        <v>142164931.220364</v>
      </c>
      <c r="AA86" s="5">
        <v>156762901.48708701</v>
      </c>
      <c r="AB86" s="5">
        <v>164127961.03773499</v>
      </c>
      <c r="AC86" s="5">
        <v>171087514.228598</v>
      </c>
    </row>
    <row r="87" spans="1:29" x14ac:dyDescent="0.45">
      <c r="A87" s="5" t="s">
        <v>102</v>
      </c>
      <c r="B87" s="5">
        <v>122355107.465794</v>
      </c>
      <c r="C87" s="5">
        <v>344090438.315611</v>
      </c>
      <c r="D87" s="5">
        <v>350662113.29480898</v>
      </c>
      <c r="E87" s="5">
        <v>10113905.9745903</v>
      </c>
      <c r="F87" s="5">
        <v>13390720.036095999</v>
      </c>
      <c r="G87" s="5">
        <v>13361924.334617199</v>
      </c>
      <c r="H87" s="5">
        <v>19160884.123306599</v>
      </c>
      <c r="I87" s="5">
        <v>33705152.311774001</v>
      </c>
      <c r="J87" s="5">
        <v>15623676.3088778</v>
      </c>
      <c r="K87" s="5">
        <v>19562957.8394816</v>
      </c>
      <c r="L87" s="5">
        <v>758487276.21192503</v>
      </c>
      <c r="M87" s="5">
        <v>728886242.695912</v>
      </c>
      <c r="N87" s="5">
        <v>29803526.7645774</v>
      </c>
      <c r="O87" s="5">
        <v>20946684.993824001</v>
      </c>
      <c r="P87" s="5">
        <v>48552116.406903498</v>
      </c>
      <c r="Q87" s="5">
        <v>23904528.272045098</v>
      </c>
      <c r="R87" s="5">
        <v>18236647.6003066</v>
      </c>
      <c r="S87" s="5">
        <v>24176846.674640998</v>
      </c>
      <c r="T87" s="5">
        <v>873070142.01258802</v>
      </c>
      <c r="U87" s="5">
        <v>1136269477.3020501</v>
      </c>
      <c r="V87" s="5">
        <v>979589235.562451</v>
      </c>
      <c r="W87" s="5">
        <v>55397074.184231304</v>
      </c>
      <c r="X87" s="5">
        <v>45921208.739255801</v>
      </c>
      <c r="Y87" s="5">
        <v>31837823.551284701</v>
      </c>
      <c r="Z87" s="5">
        <v>194759052.47603399</v>
      </c>
      <c r="AA87" s="5">
        <v>215185192.59799799</v>
      </c>
      <c r="AB87" s="5">
        <v>222457292.70522299</v>
      </c>
      <c r="AC87" s="5">
        <v>230342447.58618999</v>
      </c>
    </row>
    <row r="88" spans="1:29" x14ac:dyDescent="0.45">
      <c r="A88" s="5" t="s">
        <v>103</v>
      </c>
      <c r="B88" s="5">
        <v>29028299.306534801</v>
      </c>
      <c r="C88" s="5">
        <v>30904461.249755301</v>
      </c>
      <c r="D88" s="5">
        <v>18648276.1169983</v>
      </c>
      <c r="E88" s="5">
        <v>399233705.32352698</v>
      </c>
      <c r="F88" s="5">
        <v>471333800.39876801</v>
      </c>
      <c r="G88" s="5">
        <v>316493075.308258</v>
      </c>
      <c r="H88" s="5">
        <v>378066685.356067</v>
      </c>
      <c r="I88" s="5">
        <v>238123255.83640301</v>
      </c>
      <c r="J88" s="5">
        <v>447908120.18772298</v>
      </c>
      <c r="K88" s="5">
        <v>1087675405.7644</v>
      </c>
      <c r="L88" s="5">
        <v>46928019.984229498</v>
      </c>
      <c r="M88" s="5">
        <v>38305786.248981804</v>
      </c>
      <c r="N88" s="5">
        <v>324609849.12279701</v>
      </c>
      <c r="O88" s="5">
        <v>252221706.08099899</v>
      </c>
      <c r="P88" s="5">
        <v>343870504.80551499</v>
      </c>
      <c r="Q88" s="5">
        <v>250079353.51739401</v>
      </c>
      <c r="R88" s="5">
        <v>770584576.60938096</v>
      </c>
      <c r="S88" s="5">
        <v>365224026.024342</v>
      </c>
      <c r="T88" s="5">
        <v>52112177.186783299</v>
      </c>
      <c r="U88" s="5">
        <v>49584420.847140603</v>
      </c>
      <c r="V88" s="5">
        <v>41057102.515399598</v>
      </c>
      <c r="W88" s="5">
        <v>678754120.77790201</v>
      </c>
      <c r="X88" s="5">
        <v>344587925.58174402</v>
      </c>
      <c r="Y88" s="5">
        <v>493045268.71262097</v>
      </c>
      <c r="Z88" s="5">
        <v>234894695.261228</v>
      </c>
      <c r="AA88" s="5">
        <v>239861553.89806801</v>
      </c>
      <c r="AB88" s="5">
        <v>242051929.30344099</v>
      </c>
      <c r="AC88" s="5">
        <v>237943445.28173599</v>
      </c>
    </row>
    <row r="89" spans="1:29" x14ac:dyDescent="0.45">
      <c r="A89" s="5" t="s">
        <v>104</v>
      </c>
      <c r="B89" s="5">
        <v>2285715.0411327002</v>
      </c>
      <c r="C89" s="5">
        <v>1680337.4628121001</v>
      </c>
      <c r="D89" s="5">
        <v>1799110.5143430601</v>
      </c>
      <c r="E89" s="5">
        <v>1247742.88128691</v>
      </c>
      <c r="F89" s="5">
        <v>3006237.5422635302</v>
      </c>
      <c r="G89" s="5">
        <v>1374620.5798541401</v>
      </c>
      <c r="H89" s="5">
        <v>1594653.8568726401</v>
      </c>
      <c r="I89" s="5">
        <v>890149.48825172801</v>
      </c>
      <c r="J89" s="5">
        <v>1910163.4731048699</v>
      </c>
      <c r="K89" s="5">
        <v>3383588.81595498</v>
      </c>
      <c r="L89" s="5">
        <v>2683768.8604809102</v>
      </c>
      <c r="M89" s="5">
        <v>1394723.6030399899</v>
      </c>
      <c r="N89" s="5">
        <v>2156455.6815506699</v>
      </c>
      <c r="O89" s="5">
        <v>231088254.07281601</v>
      </c>
      <c r="P89" s="5">
        <v>3621187.4227611502</v>
      </c>
      <c r="Q89" s="5">
        <v>1782748.22332028</v>
      </c>
      <c r="R89" s="5">
        <v>2220340.96481039</v>
      </c>
      <c r="S89" s="5">
        <v>1897134.6836021401</v>
      </c>
      <c r="T89" s="5">
        <v>2292769.1843710998</v>
      </c>
      <c r="U89" s="5">
        <v>3278997.19377359</v>
      </c>
      <c r="V89" s="5">
        <v>2102471.6777037499</v>
      </c>
      <c r="W89" s="5">
        <v>2941833.7855088799</v>
      </c>
      <c r="X89" s="5">
        <v>7997686.2383701103</v>
      </c>
      <c r="Y89" s="5">
        <v>2734597.0564449402</v>
      </c>
      <c r="Z89" s="5">
        <v>11447032.192891899</v>
      </c>
      <c r="AA89" s="5">
        <v>12452375.981365699</v>
      </c>
      <c r="AB89" s="5">
        <v>14391293.8432444</v>
      </c>
      <c r="AC89" s="5">
        <v>14124650.5581974</v>
      </c>
    </row>
    <row r="90" spans="1:29" x14ac:dyDescent="0.45">
      <c r="A90" s="5" t="s">
        <v>105</v>
      </c>
      <c r="B90" s="5">
        <v>26382759.606724501</v>
      </c>
      <c r="C90" s="5">
        <v>41449629.319021501</v>
      </c>
      <c r="D90" s="5">
        <v>26988584.754262101</v>
      </c>
      <c r="E90" s="5">
        <v>30216571.232702099</v>
      </c>
      <c r="F90" s="5">
        <v>25605246.956969202</v>
      </c>
      <c r="G90" s="5">
        <v>27461997.059692401</v>
      </c>
      <c r="H90" s="5">
        <v>45940520.241121598</v>
      </c>
      <c r="I90" s="5">
        <v>97479382.860544905</v>
      </c>
      <c r="J90" s="5">
        <v>40758893.528351903</v>
      </c>
      <c r="K90" s="5">
        <v>84901890.242464796</v>
      </c>
      <c r="L90" s="5">
        <v>43575409.954750903</v>
      </c>
      <c r="M90" s="5">
        <v>57763325.740076199</v>
      </c>
      <c r="N90" s="5">
        <v>23703312.515369799</v>
      </c>
      <c r="O90" s="5">
        <v>45519618.818578698</v>
      </c>
      <c r="P90" s="5">
        <v>37041309.029233597</v>
      </c>
      <c r="Q90" s="5">
        <v>34962317.990543202</v>
      </c>
      <c r="R90" s="5">
        <v>75380202.789395303</v>
      </c>
      <c r="S90" s="5">
        <v>48216763.951904602</v>
      </c>
      <c r="T90" s="5">
        <v>32276732.762532901</v>
      </c>
      <c r="U90" s="5">
        <v>57796627.688276999</v>
      </c>
      <c r="V90" s="5">
        <v>48517212.1169568</v>
      </c>
      <c r="W90" s="5">
        <v>52604903.815087698</v>
      </c>
      <c r="X90" s="5">
        <v>181589200.18011501</v>
      </c>
      <c r="Y90" s="5">
        <v>40648872.287958004</v>
      </c>
      <c r="Z90" s="5">
        <v>34191420.9340894</v>
      </c>
      <c r="AA90" s="5">
        <v>37002919.040666699</v>
      </c>
      <c r="AB90" s="5">
        <v>39093236.844179802</v>
      </c>
      <c r="AC90" s="5">
        <v>39883889.759910598</v>
      </c>
    </row>
    <row r="91" spans="1:29" x14ac:dyDescent="0.45">
      <c r="A91" s="5" t="s">
        <v>106</v>
      </c>
      <c r="B91" s="5">
        <v>3788692.1175577599</v>
      </c>
      <c r="C91" s="5">
        <v>8445984.4952726699</v>
      </c>
      <c r="D91" s="5">
        <v>8188410.8466958003</v>
      </c>
      <c r="E91" s="5">
        <v>2596874.2823732002</v>
      </c>
      <c r="F91" s="5">
        <v>1448867.24720049</v>
      </c>
      <c r="G91" s="5">
        <v>15385924.949191401</v>
      </c>
      <c r="H91" s="5">
        <v>15550591.234798601</v>
      </c>
      <c r="I91" s="5">
        <v>5492295.9035352599</v>
      </c>
      <c r="J91" s="5">
        <v>3591041.4016439798</v>
      </c>
      <c r="K91" s="5">
        <v>2343949.9597283402</v>
      </c>
      <c r="L91" s="5">
        <v>1829040.9442403901</v>
      </c>
      <c r="M91" s="5">
        <v>6489502.7134390296</v>
      </c>
      <c r="N91" s="5">
        <v>15150184.267996199</v>
      </c>
      <c r="O91" s="5">
        <v>16094649.3538101</v>
      </c>
      <c r="P91" s="5">
        <v>6909300.0662309099</v>
      </c>
      <c r="Q91" s="5">
        <v>9567339.3173675109</v>
      </c>
      <c r="R91" s="5">
        <v>2914474.0633105901</v>
      </c>
      <c r="S91" s="5">
        <v>9574430.2549462598</v>
      </c>
      <c r="T91" s="5">
        <v>2900600.6011600401</v>
      </c>
      <c r="U91" s="5">
        <v>13613196.772270299</v>
      </c>
      <c r="V91" s="5">
        <v>15631427.209476599</v>
      </c>
      <c r="W91" s="5">
        <v>12465720.285814701</v>
      </c>
      <c r="X91" s="5">
        <v>4093546.36533943</v>
      </c>
      <c r="Y91" s="5">
        <v>9995128.4676518906</v>
      </c>
      <c r="Z91" s="5">
        <v>6869836.5001477599</v>
      </c>
      <c r="AA91" s="5">
        <v>6737190.9966316801</v>
      </c>
      <c r="AB91" s="5">
        <v>7156359.2130623804</v>
      </c>
      <c r="AC91" s="5">
        <v>6899051.7435132498</v>
      </c>
    </row>
    <row r="92" spans="1:29" x14ac:dyDescent="0.45">
      <c r="A92" s="5" t="s">
        <v>107</v>
      </c>
      <c r="B92" s="5">
        <v>49052.110684140302</v>
      </c>
      <c r="C92" s="5">
        <v>1242274.8740465201</v>
      </c>
      <c r="D92" s="5">
        <v>54854.368872413397</v>
      </c>
      <c r="E92" s="5">
        <v>47730.134023973696</v>
      </c>
      <c r="F92" s="5">
        <v>46800.464679250799</v>
      </c>
      <c r="G92" s="5">
        <v>496099.73778515903</v>
      </c>
      <c r="H92" s="5">
        <v>758980.28640525602</v>
      </c>
      <c r="I92" s="5">
        <v>84210.546672787197</v>
      </c>
      <c r="J92" s="5">
        <v>41326.265052778501</v>
      </c>
      <c r="K92" s="5">
        <v>577231.35048506805</v>
      </c>
      <c r="L92" s="5">
        <v>59491.454245833404</v>
      </c>
      <c r="M92" s="5">
        <v>260899.962930779</v>
      </c>
      <c r="N92" s="5">
        <v>2553412.0688631302</v>
      </c>
      <c r="O92" s="5">
        <v>3245110.68254381</v>
      </c>
      <c r="P92" s="5">
        <v>705422.52927831304</v>
      </c>
      <c r="Q92" s="5">
        <v>1313919.0221370601</v>
      </c>
      <c r="R92" s="5">
        <v>41608.3638722287</v>
      </c>
      <c r="S92" s="5">
        <v>840246.32733203296</v>
      </c>
      <c r="T92" s="5">
        <v>149192.89715643899</v>
      </c>
      <c r="U92" s="5">
        <v>1275933.9665225099</v>
      </c>
      <c r="V92" s="5">
        <v>1970196.9745912801</v>
      </c>
      <c r="W92" s="5">
        <v>526918.47732814203</v>
      </c>
      <c r="X92" s="5">
        <v>461870.01719051303</v>
      </c>
      <c r="Y92" s="5">
        <v>558928.27220709797</v>
      </c>
      <c r="Z92" s="5">
        <v>820098.81753073004</v>
      </c>
      <c r="AA92" s="5">
        <v>855014.07253928098</v>
      </c>
      <c r="AB92" s="5">
        <v>809706.34857689799</v>
      </c>
      <c r="AC92" s="5">
        <v>920278.12716499704</v>
      </c>
    </row>
    <row r="93" spans="1:29" x14ac:dyDescent="0.45">
      <c r="A93" s="5" t="s">
        <v>108</v>
      </c>
      <c r="B93" s="5">
        <v>25585907.5997856</v>
      </c>
      <c r="C93" s="5">
        <v>20718267.443584099</v>
      </c>
      <c r="D93" s="5">
        <v>24934794.4091691</v>
      </c>
      <c r="E93" s="5">
        <v>21641239.844296802</v>
      </c>
      <c r="F93" s="5">
        <v>23984667.646466501</v>
      </c>
      <c r="G93" s="5">
        <v>22602746.768890999</v>
      </c>
      <c r="H93" s="5">
        <v>24454870.965128399</v>
      </c>
      <c r="I93" s="5">
        <v>26684555.797248099</v>
      </c>
      <c r="J93" s="5">
        <v>23217666.140170399</v>
      </c>
      <c r="K93" s="5">
        <v>18357694.454425599</v>
      </c>
      <c r="L93" s="5">
        <v>10332493.579235001</v>
      </c>
      <c r="M93" s="5">
        <v>27610975.0655501</v>
      </c>
      <c r="N93" s="5">
        <v>7939690.1652079597</v>
      </c>
      <c r="O93" s="5">
        <v>8815387.6933631208</v>
      </c>
      <c r="P93" s="5">
        <v>11614326.702684101</v>
      </c>
      <c r="Q93" s="5">
        <v>7177475.6076865001</v>
      </c>
      <c r="R93" s="5">
        <v>22123900.775373898</v>
      </c>
      <c r="S93" s="5">
        <v>28390637.896176301</v>
      </c>
      <c r="T93" s="5">
        <v>27165481.091635499</v>
      </c>
      <c r="U93" s="5">
        <v>29315410.5712937</v>
      </c>
      <c r="V93" s="5">
        <v>26414345.6808904</v>
      </c>
      <c r="W93" s="5">
        <v>26101944.702699199</v>
      </c>
      <c r="X93" s="5">
        <v>46637170.952535599</v>
      </c>
      <c r="Y93" s="5">
        <v>30219778.0957116</v>
      </c>
      <c r="Z93" s="5">
        <v>18660634.448010299</v>
      </c>
      <c r="AA93" s="5">
        <v>20052017.4371185</v>
      </c>
      <c r="AB93" s="5">
        <v>23004211.452047199</v>
      </c>
      <c r="AC93" s="5">
        <v>20442990.776639901</v>
      </c>
    </row>
    <row r="94" spans="1:29" x14ac:dyDescent="0.45">
      <c r="A94" s="5" t="s">
        <v>109</v>
      </c>
      <c r="B94" s="5">
        <v>1205706.75450234</v>
      </c>
      <c r="C94" s="5">
        <v>394143.38867333398</v>
      </c>
      <c r="D94" s="5">
        <v>337373.69357662398</v>
      </c>
      <c r="E94" s="5">
        <v>490252.61721030599</v>
      </c>
      <c r="F94" s="5">
        <v>939171.21400349902</v>
      </c>
      <c r="G94" s="5">
        <v>495042.24542986602</v>
      </c>
      <c r="H94" s="5">
        <v>511897.14842902002</v>
      </c>
      <c r="I94" s="5">
        <v>754433.71317460702</v>
      </c>
      <c r="J94" s="5">
        <v>649040.320961121</v>
      </c>
      <c r="K94" s="5">
        <v>665441.57490626397</v>
      </c>
      <c r="L94" s="5">
        <v>527733.29834849201</v>
      </c>
      <c r="M94" s="5">
        <v>286766.968322984</v>
      </c>
      <c r="N94" s="5">
        <v>240612.74747672401</v>
      </c>
      <c r="O94" s="5">
        <v>682094.15286612499</v>
      </c>
      <c r="P94" s="5">
        <v>1220051.6034345201</v>
      </c>
      <c r="Q94" s="5">
        <v>158139.89627960001</v>
      </c>
      <c r="R94" s="5">
        <v>1381683.2955896601</v>
      </c>
      <c r="S94" s="5">
        <v>506384.31029961299</v>
      </c>
      <c r="T94" s="5">
        <v>369962.85413404898</v>
      </c>
      <c r="U94" s="5">
        <v>609045.66505889699</v>
      </c>
      <c r="V94" s="5">
        <v>143710.30178325099</v>
      </c>
      <c r="W94" s="5">
        <v>1182157.50084213</v>
      </c>
      <c r="X94" s="5">
        <v>381966.259188784</v>
      </c>
      <c r="Y94" s="5">
        <v>940867.48818523099</v>
      </c>
      <c r="Z94" s="5">
        <v>398434.81093319698</v>
      </c>
      <c r="AA94" s="5">
        <v>383201.245212315</v>
      </c>
      <c r="AB94" s="5">
        <v>394378.95627277502</v>
      </c>
      <c r="AC94" s="5">
        <v>478996.50303309999</v>
      </c>
    </row>
    <row r="95" spans="1:29" x14ac:dyDescent="0.45">
      <c r="A95" s="5" t="s">
        <v>110</v>
      </c>
      <c r="B95" s="5">
        <v>23705362.531489301</v>
      </c>
      <c r="C95" s="5">
        <v>29035286.341635</v>
      </c>
      <c r="D95" s="5">
        <v>19460933.1085274</v>
      </c>
      <c r="E95" s="5">
        <v>37975586.677673496</v>
      </c>
      <c r="F95" s="5">
        <v>37986860.520889901</v>
      </c>
      <c r="G95" s="5">
        <v>13561369.1400504</v>
      </c>
      <c r="H95" s="5">
        <v>28662546.860423401</v>
      </c>
      <c r="I95" s="5">
        <v>32962646.518095601</v>
      </c>
      <c r="J95" s="5">
        <v>28180632.460816</v>
      </c>
      <c r="K95" s="5">
        <v>22610517.4099163</v>
      </c>
      <c r="L95" s="5">
        <v>31107553.678760201</v>
      </c>
      <c r="M95" s="5">
        <v>32384519.479057498</v>
      </c>
      <c r="N95" s="5">
        <v>31420725.114176098</v>
      </c>
      <c r="O95" s="5">
        <v>9759390.4299575891</v>
      </c>
      <c r="P95" s="5">
        <v>30363684.245851401</v>
      </c>
      <c r="Q95" s="5">
        <v>45235832.301721402</v>
      </c>
      <c r="R95" s="5">
        <v>6913705.9394763904</v>
      </c>
      <c r="S95" s="5">
        <v>44739697.702110603</v>
      </c>
      <c r="T95" s="5">
        <v>19244338.721733999</v>
      </c>
      <c r="U95" s="5">
        <v>35763803.553108104</v>
      </c>
      <c r="V95" s="5">
        <v>38412444.9254198</v>
      </c>
      <c r="W95" s="5">
        <v>40215365.256843798</v>
      </c>
      <c r="X95" s="5">
        <v>69538836.644035205</v>
      </c>
      <c r="Y95" s="5">
        <v>12261653.763679599</v>
      </c>
      <c r="Z95" s="5">
        <v>30250663.265239999</v>
      </c>
      <c r="AA95" s="5">
        <v>32371835.337456498</v>
      </c>
      <c r="AB95" s="5">
        <v>33511798.670504998</v>
      </c>
      <c r="AC95" s="5">
        <v>34660870.501175903</v>
      </c>
    </row>
    <row r="96" spans="1:29" x14ac:dyDescent="0.45">
      <c r="A96" s="5" t="s">
        <v>368</v>
      </c>
      <c r="B96" s="5">
        <v>20497406.032534499</v>
      </c>
      <c r="C96" s="5">
        <v>22233500.4859652</v>
      </c>
      <c r="D96" s="5">
        <v>10632221.5825029</v>
      </c>
      <c r="E96" s="5">
        <v>25597559.8715427</v>
      </c>
      <c r="F96" s="5">
        <v>23484559.589975901</v>
      </c>
      <c r="G96" s="5">
        <v>22964061.139694098</v>
      </c>
      <c r="H96" s="5">
        <v>35468437.453663401</v>
      </c>
      <c r="I96" s="5">
        <v>35698388.878414601</v>
      </c>
      <c r="J96" s="5">
        <v>30330890.247103099</v>
      </c>
      <c r="K96" s="5">
        <v>50184378.268601</v>
      </c>
      <c r="L96" s="5">
        <v>24576561.602704801</v>
      </c>
      <c r="M96" s="5">
        <v>23232652.053429</v>
      </c>
      <c r="N96" s="5">
        <v>16008092.1064907</v>
      </c>
      <c r="O96" s="5">
        <v>42811090.148209803</v>
      </c>
      <c r="P96" s="5">
        <v>26204011.1651727</v>
      </c>
      <c r="Q96" s="5">
        <v>13233437.5020607</v>
      </c>
      <c r="R96" s="5">
        <v>34303276.853438899</v>
      </c>
      <c r="S96" s="5">
        <v>30993885.8822948</v>
      </c>
      <c r="T96" s="5">
        <v>26317218.036764499</v>
      </c>
      <c r="U96" s="5">
        <v>38508796.913174599</v>
      </c>
      <c r="V96" s="5">
        <v>28112928.520666301</v>
      </c>
      <c r="W96" s="5">
        <v>37780110.3968606</v>
      </c>
      <c r="X96" s="5">
        <v>26432585.377848901</v>
      </c>
      <c r="Y96" s="5">
        <v>29775577.185224298</v>
      </c>
      <c r="Z96" s="5">
        <v>30730674.488453899</v>
      </c>
      <c r="AA96" s="5">
        <v>30077839.322422799</v>
      </c>
      <c r="AB96" s="5">
        <v>28523246.937332802</v>
      </c>
      <c r="AC96" s="5">
        <v>28785918.490372699</v>
      </c>
    </row>
    <row r="97" spans="1:29" x14ac:dyDescent="0.45">
      <c r="A97" s="5" t="s">
        <v>111</v>
      </c>
      <c r="B97" s="5">
        <v>40454221.925804697</v>
      </c>
      <c r="C97" s="5">
        <v>85678256.116708294</v>
      </c>
      <c r="D97" s="5">
        <v>48119585.830599502</v>
      </c>
      <c r="E97" s="5">
        <v>26046196.4871682</v>
      </c>
      <c r="F97" s="5">
        <v>24631914.138104498</v>
      </c>
      <c r="G97" s="5">
        <v>39234424.148361899</v>
      </c>
      <c r="H97" s="5">
        <v>58156003.335466899</v>
      </c>
      <c r="I97" s="5">
        <v>19211453.516961399</v>
      </c>
      <c r="J97" s="5">
        <v>30799131.5267451</v>
      </c>
      <c r="K97" s="5">
        <v>10065610.3456065</v>
      </c>
      <c r="L97" s="5">
        <v>17534598.282451101</v>
      </c>
      <c r="M97" s="5">
        <v>42228709.116676301</v>
      </c>
      <c r="N97" s="5">
        <v>60606699.117177702</v>
      </c>
      <c r="O97" s="5">
        <v>123344113.33179501</v>
      </c>
      <c r="P97" s="5">
        <v>70603275.111723393</v>
      </c>
      <c r="Q97" s="5">
        <v>65263528.493133202</v>
      </c>
      <c r="R97" s="5">
        <v>23318823.7663959</v>
      </c>
      <c r="S97" s="5">
        <v>47642653.089829803</v>
      </c>
      <c r="T97" s="5">
        <v>33116478.423249699</v>
      </c>
      <c r="U97" s="5">
        <v>72850504.116378397</v>
      </c>
      <c r="V97" s="5">
        <v>112175337.06197301</v>
      </c>
      <c r="W97" s="5">
        <v>64297719.625163302</v>
      </c>
      <c r="X97" s="5">
        <v>39775611.770606503</v>
      </c>
      <c r="Y97" s="5">
        <v>54447947.249156602</v>
      </c>
      <c r="Z97" s="5">
        <v>53401455.800437897</v>
      </c>
      <c r="AA97" s="5">
        <v>51344786.313352697</v>
      </c>
      <c r="AB97" s="5">
        <v>49798242.1601009</v>
      </c>
      <c r="AC97" s="5">
        <v>47973974.672684997</v>
      </c>
    </row>
    <row r="98" spans="1:29" x14ac:dyDescent="0.45">
      <c r="A98" s="5" t="s">
        <v>288</v>
      </c>
      <c r="B98" s="5">
        <v>436311975.786928</v>
      </c>
      <c r="C98" s="5">
        <v>815793044.42286694</v>
      </c>
      <c r="D98" s="5">
        <v>484210882.85442001</v>
      </c>
      <c r="E98" s="5">
        <v>852068439.62747598</v>
      </c>
      <c r="F98" s="5">
        <v>602095523.80638599</v>
      </c>
      <c r="G98" s="5">
        <v>819678432.31291199</v>
      </c>
      <c r="H98" s="5">
        <v>352215063.18519998</v>
      </c>
      <c r="I98" s="5">
        <v>465421239.31785202</v>
      </c>
      <c r="J98" s="5">
        <v>806813755.37272799</v>
      </c>
      <c r="K98" s="5">
        <v>1194458950.93241</v>
      </c>
      <c r="L98" s="5">
        <v>806118048.02441299</v>
      </c>
      <c r="M98" s="5">
        <v>1627870420.89676</v>
      </c>
      <c r="N98" s="5">
        <v>955659312.43521798</v>
      </c>
      <c r="O98" s="5">
        <v>1012262369.01464</v>
      </c>
      <c r="P98" s="5">
        <v>748868246.96617901</v>
      </c>
      <c r="Q98" s="5">
        <v>1794329257.88925</v>
      </c>
      <c r="R98" s="5">
        <v>1357991381.3970399</v>
      </c>
      <c r="S98" s="5">
        <v>1944314458.80604</v>
      </c>
      <c r="T98" s="5">
        <v>616181912.95973694</v>
      </c>
      <c r="U98" s="5">
        <v>761591745.460096</v>
      </c>
      <c r="V98" s="5">
        <v>616393317.81106997</v>
      </c>
      <c r="W98" s="5">
        <v>767419558.28231597</v>
      </c>
      <c r="X98" s="5">
        <v>896359320.55029595</v>
      </c>
      <c r="Y98" s="5">
        <v>885789150.96352899</v>
      </c>
      <c r="Z98" s="5">
        <v>949347603.84857702</v>
      </c>
      <c r="AA98" s="5">
        <v>918082746.48930705</v>
      </c>
      <c r="AB98" s="5">
        <v>974125642.66896403</v>
      </c>
      <c r="AC98" s="5">
        <v>892323753.984267</v>
      </c>
    </row>
    <row r="99" spans="1:29" x14ac:dyDescent="0.45">
      <c r="A99" s="5" t="s">
        <v>112</v>
      </c>
      <c r="B99" s="5">
        <v>9299641.7692829594</v>
      </c>
      <c r="C99" s="5">
        <v>17828159.1284055</v>
      </c>
      <c r="D99" s="5">
        <v>10384944.619405299</v>
      </c>
      <c r="E99" s="5">
        <v>12849576.2379255</v>
      </c>
      <c r="F99" s="5">
        <v>15761817.349819399</v>
      </c>
      <c r="G99" s="5">
        <v>20404177.7560343</v>
      </c>
      <c r="H99" s="5">
        <v>21639499.506627899</v>
      </c>
      <c r="I99" s="5">
        <v>45208476.641446702</v>
      </c>
      <c r="J99" s="5">
        <v>9972422.7402701695</v>
      </c>
      <c r="K99" s="5">
        <v>31942633.729500402</v>
      </c>
      <c r="L99" s="5">
        <v>13761364.439142199</v>
      </c>
      <c r="M99" s="5">
        <v>24576463.401572101</v>
      </c>
      <c r="N99" s="5">
        <v>118805078.83885901</v>
      </c>
      <c r="O99" s="5">
        <v>26849907.074438699</v>
      </c>
      <c r="P99" s="5">
        <v>40168273.550297096</v>
      </c>
      <c r="Q99" s="5">
        <v>14762777.2489329</v>
      </c>
      <c r="R99" s="5">
        <v>12891859.749954499</v>
      </c>
      <c r="S99" s="5">
        <v>12224507.1916239</v>
      </c>
      <c r="T99" s="5">
        <v>12812716.8988555</v>
      </c>
      <c r="U99" s="5">
        <v>29683966.405230202</v>
      </c>
      <c r="V99" s="5">
        <v>33996596.2329579</v>
      </c>
      <c r="W99" s="5">
        <v>22145860.764319699</v>
      </c>
      <c r="X99" s="5">
        <v>27325272.2128403</v>
      </c>
      <c r="Y99" s="5">
        <v>19902165.527579401</v>
      </c>
      <c r="Z99" s="5">
        <v>22989093.5416601</v>
      </c>
      <c r="AA99" s="5">
        <v>23943121.222933799</v>
      </c>
      <c r="AB99" s="5">
        <v>20632920.287024502</v>
      </c>
      <c r="AC99" s="5">
        <v>21703985.498059802</v>
      </c>
    </row>
    <row r="100" spans="1:29" x14ac:dyDescent="0.45">
      <c r="A100" s="5" t="s">
        <v>113</v>
      </c>
      <c r="B100" s="5">
        <v>6418762.4983693203</v>
      </c>
      <c r="C100" s="5">
        <v>12113115.6108617</v>
      </c>
      <c r="D100" s="5">
        <v>6597712.8396255402</v>
      </c>
      <c r="E100" s="5">
        <v>4475410.2040676596</v>
      </c>
      <c r="F100" s="5">
        <v>6337351.8689288301</v>
      </c>
      <c r="G100" s="5">
        <v>9596455.1201408207</v>
      </c>
      <c r="H100" s="5">
        <v>5208794.9079002803</v>
      </c>
      <c r="I100" s="5">
        <v>5298667.2457223898</v>
      </c>
      <c r="J100" s="5">
        <v>5184635.3833392998</v>
      </c>
      <c r="K100" s="5">
        <v>1940030.0353445399</v>
      </c>
      <c r="L100" s="5">
        <v>1951495.8312068</v>
      </c>
      <c r="M100" s="5">
        <v>3644166.49024656</v>
      </c>
      <c r="N100" s="5">
        <v>13016795.245422101</v>
      </c>
      <c r="O100" s="5">
        <v>22571073.163979098</v>
      </c>
      <c r="P100" s="5">
        <v>15363635.7247515</v>
      </c>
      <c r="Q100" s="5">
        <v>3660462.9786385498</v>
      </c>
      <c r="R100" s="5">
        <v>2917480.8728425298</v>
      </c>
      <c r="S100" s="5">
        <v>5493967.1352055501</v>
      </c>
      <c r="T100" s="5">
        <v>5761769.5551946303</v>
      </c>
      <c r="U100" s="5">
        <v>4705445.93730783</v>
      </c>
      <c r="V100" s="5">
        <v>10113319.601871699</v>
      </c>
      <c r="W100" s="5">
        <v>8474375.8177183401</v>
      </c>
      <c r="X100" s="5">
        <v>2730261.49176133</v>
      </c>
      <c r="Y100" s="5">
        <v>12731020.8797097</v>
      </c>
      <c r="Z100" s="5">
        <v>9576716.1553889904</v>
      </c>
      <c r="AA100" s="5">
        <v>7656003.0270895297</v>
      </c>
      <c r="AB100" s="5">
        <v>8564708.7840783093</v>
      </c>
      <c r="AC100" s="5">
        <v>8525739.1841287408</v>
      </c>
    </row>
    <row r="101" spans="1:29" x14ac:dyDescent="0.45">
      <c r="A101" s="5" t="s">
        <v>114</v>
      </c>
      <c r="B101" s="5">
        <v>134196225.391022</v>
      </c>
      <c r="C101" s="5">
        <v>83030585.516431496</v>
      </c>
      <c r="D101" s="5">
        <v>144537265.44825199</v>
      </c>
      <c r="E101" s="5">
        <v>120974817.79901101</v>
      </c>
      <c r="F101" s="5">
        <v>110194392.184624</v>
      </c>
      <c r="G101" s="5">
        <v>123852172.59091599</v>
      </c>
      <c r="H101" s="5">
        <v>74535026.202396199</v>
      </c>
      <c r="I101" s="5">
        <v>235658444.62035099</v>
      </c>
      <c r="J101" s="5">
        <v>172142335.778873</v>
      </c>
      <c r="K101" s="5">
        <v>155042686.21457699</v>
      </c>
      <c r="L101" s="5">
        <v>130002245.915989</v>
      </c>
      <c r="M101" s="5">
        <v>181723144.37954</v>
      </c>
      <c r="N101" s="5">
        <v>97243318.355477706</v>
      </c>
      <c r="O101" s="5">
        <v>88002172.465365499</v>
      </c>
      <c r="P101" s="5">
        <v>71245447.136014104</v>
      </c>
      <c r="Q101" s="5">
        <v>138114427.45748299</v>
      </c>
      <c r="R101" s="5">
        <v>183102564.130229</v>
      </c>
      <c r="S101" s="5">
        <v>107196150.911192</v>
      </c>
      <c r="T101" s="5">
        <v>94312315.512649104</v>
      </c>
      <c r="U101" s="5">
        <v>76845091.9368774</v>
      </c>
      <c r="V101" s="5">
        <v>86983309.765948102</v>
      </c>
      <c r="W101" s="5">
        <v>107061760.128612</v>
      </c>
      <c r="X101" s="5">
        <v>126616202.33033</v>
      </c>
      <c r="Y101" s="5">
        <v>78902091.611197993</v>
      </c>
      <c r="Z101" s="5">
        <v>88338363.692903996</v>
      </c>
      <c r="AA101" s="5">
        <v>102487958.796841</v>
      </c>
      <c r="AB101" s="5">
        <v>104568617.998496</v>
      </c>
      <c r="AC101" s="5">
        <v>102739082.299759</v>
      </c>
    </row>
    <row r="102" spans="1:29" x14ac:dyDescent="0.45">
      <c r="A102" s="5" t="s">
        <v>351</v>
      </c>
      <c r="B102" s="5">
        <v>224895235.16710499</v>
      </c>
      <c r="C102" s="5">
        <v>196481457.25608301</v>
      </c>
      <c r="D102" s="5">
        <v>213417401.26374599</v>
      </c>
      <c r="E102" s="5">
        <v>77147015.078442499</v>
      </c>
      <c r="F102" s="5">
        <v>121503674.71062399</v>
      </c>
      <c r="G102" s="5">
        <v>94471363.632460296</v>
      </c>
      <c r="H102" s="5">
        <v>202460450.02144399</v>
      </c>
      <c r="I102" s="5">
        <v>346356643.87257802</v>
      </c>
      <c r="J102" s="5">
        <v>189101626.557174</v>
      </c>
      <c r="K102" s="5">
        <v>213737463.83918101</v>
      </c>
      <c r="L102" s="5">
        <v>299148108.46672899</v>
      </c>
      <c r="M102" s="5">
        <v>269175586.71267802</v>
      </c>
      <c r="N102" s="5">
        <v>289603389.61424297</v>
      </c>
      <c r="O102" s="5">
        <v>187660457.82897401</v>
      </c>
      <c r="P102" s="5">
        <v>254723108.784953</v>
      </c>
      <c r="Q102" s="5">
        <v>103059386.078668</v>
      </c>
      <c r="R102" s="5">
        <v>149132616.81156701</v>
      </c>
      <c r="S102" s="5">
        <v>147159787.15571699</v>
      </c>
      <c r="T102" s="5">
        <v>60238982.839937903</v>
      </c>
      <c r="U102" s="5">
        <v>51904109.567239001</v>
      </c>
      <c r="V102" s="5">
        <v>28955433.944042102</v>
      </c>
      <c r="W102" s="5">
        <v>194065402.39021301</v>
      </c>
      <c r="X102" s="5">
        <v>134843191.35451099</v>
      </c>
      <c r="Y102" s="5">
        <v>14474447.513101799</v>
      </c>
      <c r="Z102" s="5">
        <v>149112183.24911201</v>
      </c>
      <c r="AA102" s="5">
        <v>146553940.35724401</v>
      </c>
      <c r="AB102" s="5">
        <v>157131293.152652</v>
      </c>
      <c r="AC102" s="5">
        <v>143178146.964881</v>
      </c>
    </row>
    <row r="103" spans="1:29" x14ac:dyDescent="0.45">
      <c r="A103" s="5" t="s">
        <v>289</v>
      </c>
      <c r="B103" s="5">
        <v>39752251.364083402</v>
      </c>
      <c r="C103" s="5">
        <v>47566842.341463901</v>
      </c>
      <c r="D103" s="5">
        <v>27551306.668241698</v>
      </c>
      <c r="E103" s="5">
        <v>38583204.6981989</v>
      </c>
      <c r="F103" s="5">
        <v>43164748.2100356</v>
      </c>
      <c r="G103" s="5">
        <v>32094708.797551699</v>
      </c>
      <c r="H103" s="5">
        <v>69511722.015686706</v>
      </c>
      <c r="I103" s="5">
        <v>6334289.8589498196</v>
      </c>
      <c r="J103" s="5">
        <v>76720435.111889496</v>
      </c>
      <c r="K103" s="5">
        <v>45600881.498236597</v>
      </c>
      <c r="L103" s="5">
        <v>64155722.1812336</v>
      </c>
      <c r="M103" s="5">
        <v>59756156.542521797</v>
      </c>
      <c r="N103" s="5">
        <v>17579452.309742399</v>
      </c>
      <c r="O103" s="5">
        <v>82283348.142222598</v>
      </c>
      <c r="P103" s="5">
        <v>49727263.543170802</v>
      </c>
      <c r="Q103" s="5">
        <v>11065936.0880465</v>
      </c>
      <c r="R103" s="5">
        <v>45686712.655563302</v>
      </c>
      <c r="S103" s="5">
        <v>42588660.646888599</v>
      </c>
      <c r="T103" s="5">
        <v>41553519.254277602</v>
      </c>
      <c r="U103" s="5">
        <v>88754942.165201396</v>
      </c>
      <c r="V103" s="5">
        <v>53738981.2330475</v>
      </c>
      <c r="W103" s="5">
        <v>46528421.835774101</v>
      </c>
      <c r="X103" s="5">
        <v>58082237.527580298</v>
      </c>
      <c r="Y103" s="5">
        <v>41932986.9765248</v>
      </c>
      <c r="Z103" s="5">
        <v>43867519.737152003</v>
      </c>
      <c r="AA103" s="5">
        <v>38044599.332059696</v>
      </c>
      <c r="AB103" s="5">
        <v>44271881.412667498</v>
      </c>
      <c r="AC103" s="5">
        <v>42524269.547165997</v>
      </c>
    </row>
    <row r="104" spans="1:29" x14ac:dyDescent="0.45">
      <c r="A104" s="5" t="s">
        <v>438</v>
      </c>
      <c r="B104" s="5">
        <v>187051558.917447</v>
      </c>
      <c r="C104" s="5">
        <v>1515266880.4154501</v>
      </c>
      <c r="D104" s="5">
        <v>2691751383.1387801</v>
      </c>
      <c r="E104" s="5">
        <v>1370227922.5850501</v>
      </c>
      <c r="F104" s="5">
        <v>845103367.03894901</v>
      </c>
      <c r="G104" s="5">
        <v>1476703360.3822801</v>
      </c>
      <c r="H104" s="5">
        <v>2205497970.3493299</v>
      </c>
      <c r="I104" s="5">
        <v>6701753777.1187601</v>
      </c>
      <c r="J104" s="5">
        <v>2936018493.42241</v>
      </c>
      <c r="K104" s="5">
        <v>147556990.161899</v>
      </c>
      <c r="L104" s="5">
        <v>2629031179.77946</v>
      </c>
      <c r="M104" s="5">
        <v>1744860130.2212901</v>
      </c>
      <c r="N104" s="5">
        <v>2593924622.1939502</v>
      </c>
      <c r="O104" s="5">
        <v>2800605513.70155</v>
      </c>
      <c r="P104" s="5">
        <v>2982150554.0817399</v>
      </c>
      <c r="Q104" s="5">
        <v>1912875045.5678699</v>
      </c>
      <c r="R104" s="5">
        <v>452898340.67804497</v>
      </c>
      <c r="S104" s="5">
        <v>3276430472.90412</v>
      </c>
      <c r="T104" s="5">
        <v>346243813.14264399</v>
      </c>
      <c r="U104" s="5">
        <v>219959714.24070999</v>
      </c>
      <c r="V104" s="5">
        <v>264843143.39647201</v>
      </c>
      <c r="W104" s="5">
        <v>264966296.338936</v>
      </c>
      <c r="X104" s="5">
        <v>3658772937.8090601</v>
      </c>
      <c r="Y104" s="5">
        <v>358529761.858899</v>
      </c>
      <c r="Z104" s="5">
        <v>1806967977.5801599</v>
      </c>
      <c r="AA104" s="5">
        <v>1865008123.9900401</v>
      </c>
      <c r="AB104" s="5">
        <v>1849258960.96998</v>
      </c>
      <c r="AC104" s="5">
        <v>1809527995.2746601</v>
      </c>
    </row>
    <row r="105" spans="1:29" x14ac:dyDescent="0.45">
      <c r="A105" s="5" t="s">
        <v>115</v>
      </c>
      <c r="B105" s="5">
        <v>30165502.230822898</v>
      </c>
      <c r="C105" s="5">
        <v>48985415.564163499</v>
      </c>
      <c r="D105" s="5">
        <v>64184957.585930899</v>
      </c>
      <c r="E105" s="5">
        <v>56881365.581625499</v>
      </c>
      <c r="F105" s="5">
        <v>97720236.294015795</v>
      </c>
      <c r="G105" s="5">
        <v>62722212.355601497</v>
      </c>
      <c r="H105" s="5">
        <v>41769648.2857152</v>
      </c>
      <c r="I105" s="5">
        <v>337949906.40893501</v>
      </c>
      <c r="J105" s="5">
        <v>94292857.9551934</v>
      </c>
      <c r="K105" s="5">
        <v>52150406.067462102</v>
      </c>
      <c r="L105" s="5">
        <v>76399783.143487602</v>
      </c>
      <c r="M105" s="5">
        <v>44312722.254862197</v>
      </c>
      <c r="N105" s="5">
        <v>79199076.387386993</v>
      </c>
      <c r="O105" s="5">
        <v>75290869.437805504</v>
      </c>
      <c r="P105" s="5">
        <v>34863162.235087201</v>
      </c>
      <c r="Q105" s="5">
        <v>46872887.781011902</v>
      </c>
      <c r="R105" s="5">
        <v>49172549.164793402</v>
      </c>
      <c r="S105" s="5">
        <v>38796223.638159499</v>
      </c>
      <c r="T105" s="5">
        <v>84801825.174881294</v>
      </c>
      <c r="U105" s="5">
        <v>99872750.818078801</v>
      </c>
      <c r="V105" s="5">
        <v>75805948.2975595</v>
      </c>
      <c r="W105" s="5">
        <v>26352188.323649101</v>
      </c>
      <c r="X105" s="5">
        <v>142249592.21183199</v>
      </c>
      <c r="Y105" s="5">
        <v>32769860.8581242</v>
      </c>
      <c r="Z105" s="5">
        <v>65335021.753970496</v>
      </c>
      <c r="AA105" s="5">
        <v>65418667.351215698</v>
      </c>
      <c r="AB105" s="5">
        <v>61904600.080450103</v>
      </c>
      <c r="AC105" s="5">
        <v>59276234.710561</v>
      </c>
    </row>
    <row r="106" spans="1:29" x14ac:dyDescent="0.45">
      <c r="A106" s="5" t="s">
        <v>374</v>
      </c>
      <c r="B106" s="5">
        <v>26899768.892090902</v>
      </c>
      <c r="C106" s="5">
        <v>89210188.898777798</v>
      </c>
      <c r="D106" s="5">
        <v>73354497.152584195</v>
      </c>
      <c r="E106" s="5">
        <v>38114306.704362698</v>
      </c>
      <c r="F106" s="5">
        <v>56859912.525573097</v>
      </c>
      <c r="G106" s="5">
        <v>57049363.205602199</v>
      </c>
      <c r="H106" s="5">
        <v>54768203.351768903</v>
      </c>
      <c r="I106" s="5">
        <v>433151720.905536</v>
      </c>
      <c r="J106" s="5">
        <v>70709590.602269202</v>
      </c>
      <c r="K106" s="5">
        <v>155772677.36123499</v>
      </c>
      <c r="L106" s="5">
        <v>45393282.236923598</v>
      </c>
      <c r="M106" s="5">
        <v>85242432.3620231</v>
      </c>
      <c r="N106" s="5">
        <v>189107573.10385799</v>
      </c>
      <c r="O106" s="5">
        <v>168307278.74213701</v>
      </c>
      <c r="P106" s="5">
        <v>132653503.78138199</v>
      </c>
      <c r="Q106" s="5">
        <v>129774484.763172</v>
      </c>
      <c r="R106" s="5">
        <v>55714954.808815002</v>
      </c>
      <c r="S106" s="5">
        <v>58540940.603177398</v>
      </c>
      <c r="T106" s="5">
        <v>46804840.516477503</v>
      </c>
      <c r="U106" s="5">
        <v>72558775.4468638</v>
      </c>
      <c r="V106" s="5">
        <v>98906898.626752198</v>
      </c>
      <c r="W106" s="5">
        <v>56939099.049799003</v>
      </c>
      <c r="X106" s="5">
        <v>221673819.20947099</v>
      </c>
      <c r="Y106" s="5">
        <v>39526187.186221898</v>
      </c>
      <c r="Z106" s="5">
        <v>88067295.603287295</v>
      </c>
      <c r="AA106" s="5">
        <v>87196485.400928497</v>
      </c>
      <c r="AB106" s="5">
        <v>93186798.466094196</v>
      </c>
      <c r="AC106" s="5">
        <v>90372157.546677604</v>
      </c>
    </row>
    <row r="107" spans="1:29" x14ac:dyDescent="0.45">
      <c r="A107" s="5" t="s">
        <v>116</v>
      </c>
      <c r="B107" s="5">
        <v>14103365.1967989</v>
      </c>
      <c r="C107" s="5">
        <v>9139796.6896889899</v>
      </c>
      <c r="D107" s="5">
        <v>12442880.3298919</v>
      </c>
      <c r="E107" s="5">
        <v>9522634.6309255008</v>
      </c>
      <c r="F107" s="5">
        <v>13154133.3882348</v>
      </c>
      <c r="G107" s="5">
        <v>2886047.7151734801</v>
      </c>
      <c r="H107" s="5">
        <v>8961020.0795134604</v>
      </c>
      <c r="I107" s="5">
        <v>2343165.1581918299</v>
      </c>
      <c r="J107" s="5">
        <v>11544865.7315915</v>
      </c>
      <c r="K107" s="5">
        <v>14417566.454902301</v>
      </c>
      <c r="L107" s="5">
        <v>8288906.3419010602</v>
      </c>
      <c r="M107" s="5">
        <v>6925622.9017668897</v>
      </c>
      <c r="N107" s="5">
        <v>10191463.924862901</v>
      </c>
      <c r="O107" s="5">
        <v>8034112.4004921997</v>
      </c>
      <c r="P107" s="5">
        <v>8583617.3897351492</v>
      </c>
      <c r="Q107" s="5">
        <v>6929945.4517520899</v>
      </c>
      <c r="R107" s="5">
        <v>10792405.5131716</v>
      </c>
      <c r="S107" s="5">
        <v>11821566.2727786</v>
      </c>
      <c r="T107" s="5">
        <v>9956325.3403736092</v>
      </c>
      <c r="U107" s="5">
        <v>13395126.979700699</v>
      </c>
      <c r="V107" s="5">
        <v>10287038.921188099</v>
      </c>
      <c r="W107" s="5">
        <v>13993672.684250301</v>
      </c>
      <c r="X107" s="5">
        <v>11074903.028266501</v>
      </c>
      <c r="Y107" s="5">
        <v>9963203.6477308795</v>
      </c>
      <c r="Z107" s="5">
        <v>8424063.6105785798</v>
      </c>
      <c r="AA107" s="5">
        <v>8651895.5113015305</v>
      </c>
      <c r="AB107" s="5">
        <v>9271536.3671903405</v>
      </c>
      <c r="AC107" s="5">
        <v>9302337.9062289391</v>
      </c>
    </row>
    <row r="108" spans="1:29" x14ac:dyDescent="0.45">
      <c r="A108" s="5" t="s">
        <v>117</v>
      </c>
      <c r="B108" s="5">
        <v>631727956.18437004</v>
      </c>
      <c r="C108" s="5">
        <v>1626406899.08974</v>
      </c>
      <c r="D108" s="5">
        <v>1463781355.5395601</v>
      </c>
      <c r="E108" s="5">
        <v>503551327.33189702</v>
      </c>
      <c r="F108" s="5">
        <v>133154155.849024</v>
      </c>
      <c r="G108" s="5">
        <v>418368408.933658</v>
      </c>
      <c r="H108" s="5">
        <v>262260137.64129499</v>
      </c>
      <c r="I108" s="5">
        <v>308949812.95580101</v>
      </c>
      <c r="J108" s="5">
        <v>289092546.85188901</v>
      </c>
      <c r="K108" s="5">
        <v>109385803.126734</v>
      </c>
      <c r="L108" s="5">
        <v>259938282.27386701</v>
      </c>
      <c r="M108" s="5">
        <v>937414020.24586105</v>
      </c>
      <c r="N108" s="5">
        <v>799997642.45778501</v>
      </c>
      <c r="O108" s="5">
        <v>456634824.03798401</v>
      </c>
      <c r="P108" s="5">
        <v>162039164.43361199</v>
      </c>
      <c r="Q108" s="5">
        <v>1076028105.9093001</v>
      </c>
      <c r="R108" s="5">
        <v>286597499.14250499</v>
      </c>
      <c r="S108" s="5">
        <v>735351063.08543301</v>
      </c>
      <c r="T108" s="5">
        <v>446435633.62095797</v>
      </c>
      <c r="U108" s="5">
        <v>206746864.866061</v>
      </c>
      <c r="V108" s="5">
        <v>624480587.00917006</v>
      </c>
      <c r="W108" s="5">
        <v>359162303.55924702</v>
      </c>
      <c r="X108" s="5">
        <v>871472510.30868399</v>
      </c>
      <c r="Y108" s="5">
        <v>203879712.90739799</v>
      </c>
      <c r="Z108" s="5">
        <v>517851024.83007401</v>
      </c>
      <c r="AA108" s="5">
        <v>529444771.82300001</v>
      </c>
      <c r="AB108" s="5">
        <v>591067048.66960597</v>
      </c>
      <c r="AC108" s="5">
        <v>560693713.79105604</v>
      </c>
    </row>
    <row r="109" spans="1:29" x14ac:dyDescent="0.45">
      <c r="A109" s="5" t="s">
        <v>118</v>
      </c>
      <c r="B109" s="5">
        <v>11498455.260539301</v>
      </c>
      <c r="C109" s="5">
        <v>18063755.953988899</v>
      </c>
      <c r="D109" s="5">
        <v>13251564.907524999</v>
      </c>
      <c r="E109" s="5">
        <v>7687325.4991361704</v>
      </c>
      <c r="F109" s="5">
        <v>8159858.8274041601</v>
      </c>
      <c r="G109" s="5">
        <v>10369397.1287349</v>
      </c>
      <c r="H109" s="5">
        <v>7220979.4582283599</v>
      </c>
      <c r="I109" s="5">
        <v>14434543.436476</v>
      </c>
      <c r="J109" s="5">
        <v>6614542.1289719203</v>
      </c>
      <c r="K109" s="5">
        <v>8244876.7385107996</v>
      </c>
      <c r="L109" s="5">
        <v>8310440.8079351801</v>
      </c>
      <c r="M109" s="5">
        <v>9964073.9760832302</v>
      </c>
      <c r="N109" s="5">
        <v>12646849.7492474</v>
      </c>
      <c r="O109" s="5">
        <v>9882321.9536822997</v>
      </c>
      <c r="P109" s="5">
        <v>12336834.397218799</v>
      </c>
      <c r="Q109" s="5">
        <v>8787527.29758141</v>
      </c>
      <c r="R109" s="5">
        <v>8944823.8580288105</v>
      </c>
      <c r="S109" s="5">
        <v>10613968.406868599</v>
      </c>
      <c r="T109" s="5">
        <v>7657743.2880175496</v>
      </c>
      <c r="U109" s="5">
        <v>7645117.7641048301</v>
      </c>
      <c r="V109" s="5">
        <v>11767916.452277601</v>
      </c>
      <c r="W109" s="5">
        <v>10494267.046298699</v>
      </c>
      <c r="X109" s="5">
        <v>4519325.8993883803</v>
      </c>
      <c r="Y109" s="5">
        <v>8271355.5456380202</v>
      </c>
      <c r="Z109" s="5">
        <v>8726032.8351258896</v>
      </c>
      <c r="AA109" s="5">
        <v>10111175.853913199</v>
      </c>
      <c r="AB109" s="5">
        <v>9705234.2554086093</v>
      </c>
      <c r="AC109" s="5">
        <v>8511057.6612691898</v>
      </c>
    </row>
    <row r="110" spans="1:29" x14ac:dyDescent="0.45">
      <c r="A110" s="5" t="s">
        <v>119</v>
      </c>
      <c r="B110" s="5">
        <v>21014594.526540998</v>
      </c>
      <c r="C110" s="5">
        <v>16661432.866822399</v>
      </c>
      <c r="D110" s="5">
        <v>18710484.027486201</v>
      </c>
      <c r="E110" s="5">
        <v>21411682.937663101</v>
      </c>
      <c r="F110" s="5">
        <v>17586099.5205734</v>
      </c>
      <c r="G110" s="5">
        <v>7785338.0188199002</v>
      </c>
      <c r="H110" s="5">
        <v>19176507.4469372</v>
      </c>
      <c r="I110" s="5">
        <v>3193647.7384375501</v>
      </c>
      <c r="J110" s="5">
        <v>16071355.5661211</v>
      </c>
      <c r="K110" s="5">
        <v>10702037.013055701</v>
      </c>
      <c r="L110" s="5">
        <v>14112424.933139401</v>
      </c>
      <c r="M110" s="5">
        <v>5868101.5491004903</v>
      </c>
      <c r="N110" s="5">
        <v>23821426.325782999</v>
      </c>
      <c r="O110" s="5">
        <v>15403271.078619899</v>
      </c>
      <c r="P110" s="5">
        <v>21576148.66336</v>
      </c>
      <c r="Q110" s="5">
        <v>15113517.418284699</v>
      </c>
      <c r="R110" s="5">
        <v>5601523.4881211501</v>
      </c>
      <c r="S110" s="5">
        <v>11527670.7474172</v>
      </c>
      <c r="T110" s="5">
        <v>22681253.1818422</v>
      </c>
      <c r="U110" s="5">
        <v>12709433.1976522</v>
      </c>
      <c r="V110" s="5">
        <v>21221688.211203199</v>
      </c>
      <c r="W110" s="5">
        <v>12769522.693406399</v>
      </c>
      <c r="X110" s="5">
        <v>4770018.2747352002</v>
      </c>
      <c r="Y110" s="5">
        <v>20867693.971161399</v>
      </c>
      <c r="Z110" s="5">
        <v>14998102.109983001</v>
      </c>
      <c r="AA110" s="5">
        <v>12380458.346072599</v>
      </c>
      <c r="AB110" s="5">
        <v>17259832.754528701</v>
      </c>
      <c r="AC110" s="5">
        <v>17346708.608224001</v>
      </c>
    </row>
    <row r="111" spans="1:29" x14ac:dyDescent="0.45">
      <c r="A111" s="5" t="s">
        <v>120</v>
      </c>
      <c r="B111" s="5">
        <v>35235629.967603602</v>
      </c>
      <c r="C111" s="5">
        <v>34941289.437463999</v>
      </c>
      <c r="D111" s="5">
        <v>31000680.821174499</v>
      </c>
      <c r="E111" s="5">
        <v>34720700.074644499</v>
      </c>
      <c r="F111" s="5">
        <v>29396841.347098202</v>
      </c>
      <c r="G111" s="5">
        <v>33441072.084619898</v>
      </c>
      <c r="H111" s="5">
        <v>31940586.604459401</v>
      </c>
      <c r="I111" s="5">
        <v>14115905.538664401</v>
      </c>
      <c r="J111" s="5">
        <v>24426326.919952601</v>
      </c>
      <c r="K111" s="5">
        <v>29772795.177372798</v>
      </c>
      <c r="L111" s="5">
        <v>40110906.679632597</v>
      </c>
      <c r="M111" s="5">
        <v>42762426.498927198</v>
      </c>
      <c r="N111" s="5">
        <v>24569301.835496798</v>
      </c>
      <c r="O111" s="5">
        <v>30675074.515165102</v>
      </c>
      <c r="P111" s="5">
        <v>31395168.897546802</v>
      </c>
      <c r="Q111" s="5">
        <v>29859226.192855299</v>
      </c>
      <c r="R111" s="5">
        <v>30139773.621511199</v>
      </c>
      <c r="S111" s="5">
        <v>35639731.621818498</v>
      </c>
      <c r="T111" s="5">
        <v>36156937.128966101</v>
      </c>
      <c r="U111" s="5">
        <v>36643330.403856099</v>
      </c>
      <c r="V111" s="5">
        <v>28978234.0531202</v>
      </c>
      <c r="W111" s="5">
        <v>24245413.002316002</v>
      </c>
      <c r="X111" s="5">
        <v>21089959.6962975</v>
      </c>
      <c r="Y111" s="5">
        <v>36776649.645189904</v>
      </c>
      <c r="Z111" s="5">
        <v>30140937.446603499</v>
      </c>
      <c r="AA111" s="5">
        <v>28717032.1219869</v>
      </c>
      <c r="AB111" s="5">
        <v>28669677.753838401</v>
      </c>
      <c r="AC111" s="5">
        <v>30784645.069192499</v>
      </c>
    </row>
    <row r="112" spans="1:29" x14ac:dyDescent="0.45">
      <c r="A112" s="5" t="s">
        <v>121</v>
      </c>
      <c r="B112" s="5">
        <v>3281100.22432577</v>
      </c>
      <c r="C112" s="5">
        <v>507097.54510601598</v>
      </c>
      <c r="D112" s="5">
        <v>5105039.1531683896</v>
      </c>
      <c r="E112" s="5">
        <v>4324829.4029494701</v>
      </c>
      <c r="F112" s="5">
        <v>13131572.8470465</v>
      </c>
      <c r="G112" s="5">
        <v>7356977.4609611603</v>
      </c>
      <c r="H112" s="5">
        <v>3904976.0323243998</v>
      </c>
      <c r="I112" s="5">
        <v>7652705.4146282598</v>
      </c>
      <c r="J112" s="5">
        <v>5466834.27645755</v>
      </c>
      <c r="K112" s="5">
        <v>18666566.932257101</v>
      </c>
      <c r="L112" s="5">
        <v>15897162.268498899</v>
      </c>
      <c r="M112" s="5">
        <v>3743187.38580616</v>
      </c>
      <c r="N112" s="5">
        <v>4826414.4769834299</v>
      </c>
      <c r="O112" s="5">
        <v>3956756.0606252002</v>
      </c>
      <c r="P112" s="5">
        <v>3733934.2270647599</v>
      </c>
      <c r="Q112" s="5">
        <v>7393052.0057249302</v>
      </c>
      <c r="R112" s="5">
        <v>8646119.7106424104</v>
      </c>
      <c r="S112" s="5">
        <v>4571537.5185535802</v>
      </c>
      <c r="T112" s="5">
        <v>3910569.0669222502</v>
      </c>
      <c r="U112" s="5">
        <v>3745385.8425276801</v>
      </c>
      <c r="V112" s="5">
        <v>4035292.2499761698</v>
      </c>
      <c r="W112" s="5">
        <v>4765777.2727580899</v>
      </c>
      <c r="X112" s="5">
        <v>2519998.6450687801</v>
      </c>
      <c r="Y112" s="5">
        <v>5025849.5596877597</v>
      </c>
      <c r="Z112" s="5">
        <v>5488107.3217796404</v>
      </c>
      <c r="AA112" s="5">
        <v>5809223.3067461802</v>
      </c>
      <c r="AB112" s="5">
        <v>5042149.4090599502</v>
      </c>
      <c r="AC112" s="5">
        <v>5584797.5810801601</v>
      </c>
    </row>
    <row r="113" spans="1:29" x14ac:dyDescent="0.45">
      <c r="A113" s="5" t="s">
        <v>122</v>
      </c>
      <c r="B113" s="5">
        <v>7969994.8119786801</v>
      </c>
      <c r="C113" s="5">
        <v>9357267.2371112797</v>
      </c>
      <c r="D113" s="5">
        <v>7734829.4097638996</v>
      </c>
      <c r="E113" s="5">
        <v>4684094.8353814203</v>
      </c>
      <c r="F113" s="5">
        <v>6153733.1255960502</v>
      </c>
      <c r="G113" s="5">
        <v>9097835.2387459893</v>
      </c>
      <c r="H113" s="5">
        <v>4884767.2700370997</v>
      </c>
      <c r="I113" s="5">
        <v>3787329.54630931</v>
      </c>
      <c r="J113" s="5">
        <v>3533603.6855398598</v>
      </c>
      <c r="K113" s="5">
        <v>594758.30728555704</v>
      </c>
      <c r="L113" s="5">
        <v>5520547.8194236299</v>
      </c>
      <c r="M113" s="5">
        <v>3686374.12677396</v>
      </c>
      <c r="N113" s="5">
        <v>8558189.3189146109</v>
      </c>
      <c r="O113" s="5">
        <v>851904.030057539</v>
      </c>
      <c r="P113" s="5">
        <v>568347.00574280298</v>
      </c>
      <c r="Q113" s="5">
        <v>5123265.0506249201</v>
      </c>
      <c r="R113" s="5">
        <v>3191639.2032899498</v>
      </c>
      <c r="S113" s="5">
        <v>7755396.8135697199</v>
      </c>
      <c r="T113" s="5">
        <v>7948312.4462707099</v>
      </c>
      <c r="U113" s="5">
        <v>3879261.5176099101</v>
      </c>
      <c r="V113" s="5">
        <v>6304370.00008382</v>
      </c>
      <c r="W113" s="5">
        <v>5751687.9405716797</v>
      </c>
      <c r="X113" s="5">
        <v>7150663.0469617201</v>
      </c>
      <c r="Y113" s="5">
        <v>8585456.4607779607</v>
      </c>
      <c r="Z113" s="5">
        <v>5709317.1555190003</v>
      </c>
      <c r="AA113" s="5">
        <v>5704780.0391832804</v>
      </c>
      <c r="AB113" s="5">
        <v>5379670.0797301698</v>
      </c>
      <c r="AC113" s="5">
        <v>5470918.8490580805</v>
      </c>
    </row>
    <row r="114" spans="1:29" x14ac:dyDescent="0.45">
      <c r="A114" s="5" t="s">
        <v>123</v>
      </c>
      <c r="B114" s="5">
        <v>7095127.5439562798</v>
      </c>
      <c r="C114" s="5">
        <v>6107334.4316970501</v>
      </c>
      <c r="D114" s="5">
        <v>6519238.5404818701</v>
      </c>
      <c r="E114" s="5">
        <v>8516293.8872360196</v>
      </c>
      <c r="F114" s="5">
        <v>5872375.9292231398</v>
      </c>
      <c r="G114" s="5">
        <v>7005623.1824716805</v>
      </c>
      <c r="H114" s="5">
        <v>72576712.648170903</v>
      </c>
      <c r="I114" s="5">
        <v>49731350.327322997</v>
      </c>
      <c r="J114" s="5">
        <v>61340720.032026</v>
      </c>
      <c r="K114" s="5">
        <v>74020011.492785603</v>
      </c>
      <c r="L114" s="5">
        <v>47551776.125216097</v>
      </c>
      <c r="M114" s="5">
        <v>98887887.319615901</v>
      </c>
      <c r="N114" s="5">
        <v>74652133.447943002</v>
      </c>
      <c r="O114" s="5">
        <v>24218513.096401099</v>
      </c>
      <c r="P114" s="5">
        <v>27648151.946521498</v>
      </c>
      <c r="Q114" s="5">
        <v>11059020.298349001</v>
      </c>
      <c r="R114" s="5">
        <v>5284705.2633091398</v>
      </c>
      <c r="S114" s="5">
        <v>7023713.8194010798</v>
      </c>
      <c r="T114" s="5">
        <v>19077042.7400163</v>
      </c>
      <c r="U114" s="5">
        <v>10261727.3398335</v>
      </c>
      <c r="V114" s="5">
        <v>9653969.7822388299</v>
      </c>
      <c r="W114" s="5">
        <v>73714566.359612897</v>
      </c>
      <c r="X114" s="5">
        <v>60621980.995545797</v>
      </c>
      <c r="Y114" s="5">
        <v>78390820.716796696</v>
      </c>
      <c r="Z114" s="5">
        <v>31152391.388324</v>
      </c>
      <c r="AA114" s="5">
        <v>35748650.958575003</v>
      </c>
      <c r="AB114" s="5">
        <v>36754144.301230498</v>
      </c>
      <c r="AC114" s="5">
        <v>37860869.473215997</v>
      </c>
    </row>
    <row r="115" spans="1:29" x14ac:dyDescent="0.45">
      <c r="A115" s="5" t="s">
        <v>434</v>
      </c>
      <c r="B115" s="5">
        <v>11222771.6002813</v>
      </c>
      <c r="C115" s="5">
        <v>56000874.6184908</v>
      </c>
      <c r="D115" s="5">
        <v>45045470.061291099</v>
      </c>
      <c r="E115" s="5">
        <v>27373704.228146799</v>
      </c>
      <c r="F115" s="5">
        <v>18634952.320512801</v>
      </c>
      <c r="G115" s="5">
        <v>27658867.272604499</v>
      </c>
      <c r="H115" s="5">
        <v>10916183.345577501</v>
      </c>
      <c r="I115" s="5">
        <v>12181510.4835047</v>
      </c>
      <c r="J115" s="5">
        <v>26384446.232909501</v>
      </c>
      <c r="K115" s="5">
        <v>17970060.630536001</v>
      </c>
      <c r="L115" s="5">
        <v>20780139.346427102</v>
      </c>
      <c r="M115" s="5">
        <v>37348960.3640389</v>
      </c>
      <c r="N115" s="5">
        <v>33177384.232498199</v>
      </c>
      <c r="O115" s="5">
        <v>29499545.2441696</v>
      </c>
      <c r="P115" s="5">
        <v>20553128.8825415</v>
      </c>
      <c r="Q115" s="5">
        <v>40846588.854305297</v>
      </c>
      <c r="R115" s="5">
        <v>22529351.412358701</v>
      </c>
      <c r="S115" s="5">
        <v>19497259.831912301</v>
      </c>
      <c r="T115" s="5">
        <v>40814598.02651</v>
      </c>
      <c r="U115" s="5">
        <v>23759063.193296898</v>
      </c>
      <c r="V115" s="5">
        <v>35138172.896098197</v>
      </c>
      <c r="W115" s="5">
        <v>25882730.457765501</v>
      </c>
      <c r="X115" s="5">
        <v>9193461.5920003597</v>
      </c>
      <c r="Y115" s="5">
        <v>30891296.845918801</v>
      </c>
      <c r="Z115" s="5">
        <v>27965055.8224026</v>
      </c>
      <c r="AA115" s="5">
        <v>29873568.674084</v>
      </c>
      <c r="AB115" s="5">
        <v>31746683.507836599</v>
      </c>
      <c r="AC115" s="5">
        <v>30995071.134291701</v>
      </c>
    </row>
    <row r="116" spans="1:29" x14ac:dyDescent="0.45">
      <c r="A116" s="5" t="s">
        <v>124</v>
      </c>
      <c r="B116" s="5">
        <v>129068551.321182</v>
      </c>
      <c r="C116" s="5">
        <v>87886743.685917303</v>
      </c>
      <c r="D116" s="5">
        <v>109597079.310277</v>
      </c>
      <c r="E116" s="5">
        <v>140817856.45921499</v>
      </c>
      <c r="F116" s="5">
        <v>109066428.073779</v>
      </c>
      <c r="G116" s="5">
        <v>92980511.254266694</v>
      </c>
      <c r="H116" s="5">
        <v>156252136.75512299</v>
      </c>
      <c r="I116" s="5">
        <v>34111584.2020391</v>
      </c>
      <c r="J116" s="5">
        <v>125482885.938997</v>
      </c>
      <c r="K116" s="5">
        <v>60428396.788605303</v>
      </c>
      <c r="L116" s="5">
        <v>81045153.836157903</v>
      </c>
      <c r="M116" s="5">
        <v>106399485.78174999</v>
      </c>
      <c r="N116" s="5">
        <v>93337400.480532393</v>
      </c>
      <c r="O116" s="5">
        <v>77725502.777487397</v>
      </c>
      <c r="P116" s="5">
        <v>121606457.905913</v>
      </c>
      <c r="Q116" s="5">
        <v>51043226.9108871</v>
      </c>
      <c r="R116" s="5">
        <v>125068103.751828</v>
      </c>
      <c r="S116" s="5">
        <v>89671826.785989299</v>
      </c>
      <c r="T116" s="5">
        <v>170315922.791293</v>
      </c>
      <c r="U116" s="5">
        <v>181251776.35143</v>
      </c>
      <c r="V116" s="5">
        <v>170896336.12219301</v>
      </c>
      <c r="W116" s="5">
        <v>109563572.023524</v>
      </c>
      <c r="X116" s="5">
        <v>55521538.516889699</v>
      </c>
      <c r="Y116" s="5">
        <v>120675222.423087</v>
      </c>
      <c r="Z116" s="5">
        <v>85298090.053185701</v>
      </c>
      <c r="AA116" s="5">
        <v>92574514.495101601</v>
      </c>
      <c r="AB116" s="5">
        <v>89839159.307061493</v>
      </c>
      <c r="AC116" s="5">
        <v>93771203.459982798</v>
      </c>
    </row>
    <row r="117" spans="1:29" x14ac:dyDescent="0.45">
      <c r="A117" s="5" t="s">
        <v>357</v>
      </c>
      <c r="B117" s="5">
        <v>37339363.947604202</v>
      </c>
      <c r="C117" s="5">
        <v>26487414.4372756</v>
      </c>
      <c r="D117" s="5">
        <v>36383712.527579397</v>
      </c>
      <c r="E117" s="5">
        <v>182959270.26921299</v>
      </c>
      <c r="F117" s="5">
        <v>503443401.05376601</v>
      </c>
      <c r="G117" s="5">
        <v>205380366.489638</v>
      </c>
      <c r="H117" s="5">
        <v>244900607.47908199</v>
      </c>
      <c r="I117" s="5">
        <v>68420724.472064093</v>
      </c>
      <c r="J117" s="5">
        <v>388608856.732234</v>
      </c>
      <c r="K117" s="5">
        <v>599935414.28696299</v>
      </c>
      <c r="L117" s="5">
        <v>111594888.320841</v>
      </c>
      <c r="M117" s="5">
        <v>14378700.0994562</v>
      </c>
      <c r="N117" s="5">
        <v>97388879.142001003</v>
      </c>
      <c r="O117" s="5">
        <v>330347024.85457402</v>
      </c>
      <c r="P117" s="5">
        <v>735355564.10392499</v>
      </c>
      <c r="Q117" s="5">
        <v>122338809.640203</v>
      </c>
      <c r="R117" s="5">
        <v>874786029.24198198</v>
      </c>
      <c r="S117" s="5">
        <v>220920054.11088201</v>
      </c>
      <c r="T117" s="5">
        <v>100970395.05945399</v>
      </c>
      <c r="U117" s="5">
        <v>108336591.64435799</v>
      </c>
      <c r="V117" s="5">
        <v>24715122.539662998</v>
      </c>
      <c r="W117" s="5">
        <v>1004949514.7595299</v>
      </c>
      <c r="X117" s="5">
        <v>202312843.65443099</v>
      </c>
      <c r="Y117" s="5">
        <v>519285390.94913799</v>
      </c>
      <c r="Z117" s="5">
        <v>158978282.02827299</v>
      </c>
      <c r="AA117" s="5">
        <v>161997538.10324499</v>
      </c>
      <c r="AB117" s="5">
        <v>182129720.152749</v>
      </c>
      <c r="AC117" s="5">
        <v>168538955.547607</v>
      </c>
    </row>
    <row r="118" spans="1:29" x14ac:dyDescent="0.45">
      <c r="A118" s="5" t="s">
        <v>125</v>
      </c>
      <c r="B118" s="5">
        <v>14157255.961522801</v>
      </c>
      <c r="C118" s="5">
        <v>12098945.205040799</v>
      </c>
      <c r="D118" s="5">
        <v>19743745.416559201</v>
      </c>
      <c r="E118" s="5">
        <v>15418290.0259021</v>
      </c>
      <c r="F118" s="5">
        <v>17486146.4876533</v>
      </c>
      <c r="G118" s="5">
        <v>11621687.9287482</v>
      </c>
      <c r="H118" s="5">
        <v>6883680.35473538</v>
      </c>
      <c r="I118" s="5">
        <v>31398542.313527498</v>
      </c>
      <c r="J118" s="5">
        <v>28465324.7706028</v>
      </c>
      <c r="K118" s="5">
        <v>22193162.452382501</v>
      </c>
      <c r="L118" s="5">
        <v>22915425.801334798</v>
      </c>
      <c r="M118" s="5">
        <v>9836911.3243910708</v>
      </c>
      <c r="N118" s="5">
        <v>6457196.9131728904</v>
      </c>
      <c r="O118" s="5">
        <v>22468586.864123601</v>
      </c>
      <c r="P118" s="5">
        <v>7735996.4955960801</v>
      </c>
      <c r="Q118" s="5">
        <v>10134025.428158401</v>
      </c>
      <c r="R118" s="5">
        <v>23145476.447403301</v>
      </c>
      <c r="S118" s="5">
        <v>13428947.621585799</v>
      </c>
      <c r="T118" s="5">
        <v>16679931.493639899</v>
      </c>
      <c r="U118" s="5">
        <v>10793927.6013132</v>
      </c>
      <c r="V118" s="5">
        <v>8867059.5563778207</v>
      </c>
      <c r="W118" s="5">
        <v>12044817.7149608</v>
      </c>
      <c r="X118" s="5">
        <v>70788550.618041903</v>
      </c>
      <c r="Y118" s="5">
        <v>11665408.250934999</v>
      </c>
      <c r="Z118" s="5">
        <v>14020305.2356869</v>
      </c>
      <c r="AA118" s="5">
        <v>13181021.6020294</v>
      </c>
      <c r="AB118" s="5">
        <v>14083797.438800201</v>
      </c>
      <c r="AC118" s="5">
        <v>13012706.398094</v>
      </c>
    </row>
    <row r="119" spans="1:29" x14ac:dyDescent="0.45">
      <c r="A119" s="5" t="s">
        <v>126</v>
      </c>
      <c r="B119" s="5">
        <v>5238747024.3722</v>
      </c>
      <c r="C119" s="5">
        <v>8067302296.4660301</v>
      </c>
      <c r="D119" s="5">
        <v>7019931215.7519999</v>
      </c>
      <c r="E119" s="5">
        <v>595623264.62607598</v>
      </c>
      <c r="F119" s="5">
        <v>908376818.54210806</v>
      </c>
      <c r="G119" s="5">
        <v>477478103.02135402</v>
      </c>
      <c r="H119" s="5">
        <v>417760975.636127</v>
      </c>
      <c r="I119" s="5">
        <v>25785648159.966499</v>
      </c>
      <c r="J119" s="5">
        <v>2052675207.4621601</v>
      </c>
      <c r="K119" s="5">
        <v>1832749622.14644</v>
      </c>
      <c r="L119" s="5">
        <v>3211262975.9831901</v>
      </c>
      <c r="M119" s="5">
        <v>1107961310.1201601</v>
      </c>
      <c r="N119" s="5">
        <v>257631498.391137</v>
      </c>
      <c r="O119" s="5">
        <v>9279490991.8282795</v>
      </c>
      <c r="P119" s="5">
        <v>235889983.686225</v>
      </c>
      <c r="Q119" s="5">
        <v>14590012897.8291</v>
      </c>
      <c r="R119" s="5">
        <v>3006972670.0798402</v>
      </c>
      <c r="S119" s="5">
        <v>15721402676.7889</v>
      </c>
      <c r="T119" s="5">
        <v>586235939.69014502</v>
      </c>
      <c r="U119" s="5">
        <v>278490853.66944301</v>
      </c>
      <c r="V119" s="5">
        <v>93353656.194163799</v>
      </c>
      <c r="W119" s="5">
        <v>615271340.89634097</v>
      </c>
      <c r="X119" s="5">
        <v>2485813188.3221598</v>
      </c>
      <c r="Y119" s="5">
        <v>434726171.85606998</v>
      </c>
      <c r="Z119" s="5">
        <v>6423814753.3132696</v>
      </c>
      <c r="AA119" s="5">
        <v>6733531307.1438303</v>
      </c>
      <c r="AB119" s="5">
        <v>6174225030.6558104</v>
      </c>
      <c r="AC119" s="5">
        <v>6711953152.8135099</v>
      </c>
    </row>
    <row r="120" spans="1:29" x14ac:dyDescent="0.45">
      <c r="A120" s="5" t="s">
        <v>127</v>
      </c>
      <c r="B120" s="5">
        <v>89591179.909276396</v>
      </c>
      <c r="C120" s="5">
        <v>198973988.91422701</v>
      </c>
      <c r="D120" s="5">
        <v>125048315.584758</v>
      </c>
      <c r="E120" s="5">
        <v>52187797.040416703</v>
      </c>
      <c r="F120" s="5">
        <v>50742319.443897203</v>
      </c>
      <c r="G120" s="5">
        <v>84479561.254423603</v>
      </c>
      <c r="H120" s="5">
        <v>116685875.618191</v>
      </c>
      <c r="I120" s="5">
        <v>46531729.798984997</v>
      </c>
      <c r="J120" s="5">
        <v>47166729.948019601</v>
      </c>
      <c r="K120" s="5">
        <v>41667173.7416462</v>
      </c>
      <c r="L120" s="5">
        <v>25761144.228914101</v>
      </c>
      <c r="M120" s="5">
        <v>365596496.94816297</v>
      </c>
      <c r="N120" s="5">
        <v>126929389.91350301</v>
      </c>
      <c r="O120" s="5">
        <v>359702739.85188001</v>
      </c>
      <c r="P120" s="5">
        <v>65442557.395414501</v>
      </c>
      <c r="Q120" s="5">
        <v>292172837.82059097</v>
      </c>
      <c r="R120" s="5">
        <v>41935567.567578197</v>
      </c>
      <c r="S120" s="5">
        <v>189806760.483769</v>
      </c>
      <c r="T120" s="5">
        <v>53185996.219848402</v>
      </c>
      <c r="U120" s="5">
        <v>185514520.59082201</v>
      </c>
      <c r="V120" s="5">
        <v>288202398.64195597</v>
      </c>
      <c r="W120" s="5">
        <v>104939276.501627</v>
      </c>
      <c r="X120" s="5">
        <v>301437852.18618399</v>
      </c>
      <c r="Y120" s="5">
        <v>52929319.018262498</v>
      </c>
      <c r="Z120" s="5">
        <v>135120344.85394701</v>
      </c>
      <c r="AA120" s="5">
        <v>144738771.65578201</v>
      </c>
      <c r="AB120" s="5">
        <v>139718253.63181901</v>
      </c>
      <c r="AC120" s="5">
        <v>153972589.19025999</v>
      </c>
    </row>
    <row r="121" spans="1:29" x14ac:dyDescent="0.45">
      <c r="A121" s="5" t="s">
        <v>369</v>
      </c>
      <c r="B121" s="5">
        <v>295561164.31976199</v>
      </c>
      <c r="C121" s="5">
        <v>141555063.26015899</v>
      </c>
      <c r="D121" s="5">
        <v>48175059.743766502</v>
      </c>
      <c r="E121" s="5">
        <v>70739865.692690194</v>
      </c>
      <c r="F121" s="5">
        <v>133544508.33299001</v>
      </c>
      <c r="G121" s="5">
        <v>51007873.943259902</v>
      </c>
      <c r="H121" s="5">
        <v>49381034.955426797</v>
      </c>
      <c r="I121" s="5">
        <v>150524179.32552099</v>
      </c>
      <c r="J121" s="5">
        <v>46801784.993076302</v>
      </c>
      <c r="K121" s="5">
        <v>131779671.444979</v>
      </c>
      <c r="L121" s="5">
        <v>48754840.477978997</v>
      </c>
      <c r="M121" s="5">
        <v>41517950.442316703</v>
      </c>
      <c r="N121" s="5">
        <v>4724858.8170086397</v>
      </c>
      <c r="O121" s="5">
        <v>188235945.25595599</v>
      </c>
      <c r="P121" s="5">
        <v>108288211.642197</v>
      </c>
      <c r="Q121" s="5">
        <v>80499966.86789</v>
      </c>
      <c r="R121" s="5">
        <v>166754370.93567801</v>
      </c>
      <c r="S121" s="5">
        <v>60270772.0997587</v>
      </c>
      <c r="T121" s="5">
        <v>390164148.14298999</v>
      </c>
      <c r="U121" s="5">
        <v>620170825.84641898</v>
      </c>
      <c r="V121" s="5">
        <v>800050200.44407201</v>
      </c>
      <c r="W121" s="5">
        <v>519869934.37479901</v>
      </c>
      <c r="X121" s="5">
        <v>246646769.897701</v>
      </c>
      <c r="Y121" s="5">
        <v>412343340.05434901</v>
      </c>
      <c r="Z121" s="5">
        <v>187081479.97429699</v>
      </c>
      <c r="AA121" s="5">
        <v>171966063.396063</v>
      </c>
      <c r="AB121" s="5">
        <v>164977843.52230701</v>
      </c>
      <c r="AC121" s="5">
        <v>166171989.86880401</v>
      </c>
    </row>
    <row r="122" spans="1:29" x14ac:dyDescent="0.45">
      <c r="A122" s="5" t="s">
        <v>290</v>
      </c>
      <c r="B122" s="5">
        <v>38338711.518509597</v>
      </c>
      <c r="C122" s="5">
        <v>20580561.903488498</v>
      </c>
      <c r="D122" s="5">
        <v>40440675.335512199</v>
      </c>
      <c r="E122" s="5">
        <v>23353886.437626701</v>
      </c>
      <c r="F122" s="5">
        <v>39005257.396017902</v>
      </c>
      <c r="G122" s="5">
        <v>29984305.8785992</v>
      </c>
      <c r="H122" s="5">
        <v>32393528.782622501</v>
      </c>
      <c r="I122" s="5">
        <v>30430866.2931883</v>
      </c>
      <c r="J122" s="5">
        <v>44381571.3844833</v>
      </c>
      <c r="K122" s="5">
        <v>8755735.2721186709</v>
      </c>
      <c r="L122" s="5">
        <v>36572054.0040887</v>
      </c>
      <c r="M122" s="5">
        <v>29943373.023814298</v>
      </c>
      <c r="N122" s="5">
        <v>27742541.362002902</v>
      </c>
      <c r="O122" s="5">
        <v>23455866.151578698</v>
      </c>
      <c r="P122" s="5">
        <v>19465330.938999798</v>
      </c>
      <c r="Q122" s="5">
        <v>10742974.3689448</v>
      </c>
      <c r="R122" s="5">
        <v>9863844.0982628409</v>
      </c>
      <c r="S122" s="5">
        <v>26321533.215482902</v>
      </c>
      <c r="T122" s="5">
        <v>34106080.897278801</v>
      </c>
      <c r="U122" s="5">
        <v>31381647.347993899</v>
      </c>
      <c r="V122" s="5">
        <v>21890803.339366101</v>
      </c>
      <c r="W122" s="5">
        <v>28993009.896863598</v>
      </c>
      <c r="X122" s="5">
        <v>43238116.217008799</v>
      </c>
      <c r="Y122" s="5">
        <v>22374746.0576648</v>
      </c>
      <c r="Z122" s="5">
        <v>25308370.491348099</v>
      </c>
      <c r="AA122" s="5">
        <v>25200315.629205499</v>
      </c>
      <c r="AB122" s="5">
        <v>15052736.630716501</v>
      </c>
      <c r="AC122" s="5">
        <v>24502814.925065398</v>
      </c>
    </row>
    <row r="123" spans="1:29" x14ac:dyDescent="0.45">
      <c r="A123" s="5" t="s">
        <v>128</v>
      </c>
      <c r="B123" s="5">
        <v>22596361.241983902</v>
      </c>
      <c r="C123" s="5">
        <v>18421291.254103702</v>
      </c>
      <c r="D123" s="5">
        <v>34570268.017425299</v>
      </c>
      <c r="E123" s="5">
        <v>26644178.316611402</v>
      </c>
      <c r="F123" s="5">
        <v>24644542.482009001</v>
      </c>
      <c r="G123" s="5">
        <v>21031861.000117902</v>
      </c>
      <c r="H123" s="5">
        <v>28319275.406722799</v>
      </c>
      <c r="I123" s="5">
        <v>110591809.193359</v>
      </c>
      <c r="J123" s="5">
        <v>53850022.956313901</v>
      </c>
      <c r="K123" s="5">
        <v>24802747.995944198</v>
      </c>
      <c r="L123" s="5">
        <v>39555686.695481002</v>
      </c>
      <c r="M123" s="5">
        <v>20741478.020894799</v>
      </c>
      <c r="N123" s="5">
        <v>37796549.876831099</v>
      </c>
      <c r="O123" s="5">
        <v>58891512.506936803</v>
      </c>
      <c r="P123" s="5">
        <v>63629687.331901401</v>
      </c>
      <c r="Q123" s="5">
        <v>21215304.540268902</v>
      </c>
      <c r="R123" s="5">
        <v>35163028.616720296</v>
      </c>
      <c r="S123" s="5">
        <v>40221197.593254998</v>
      </c>
      <c r="T123" s="5">
        <v>48030933.874944799</v>
      </c>
      <c r="U123" s="5">
        <v>32890708.783848099</v>
      </c>
      <c r="V123" s="5">
        <v>49204179.327441201</v>
      </c>
      <c r="W123" s="5">
        <v>39960486.228814602</v>
      </c>
      <c r="X123" s="5">
        <v>73171337.706157804</v>
      </c>
      <c r="Y123" s="5">
        <v>45753743.810600102</v>
      </c>
      <c r="Z123" s="5">
        <v>28356977.465966001</v>
      </c>
      <c r="AA123" s="5">
        <v>33636214.4328923</v>
      </c>
      <c r="AB123" s="5">
        <v>35402659.416609898</v>
      </c>
      <c r="AC123" s="5">
        <v>37169377.836418897</v>
      </c>
    </row>
    <row r="124" spans="1:29" x14ac:dyDescent="0.45">
      <c r="A124" s="5" t="s">
        <v>129</v>
      </c>
      <c r="B124" s="5">
        <v>256477394.025617</v>
      </c>
      <c r="C124" s="5">
        <v>185049796.097808</v>
      </c>
      <c r="D124" s="5">
        <v>201377865.655256</v>
      </c>
      <c r="E124" s="5">
        <v>228903742.00370699</v>
      </c>
      <c r="F124" s="5">
        <v>187261473.703116</v>
      </c>
      <c r="G124" s="5">
        <v>252324256.271808</v>
      </c>
      <c r="H124" s="5">
        <v>157289505.11244801</v>
      </c>
      <c r="I124" s="5">
        <v>172933690.84438199</v>
      </c>
      <c r="J124" s="5">
        <v>278709344.86290199</v>
      </c>
      <c r="K124" s="5">
        <v>398452150.79675698</v>
      </c>
      <c r="L124" s="5">
        <v>152843573.34227201</v>
      </c>
      <c r="M124" s="5">
        <v>209102427.685689</v>
      </c>
      <c r="N124" s="5">
        <v>195918644.464598</v>
      </c>
      <c r="O124" s="5">
        <v>277853753.67388099</v>
      </c>
      <c r="P124" s="5">
        <v>350778613.65591598</v>
      </c>
      <c r="Q124" s="5">
        <v>266916343.368498</v>
      </c>
      <c r="R124" s="5">
        <v>1238449967.1092899</v>
      </c>
      <c r="S124" s="5">
        <v>237091990.35925201</v>
      </c>
      <c r="T124" s="5">
        <v>303192372.05225003</v>
      </c>
      <c r="U124" s="5">
        <v>245564942.749814</v>
      </c>
      <c r="V124" s="5">
        <v>230359117.623602</v>
      </c>
      <c r="W124" s="5">
        <v>383378174.60385901</v>
      </c>
      <c r="X124" s="5">
        <v>363311686.76738</v>
      </c>
      <c r="Y124" s="5">
        <v>170311662.903193</v>
      </c>
      <c r="Z124" s="5">
        <v>210761858.82137299</v>
      </c>
      <c r="AA124" s="5">
        <v>217664919.46989599</v>
      </c>
      <c r="AB124" s="5">
        <v>216671644.751165</v>
      </c>
      <c r="AC124" s="5">
        <v>223891342.51532</v>
      </c>
    </row>
    <row r="125" spans="1:29" x14ac:dyDescent="0.45">
      <c r="A125" s="5" t="s">
        <v>130</v>
      </c>
      <c r="B125" s="5">
        <v>688783052.54435694</v>
      </c>
      <c r="C125" s="5">
        <v>423515827.828839</v>
      </c>
      <c r="D125" s="5">
        <v>463224349.30398899</v>
      </c>
      <c r="E125" s="5">
        <v>1187487767.6205399</v>
      </c>
      <c r="F125" s="5">
        <v>1265130542.68433</v>
      </c>
      <c r="G125" s="5">
        <v>763542389.766289</v>
      </c>
      <c r="H125" s="5">
        <v>586020698.54249299</v>
      </c>
      <c r="I125" s="5">
        <v>955347022.12281501</v>
      </c>
      <c r="J125" s="5">
        <v>661798948.91659606</v>
      </c>
      <c r="K125" s="5">
        <v>396133014.74602598</v>
      </c>
      <c r="L125" s="5">
        <v>992907276.43184698</v>
      </c>
      <c r="M125" s="5">
        <v>971264480.08024204</v>
      </c>
      <c r="N125" s="5">
        <v>577723482.05377698</v>
      </c>
      <c r="O125" s="5">
        <v>303655223.25485599</v>
      </c>
      <c r="P125" s="5">
        <v>388662743.85734999</v>
      </c>
      <c r="Q125" s="5">
        <v>752350917.52828896</v>
      </c>
      <c r="R125" s="5">
        <v>616725614.58907998</v>
      </c>
      <c r="S125" s="5">
        <v>776653840.52976298</v>
      </c>
      <c r="T125" s="5">
        <v>1228840698.52563</v>
      </c>
      <c r="U125" s="5">
        <v>384977230.03123999</v>
      </c>
      <c r="V125" s="5">
        <v>479598123.19543397</v>
      </c>
      <c r="W125" s="5">
        <v>798939762.94855905</v>
      </c>
      <c r="X125" s="5">
        <v>5823717000.5795002</v>
      </c>
      <c r="Y125" s="5">
        <v>509599684.37108201</v>
      </c>
      <c r="Z125" s="5">
        <v>652014659.08268094</v>
      </c>
      <c r="AA125" s="5">
        <v>715050818.92047405</v>
      </c>
      <c r="AB125" s="5">
        <v>658216787.85638404</v>
      </c>
      <c r="AC125" s="5">
        <v>718374247.69164205</v>
      </c>
    </row>
    <row r="126" spans="1:29" x14ac:dyDescent="0.45">
      <c r="A126" s="5" t="s">
        <v>131</v>
      </c>
      <c r="B126" s="5">
        <v>572900548.140926</v>
      </c>
      <c r="C126" s="5">
        <v>599498040.98943102</v>
      </c>
      <c r="D126" s="5">
        <v>514870411.59143001</v>
      </c>
      <c r="E126" s="5">
        <v>542915603.33540905</v>
      </c>
      <c r="F126" s="5">
        <v>648064355.32569206</v>
      </c>
      <c r="G126" s="5">
        <v>820850026.30092704</v>
      </c>
      <c r="H126" s="5">
        <v>619569324.44403303</v>
      </c>
      <c r="I126" s="5">
        <v>1273279741.579</v>
      </c>
      <c r="J126" s="5">
        <v>405142501.308303</v>
      </c>
      <c r="K126" s="5">
        <v>165570546.33779001</v>
      </c>
      <c r="L126" s="5">
        <v>487519652.12452298</v>
      </c>
      <c r="M126" s="5">
        <v>344472125.72955799</v>
      </c>
      <c r="N126" s="5">
        <v>525259290.13297701</v>
      </c>
      <c r="O126" s="5">
        <v>595473702.98633802</v>
      </c>
      <c r="P126" s="5">
        <v>549899616.53654802</v>
      </c>
      <c r="Q126" s="5">
        <v>365792133.83428597</v>
      </c>
      <c r="R126" s="5">
        <v>271955873.87009299</v>
      </c>
      <c r="S126" s="5">
        <v>560483363.42668903</v>
      </c>
      <c r="T126" s="5">
        <v>602782659.49240804</v>
      </c>
      <c r="U126" s="5">
        <v>563841401.77095306</v>
      </c>
      <c r="V126" s="5">
        <v>553076112.18334901</v>
      </c>
      <c r="W126" s="5">
        <v>620240249.72780704</v>
      </c>
      <c r="X126" s="5">
        <v>349030658.38551599</v>
      </c>
      <c r="Y126" s="5">
        <v>745522661.06212902</v>
      </c>
      <c r="Z126" s="5">
        <v>532298730.37608302</v>
      </c>
      <c r="AA126" s="5">
        <v>553867849.44123101</v>
      </c>
      <c r="AB126" s="5">
        <v>573792619.17662597</v>
      </c>
      <c r="AC126" s="5">
        <v>557208632.83036196</v>
      </c>
    </row>
    <row r="127" spans="1:29" x14ac:dyDescent="0.45">
      <c r="A127" s="5" t="s">
        <v>375</v>
      </c>
      <c r="B127" s="5">
        <v>47342385.243031502</v>
      </c>
      <c r="C127" s="5">
        <v>25338213.163157798</v>
      </c>
      <c r="D127" s="5">
        <v>19663937.2560849</v>
      </c>
      <c r="E127" s="5">
        <v>43164754.350737199</v>
      </c>
      <c r="F127" s="5">
        <v>30318358.735732399</v>
      </c>
      <c r="G127" s="5">
        <v>30334293.165100101</v>
      </c>
      <c r="H127" s="5">
        <v>28768743.673026901</v>
      </c>
      <c r="I127" s="5">
        <v>47013983.444481596</v>
      </c>
      <c r="J127" s="5">
        <v>31808766.103233501</v>
      </c>
      <c r="K127" s="5">
        <v>40856433.847437099</v>
      </c>
      <c r="L127" s="5">
        <v>22978249.552131299</v>
      </c>
      <c r="M127" s="5">
        <v>28448087.6324131</v>
      </c>
      <c r="N127" s="5">
        <v>26711117.3993669</v>
      </c>
      <c r="O127" s="5">
        <v>23398216.424784999</v>
      </c>
      <c r="P127" s="5">
        <v>30553439.635260701</v>
      </c>
      <c r="Q127" s="5">
        <v>28033039.020802502</v>
      </c>
      <c r="R127" s="5">
        <v>26085339.179583602</v>
      </c>
      <c r="S127" s="5">
        <v>30498656.9981994</v>
      </c>
      <c r="T127" s="5">
        <v>34212130.146452896</v>
      </c>
      <c r="U127" s="5">
        <v>16710173.552059799</v>
      </c>
      <c r="V127" s="5">
        <v>29069490.669303101</v>
      </c>
      <c r="W127" s="5">
        <v>37424779.949604303</v>
      </c>
      <c r="X127" s="5">
        <v>99319286.837889999</v>
      </c>
      <c r="Y127" s="5">
        <v>40984427.661292396</v>
      </c>
      <c r="Z127" s="5">
        <v>21134490.708883502</v>
      </c>
      <c r="AA127" s="5">
        <v>22470589.281769101</v>
      </c>
      <c r="AB127" s="5">
        <v>25361550.018406101</v>
      </c>
      <c r="AC127" s="5">
        <v>25006801.032200798</v>
      </c>
    </row>
    <row r="128" spans="1:29" x14ac:dyDescent="0.45">
      <c r="A128" s="5" t="s">
        <v>132</v>
      </c>
      <c r="B128" s="5">
        <v>17052665.074355599</v>
      </c>
      <c r="C128" s="5">
        <v>6651236.9039436802</v>
      </c>
      <c r="D128" s="5">
        <v>17884776.582837202</v>
      </c>
      <c r="E128" s="5">
        <v>12125876.646126101</v>
      </c>
      <c r="F128" s="5">
        <v>8669145.0939606801</v>
      </c>
      <c r="G128" s="5">
        <v>8551756.7862143796</v>
      </c>
      <c r="H128" s="5">
        <v>6360680.9664506102</v>
      </c>
      <c r="I128" s="5">
        <v>8648208.8988231998</v>
      </c>
      <c r="J128" s="5">
        <v>10811101.4264476</v>
      </c>
      <c r="K128" s="5">
        <v>4418599.0898687597</v>
      </c>
      <c r="L128" s="5">
        <v>6726783.0328314202</v>
      </c>
      <c r="M128" s="5">
        <v>9514564.4834449496</v>
      </c>
      <c r="N128" s="5">
        <v>1869165.30562318</v>
      </c>
      <c r="O128" s="5">
        <v>2199195.10393797</v>
      </c>
      <c r="P128" s="5">
        <v>1579719.6767328801</v>
      </c>
      <c r="Q128" s="5">
        <v>2237518.89308056</v>
      </c>
      <c r="R128" s="5">
        <v>10277648.856321801</v>
      </c>
      <c r="S128" s="5">
        <v>3455892.6166002201</v>
      </c>
      <c r="T128" s="5">
        <v>5056815.3933963003</v>
      </c>
      <c r="U128" s="5">
        <v>2692024.7478246298</v>
      </c>
      <c r="V128" s="5">
        <v>1673998.3593614299</v>
      </c>
      <c r="W128" s="5">
        <v>8177841.9249861296</v>
      </c>
      <c r="X128" s="5">
        <v>62590840.817097299</v>
      </c>
      <c r="Y128" s="5">
        <v>10759623.0953291</v>
      </c>
      <c r="Z128" s="5">
        <v>5263357.8063189602</v>
      </c>
      <c r="AA128" s="5">
        <v>5866517.9532766901</v>
      </c>
      <c r="AB128" s="5">
        <v>5659021.7164154397</v>
      </c>
      <c r="AC128" s="5">
        <v>5190879.5021675797</v>
      </c>
    </row>
    <row r="129" spans="1:29" x14ac:dyDescent="0.45">
      <c r="A129" s="5" t="s">
        <v>133</v>
      </c>
      <c r="B129" s="5">
        <v>73940208.889541894</v>
      </c>
      <c r="C129" s="5">
        <v>30898216.517012801</v>
      </c>
      <c r="D129" s="5">
        <v>82222085.5704595</v>
      </c>
      <c r="E129" s="5">
        <v>57755211.316114701</v>
      </c>
      <c r="F129" s="5">
        <v>36938736.378397398</v>
      </c>
      <c r="G129" s="5">
        <v>40608189.236602597</v>
      </c>
      <c r="H129" s="5">
        <v>32289967.843955599</v>
      </c>
      <c r="I129" s="5">
        <v>49540612.0136071</v>
      </c>
      <c r="J129" s="5">
        <v>46939085.8587716</v>
      </c>
      <c r="K129" s="5">
        <v>23311606.191239599</v>
      </c>
      <c r="L129" s="5">
        <v>31360060.089939501</v>
      </c>
      <c r="M129" s="5">
        <v>46292018.130322397</v>
      </c>
      <c r="N129" s="5">
        <v>29447639.245398499</v>
      </c>
      <c r="O129" s="5">
        <v>11239788.1436667</v>
      </c>
      <c r="P129" s="5">
        <v>7605463.7334813401</v>
      </c>
      <c r="Q129" s="5">
        <v>12122975.5541395</v>
      </c>
      <c r="R129" s="5">
        <v>46223085.518877201</v>
      </c>
      <c r="S129" s="5">
        <v>17430922.345239699</v>
      </c>
      <c r="T129" s="5">
        <v>24268926.6439703</v>
      </c>
      <c r="U129" s="5">
        <v>13811445.239982501</v>
      </c>
      <c r="V129" s="5">
        <v>8365418.5042152796</v>
      </c>
      <c r="W129" s="5">
        <v>39067778.407832801</v>
      </c>
      <c r="X129" s="5">
        <v>247511688.50434101</v>
      </c>
      <c r="Y129" s="5">
        <v>54911941.670634203</v>
      </c>
      <c r="Z129" s="5">
        <v>24504914.379041102</v>
      </c>
      <c r="AA129" s="5">
        <v>27248314.564465601</v>
      </c>
      <c r="AB129" s="5">
        <v>25446482.076017398</v>
      </c>
      <c r="AC129" s="5">
        <v>28030367.9810674</v>
      </c>
    </row>
    <row r="130" spans="1:29" x14ac:dyDescent="0.45">
      <c r="A130" s="5" t="s">
        <v>140</v>
      </c>
      <c r="B130" s="5">
        <v>352885292.930094</v>
      </c>
      <c r="C130" s="5">
        <v>243324614.45856699</v>
      </c>
      <c r="D130" s="5">
        <v>509087116.245538</v>
      </c>
      <c r="E130" s="5">
        <v>42747960.370261699</v>
      </c>
      <c r="F130" s="5">
        <v>35784881.942754</v>
      </c>
      <c r="G130" s="5">
        <v>217324614.566798</v>
      </c>
      <c r="H130" s="5">
        <v>20405559.015999001</v>
      </c>
      <c r="I130" s="5">
        <v>2324034870.6174102</v>
      </c>
      <c r="J130" s="5">
        <v>44881292.174303003</v>
      </c>
      <c r="K130" s="5">
        <v>1750884139.86813</v>
      </c>
      <c r="L130" s="5">
        <v>938995386.61677396</v>
      </c>
      <c r="M130" s="5">
        <v>677014559.39933503</v>
      </c>
      <c r="N130" s="5">
        <v>125460861.117954</v>
      </c>
      <c r="O130" s="5">
        <v>12616493.1965329</v>
      </c>
      <c r="P130" s="5">
        <v>23475303.214882899</v>
      </c>
      <c r="Q130" s="5">
        <v>32088469.834052298</v>
      </c>
      <c r="R130" s="5">
        <v>54013984.383683898</v>
      </c>
      <c r="S130" s="5">
        <v>102682310.617044</v>
      </c>
      <c r="T130" s="5">
        <v>12254156.2276897</v>
      </c>
      <c r="U130" s="5">
        <v>21502186.451354198</v>
      </c>
      <c r="V130" s="5">
        <v>26737970.407251202</v>
      </c>
      <c r="W130" s="5">
        <v>23590563.297667298</v>
      </c>
      <c r="X130" s="5">
        <v>296988782.30767</v>
      </c>
      <c r="Y130" s="5">
        <v>7290277.9740111204</v>
      </c>
      <c r="Z130" s="5">
        <v>226929306.95695901</v>
      </c>
      <c r="AA130" s="5">
        <v>232904176.320099</v>
      </c>
      <c r="AB130" s="5">
        <v>232798042.18511501</v>
      </c>
      <c r="AC130" s="5">
        <v>230666902.84500599</v>
      </c>
    </row>
    <row r="131" spans="1:29" x14ac:dyDescent="0.45">
      <c r="A131" s="5" t="s">
        <v>417</v>
      </c>
      <c r="B131" s="5">
        <v>99098035.133398697</v>
      </c>
      <c r="C131" s="5">
        <v>140376031.010618</v>
      </c>
      <c r="D131" s="5">
        <v>111147984.527301</v>
      </c>
      <c r="E131" s="5">
        <v>130631539.869654</v>
      </c>
      <c r="F131" s="5">
        <v>101801921.30065</v>
      </c>
      <c r="G131" s="5">
        <v>233178197.138657</v>
      </c>
      <c r="H131" s="5">
        <v>196641513.55434</v>
      </c>
      <c r="I131" s="5">
        <v>45587952.384895101</v>
      </c>
      <c r="J131" s="5">
        <v>122314719.609559</v>
      </c>
      <c r="K131" s="5">
        <v>201266559.90507701</v>
      </c>
      <c r="L131" s="5">
        <v>129964090.906224</v>
      </c>
      <c r="M131" s="5">
        <v>120528784.72448801</v>
      </c>
      <c r="N131" s="5">
        <v>242685497.18397999</v>
      </c>
      <c r="O131" s="5">
        <v>280230061.34156799</v>
      </c>
      <c r="P131" s="5">
        <v>196016406.822864</v>
      </c>
      <c r="Q131" s="5">
        <v>116432624.984495</v>
      </c>
      <c r="R131" s="5">
        <v>52041331.604247302</v>
      </c>
      <c r="S131" s="5">
        <v>130777466.51773401</v>
      </c>
      <c r="T131" s="5">
        <v>87406202.449925706</v>
      </c>
      <c r="U131" s="5">
        <v>209996957.926965</v>
      </c>
      <c r="V131" s="5">
        <v>265517205.06721401</v>
      </c>
      <c r="W131" s="5">
        <v>174538222.71783599</v>
      </c>
      <c r="X131" s="5">
        <v>103905623.657572</v>
      </c>
      <c r="Y131" s="5">
        <v>193091687.132507</v>
      </c>
      <c r="Z131" s="5">
        <v>141973848.552403</v>
      </c>
      <c r="AA131" s="5">
        <v>141715104.17745599</v>
      </c>
      <c r="AB131" s="5">
        <v>148209501.57790601</v>
      </c>
      <c r="AC131" s="5">
        <v>148156822.90416601</v>
      </c>
    </row>
    <row r="132" spans="1:29" x14ac:dyDescent="0.45">
      <c r="A132" s="5" t="s">
        <v>418</v>
      </c>
      <c r="B132" s="5">
        <v>3651426.5079483101</v>
      </c>
      <c r="C132" s="5">
        <v>14371101.6014845</v>
      </c>
      <c r="D132" s="5">
        <v>12875593.615860101</v>
      </c>
      <c r="E132" s="5">
        <v>6714777.6209054897</v>
      </c>
      <c r="F132" s="5">
        <v>9085013.0688547697</v>
      </c>
      <c r="G132" s="5">
        <v>9438646.2584901303</v>
      </c>
      <c r="H132" s="5">
        <v>10211050.150782</v>
      </c>
      <c r="I132" s="5">
        <v>82930825.430932596</v>
      </c>
      <c r="J132" s="5">
        <v>9955869.0840974506</v>
      </c>
      <c r="K132" s="5">
        <v>30793122.695121299</v>
      </c>
      <c r="L132" s="5">
        <v>9934526.1955456696</v>
      </c>
      <c r="M132" s="5">
        <v>20340111.876613501</v>
      </c>
      <c r="N132" s="5">
        <v>42201253.271251</v>
      </c>
      <c r="O132" s="5">
        <v>25939501.252133001</v>
      </c>
      <c r="P132" s="5">
        <v>19603334.520889699</v>
      </c>
      <c r="Q132" s="5">
        <v>27275989.408071801</v>
      </c>
      <c r="R132" s="5">
        <v>8503135.0915374607</v>
      </c>
      <c r="S132" s="5">
        <v>10604743.142067101</v>
      </c>
      <c r="T132" s="5">
        <v>6982284.6306037903</v>
      </c>
      <c r="U132" s="5">
        <v>10143857.5710693</v>
      </c>
      <c r="V132" s="5">
        <v>15164826.819551401</v>
      </c>
      <c r="W132" s="5">
        <v>7762908.1623307103</v>
      </c>
      <c r="X132" s="5">
        <v>47668848.551077597</v>
      </c>
      <c r="Y132" s="5">
        <v>6374225.4464195203</v>
      </c>
      <c r="Z132" s="5">
        <v>16929768.442761298</v>
      </c>
      <c r="AA132" s="5">
        <v>17634311.199656099</v>
      </c>
      <c r="AB132" s="5">
        <v>17064500.9479893</v>
      </c>
      <c r="AC132" s="5">
        <v>16937478.341100801</v>
      </c>
    </row>
    <row r="133" spans="1:29" x14ac:dyDescent="0.45">
      <c r="A133" s="5" t="s">
        <v>141</v>
      </c>
      <c r="B133" s="5">
        <v>22736243.640152998</v>
      </c>
      <c r="C133" s="5">
        <v>24560227.328954998</v>
      </c>
      <c r="D133" s="5">
        <v>14393868.8306731</v>
      </c>
      <c r="E133" s="5">
        <v>13268074.322351901</v>
      </c>
      <c r="F133" s="5">
        <v>13839915.3557657</v>
      </c>
      <c r="G133" s="5">
        <v>13494663.982416499</v>
      </c>
      <c r="H133" s="5">
        <v>12587940.2997836</v>
      </c>
      <c r="I133" s="5">
        <v>14224263.3804555</v>
      </c>
      <c r="J133" s="5">
        <v>11711630.1779308</v>
      </c>
      <c r="K133" s="5">
        <v>28610098.1073476</v>
      </c>
      <c r="L133" s="5">
        <v>14310944.5513076</v>
      </c>
      <c r="M133" s="5">
        <v>15656036.083764501</v>
      </c>
      <c r="N133" s="5">
        <v>16859145.793031901</v>
      </c>
      <c r="O133" s="5">
        <v>23936557.865901601</v>
      </c>
      <c r="P133" s="5">
        <v>22260943.233238202</v>
      </c>
      <c r="Q133" s="5">
        <v>24061198.572143301</v>
      </c>
      <c r="R133" s="5">
        <v>16772314.1791749</v>
      </c>
      <c r="S133" s="5">
        <v>19517712.049968001</v>
      </c>
      <c r="T133" s="5">
        <v>22133930.005064201</v>
      </c>
      <c r="U133" s="5">
        <v>28277108.730959199</v>
      </c>
      <c r="V133" s="5">
        <v>34150510.785696097</v>
      </c>
      <c r="W133" s="5">
        <v>26364581.314472601</v>
      </c>
      <c r="X133" s="5">
        <v>13666234.897907199</v>
      </c>
      <c r="Y133" s="5">
        <v>25361747.479432698</v>
      </c>
      <c r="Z133" s="5">
        <v>16599896.537257301</v>
      </c>
      <c r="AA133" s="5">
        <v>18071141.518066399</v>
      </c>
      <c r="AB133" s="5">
        <v>17872858.7591585</v>
      </c>
      <c r="AC133" s="5">
        <v>17753966.440850198</v>
      </c>
    </row>
    <row r="134" spans="1:29" x14ac:dyDescent="0.45">
      <c r="A134" s="5" t="s">
        <v>142</v>
      </c>
      <c r="B134" s="5">
        <v>822831.23376082</v>
      </c>
      <c r="C134" s="5">
        <v>928288.11719956598</v>
      </c>
      <c r="D134" s="5">
        <v>1089552.75991931</v>
      </c>
      <c r="E134" s="5">
        <v>773100.38976389798</v>
      </c>
      <c r="F134" s="5">
        <v>637082.922469054</v>
      </c>
      <c r="G134" s="5">
        <v>8977635.7773640398</v>
      </c>
      <c r="H134" s="5">
        <v>570763.29684200895</v>
      </c>
      <c r="I134" s="5">
        <v>446266.77443766501</v>
      </c>
      <c r="J134" s="5">
        <v>832759.27319766302</v>
      </c>
      <c r="K134" s="5">
        <v>328766.18629686499</v>
      </c>
      <c r="L134" s="5">
        <v>934523.70247273694</v>
      </c>
      <c r="M134" s="5">
        <v>679018.07722297695</v>
      </c>
      <c r="N134" s="5">
        <v>707357.16560361197</v>
      </c>
      <c r="O134" s="5">
        <v>604580.84015262395</v>
      </c>
      <c r="P134" s="5">
        <v>342509.11814098799</v>
      </c>
      <c r="Q134" s="5">
        <v>559634.85628698801</v>
      </c>
      <c r="R134" s="5">
        <v>432340.70824560203</v>
      </c>
      <c r="S134" s="5">
        <v>764984.98266308603</v>
      </c>
      <c r="T134" s="5">
        <v>1154126.9057392699</v>
      </c>
      <c r="U134" s="5">
        <v>654803.97090476996</v>
      </c>
      <c r="V134" s="5">
        <v>607895.82120091305</v>
      </c>
      <c r="W134" s="5">
        <v>493050.74717726599</v>
      </c>
      <c r="X134" s="5">
        <v>515111.39374693198</v>
      </c>
      <c r="Y134" s="5">
        <v>596857.37618939194</v>
      </c>
      <c r="Z134" s="5">
        <v>703151.07889542298</v>
      </c>
      <c r="AA134" s="5">
        <v>629516.02925222903</v>
      </c>
      <c r="AB134" s="5">
        <v>678705.29678003502</v>
      </c>
      <c r="AC134" s="5">
        <v>618127.59225901496</v>
      </c>
    </row>
    <row r="135" spans="1:29" x14ac:dyDescent="0.45">
      <c r="A135" s="5" t="s">
        <v>143</v>
      </c>
      <c r="B135" s="5">
        <v>563972774.383986</v>
      </c>
      <c r="C135" s="5">
        <v>274758336.30135298</v>
      </c>
      <c r="D135" s="5">
        <v>405591281.09263402</v>
      </c>
      <c r="E135" s="5">
        <v>533878782.10492003</v>
      </c>
      <c r="F135" s="5">
        <v>621147043.07551396</v>
      </c>
      <c r="G135" s="5">
        <v>383898825.78765601</v>
      </c>
      <c r="H135" s="5">
        <v>718118619.01076198</v>
      </c>
      <c r="I135" s="5">
        <v>971346109.85345995</v>
      </c>
      <c r="J135" s="5">
        <v>753399228.99687505</v>
      </c>
      <c r="K135" s="5">
        <v>1086705330.2762401</v>
      </c>
      <c r="L135" s="5">
        <v>485704803.631504</v>
      </c>
      <c r="M135" s="5">
        <v>398713083.11229098</v>
      </c>
      <c r="N135" s="5">
        <v>320755978.129839</v>
      </c>
      <c r="O135" s="5">
        <v>324051306.80780399</v>
      </c>
      <c r="P135" s="5">
        <v>306793897.70089</v>
      </c>
      <c r="Q135" s="5">
        <v>334146701.668957</v>
      </c>
      <c r="R135" s="5">
        <v>996188710.032354</v>
      </c>
      <c r="S135" s="5">
        <v>513568817.38941902</v>
      </c>
      <c r="T135" s="5">
        <v>609228199.78293002</v>
      </c>
      <c r="U135" s="5">
        <v>569210407.44093394</v>
      </c>
      <c r="V135" s="5">
        <v>348287454.52475399</v>
      </c>
      <c r="W135" s="5">
        <v>579852686.52534294</v>
      </c>
      <c r="X135" s="5">
        <v>674296739.65254498</v>
      </c>
      <c r="Y135" s="5">
        <v>409034270.06040001</v>
      </c>
      <c r="Z135" s="5">
        <v>388158611.87122101</v>
      </c>
      <c r="AA135" s="5">
        <v>461887709.14171398</v>
      </c>
      <c r="AB135" s="5">
        <v>451126213.939686</v>
      </c>
      <c r="AC135" s="5">
        <v>436450705.97406399</v>
      </c>
    </row>
    <row r="136" spans="1:29" x14ac:dyDescent="0.45">
      <c r="A136" s="5" t="s">
        <v>295</v>
      </c>
      <c r="B136" s="5">
        <v>10705168.4760659</v>
      </c>
      <c r="C136" s="5">
        <v>13814865.9028387</v>
      </c>
      <c r="D136" s="5">
        <v>15512753.5041734</v>
      </c>
      <c r="E136" s="5">
        <v>5157702.1932512699</v>
      </c>
      <c r="F136" s="5">
        <v>7068625.4070445597</v>
      </c>
      <c r="G136" s="5">
        <v>6463092.2655680403</v>
      </c>
      <c r="H136" s="5">
        <v>8913766.6114677805</v>
      </c>
      <c r="I136" s="5">
        <v>14862456.057673199</v>
      </c>
      <c r="J136" s="5">
        <v>11617809.3441552</v>
      </c>
      <c r="K136" s="5">
        <v>1754726.2437634</v>
      </c>
      <c r="L136" s="5">
        <v>12211101.4085782</v>
      </c>
      <c r="M136" s="5">
        <v>6455006.4913368197</v>
      </c>
      <c r="N136" s="5">
        <v>11980070.5722731</v>
      </c>
      <c r="O136" s="5">
        <v>36860092.1026977</v>
      </c>
      <c r="P136" s="5">
        <v>28020261.361487601</v>
      </c>
      <c r="Q136" s="5">
        <v>11599592.079423601</v>
      </c>
      <c r="R136" s="5">
        <v>8943187.2142200805</v>
      </c>
      <c r="S136" s="5">
        <v>10677098.0585934</v>
      </c>
      <c r="T136" s="5">
        <v>16090026.808521001</v>
      </c>
      <c r="U136" s="5">
        <v>14382284.7970453</v>
      </c>
      <c r="V136" s="5">
        <v>13685886.1494096</v>
      </c>
      <c r="W136" s="5">
        <v>9160846.1024739407</v>
      </c>
      <c r="X136" s="5">
        <v>40232270.028068297</v>
      </c>
      <c r="Y136" s="5">
        <v>10639327.8285542</v>
      </c>
      <c r="Z136" s="5">
        <v>10521503.1741721</v>
      </c>
      <c r="AA136" s="5">
        <v>11166687.134146599</v>
      </c>
      <c r="AB136" s="5">
        <v>11981858.073236199</v>
      </c>
      <c r="AC136" s="5">
        <v>11107626.801304899</v>
      </c>
    </row>
    <row r="137" spans="1:29" x14ac:dyDescent="0.45">
      <c r="A137" s="5" t="s">
        <v>382</v>
      </c>
      <c r="B137" s="5">
        <v>21883718.341834299</v>
      </c>
      <c r="C137" s="5">
        <v>10891662.392170001</v>
      </c>
      <c r="D137" s="5">
        <v>10376562.0606909</v>
      </c>
      <c r="E137" s="5">
        <v>11912114.422312999</v>
      </c>
      <c r="F137" s="5">
        <v>15006798.6110096</v>
      </c>
      <c r="G137" s="5">
        <v>9890704.6793970391</v>
      </c>
      <c r="H137" s="5">
        <v>23597354.971396901</v>
      </c>
      <c r="I137" s="5">
        <v>73142400.489822298</v>
      </c>
      <c r="J137" s="5">
        <v>24011709.756106898</v>
      </c>
      <c r="K137" s="5">
        <v>5613983.86495627</v>
      </c>
      <c r="L137" s="5">
        <v>12516956.9218888</v>
      </c>
      <c r="M137" s="5">
        <v>4991735.7418332603</v>
      </c>
      <c r="N137" s="5">
        <v>6085419.0733747398</v>
      </c>
      <c r="O137" s="5">
        <v>19639608.986221399</v>
      </c>
      <c r="P137" s="5">
        <v>21200686.058452699</v>
      </c>
      <c r="Q137" s="5">
        <v>7299218.0064872298</v>
      </c>
      <c r="R137" s="5">
        <v>9271692.3254160509</v>
      </c>
      <c r="S137" s="5">
        <v>8777733.1161430608</v>
      </c>
      <c r="T137" s="5">
        <v>22502399.321678899</v>
      </c>
      <c r="U137" s="5">
        <v>48688040.623436697</v>
      </c>
      <c r="V137" s="5">
        <v>20522954.222675599</v>
      </c>
      <c r="W137" s="5">
        <v>17511381.884822901</v>
      </c>
      <c r="X137" s="5">
        <v>7501240.2665676698</v>
      </c>
      <c r="Y137" s="5">
        <v>11743381.4769731</v>
      </c>
      <c r="Z137" s="5">
        <v>17221643.7710924</v>
      </c>
      <c r="AA137" s="5">
        <v>18907844.2703893</v>
      </c>
      <c r="AB137" s="5">
        <v>13418550.5953131</v>
      </c>
      <c r="AC137" s="5">
        <v>12428515.134005001</v>
      </c>
    </row>
    <row r="138" spans="1:29" x14ac:dyDescent="0.45">
      <c r="A138" s="5" t="s">
        <v>296</v>
      </c>
      <c r="B138" s="5">
        <v>1678017.20783796</v>
      </c>
      <c r="C138" s="5">
        <v>129775370.366373</v>
      </c>
      <c r="D138" s="5">
        <v>11646327.601542</v>
      </c>
      <c r="E138" s="5">
        <v>2672989.2960120998</v>
      </c>
      <c r="F138" s="5">
        <v>846061.47223787801</v>
      </c>
      <c r="G138" s="5">
        <v>46602826.1632898</v>
      </c>
      <c r="H138" s="5">
        <v>58100961.260083601</v>
      </c>
      <c r="I138" s="5">
        <v>315199.66014186898</v>
      </c>
      <c r="J138" s="5">
        <v>1843972.9851738799</v>
      </c>
      <c r="K138" s="5">
        <v>1970086.67793574</v>
      </c>
      <c r="L138" s="5">
        <v>2362718.4425925598</v>
      </c>
      <c r="M138" s="5">
        <v>127628412.635693</v>
      </c>
      <c r="N138" s="5">
        <v>95036267.195663497</v>
      </c>
      <c r="O138" s="5">
        <v>55944616.5780674</v>
      </c>
      <c r="P138" s="5">
        <v>12137370.498501001</v>
      </c>
      <c r="Q138" s="5">
        <v>234896428.238666</v>
      </c>
      <c r="R138" s="5">
        <v>1039156.6109228</v>
      </c>
      <c r="S138" s="5">
        <v>36184997.582300499</v>
      </c>
      <c r="T138" s="5">
        <v>3538301.7623364599</v>
      </c>
      <c r="U138" s="5">
        <v>24490572.162699901</v>
      </c>
      <c r="V138" s="5">
        <v>47065569.4831357</v>
      </c>
      <c r="W138" s="5">
        <v>15126900.064441301</v>
      </c>
      <c r="X138" s="5">
        <v>262878.51002977102</v>
      </c>
      <c r="Y138" s="5">
        <v>9304492.1770033706</v>
      </c>
      <c r="Z138" s="5">
        <v>44759783.359259002</v>
      </c>
      <c r="AA138" s="5">
        <v>45908083.876737103</v>
      </c>
      <c r="AB138" s="5">
        <v>47563827.289108701</v>
      </c>
      <c r="AC138" s="5">
        <v>46826166.344588503</v>
      </c>
    </row>
    <row r="139" spans="1:29" x14ac:dyDescent="0.45">
      <c r="A139" s="5" t="s">
        <v>144</v>
      </c>
      <c r="B139" s="5">
        <v>28868641.980753399</v>
      </c>
      <c r="C139" s="5">
        <v>34390105.946778402</v>
      </c>
      <c r="D139" s="5">
        <v>28301624.849452302</v>
      </c>
      <c r="E139" s="5">
        <v>27373748.571954999</v>
      </c>
      <c r="F139" s="5">
        <v>26351426.466715701</v>
      </c>
      <c r="G139" s="5">
        <v>30310422.522622898</v>
      </c>
      <c r="H139" s="5">
        <v>30427413.6843987</v>
      </c>
      <c r="I139" s="5">
        <v>30299463.471740801</v>
      </c>
      <c r="J139" s="5">
        <v>29705352.551348198</v>
      </c>
      <c r="K139" s="5">
        <v>26251134.0413507</v>
      </c>
      <c r="L139" s="5">
        <v>27746682.192047901</v>
      </c>
      <c r="M139" s="5">
        <v>31106103.3388457</v>
      </c>
      <c r="N139" s="5">
        <v>23841081.935638599</v>
      </c>
      <c r="O139" s="5">
        <v>29125138.1853774</v>
      </c>
      <c r="P139" s="5">
        <v>29354457.785712302</v>
      </c>
      <c r="Q139" s="5">
        <v>34813117.280148603</v>
      </c>
      <c r="R139" s="5">
        <v>27551070.704559501</v>
      </c>
      <c r="S139" s="5">
        <v>27852648.153642099</v>
      </c>
      <c r="T139" s="5">
        <v>28498240.7501394</v>
      </c>
      <c r="U139" s="5">
        <v>34986926.077781901</v>
      </c>
      <c r="V139" s="5">
        <v>34536679.3877756</v>
      </c>
      <c r="W139" s="5">
        <v>31799639.799024001</v>
      </c>
      <c r="X139" s="5">
        <v>28544050.176762599</v>
      </c>
      <c r="Y139" s="5">
        <v>33882969.149301499</v>
      </c>
      <c r="Z139" s="5">
        <v>30986031.955830202</v>
      </c>
      <c r="AA139" s="5">
        <v>23758785.549599599</v>
      </c>
      <c r="AB139" s="5">
        <v>30469969.546847399</v>
      </c>
      <c r="AC139" s="5">
        <v>28793173.353557199</v>
      </c>
    </row>
    <row r="140" spans="1:29" x14ac:dyDescent="0.45">
      <c r="A140" s="5" t="s">
        <v>145</v>
      </c>
      <c r="B140" s="5">
        <v>118840716.557235</v>
      </c>
      <c r="C140" s="5">
        <v>130539973.308926</v>
      </c>
      <c r="D140" s="5">
        <v>97436720.534614295</v>
      </c>
      <c r="E140" s="5">
        <v>94579608.423080504</v>
      </c>
      <c r="F140" s="5">
        <v>145576117.86860999</v>
      </c>
      <c r="G140" s="5">
        <v>58910747.999785103</v>
      </c>
      <c r="H140" s="5">
        <v>285749335.42331803</v>
      </c>
      <c r="I140" s="5">
        <v>365272319.38226497</v>
      </c>
      <c r="J140" s="5">
        <v>329262043.55458599</v>
      </c>
      <c r="K140" s="5">
        <v>96405829.121834204</v>
      </c>
      <c r="L140" s="5">
        <v>83407756.666849196</v>
      </c>
      <c r="M140" s="5">
        <v>119795299.258926</v>
      </c>
      <c r="N140" s="5">
        <v>245610619.67609</v>
      </c>
      <c r="O140" s="5">
        <v>215449621.77443799</v>
      </c>
      <c r="P140" s="5">
        <v>180546717.215159</v>
      </c>
      <c r="Q140" s="5">
        <v>124220723.137008</v>
      </c>
      <c r="R140" s="5">
        <v>202870352.57228401</v>
      </c>
      <c r="S140" s="5">
        <v>151703403.30447099</v>
      </c>
      <c r="T140" s="5">
        <v>77606307.323508605</v>
      </c>
      <c r="U140" s="5">
        <v>191559701.357474</v>
      </c>
      <c r="V140" s="5">
        <v>140464727.294168</v>
      </c>
      <c r="W140" s="5">
        <v>114207144.311611</v>
      </c>
      <c r="X140" s="5">
        <v>119094066.613297</v>
      </c>
      <c r="Y140" s="5">
        <v>80334424.361516297</v>
      </c>
      <c r="Z140" s="5">
        <v>123256497.042989</v>
      </c>
      <c r="AA140" s="5">
        <v>127622631.85678799</v>
      </c>
      <c r="AB140" s="5">
        <v>134166003.80203401</v>
      </c>
      <c r="AC140" s="5">
        <v>108176159.786208</v>
      </c>
    </row>
    <row r="141" spans="1:29" x14ac:dyDescent="0.45">
      <c r="A141" s="5" t="s">
        <v>146</v>
      </c>
      <c r="B141" s="5">
        <v>6491509.4719912298</v>
      </c>
      <c r="C141" s="5">
        <v>5603574.9773984998</v>
      </c>
      <c r="D141" s="5">
        <v>6768607.5995824402</v>
      </c>
      <c r="E141" s="5">
        <v>5481073.9894190896</v>
      </c>
      <c r="F141" s="5">
        <v>2426260.2394092302</v>
      </c>
      <c r="G141" s="5">
        <v>11421670.214942001</v>
      </c>
      <c r="H141" s="5">
        <v>5523734.3933278099</v>
      </c>
      <c r="I141" s="5">
        <v>7679927.8799987296</v>
      </c>
      <c r="J141" s="5">
        <v>6856134.6661606301</v>
      </c>
      <c r="K141" s="5">
        <v>10335703.2545285</v>
      </c>
      <c r="L141" s="5">
        <v>4133920.0780935502</v>
      </c>
      <c r="M141" s="5">
        <v>7411105.8358843699</v>
      </c>
      <c r="N141" s="5">
        <v>6350920.7662885301</v>
      </c>
      <c r="O141" s="5">
        <v>5306876.1548369601</v>
      </c>
      <c r="P141" s="5">
        <v>6690212.8197833197</v>
      </c>
      <c r="Q141" s="5">
        <v>4871707.85261478</v>
      </c>
      <c r="R141" s="5">
        <v>6099298.7467978597</v>
      </c>
      <c r="S141" s="5">
        <v>8267882.6088602999</v>
      </c>
      <c r="T141" s="5">
        <v>6076647.3220108403</v>
      </c>
      <c r="U141" s="5">
        <v>7076869.5797462398</v>
      </c>
      <c r="V141" s="5">
        <v>6991405.5280925501</v>
      </c>
      <c r="W141" s="5">
        <v>6108078.4972352497</v>
      </c>
      <c r="X141" s="5">
        <v>16635324.7684674</v>
      </c>
      <c r="Y141" s="5">
        <v>5292806.7538139699</v>
      </c>
      <c r="Z141" s="5">
        <v>5559156.4950270196</v>
      </c>
      <c r="AA141" s="5">
        <v>6333532.2874869304</v>
      </c>
      <c r="AB141" s="5">
        <v>4524175.6306724604</v>
      </c>
      <c r="AC141" s="5">
        <v>6338807.9526732098</v>
      </c>
    </row>
    <row r="142" spans="1:29" x14ac:dyDescent="0.45">
      <c r="A142" s="5" t="s">
        <v>420</v>
      </c>
      <c r="B142" s="5">
        <v>6627740.04763145</v>
      </c>
      <c r="C142" s="5">
        <v>13195362.680424601</v>
      </c>
      <c r="D142" s="5">
        <v>9681753.9757252205</v>
      </c>
      <c r="E142" s="5">
        <v>8667036.1700085793</v>
      </c>
      <c r="F142" s="5">
        <v>6668670.0809650002</v>
      </c>
      <c r="G142" s="5">
        <v>9396601.3885436505</v>
      </c>
      <c r="H142" s="5">
        <v>2312101.91509492</v>
      </c>
      <c r="I142" s="5">
        <v>101938173.929149</v>
      </c>
      <c r="J142" s="5">
        <v>8531887.1520527992</v>
      </c>
      <c r="K142" s="5">
        <v>122315992.37484799</v>
      </c>
      <c r="L142" s="5">
        <v>6921005.7907715105</v>
      </c>
      <c r="M142" s="5">
        <v>2957948.38256709</v>
      </c>
      <c r="N142" s="5">
        <v>13190255.378641101</v>
      </c>
      <c r="O142" s="5">
        <v>12623560.3930762</v>
      </c>
      <c r="P142" s="5">
        <v>13303009.946518101</v>
      </c>
      <c r="Q142" s="5">
        <v>10931186.006582201</v>
      </c>
      <c r="R142" s="5">
        <v>5495028.0848669596</v>
      </c>
      <c r="S142" s="5">
        <v>7964020.4019047599</v>
      </c>
      <c r="T142" s="5">
        <v>9753293.4207446706</v>
      </c>
      <c r="U142" s="5">
        <v>3386469.92791432</v>
      </c>
      <c r="V142" s="5">
        <v>14137169.438929699</v>
      </c>
      <c r="W142" s="5">
        <v>80412966.1981062</v>
      </c>
      <c r="X142" s="5">
        <v>60505189.371210501</v>
      </c>
      <c r="Y142" s="5">
        <v>105841622.92278001</v>
      </c>
      <c r="Z142" s="5">
        <v>20781120.8604283</v>
      </c>
      <c r="AA142" s="5">
        <v>20813718.0889671</v>
      </c>
      <c r="AB142" s="5">
        <v>20487862.5175879</v>
      </c>
      <c r="AC142" s="5">
        <v>20429528.181620799</v>
      </c>
    </row>
    <row r="143" spans="1:29" x14ac:dyDescent="0.45">
      <c r="A143" s="5" t="s">
        <v>298</v>
      </c>
      <c r="B143" s="5">
        <v>70367015.654218301</v>
      </c>
      <c r="C143" s="5">
        <v>13378849.0507733</v>
      </c>
      <c r="D143" s="5">
        <v>31976430.9327797</v>
      </c>
      <c r="E143" s="5">
        <v>32964311.3025386</v>
      </c>
      <c r="F143" s="5">
        <v>68767360.783430398</v>
      </c>
      <c r="G143" s="5">
        <v>20583381.1447367</v>
      </c>
      <c r="H143" s="5">
        <v>27768439.828659602</v>
      </c>
      <c r="I143" s="5">
        <v>969872141.64631999</v>
      </c>
      <c r="J143" s="5">
        <v>76881635.170230493</v>
      </c>
      <c r="K143" s="5">
        <v>193483586.281396</v>
      </c>
      <c r="L143" s="5">
        <v>54081749.121740296</v>
      </c>
      <c r="M143" s="5">
        <v>30059893.343353398</v>
      </c>
      <c r="N143" s="5">
        <v>8892833.2909677308</v>
      </c>
      <c r="O143" s="5">
        <v>21193354.429879598</v>
      </c>
      <c r="P143" s="5">
        <v>19952706.7181678</v>
      </c>
      <c r="Q143" s="5">
        <v>13449804.3992109</v>
      </c>
      <c r="R143" s="5">
        <v>37310352.217709497</v>
      </c>
      <c r="S143" s="5">
        <v>21026383.1350406</v>
      </c>
      <c r="T143" s="5">
        <v>57785007.547415197</v>
      </c>
      <c r="U143" s="5">
        <v>79289849.867262706</v>
      </c>
      <c r="V143" s="5">
        <v>23165401.289356198</v>
      </c>
      <c r="W143" s="5">
        <v>48539049.7515698</v>
      </c>
      <c r="X143" s="5">
        <v>100403629.62026601</v>
      </c>
      <c r="Y143" s="5">
        <v>24661437.054733202</v>
      </c>
      <c r="Z143" s="5">
        <v>56380815.339395598</v>
      </c>
      <c r="AA143" s="5">
        <v>55668938.226163998</v>
      </c>
      <c r="AB143" s="5">
        <v>58007565.247116096</v>
      </c>
      <c r="AC143" s="5">
        <v>37395646.014046602</v>
      </c>
    </row>
    <row r="144" spans="1:29" x14ac:dyDescent="0.45">
      <c r="A144" s="5" t="s">
        <v>155</v>
      </c>
      <c r="B144" s="5">
        <v>111385336.257972</v>
      </c>
      <c r="C144" s="5">
        <v>115956640.24201</v>
      </c>
      <c r="D144" s="5">
        <v>85150807.758019596</v>
      </c>
      <c r="E144" s="5">
        <v>112805896.259369</v>
      </c>
      <c r="F144" s="5">
        <v>114791720.808651</v>
      </c>
      <c r="G144" s="5">
        <v>92544986.208505496</v>
      </c>
      <c r="H144" s="5">
        <v>149754245.78094199</v>
      </c>
      <c r="I144" s="5">
        <v>388082723.61628997</v>
      </c>
      <c r="J144" s="5">
        <v>150086201.00674999</v>
      </c>
      <c r="K144" s="5">
        <v>209759349.725041</v>
      </c>
      <c r="L144" s="5">
        <v>142424240.369822</v>
      </c>
      <c r="M144" s="5">
        <v>146852267.036338</v>
      </c>
      <c r="N144" s="5">
        <v>61442372.714818798</v>
      </c>
      <c r="O144" s="5">
        <v>139299503.80837199</v>
      </c>
      <c r="P144" s="5">
        <v>116095197.545407</v>
      </c>
      <c r="Q144" s="5">
        <v>89797065.504074201</v>
      </c>
      <c r="R144" s="5">
        <v>223818773.10325801</v>
      </c>
      <c r="S144" s="5">
        <v>135280373.49764699</v>
      </c>
      <c r="T144" s="5">
        <v>114354147.726483</v>
      </c>
      <c r="U144" s="5">
        <v>173931614.909399</v>
      </c>
      <c r="V144" s="5">
        <v>138498310.86944899</v>
      </c>
      <c r="W144" s="5">
        <v>170048705.82894599</v>
      </c>
      <c r="X144" s="5">
        <v>518229077.95553797</v>
      </c>
      <c r="Y144" s="5">
        <v>127502935.85333601</v>
      </c>
      <c r="Z144" s="5">
        <v>114916823.482713</v>
      </c>
      <c r="AA144" s="5">
        <v>114799070.558943</v>
      </c>
      <c r="AB144" s="5">
        <v>120031361.44927999</v>
      </c>
      <c r="AC144" s="5">
        <v>119279141.89953101</v>
      </c>
    </row>
    <row r="145" spans="1:29" x14ac:dyDescent="0.45">
      <c r="A145" s="5" t="s">
        <v>300</v>
      </c>
      <c r="B145" s="5">
        <v>3809423.1259321999</v>
      </c>
      <c r="C145" s="5">
        <v>2780454.8825531998</v>
      </c>
      <c r="D145" s="5">
        <v>3210586.1436117301</v>
      </c>
      <c r="E145" s="5">
        <v>190294036.87788999</v>
      </c>
      <c r="F145" s="5">
        <v>123080526.933696</v>
      </c>
      <c r="G145" s="5">
        <v>3208353.6357055702</v>
      </c>
      <c r="H145" s="5">
        <v>147813132.83189601</v>
      </c>
      <c r="I145" s="5">
        <v>10902662.3513826</v>
      </c>
      <c r="J145" s="5">
        <v>234979375.96636999</v>
      </c>
      <c r="K145" s="5">
        <v>4821618.6123129698</v>
      </c>
      <c r="L145" s="5">
        <v>5237006.6203792701</v>
      </c>
      <c r="M145" s="5">
        <v>3368873.2043213402</v>
      </c>
      <c r="N145" s="5">
        <v>75559441.408052906</v>
      </c>
      <c r="O145" s="5">
        <v>104680949.742182</v>
      </c>
      <c r="P145" s="5">
        <v>29967736.686545402</v>
      </c>
      <c r="Q145" s="5">
        <v>89718337.595692903</v>
      </c>
      <c r="R145" s="5">
        <v>174613761.518549</v>
      </c>
      <c r="S145" s="5">
        <v>160510760.63377199</v>
      </c>
      <c r="T145" s="5">
        <v>161401529.41004899</v>
      </c>
      <c r="U145" s="5">
        <v>162597987.13019499</v>
      </c>
      <c r="V145" s="5">
        <v>53201345.563851103</v>
      </c>
      <c r="W145" s="5">
        <v>147792894.86549401</v>
      </c>
      <c r="X145" s="5">
        <v>315110355.34034997</v>
      </c>
      <c r="Y145" s="5">
        <v>92859179.677634105</v>
      </c>
      <c r="Z145" s="5">
        <v>71861699.475061402</v>
      </c>
      <c r="AA145" s="5">
        <v>71724777.087720394</v>
      </c>
      <c r="AB145" s="5">
        <v>73122194.780190706</v>
      </c>
      <c r="AC145" s="5">
        <v>72955005.992220595</v>
      </c>
    </row>
    <row r="146" spans="1:29" x14ac:dyDescent="0.45">
      <c r="A146" s="5" t="s">
        <v>421</v>
      </c>
      <c r="B146" s="5">
        <v>6919349.0062267203</v>
      </c>
      <c r="C146" s="5">
        <v>3656927.2776865</v>
      </c>
      <c r="D146" s="5">
        <v>6436702.6003649402</v>
      </c>
      <c r="E146" s="5">
        <v>222174.53980788399</v>
      </c>
      <c r="F146" s="5">
        <v>354510.24255611002</v>
      </c>
      <c r="G146" s="5">
        <v>382598.478720101</v>
      </c>
      <c r="H146" s="5">
        <v>5616999.8084549103</v>
      </c>
      <c r="I146" s="5">
        <v>10136457.357891999</v>
      </c>
      <c r="J146" s="5">
        <v>11107690.900197599</v>
      </c>
      <c r="K146" s="5">
        <v>231060.465116509</v>
      </c>
      <c r="L146" s="5">
        <v>7131709.5638113096</v>
      </c>
      <c r="M146" s="5">
        <v>3956202.8962089098</v>
      </c>
      <c r="N146" s="5">
        <v>8077749.3306494802</v>
      </c>
      <c r="O146" s="5">
        <v>5503369.2381302603</v>
      </c>
      <c r="P146" s="5">
        <v>5797595.6676907903</v>
      </c>
      <c r="Q146" s="5">
        <v>205741.30265812701</v>
      </c>
      <c r="R146" s="5">
        <v>193935.88625802301</v>
      </c>
      <c r="S146" s="5">
        <v>2359399.7458651899</v>
      </c>
      <c r="T146" s="5">
        <v>6877973.0511318399</v>
      </c>
      <c r="U146" s="5">
        <v>1128450.75660462</v>
      </c>
      <c r="V146" s="5">
        <v>6465986.94941804</v>
      </c>
      <c r="W146" s="5">
        <v>7084868.2276572296</v>
      </c>
      <c r="X146" s="5">
        <v>7253721.2718449403</v>
      </c>
      <c r="Y146" s="5">
        <v>8113379.9084849497</v>
      </c>
      <c r="Z146" s="5">
        <v>3961434.5743068</v>
      </c>
      <c r="AA146" s="5">
        <v>4118272.0864023999</v>
      </c>
      <c r="AB146" s="5">
        <v>4114305.26309552</v>
      </c>
      <c r="AC146" s="5">
        <v>4092324.2862303099</v>
      </c>
    </row>
    <row r="147" spans="1:29" x14ac:dyDescent="0.45">
      <c r="A147" s="5" t="s">
        <v>157</v>
      </c>
      <c r="B147" s="5">
        <v>365209.22512598999</v>
      </c>
      <c r="C147" s="5">
        <v>609442.47205493599</v>
      </c>
      <c r="D147" s="5">
        <v>898518.337935791</v>
      </c>
      <c r="E147" s="5">
        <v>1136797.68712862</v>
      </c>
      <c r="F147" s="5">
        <v>1364448.68569619</v>
      </c>
      <c r="G147" s="5">
        <v>1003405.97677048</v>
      </c>
      <c r="H147" s="5">
        <v>1132460.8545641699</v>
      </c>
      <c r="I147" s="5">
        <v>5344862.5877796104</v>
      </c>
      <c r="J147" s="5">
        <v>1116623.46383354</v>
      </c>
      <c r="K147" s="5">
        <v>8421298.2894819602</v>
      </c>
      <c r="L147" s="5">
        <v>1097356.0646586099</v>
      </c>
      <c r="M147" s="5">
        <v>1135829.6432010999</v>
      </c>
      <c r="N147" s="5">
        <v>6678124.5601538597</v>
      </c>
      <c r="O147" s="5">
        <v>5029444.3844832899</v>
      </c>
      <c r="P147" s="5">
        <v>924153.11957957398</v>
      </c>
      <c r="Q147" s="5">
        <v>977266.12829022796</v>
      </c>
      <c r="R147" s="5">
        <v>2204860.0751227401</v>
      </c>
      <c r="S147" s="5">
        <v>2046401.78518109</v>
      </c>
      <c r="T147" s="5">
        <v>330758.708853252</v>
      </c>
      <c r="U147" s="5">
        <v>1389692.6549893799</v>
      </c>
      <c r="V147" s="5">
        <v>1494690.43059435</v>
      </c>
      <c r="W147" s="5">
        <v>618717.7980217</v>
      </c>
      <c r="X147" s="5">
        <v>2551244.5068129702</v>
      </c>
      <c r="Y147" s="5">
        <v>718646.78744297905</v>
      </c>
      <c r="Z147" s="5">
        <v>2210953.3694967702</v>
      </c>
      <c r="AA147" s="5">
        <v>2437211.6541851298</v>
      </c>
      <c r="AB147" s="5">
        <v>2070794.20682279</v>
      </c>
      <c r="AC147" s="5">
        <v>2766749.4181869398</v>
      </c>
    </row>
    <row r="148" spans="1:29" x14ac:dyDescent="0.45">
      <c r="A148" s="5" t="s">
        <v>301</v>
      </c>
      <c r="B148" s="5">
        <v>2451990618.03687</v>
      </c>
      <c r="C148" s="5">
        <v>1894325909.5174699</v>
      </c>
      <c r="D148" s="5">
        <v>1875309362.0452399</v>
      </c>
      <c r="E148" s="5">
        <v>1723433587.1475101</v>
      </c>
      <c r="F148" s="5">
        <v>2057848405.3525901</v>
      </c>
      <c r="G148" s="5">
        <v>1764872189.9246399</v>
      </c>
      <c r="H148" s="5">
        <v>2287392792.3871198</v>
      </c>
      <c r="I148" s="5">
        <v>4600991152.2298803</v>
      </c>
      <c r="J148" s="5">
        <v>3000086973.9067302</v>
      </c>
      <c r="K148" s="5">
        <v>2310397155.3317199</v>
      </c>
      <c r="L148" s="5">
        <v>2729842426.65411</v>
      </c>
      <c r="M148" s="5">
        <v>2025714305.46138</v>
      </c>
      <c r="N148" s="5">
        <v>960920524.85677397</v>
      </c>
      <c r="O148" s="5">
        <v>1762567788.7558401</v>
      </c>
      <c r="P148" s="5">
        <v>1409543698.3234401</v>
      </c>
      <c r="Q148" s="5">
        <v>1291442850.2642701</v>
      </c>
      <c r="R148" s="5">
        <v>2055286919.65851</v>
      </c>
      <c r="S148" s="5">
        <v>2027229903.7987399</v>
      </c>
      <c r="T148" s="5">
        <v>2288663970.23278</v>
      </c>
      <c r="U148" s="5">
        <v>2791571129.0799899</v>
      </c>
      <c r="V148" s="5">
        <v>1723084294.57739</v>
      </c>
      <c r="W148" s="5">
        <v>993450977.35400796</v>
      </c>
      <c r="X148" s="5">
        <v>3563394258.9503798</v>
      </c>
      <c r="Y148" s="5">
        <v>1728854602.17135</v>
      </c>
      <c r="Z148" s="5">
        <v>1614783716.2688701</v>
      </c>
      <c r="AA148" s="5">
        <v>1670905919.80439</v>
      </c>
      <c r="AB148" s="5">
        <v>1757323231.85884</v>
      </c>
      <c r="AC148" s="5">
        <v>1807838165.0224299</v>
      </c>
    </row>
    <row r="149" spans="1:29" x14ac:dyDescent="0.45">
      <c r="A149" s="5" t="s">
        <v>302</v>
      </c>
      <c r="B149" s="5">
        <v>94578588.339965895</v>
      </c>
      <c r="C149" s="5">
        <v>53802926.7375113</v>
      </c>
      <c r="D149" s="5">
        <v>85631895.708868399</v>
      </c>
      <c r="E149" s="5">
        <v>171913212.81560701</v>
      </c>
      <c r="F149" s="5">
        <v>159857193.71643299</v>
      </c>
      <c r="G149" s="5">
        <v>125956105.979488</v>
      </c>
      <c r="H149" s="5">
        <v>138340889.494122</v>
      </c>
      <c r="I149" s="5">
        <v>123157544.03667501</v>
      </c>
      <c r="J149" s="5">
        <v>90967673.499359399</v>
      </c>
      <c r="K149" s="5">
        <v>238415048.56484801</v>
      </c>
      <c r="L149" s="5">
        <v>89527559.691554099</v>
      </c>
      <c r="M149" s="5">
        <v>47895018.220411301</v>
      </c>
      <c r="N149" s="5">
        <v>29602689.823694199</v>
      </c>
      <c r="O149" s="5">
        <v>22350109.521690499</v>
      </c>
      <c r="P149" s="5">
        <v>28053100.606192</v>
      </c>
      <c r="Q149" s="5">
        <v>65502279.693009898</v>
      </c>
      <c r="R149" s="5">
        <v>237693399.898386</v>
      </c>
      <c r="S149" s="5">
        <v>172928548.55035099</v>
      </c>
      <c r="T149" s="5">
        <v>55377962.997670099</v>
      </c>
      <c r="U149" s="5">
        <v>54291064.181815401</v>
      </c>
      <c r="V149" s="5">
        <v>17658173.197411198</v>
      </c>
      <c r="W149" s="5">
        <v>91855307.730006203</v>
      </c>
      <c r="X149" s="5">
        <v>292538514.17513001</v>
      </c>
      <c r="Y149" s="5">
        <v>25736614.295739599</v>
      </c>
      <c r="Z149" s="5">
        <v>91386209.311955601</v>
      </c>
      <c r="AA149" s="5">
        <v>93716726.853951499</v>
      </c>
      <c r="AB149" s="5">
        <v>102828284.373772</v>
      </c>
      <c r="AC149" s="5">
        <v>99716067.364594504</v>
      </c>
    </row>
    <row r="150" spans="1:29" x14ac:dyDescent="0.45">
      <c r="A150" s="5" t="s">
        <v>158</v>
      </c>
      <c r="B150" s="5">
        <v>143653445.67126301</v>
      </c>
      <c r="C150" s="5">
        <v>374677393.22797</v>
      </c>
      <c r="D150" s="5">
        <v>116845150.90026499</v>
      </c>
      <c r="E150" s="5">
        <v>123816917.36600199</v>
      </c>
      <c r="F150" s="5">
        <v>1108206426.4821</v>
      </c>
      <c r="G150" s="5">
        <v>1082417072.09497</v>
      </c>
      <c r="H150" s="5">
        <v>537204854.72363806</v>
      </c>
      <c r="I150" s="5">
        <v>421703668.62183601</v>
      </c>
      <c r="J150" s="5">
        <v>183574206.05712801</v>
      </c>
      <c r="K150" s="5">
        <v>77148814.628401101</v>
      </c>
      <c r="L150" s="5">
        <v>185760175.56955001</v>
      </c>
      <c r="M150" s="5">
        <v>384989896.84358698</v>
      </c>
      <c r="N150" s="5">
        <v>432590069.10554898</v>
      </c>
      <c r="O150" s="5">
        <v>430873778.50981402</v>
      </c>
      <c r="P150" s="5">
        <v>325343654.41052097</v>
      </c>
      <c r="Q150" s="5">
        <v>501127817.093548</v>
      </c>
      <c r="R150" s="5">
        <v>900954857.54124904</v>
      </c>
      <c r="S150" s="5">
        <v>801700616.75952601</v>
      </c>
      <c r="T150" s="5">
        <v>149917000.74838901</v>
      </c>
      <c r="U150" s="5">
        <v>295109901.25659001</v>
      </c>
      <c r="V150" s="5">
        <v>310403339.63001198</v>
      </c>
      <c r="W150" s="5">
        <v>796282006.26871395</v>
      </c>
      <c r="X150" s="5">
        <v>102257289.76386701</v>
      </c>
      <c r="Y150" s="5">
        <v>635962700.02630496</v>
      </c>
      <c r="Z150" s="5">
        <v>407623621.99184698</v>
      </c>
      <c r="AA150" s="5">
        <v>394603454.598041</v>
      </c>
      <c r="AB150" s="5">
        <v>388653684.816127</v>
      </c>
      <c r="AC150" s="5">
        <v>400189932.83967298</v>
      </c>
    </row>
    <row r="151" spans="1:29" x14ac:dyDescent="0.45">
      <c r="A151" s="5" t="s">
        <v>159</v>
      </c>
      <c r="B151" s="5">
        <v>29169400.828855701</v>
      </c>
      <c r="C151" s="5">
        <v>30177600.8956782</v>
      </c>
      <c r="D151" s="5">
        <v>37692661.7582701</v>
      </c>
      <c r="E151" s="5">
        <v>63824507.826416299</v>
      </c>
      <c r="F151" s="5">
        <v>46277492.465689003</v>
      </c>
      <c r="G151" s="5">
        <v>94453164.566613898</v>
      </c>
      <c r="H151" s="5">
        <v>79387541.212408096</v>
      </c>
      <c r="I151" s="5">
        <v>883911974.336887</v>
      </c>
      <c r="J151" s="5">
        <v>47203332.714318797</v>
      </c>
      <c r="K151" s="5">
        <v>105470139.215535</v>
      </c>
      <c r="L151" s="5">
        <v>49464715.0842098</v>
      </c>
      <c r="M151" s="5">
        <v>58259791.385156803</v>
      </c>
      <c r="N151" s="5">
        <v>76137095.847542003</v>
      </c>
      <c r="O151" s="5">
        <v>113921038.74304</v>
      </c>
      <c r="P151" s="5">
        <v>78289220.705428407</v>
      </c>
      <c r="Q151" s="5">
        <v>76742743.531216696</v>
      </c>
      <c r="R151" s="5">
        <v>29876417.421340801</v>
      </c>
      <c r="S151" s="5">
        <v>61676441.316948302</v>
      </c>
      <c r="T151" s="5">
        <v>14554728.059767099</v>
      </c>
      <c r="U151" s="5">
        <v>19213248.262128301</v>
      </c>
      <c r="V151" s="5">
        <v>27903031.0717628</v>
      </c>
      <c r="W151" s="5">
        <v>57654111.1136868</v>
      </c>
      <c r="X151" s="5">
        <v>566567445.57707405</v>
      </c>
      <c r="Y151" s="5">
        <v>66115856.040672101</v>
      </c>
      <c r="Z151" s="5">
        <v>91336676.966865003</v>
      </c>
      <c r="AA151" s="5">
        <v>93855421.563721403</v>
      </c>
      <c r="AB151" s="5">
        <v>89827036.536452204</v>
      </c>
      <c r="AC151" s="5">
        <v>91709267.064365894</v>
      </c>
    </row>
    <row r="152" spans="1:29" x14ac:dyDescent="0.45">
      <c r="A152" s="5" t="s">
        <v>160</v>
      </c>
      <c r="B152" s="5">
        <v>4172327.0472266502</v>
      </c>
      <c r="C152" s="5">
        <v>15068831.969387701</v>
      </c>
      <c r="D152" s="5">
        <v>13746510.891649</v>
      </c>
      <c r="E152" s="5">
        <v>2566672.3720950601</v>
      </c>
      <c r="F152" s="5">
        <v>9297593.4186210297</v>
      </c>
      <c r="G152" s="5">
        <v>3077903.05849603</v>
      </c>
      <c r="H152" s="5">
        <v>3907285.51155979</v>
      </c>
      <c r="I152" s="5">
        <v>353166586.72839302</v>
      </c>
      <c r="J152" s="5">
        <v>9932533.9762620796</v>
      </c>
      <c r="K152" s="5">
        <v>561497521.06348097</v>
      </c>
      <c r="L152" s="5">
        <v>16317220.6068724</v>
      </c>
      <c r="M152" s="5">
        <v>15165938.3211309</v>
      </c>
      <c r="N152" s="5">
        <v>24116333.896161899</v>
      </c>
      <c r="O152" s="5">
        <v>24080572.3093188</v>
      </c>
      <c r="P152" s="5">
        <v>4930845.02722596</v>
      </c>
      <c r="Q152" s="5">
        <v>40927029.868926503</v>
      </c>
      <c r="R152" s="5">
        <v>15008114.8393162</v>
      </c>
      <c r="S152" s="5">
        <v>16320006.3143549</v>
      </c>
      <c r="T152" s="5">
        <v>7323916.4823440602</v>
      </c>
      <c r="U152" s="5">
        <v>9324301.8435953092</v>
      </c>
      <c r="V152" s="5">
        <v>12268041.2370867</v>
      </c>
      <c r="W152" s="5">
        <v>439825690.81707698</v>
      </c>
      <c r="X152" s="5">
        <v>30658888.747025698</v>
      </c>
      <c r="Y152" s="5">
        <v>531017783.161246</v>
      </c>
      <c r="Z152" s="5">
        <v>66833040.0505784</v>
      </c>
      <c r="AA152" s="5">
        <v>64504092.560980603</v>
      </c>
      <c r="AB152" s="5">
        <v>66672872.981639698</v>
      </c>
      <c r="AC152" s="5">
        <v>67425247.845155999</v>
      </c>
    </row>
    <row r="153" spans="1:29" x14ac:dyDescent="0.45">
      <c r="A153" s="5" t="s">
        <v>161</v>
      </c>
      <c r="B153" s="5">
        <v>23791579.168723401</v>
      </c>
      <c r="C153" s="5">
        <v>21709413.0859752</v>
      </c>
      <c r="D153" s="5">
        <v>22124575.0001048</v>
      </c>
      <c r="E153" s="5">
        <v>11280272.1119073</v>
      </c>
      <c r="F153" s="5">
        <v>15017185.831617501</v>
      </c>
      <c r="G153" s="5">
        <v>16467892.2965264</v>
      </c>
      <c r="H153" s="5">
        <v>24045092.518744498</v>
      </c>
      <c r="I153" s="5">
        <v>55201336.152349301</v>
      </c>
      <c r="J153" s="5">
        <v>18556175.3404391</v>
      </c>
      <c r="K153" s="5">
        <v>29550555.366621699</v>
      </c>
      <c r="L153" s="5">
        <v>20282083.294110499</v>
      </c>
      <c r="M153" s="5">
        <v>33787917.317005999</v>
      </c>
      <c r="N153" s="5">
        <v>24140188.722697102</v>
      </c>
      <c r="O153" s="5">
        <v>18893903.982939601</v>
      </c>
      <c r="P153" s="5">
        <v>18455001.9958192</v>
      </c>
      <c r="Q153" s="5">
        <v>29125458.798840001</v>
      </c>
      <c r="R153" s="5">
        <v>36819446.930212699</v>
      </c>
      <c r="S153" s="5">
        <v>28628023.605455801</v>
      </c>
      <c r="T153" s="5">
        <v>21959032.750698</v>
      </c>
      <c r="U153" s="5">
        <v>47130733.256821901</v>
      </c>
      <c r="V153" s="5">
        <v>41910756.720942602</v>
      </c>
      <c r="W153" s="5">
        <v>50315497.083458297</v>
      </c>
      <c r="X153" s="5">
        <v>126186399.138854</v>
      </c>
      <c r="Y153" s="5">
        <v>44872499.7267529</v>
      </c>
      <c r="Z153" s="5">
        <v>24511505.611000001</v>
      </c>
      <c r="AA153" s="5">
        <v>25571029.0050538</v>
      </c>
      <c r="AB153" s="5">
        <v>24186963.1112931</v>
      </c>
      <c r="AC153" s="5">
        <v>23963952.252415501</v>
      </c>
    </row>
    <row r="154" spans="1:29" x14ac:dyDescent="0.45">
      <c r="A154" s="5" t="s">
        <v>162</v>
      </c>
      <c r="B154" s="5">
        <v>97690414.275743499</v>
      </c>
      <c r="C154" s="5">
        <v>76168502.024618506</v>
      </c>
      <c r="D154" s="5">
        <v>160445882.601585</v>
      </c>
      <c r="E154" s="5">
        <v>89270423.180948406</v>
      </c>
      <c r="F154" s="5">
        <v>72240626.997402996</v>
      </c>
      <c r="G154" s="5">
        <v>97708631.4261612</v>
      </c>
      <c r="H154" s="5">
        <v>346000748.65098298</v>
      </c>
      <c r="I154" s="5">
        <v>2250836104.9179502</v>
      </c>
      <c r="J154" s="5">
        <v>556516037.63009202</v>
      </c>
      <c r="K154" s="5">
        <v>1486452722.37672</v>
      </c>
      <c r="L154" s="5">
        <v>1880711743.22925</v>
      </c>
      <c r="M154" s="5">
        <v>1206823314.2383201</v>
      </c>
      <c r="N154" s="5">
        <v>56242995.050843</v>
      </c>
      <c r="O154" s="5">
        <v>225076072.48459199</v>
      </c>
      <c r="P154" s="5">
        <v>121861428.238066</v>
      </c>
      <c r="Q154" s="5">
        <v>68773166.122052103</v>
      </c>
      <c r="R154" s="5">
        <v>109927608.08922</v>
      </c>
      <c r="S154" s="5">
        <v>337236746.92815298</v>
      </c>
      <c r="T154" s="5">
        <v>28484886.580816701</v>
      </c>
      <c r="U154" s="5">
        <v>29408377.262931801</v>
      </c>
      <c r="V154" s="5">
        <v>7593693.31811391</v>
      </c>
      <c r="W154" s="5">
        <v>34555731.8141964</v>
      </c>
      <c r="X154" s="5">
        <v>408854108.23367703</v>
      </c>
      <c r="Y154" s="5">
        <v>24252507.253065199</v>
      </c>
      <c r="Z154" s="5">
        <v>269425918.35375601</v>
      </c>
      <c r="AA154" s="5">
        <v>261935957.54201201</v>
      </c>
      <c r="AB154" s="5">
        <v>267686655.73701301</v>
      </c>
      <c r="AC154" s="5">
        <v>271657913.65783501</v>
      </c>
    </row>
    <row r="155" spans="1:29" x14ac:dyDescent="0.45">
      <c r="A155" s="5" t="s">
        <v>163</v>
      </c>
      <c r="B155" s="5">
        <v>8368795.7435516603</v>
      </c>
      <c r="C155" s="5">
        <v>10093216.5548917</v>
      </c>
      <c r="D155" s="5">
        <v>5407254.2591290604</v>
      </c>
      <c r="E155" s="5">
        <v>10950922.2128218</v>
      </c>
      <c r="F155" s="5">
        <v>12439201.0343512</v>
      </c>
      <c r="G155" s="5">
        <v>13271504.504594</v>
      </c>
      <c r="H155" s="5">
        <v>11531938.284267001</v>
      </c>
      <c r="I155" s="5">
        <v>4225201.0045399005</v>
      </c>
      <c r="J155" s="5">
        <v>7959895.0851014899</v>
      </c>
      <c r="K155" s="5">
        <v>3896738.6327172099</v>
      </c>
      <c r="L155" s="5">
        <v>12912025.1830339</v>
      </c>
      <c r="M155" s="5">
        <v>10880541.4582808</v>
      </c>
      <c r="N155" s="5">
        <v>9904352.97664221</v>
      </c>
      <c r="O155" s="5">
        <v>7114591.5787006002</v>
      </c>
      <c r="P155" s="5">
        <v>6765162.3127646102</v>
      </c>
      <c r="Q155" s="5">
        <v>11013303.662230499</v>
      </c>
      <c r="R155" s="5">
        <v>6395694.9724395499</v>
      </c>
      <c r="S155" s="5">
        <v>12319311.119025899</v>
      </c>
      <c r="T155" s="5">
        <v>14657980.692975501</v>
      </c>
      <c r="U155" s="5">
        <v>7452923.6085952502</v>
      </c>
      <c r="V155" s="5">
        <v>9280782.9431039393</v>
      </c>
      <c r="W155" s="5">
        <v>9687540.8864301201</v>
      </c>
      <c r="X155" s="5">
        <v>13583182.6083668</v>
      </c>
      <c r="Y155" s="5">
        <v>8188270.5146647301</v>
      </c>
      <c r="Z155" s="5">
        <v>10168066.3555244</v>
      </c>
      <c r="AA155" s="5">
        <v>11218009.269606501</v>
      </c>
      <c r="AB155" s="5">
        <v>11508671.6214818</v>
      </c>
      <c r="AC155" s="5">
        <v>11628298.818296</v>
      </c>
    </row>
    <row r="156" spans="1:29" x14ac:dyDescent="0.45">
      <c r="A156" s="5" t="s">
        <v>164</v>
      </c>
      <c r="B156" s="5">
        <v>30407282.618069101</v>
      </c>
      <c r="C156" s="5">
        <v>55716042.020910203</v>
      </c>
      <c r="D156" s="5">
        <v>35618394.913225599</v>
      </c>
      <c r="E156" s="5">
        <v>23524541.631284401</v>
      </c>
      <c r="F156" s="5">
        <v>22267062.1829211</v>
      </c>
      <c r="G156" s="5">
        <v>32395829.7953071</v>
      </c>
      <c r="H156" s="5">
        <v>21668802.145936001</v>
      </c>
      <c r="I156" s="5">
        <v>5634533.2848068597</v>
      </c>
      <c r="J156" s="5">
        <v>21370567.065714799</v>
      </c>
      <c r="K156" s="5">
        <v>8618065.2728543896</v>
      </c>
      <c r="L156" s="5">
        <v>14082911.752382999</v>
      </c>
      <c r="M156" s="5">
        <v>20296812.173290901</v>
      </c>
      <c r="N156" s="5">
        <v>42971265.497865401</v>
      </c>
      <c r="O156" s="5">
        <v>96904455.040275604</v>
      </c>
      <c r="P156" s="5">
        <v>52634604.859099798</v>
      </c>
      <c r="Q156" s="5">
        <v>39299418.375505701</v>
      </c>
      <c r="R156" s="5">
        <v>14155481.824445499</v>
      </c>
      <c r="S156" s="5">
        <v>28151347.113702599</v>
      </c>
      <c r="T156" s="5">
        <v>24752415.103830799</v>
      </c>
      <c r="U156" s="5">
        <v>38556696.658779301</v>
      </c>
      <c r="V156" s="5">
        <v>52005529.655014597</v>
      </c>
      <c r="W156" s="5">
        <v>36563067.129654497</v>
      </c>
      <c r="X156" s="5">
        <v>15566583.003115401</v>
      </c>
      <c r="Y156" s="5">
        <v>35976799.3768925</v>
      </c>
      <c r="Z156" s="5">
        <v>34564449.725120798</v>
      </c>
      <c r="AA156" s="5">
        <v>33292661.449818801</v>
      </c>
      <c r="AB156" s="5">
        <v>33876378.902220003</v>
      </c>
      <c r="AC156" s="5">
        <v>33296406.400380999</v>
      </c>
    </row>
    <row r="157" spans="1:29" x14ac:dyDescent="0.45">
      <c r="A157" s="5" t="s">
        <v>303</v>
      </c>
      <c r="B157" s="5">
        <v>32886200.2968277</v>
      </c>
      <c r="C157" s="5">
        <v>140927542.65369499</v>
      </c>
      <c r="D157" s="5">
        <v>50800679.317159802</v>
      </c>
      <c r="E157" s="5">
        <v>113877929.13604701</v>
      </c>
      <c r="F157" s="5">
        <v>31257763.119198099</v>
      </c>
      <c r="G157" s="5">
        <v>206341122.270863</v>
      </c>
      <c r="H157" s="5">
        <v>20111864.473609701</v>
      </c>
      <c r="I157" s="5">
        <v>1484422132.8132</v>
      </c>
      <c r="J157" s="5">
        <v>17624515.915739801</v>
      </c>
      <c r="K157" s="5">
        <v>2859890614.6259599</v>
      </c>
      <c r="L157" s="5">
        <v>88915318.344445094</v>
      </c>
      <c r="M157" s="5">
        <v>200274024.113731</v>
      </c>
      <c r="N157" s="5">
        <v>198329321.43146199</v>
      </c>
      <c r="O157" s="5">
        <v>326423973.77891499</v>
      </c>
      <c r="P157" s="5">
        <v>52045399.058920197</v>
      </c>
      <c r="Q157" s="5">
        <v>189288011.58672899</v>
      </c>
      <c r="R157" s="5">
        <v>71884140.686262503</v>
      </c>
      <c r="S157" s="5">
        <v>129105621.17337701</v>
      </c>
      <c r="T157" s="5">
        <v>49687463.237017699</v>
      </c>
      <c r="U157" s="5">
        <v>34744884.377998002</v>
      </c>
      <c r="V157" s="5">
        <v>22380567.579616498</v>
      </c>
      <c r="W157" s="5">
        <v>61979572.591660403</v>
      </c>
      <c r="X157" s="5">
        <v>746237623.27300596</v>
      </c>
      <c r="Y157" s="5">
        <v>14739767.468935199</v>
      </c>
      <c r="Z157" s="5">
        <v>225005231.77827501</v>
      </c>
      <c r="AA157" s="5">
        <v>225212233.71487501</v>
      </c>
      <c r="AB157" s="5">
        <v>238288176.72124901</v>
      </c>
      <c r="AC157" s="5">
        <v>230537229.053224</v>
      </c>
    </row>
    <row r="158" spans="1:29" x14ac:dyDescent="0.45">
      <c r="A158" s="5" t="s">
        <v>422</v>
      </c>
      <c r="B158" s="5">
        <v>4095532.7867823602</v>
      </c>
      <c r="C158" s="5">
        <v>19006533.750686999</v>
      </c>
      <c r="D158" s="5">
        <v>12283764.560276801</v>
      </c>
      <c r="E158" s="5">
        <v>8759992.9321022406</v>
      </c>
      <c r="F158" s="5">
        <v>5565457.6235826202</v>
      </c>
      <c r="G158" s="5">
        <v>11546891.846594401</v>
      </c>
      <c r="H158" s="5">
        <v>19311057.209111001</v>
      </c>
      <c r="I158" s="5">
        <v>14682668.570252599</v>
      </c>
      <c r="J158" s="5">
        <v>7410438.6384140104</v>
      </c>
      <c r="K158" s="5">
        <v>8859363.4922087006</v>
      </c>
      <c r="L158" s="5">
        <v>6864898.9650800796</v>
      </c>
      <c r="M158" s="5">
        <v>5927468.1142358696</v>
      </c>
      <c r="N158" s="5">
        <v>19422744.572251201</v>
      </c>
      <c r="O158" s="5">
        <v>20232905.187661499</v>
      </c>
      <c r="P158" s="5">
        <v>13020647.6152294</v>
      </c>
      <c r="Q158" s="5">
        <v>15165895.351131</v>
      </c>
      <c r="R158" s="5">
        <v>8281091.1964535499</v>
      </c>
      <c r="S158" s="5">
        <v>13953536.252717201</v>
      </c>
      <c r="T158" s="5">
        <v>4862493.0840678001</v>
      </c>
      <c r="U158" s="5">
        <v>7746392.6739130802</v>
      </c>
      <c r="V158" s="5">
        <v>11471178.816630101</v>
      </c>
      <c r="W158" s="5">
        <v>6783147.6719338698</v>
      </c>
      <c r="X158" s="5">
        <v>11202523.3611132</v>
      </c>
      <c r="Y158" s="5">
        <v>13067645.8161391</v>
      </c>
      <c r="Z158" s="5">
        <v>11434132.413247099</v>
      </c>
      <c r="AA158" s="5">
        <v>12705822.4745022</v>
      </c>
      <c r="AB158" s="5">
        <v>13088855.863429001</v>
      </c>
      <c r="AC158" s="5">
        <v>10373285.242061701</v>
      </c>
    </row>
    <row r="159" spans="1:29" x14ac:dyDescent="0.45">
      <c r="A159" s="5" t="s">
        <v>433</v>
      </c>
      <c r="B159" s="5">
        <v>320824.79851559701</v>
      </c>
      <c r="C159" s="5">
        <v>322449.45024360297</v>
      </c>
      <c r="D159" s="5">
        <v>403108.902938844</v>
      </c>
      <c r="E159" s="5">
        <v>342449.434193769</v>
      </c>
      <c r="F159" s="5">
        <v>337323.22087243898</v>
      </c>
      <c r="G159" s="5">
        <v>454001.70806927601</v>
      </c>
      <c r="H159" s="5">
        <v>415229.334763386</v>
      </c>
      <c r="I159" s="5">
        <v>3520774.04408364</v>
      </c>
      <c r="J159" s="5">
        <v>1237385.2939128401</v>
      </c>
      <c r="K159" s="5">
        <v>989783999.31022203</v>
      </c>
      <c r="L159" s="5">
        <v>395631.90349250397</v>
      </c>
      <c r="M159" s="5">
        <v>274909.363545259</v>
      </c>
      <c r="N159" s="5">
        <v>3704903.85008475</v>
      </c>
      <c r="O159" s="5">
        <v>1555265.10506959</v>
      </c>
      <c r="P159" s="5">
        <v>1731415.96893066</v>
      </c>
      <c r="Q159" s="5">
        <v>434946.74966677802</v>
      </c>
      <c r="R159" s="5">
        <v>2004631.2450343</v>
      </c>
      <c r="S159" s="5">
        <v>505712.03725386597</v>
      </c>
      <c r="T159" s="5">
        <v>284730.66877283499</v>
      </c>
      <c r="U159" s="5">
        <v>427139.41505609301</v>
      </c>
      <c r="V159" s="5">
        <v>751479.55166394997</v>
      </c>
      <c r="W159" s="5">
        <v>126454.634746789</v>
      </c>
      <c r="X159" s="5">
        <v>187998.059226079</v>
      </c>
      <c r="Y159" s="5">
        <v>88782.325844744206</v>
      </c>
      <c r="Z159" s="5">
        <v>27945755.176037598</v>
      </c>
      <c r="AA159" s="5">
        <v>27887768.843734</v>
      </c>
      <c r="AB159" s="5">
        <v>28727362.648111299</v>
      </c>
      <c r="AC159" s="5">
        <v>28324730.318391401</v>
      </c>
    </row>
    <row r="160" spans="1:29" x14ac:dyDescent="0.45">
      <c r="A160" s="5" t="s">
        <v>352</v>
      </c>
      <c r="B160" s="5">
        <v>97682741.980752602</v>
      </c>
      <c r="C160" s="5">
        <v>144318014.99936199</v>
      </c>
      <c r="D160" s="5">
        <v>103996614.99546599</v>
      </c>
      <c r="E160" s="5">
        <v>128832302.87337799</v>
      </c>
      <c r="F160" s="5">
        <v>161806992.887925</v>
      </c>
      <c r="G160" s="5">
        <v>162490849.43734199</v>
      </c>
      <c r="H160" s="5">
        <v>82698692.549549103</v>
      </c>
      <c r="I160" s="5">
        <v>33635605.707956001</v>
      </c>
      <c r="J160" s="5">
        <v>142900547.31426901</v>
      </c>
      <c r="K160" s="5">
        <v>262780833.48532799</v>
      </c>
      <c r="L160" s="5">
        <v>182190040.56049499</v>
      </c>
      <c r="M160" s="5">
        <v>118863639.880055</v>
      </c>
      <c r="N160" s="5">
        <v>55600602.733478703</v>
      </c>
      <c r="O160" s="5">
        <v>172536386.03585899</v>
      </c>
      <c r="P160" s="5">
        <v>107052630.062004</v>
      </c>
      <c r="Q160" s="5">
        <v>113889274.44581901</v>
      </c>
      <c r="R160" s="5">
        <v>160239424.39552599</v>
      </c>
      <c r="S160" s="5">
        <v>170325725.35767001</v>
      </c>
      <c r="T160" s="5">
        <v>127658019.40283801</v>
      </c>
      <c r="U160" s="5">
        <v>111326333.479913</v>
      </c>
      <c r="V160" s="5">
        <v>98087388.601819903</v>
      </c>
      <c r="W160" s="5">
        <v>122077693.079623</v>
      </c>
      <c r="X160" s="5">
        <v>33788063.076142997</v>
      </c>
      <c r="Y160" s="5">
        <v>91322576.048699707</v>
      </c>
      <c r="Z160" s="5">
        <v>87031746.3665874</v>
      </c>
      <c r="AA160" s="5">
        <v>94874966.7929371</v>
      </c>
      <c r="AB160" s="5">
        <v>95158805.979254499</v>
      </c>
      <c r="AC160" s="5">
        <v>89506946.413617402</v>
      </c>
    </row>
    <row r="161" spans="1:29" x14ac:dyDescent="0.45">
      <c r="A161" s="5" t="s">
        <v>370</v>
      </c>
      <c r="B161" s="5">
        <v>8111690.3233710602</v>
      </c>
      <c r="C161" s="5">
        <v>21157506.428015798</v>
      </c>
      <c r="D161" s="5">
        <v>15477150.716851201</v>
      </c>
      <c r="E161" s="5">
        <v>17914517.537662201</v>
      </c>
      <c r="F161" s="5">
        <v>17822408.690489698</v>
      </c>
      <c r="G161" s="5">
        <v>21883031.974864401</v>
      </c>
      <c r="H161" s="5">
        <v>13040277.652202301</v>
      </c>
      <c r="I161" s="5">
        <v>14286191.3020628</v>
      </c>
      <c r="J161" s="5">
        <v>15062396.7733173</v>
      </c>
      <c r="K161" s="5">
        <v>26726062.472732399</v>
      </c>
      <c r="L161" s="5">
        <v>19737069.810501501</v>
      </c>
      <c r="M161" s="5">
        <v>16501921.136943201</v>
      </c>
      <c r="N161" s="5">
        <v>28354314.5532998</v>
      </c>
      <c r="O161" s="5">
        <v>21041550.958324801</v>
      </c>
      <c r="P161" s="5">
        <v>37842207.308837801</v>
      </c>
      <c r="Q161" s="5">
        <v>25348166.943673901</v>
      </c>
      <c r="R161" s="5">
        <v>9314426.5524307601</v>
      </c>
      <c r="S161" s="5">
        <v>18019559.627218898</v>
      </c>
      <c r="T161" s="5">
        <v>10242655.8932206</v>
      </c>
      <c r="U161" s="5">
        <v>11720728.2350103</v>
      </c>
      <c r="V161" s="5">
        <v>15917734.6719092</v>
      </c>
      <c r="W161" s="5">
        <v>13976326.6569447</v>
      </c>
      <c r="X161" s="5">
        <v>13683034.864075201</v>
      </c>
      <c r="Y161" s="5">
        <v>16222561.022260699</v>
      </c>
      <c r="Z161" s="5">
        <v>13674661.9015911</v>
      </c>
      <c r="AA161" s="5">
        <v>15113463.908454699</v>
      </c>
      <c r="AB161" s="5">
        <v>13487096.9795334</v>
      </c>
      <c r="AC161" s="5">
        <v>14444403.1859705</v>
      </c>
    </row>
    <row r="162" spans="1:29" x14ac:dyDescent="0.45">
      <c r="A162" s="5" t="s">
        <v>358</v>
      </c>
      <c r="B162" s="5">
        <v>87713632.465111002</v>
      </c>
      <c r="C162" s="5">
        <v>143802022.821421</v>
      </c>
      <c r="D162" s="5">
        <v>128275486.500516</v>
      </c>
      <c r="E162" s="5">
        <v>102531223.77101</v>
      </c>
      <c r="F162" s="5">
        <v>135068405.64563</v>
      </c>
      <c r="G162" s="5">
        <v>158521457.06931901</v>
      </c>
      <c r="H162" s="5">
        <v>120882161.46141399</v>
      </c>
      <c r="I162" s="5">
        <v>475356433.86919302</v>
      </c>
      <c r="J162" s="5">
        <v>225171570.542045</v>
      </c>
      <c r="K162" s="5">
        <v>91597709.479604393</v>
      </c>
      <c r="L162" s="5">
        <v>154940685.93630999</v>
      </c>
      <c r="M162" s="5">
        <v>112625348.942835</v>
      </c>
      <c r="N162" s="5">
        <v>145331685.193095</v>
      </c>
      <c r="O162" s="5">
        <v>161993358.384415</v>
      </c>
      <c r="P162" s="5">
        <v>110533324.262023</v>
      </c>
      <c r="Q162" s="5">
        <v>136947291.039217</v>
      </c>
      <c r="R162" s="5">
        <v>159896454.81121799</v>
      </c>
      <c r="S162" s="5">
        <v>122566806.02265701</v>
      </c>
      <c r="T162" s="5">
        <v>154178240.21829101</v>
      </c>
      <c r="U162" s="5">
        <v>150551512.98328799</v>
      </c>
      <c r="V162" s="5">
        <v>184974275.93514901</v>
      </c>
      <c r="W162" s="5">
        <v>116834968.051082</v>
      </c>
      <c r="X162" s="5">
        <v>452952393.88281298</v>
      </c>
      <c r="Y162" s="5">
        <v>94400244.380072594</v>
      </c>
      <c r="Z162" s="5">
        <v>141676673.89165801</v>
      </c>
      <c r="AA162" s="5">
        <v>142838043.74661499</v>
      </c>
      <c r="AB162" s="5">
        <v>139144397.704604</v>
      </c>
      <c r="AC162" s="5">
        <v>132657048.20463499</v>
      </c>
    </row>
    <row r="163" spans="1:29" x14ac:dyDescent="0.45">
      <c r="A163" s="5" t="s">
        <v>165</v>
      </c>
      <c r="B163" s="5">
        <v>12492689.100815499</v>
      </c>
      <c r="C163" s="5">
        <v>11962813.5442804</v>
      </c>
      <c r="D163" s="5">
        <v>23141702.1101625</v>
      </c>
      <c r="E163" s="5">
        <v>21705301.629996601</v>
      </c>
      <c r="F163" s="5">
        <v>22766281.7454357</v>
      </c>
      <c r="G163" s="5">
        <v>33841416.326469399</v>
      </c>
      <c r="H163" s="5">
        <v>21065930.5403433</v>
      </c>
      <c r="I163" s="5">
        <v>146077033.974406</v>
      </c>
      <c r="J163" s="5">
        <v>49407461.394237898</v>
      </c>
      <c r="K163" s="5">
        <v>47848383.524616197</v>
      </c>
      <c r="L163" s="5">
        <v>19761245.066358201</v>
      </c>
      <c r="M163" s="5">
        <v>21441638.9340754</v>
      </c>
      <c r="N163" s="5">
        <v>17379452.247772198</v>
      </c>
      <c r="O163" s="5">
        <v>24079735.698618598</v>
      </c>
      <c r="P163" s="5">
        <v>11780519.3165776</v>
      </c>
      <c r="Q163" s="5">
        <v>37204606.321722798</v>
      </c>
      <c r="R163" s="5">
        <v>26990096.8575298</v>
      </c>
      <c r="S163" s="5">
        <v>58798153.306709997</v>
      </c>
      <c r="T163" s="5">
        <v>18393401.941838201</v>
      </c>
      <c r="U163" s="5">
        <v>19077471.6206838</v>
      </c>
      <c r="V163" s="5">
        <v>13457199.654392101</v>
      </c>
      <c r="W163" s="5">
        <v>18792475.721812099</v>
      </c>
      <c r="X163" s="5">
        <v>37522327.479195103</v>
      </c>
      <c r="Y163" s="5">
        <v>14844989.868512601</v>
      </c>
      <c r="Z163" s="5">
        <v>21903493.0723533</v>
      </c>
      <c r="AA163" s="5">
        <v>22620307.5897674</v>
      </c>
      <c r="AB163" s="5">
        <v>22394960.075960401</v>
      </c>
      <c r="AC163" s="5">
        <v>23187080.393394198</v>
      </c>
    </row>
    <row r="164" spans="1:29" x14ac:dyDescent="0.45">
      <c r="A164" s="5" t="s">
        <v>166</v>
      </c>
      <c r="B164" s="5">
        <v>2177456.83510117</v>
      </c>
      <c r="C164" s="5">
        <v>4037484.9825172499</v>
      </c>
      <c r="D164" s="5">
        <v>5367939.1951014204</v>
      </c>
      <c r="E164" s="5">
        <v>4644948.1959801801</v>
      </c>
      <c r="F164" s="5">
        <v>6954939.8331924602</v>
      </c>
      <c r="G164" s="5">
        <v>3973035.4949193499</v>
      </c>
      <c r="H164" s="5">
        <v>2135591.0773061099</v>
      </c>
      <c r="I164" s="5">
        <v>37242145.109934501</v>
      </c>
      <c r="J164" s="5">
        <v>7201881.3883020803</v>
      </c>
      <c r="K164" s="5">
        <v>6938317.4371891096</v>
      </c>
      <c r="L164" s="5">
        <v>4253528.9444939196</v>
      </c>
      <c r="M164" s="5">
        <v>3722788.0160436099</v>
      </c>
      <c r="N164" s="5">
        <v>5503080.1452780999</v>
      </c>
      <c r="O164" s="5">
        <v>6713696.6631533597</v>
      </c>
      <c r="P164" s="5">
        <v>3728108.4113910799</v>
      </c>
      <c r="Q164" s="5">
        <v>4972236.9496522201</v>
      </c>
      <c r="R164" s="5">
        <v>5394250.8900120696</v>
      </c>
      <c r="S164" s="5">
        <v>4169213.3681007</v>
      </c>
      <c r="T164" s="5">
        <v>5051108.15517049</v>
      </c>
      <c r="U164" s="5">
        <v>3889071.7190446001</v>
      </c>
      <c r="V164" s="5">
        <v>5291193.8196405796</v>
      </c>
      <c r="W164" s="5">
        <v>4034964.0231139301</v>
      </c>
      <c r="X164" s="5">
        <v>33904010.214464203</v>
      </c>
      <c r="Y164" s="5">
        <v>3213772.84125794</v>
      </c>
      <c r="Z164" s="5">
        <v>5384179.7015790502</v>
      </c>
      <c r="AA164" s="5">
        <v>5201372.8430250501</v>
      </c>
      <c r="AB164" s="5">
        <v>5115260.42227358</v>
      </c>
      <c r="AC164" s="5">
        <v>5285623.53647089</v>
      </c>
    </row>
    <row r="165" spans="1:29" x14ac:dyDescent="0.45">
      <c r="A165" s="5" t="s">
        <v>423</v>
      </c>
      <c r="B165" s="5">
        <v>86571783.153269902</v>
      </c>
      <c r="C165" s="5">
        <v>68823512.889792204</v>
      </c>
      <c r="D165" s="5">
        <v>132589351.709672</v>
      </c>
      <c r="E165" s="5">
        <v>71046060.919455394</v>
      </c>
      <c r="F165" s="5">
        <v>38673866.864638001</v>
      </c>
      <c r="G165" s="5">
        <v>76679258.133842394</v>
      </c>
      <c r="H165" s="5">
        <v>94992528.971627593</v>
      </c>
      <c r="I165" s="5">
        <v>290576643.652008</v>
      </c>
      <c r="J165" s="5">
        <v>101604315.85691699</v>
      </c>
      <c r="K165" s="5">
        <v>398157128.35132003</v>
      </c>
      <c r="L165" s="5">
        <v>107769106.87953</v>
      </c>
      <c r="M165" s="5">
        <v>75058116.795382395</v>
      </c>
      <c r="N165" s="5">
        <v>54972816.412448399</v>
      </c>
      <c r="O165" s="5">
        <v>106201483.775911</v>
      </c>
      <c r="P165" s="5">
        <v>99999119.608503103</v>
      </c>
      <c r="Q165" s="5">
        <v>62459344.428300999</v>
      </c>
      <c r="R165" s="5">
        <v>116983444.80773599</v>
      </c>
      <c r="S165" s="5">
        <v>28515258.7518287</v>
      </c>
      <c r="T165" s="5">
        <v>93944725.804527</v>
      </c>
      <c r="U165" s="5">
        <v>127759122.19904</v>
      </c>
      <c r="V165" s="5">
        <v>108743634.368127</v>
      </c>
      <c r="W165" s="5">
        <v>291935361.54845899</v>
      </c>
      <c r="X165" s="5">
        <v>266844365.12914199</v>
      </c>
      <c r="Y165" s="5">
        <v>378314316.57957</v>
      </c>
      <c r="Z165" s="5">
        <v>113038764.493255</v>
      </c>
      <c r="AA165" s="5">
        <v>113004590.34772199</v>
      </c>
      <c r="AB165" s="5">
        <v>108418310.382337</v>
      </c>
      <c r="AC165" s="5">
        <v>113315580.858071</v>
      </c>
    </row>
    <row r="166" spans="1:29" x14ac:dyDescent="0.45">
      <c r="A166" s="5" t="s">
        <v>167</v>
      </c>
      <c r="B166" s="5">
        <v>2129374.8152499502</v>
      </c>
      <c r="C166" s="5">
        <v>1164938.6963555999</v>
      </c>
      <c r="D166" s="5">
        <v>1442646.9150771501</v>
      </c>
      <c r="E166" s="5">
        <v>2111625.5602055602</v>
      </c>
      <c r="F166" s="5">
        <v>4689936.5691149402</v>
      </c>
      <c r="G166" s="5">
        <v>2070051.1652274299</v>
      </c>
      <c r="H166" s="5">
        <v>1881681.9515748101</v>
      </c>
      <c r="I166" s="5">
        <v>674247.689414097</v>
      </c>
      <c r="J166" s="5">
        <v>3235215.84825138</v>
      </c>
      <c r="K166" s="5">
        <v>1464487.9794723501</v>
      </c>
      <c r="L166" s="5">
        <v>2696441.4084896399</v>
      </c>
      <c r="M166" s="5">
        <v>880617.98653830495</v>
      </c>
      <c r="N166" s="5">
        <v>961856.43985823495</v>
      </c>
      <c r="O166" s="5">
        <v>2646333.0339754601</v>
      </c>
      <c r="P166" s="5">
        <v>3443975.5909713199</v>
      </c>
      <c r="Q166" s="5">
        <v>776231.79220118094</v>
      </c>
      <c r="R166" s="5">
        <v>2011741.91738299</v>
      </c>
      <c r="S166" s="5">
        <v>1359740.47545754</v>
      </c>
      <c r="T166" s="5">
        <v>3356866.0212426102</v>
      </c>
      <c r="U166" s="5">
        <v>2213857.9659303701</v>
      </c>
      <c r="V166" s="5">
        <v>1709226.0370011099</v>
      </c>
      <c r="W166" s="5">
        <v>2637817.2901372402</v>
      </c>
      <c r="X166" s="5">
        <v>514745.32659530401</v>
      </c>
      <c r="Y166" s="5">
        <v>3167633.0318445498</v>
      </c>
      <c r="Z166" s="5">
        <v>1351948.1343077901</v>
      </c>
      <c r="AA166" s="5">
        <v>1234623.54488698</v>
      </c>
      <c r="AB166" s="5">
        <v>1459521.6509789401</v>
      </c>
      <c r="AC166" s="5">
        <v>1361540.13693436</v>
      </c>
    </row>
    <row r="167" spans="1:29" x14ac:dyDescent="0.45">
      <c r="A167" s="5" t="s">
        <v>168</v>
      </c>
      <c r="B167" s="5">
        <v>30853845.8559229</v>
      </c>
      <c r="C167" s="5">
        <v>20607137.888405599</v>
      </c>
      <c r="D167" s="5">
        <v>48495662.328351103</v>
      </c>
      <c r="E167" s="5">
        <v>13419860.1074064</v>
      </c>
      <c r="F167" s="5">
        <v>22908218.195962001</v>
      </c>
      <c r="G167" s="5">
        <v>9122463.8911301903</v>
      </c>
      <c r="H167" s="5">
        <v>10409856.1157948</v>
      </c>
      <c r="I167" s="5">
        <v>40661664.287160903</v>
      </c>
      <c r="J167" s="5">
        <v>39527628.750542</v>
      </c>
      <c r="K167" s="5">
        <v>7335230.8630456496</v>
      </c>
      <c r="L167" s="5">
        <v>51714667.579223603</v>
      </c>
      <c r="M167" s="5">
        <v>9653446.7239559107</v>
      </c>
      <c r="N167" s="5">
        <v>11761231.909106901</v>
      </c>
      <c r="O167" s="5">
        <v>27979813.1758755</v>
      </c>
      <c r="P167" s="5">
        <v>12923553.9342154</v>
      </c>
      <c r="Q167" s="5">
        <v>14462944.8089082</v>
      </c>
      <c r="R167" s="5">
        <v>47868649.725997299</v>
      </c>
      <c r="S167" s="5">
        <v>16762326.5348638</v>
      </c>
      <c r="T167" s="5">
        <v>49616610.024516501</v>
      </c>
      <c r="U167" s="5">
        <v>30813433.880477499</v>
      </c>
      <c r="V167" s="5">
        <v>10166440.942105699</v>
      </c>
      <c r="W167" s="5">
        <v>12643318.144193299</v>
      </c>
      <c r="X167" s="5">
        <v>469593377.25070202</v>
      </c>
      <c r="Y167" s="5">
        <v>24803741.975860901</v>
      </c>
      <c r="Z167" s="5">
        <v>19206512.198249701</v>
      </c>
      <c r="AA167" s="5">
        <v>22121761.583333299</v>
      </c>
      <c r="AB167" s="5">
        <v>21431260.9644823</v>
      </c>
      <c r="AC167" s="5">
        <v>22619989.9699357</v>
      </c>
    </row>
    <row r="168" spans="1:29" x14ac:dyDescent="0.45">
      <c r="A168" s="5" t="s">
        <v>169</v>
      </c>
      <c r="B168" s="5">
        <v>20679284.192714602</v>
      </c>
      <c r="C168" s="5">
        <v>32833971.518968601</v>
      </c>
      <c r="D168" s="5">
        <v>24970846.467298899</v>
      </c>
      <c r="E168" s="5">
        <v>10913326.9889293</v>
      </c>
      <c r="F168" s="5">
        <v>5415221.8748743199</v>
      </c>
      <c r="G168" s="5">
        <v>10641644.8737128</v>
      </c>
      <c r="H168" s="5">
        <v>2659220.7112040799</v>
      </c>
      <c r="I168" s="5">
        <v>37739809.279578499</v>
      </c>
      <c r="J168" s="5">
        <v>14548948.1424469</v>
      </c>
      <c r="K168" s="5">
        <v>2092330.6007044499</v>
      </c>
      <c r="L168" s="5">
        <v>7572657.5015781103</v>
      </c>
      <c r="M168" s="5">
        <v>16810531.5478299</v>
      </c>
      <c r="N168" s="5">
        <v>11782380.075720301</v>
      </c>
      <c r="O168" s="5">
        <v>16402143.489168899</v>
      </c>
      <c r="P168" s="5">
        <v>217999.751007332</v>
      </c>
      <c r="Q168" s="5">
        <v>8868946.9025848508</v>
      </c>
      <c r="R168" s="5">
        <v>6836124.1116083497</v>
      </c>
      <c r="S168" s="5">
        <v>7488620.7356506996</v>
      </c>
      <c r="T168" s="5">
        <v>5772295.3901084596</v>
      </c>
      <c r="U168" s="5">
        <v>14594714.332154199</v>
      </c>
      <c r="V168" s="5">
        <v>11665773.959282201</v>
      </c>
      <c r="W168" s="5">
        <v>9676132.9821387008</v>
      </c>
      <c r="X168" s="5">
        <v>40360083.3968537</v>
      </c>
      <c r="Y168" s="5">
        <v>30463812.673004601</v>
      </c>
      <c r="Z168" s="5">
        <v>11773599.1390603</v>
      </c>
      <c r="AA168" s="5">
        <v>12028993.4560582</v>
      </c>
      <c r="AB168" s="5">
        <v>11806803.708558001</v>
      </c>
      <c r="AC168" s="5">
        <v>12282383.978233499</v>
      </c>
    </row>
    <row r="169" spans="1:29" x14ac:dyDescent="0.45">
      <c r="A169" s="5" t="s">
        <v>170</v>
      </c>
      <c r="B169" s="5">
        <v>5771765.9443567302</v>
      </c>
      <c r="C169" s="5">
        <v>7326626.9684977997</v>
      </c>
      <c r="D169" s="5">
        <v>7811147.5701676803</v>
      </c>
      <c r="E169" s="5">
        <v>5833347.5574326301</v>
      </c>
      <c r="F169" s="5">
        <v>5017123.2566516101</v>
      </c>
      <c r="G169" s="5">
        <v>7598837.6353698904</v>
      </c>
      <c r="H169" s="5">
        <v>8285626.9896672498</v>
      </c>
      <c r="I169" s="5">
        <v>13222915.9331383</v>
      </c>
      <c r="J169" s="5">
        <v>5839314.9965487896</v>
      </c>
      <c r="K169" s="5">
        <v>5592746.9208164504</v>
      </c>
      <c r="L169" s="5">
        <v>6835029.4619837701</v>
      </c>
      <c r="M169" s="5">
        <v>10406166.7525458</v>
      </c>
      <c r="N169" s="5">
        <v>10169588.363641599</v>
      </c>
      <c r="O169" s="5">
        <v>8537906.6131246891</v>
      </c>
      <c r="P169" s="5">
        <v>7613121.6026274096</v>
      </c>
      <c r="Q169" s="5">
        <v>11023335.1907019</v>
      </c>
      <c r="R169" s="5">
        <v>6437432.2297488004</v>
      </c>
      <c r="S169" s="5">
        <v>11015588.9075929</v>
      </c>
      <c r="T169" s="5">
        <v>7826803.3100954099</v>
      </c>
      <c r="U169" s="5">
        <v>8662807.9555931408</v>
      </c>
      <c r="V169" s="5">
        <v>9210975.0546786692</v>
      </c>
      <c r="W169" s="5">
        <v>7064968.6650168197</v>
      </c>
      <c r="X169" s="5">
        <v>19993496.0282842</v>
      </c>
      <c r="Y169" s="5">
        <v>8915221.1902366094</v>
      </c>
      <c r="Z169" s="5">
        <v>7332942.3145129699</v>
      </c>
      <c r="AA169" s="5">
        <v>7769386.8158320403</v>
      </c>
      <c r="AB169" s="5">
        <v>8726181.9669240993</v>
      </c>
      <c r="AC169" s="5">
        <v>9292914.9116366003</v>
      </c>
    </row>
    <row r="170" spans="1:29" x14ac:dyDescent="0.45">
      <c r="A170" s="5" t="s">
        <v>171</v>
      </c>
      <c r="B170" s="5">
        <v>401250.98888450803</v>
      </c>
      <c r="C170" s="5">
        <v>6464817.7668789597</v>
      </c>
      <c r="D170" s="5">
        <v>367038.43462583597</v>
      </c>
      <c r="E170" s="5">
        <v>424616.76873597002</v>
      </c>
      <c r="F170" s="5">
        <v>476932.46107712301</v>
      </c>
      <c r="G170" s="5">
        <v>9496205.1202559192</v>
      </c>
      <c r="H170" s="5">
        <v>341834.42303698498</v>
      </c>
      <c r="I170" s="5">
        <v>10574160.6621866</v>
      </c>
      <c r="J170" s="5">
        <v>10073506.887035999</v>
      </c>
      <c r="K170" s="5">
        <v>10460645.279717401</v>
      </c>
      <c r="L170" s="5">
        <v>10174015.526924999</v>
      </c>
      <c r="M170" s="5">
        <v>23726645.234377101</v>
      </c>
      <c r="N170" s="5">
        <v>7430495.1483946098</v>
      </c>
      <c r="O170" s="5">
        <v>441928.00457452401</v>
      </c>
      <c r="P170" s="5">
        <v>424251.51784478303</v>
      </c>
      <c r="Q170" s="5">
        <v>5252593.7652917104</v>
      </c>
      <c r="R170" s="5">
        <v>9806744.9796678908</v>
      </c>
      <c r="S170" s="5">
        <v>17657883.159590099</v>
      </c>
      <c r="T170" s="5">
        <v>6252870.7210143898</v>
      </c>
      <c r="U170" s="5">
        <v>510336.28969033703</v>
      </c>
      <c r="V170" s="5">
        <v>7735052.7837760802</v>
      </c>
      <c r="W170" s="5">
        <v>6733024.2282570703</v>
      </c>
      <c r="X170" s="5">
        <v>20753942.6091027</v>
      </c>
      <c r="Y170" s="5">
        <v>463594.55880197103</v>
      </c>
      <c r="Z170" s="5">
        <v>4302934.0564971203</v>
      </c>
      <c r="AA170" s="5">
        <v>4731773.5879121404</v>
      </c>
      <c r="AB170" s="5">
        <v>4411633.1645326</v>
      </c>
      <c r="AC170" s="5">
        <v>4807332.46540803</v>
      </c>
    </row>
    <row r="171" spans="1:29" x14ac:dyDescent="0.45">
      <c r="A171" s="5" t="s">
        <v>172</v>
      </c>
      <c r="B171" s="5">
        <v>25999771.763894901</v>
      </c>
      <c r="C171" s="5">
        <v>29862099.338031199</v>
      </c>
      <c r="D171" s="5">
        <v>29981082.8997862</v>
      </c>
      <c r="E171" s="5">
        <v>22701950.109373499</v>
      </c>
      <c r="F171" s="5">
        <v>36262586.4526987</v>
      </c>
      <c r="G171" s="5">
        <v>34920539.815233998</v>
      </c>
      <c r="H171" s="5">
        <v>39470712.840618096</v>
      </c>
      <c r="I171" s="5">
        <v>11576453.939317301</v>
      </c>
      <c r="J171" s="5">
        <v>30547403.993739299</v>
      </c>
      <c r="K171" s="5">
        <v>5127212.3444894599</v>
      </c>
      <c r="L171" s="5">
        <v>41926077.488882698</v>
      </c>
      <c r="M171" s="5">
        <v>23038197.1188282</v>
      </c>
      <c r="N171" s="5">
        <v>17820953.3925297</v>
      </c>
      <c r="O171" s="5">
        <v>22655421.309901401</v>
      </c>
      <c r="P171" s="5">
        <v>30013917.267948799</v>
      </c>
      <c r="Q171" s="5">
        <v>13921738.068336699</v>
      </c>
      <c r="R171" s="5">
        <v>46575713.713698</v>
      </c>
      <c r="S171" s="5">
        <v>27589118.096545201</v>
      </c>
      <c r="T171" s="5">
        <v>34416917.105985299</v>
      </c>
      <c r="U171" s="5">
        <v>27720254.958115399</v>
      </c>
      <c r="V171" s="5">
        <v>20567874.609118499</v>
      </c>
      <c r="W171" s="5">
        <v>32585886.0681764</v>
      </c>
      <c r="X171" s="5">
        <v>50465083.412576102</v>
      </c>
      <c r="Y171" s="5">
        <v>36758821.917943001</v>
      </c>
      <c r="Z171" s="5">
        <v>23996947.0466871</v>
      </c>
      <c r="AA171" s="5">
        <v>23830544.082988501</v>
      </c>
      <c r="AB171" s="5">
        <v>23252795.696569499</v>
      </c>
      <c r="AC171" s="5">
        <v>21511449.338011</v>
      </c>
    </row>
    <row r="172" spans="1:29" x14ac:dyDescent="0.45">
      <c r="A172" s="5" t="s">
        <v>173</v>
      </c>
      <c r="B172" s="5">
        <v>13294310.8540307</v>
      </c>
      <c r="C172" s="5">
        <v>16712817.5352473</v>
      </c>
      <c r="D172" s="5">
        <v>11096274.287915999</v>
      </c>
      <c r="E172" s="5">
        <v>18817042.4547516</v>
      </c>
      <c r="F172" s="5">
        <v>1525835.0811159399</v>
      </c>
      <c r="G172" s="5">
        <v>24098994.7707715</v>
      </c>
      <c r="H172" s="5">
        <v>18536562.686797202</v>
      </c>
      <c r="I172" s="5">
        <v>14912468.5585707</v>
      </c>
      <c r="J172" s="5">
        <v>15564069.6996533</v>
      </c>
      <c r="K172" s="5">
        <v>6281894.8246651096</v>
      </c>
      <c r="L172" s="5">
        <v>32695377.565226801</v>
      </c>
      <c r="M172" s="5">
        <v>10940003.317888699</v>
      </c>
      <c r="N172" s="5">
        <v>9260994.8876764905</v>
      </c>
      <c r="O172" s="5">
        <v>6317975.31194916</v>
      </c>
      <c r="P172" s="5">
        <v>12395346.233134201</v>
      </c>
      <c r="Q172" s="5">
        <v>10948665.304740099</v>
      </c>
      <c r="R172" s="5">
        <v>27196386.240040701</v>
      </c>
      <c r="S172" s="5">
        <v>2424572.1731289299</v>
      </c>
      <c r="T172" s="5">
        <v>5381683.5702230204</v>
      </c>
      <c r="U172" s="5">
        <v>2361578.5161425099</v>
      </c>
      <c r="V172" s="5">
        <v>2868299.0409707101</v>
      </c>
      <c r="W172" s="5">
        <v>12395730.171596199</v>
      </c>
      <c r="X172" s="5">
        <v>8126589.0190642299</v>
      </c>
      <c r="Y172" s="5">
        <v>2374691.0196888</v>
      </c>
      <c r="Z172" s="5">
        <v>10632604.644792199</v>
      </c>
      <c r="AA172" s="5">
        <v>11021683.4617217</v>
      </c>
      <c r="AB172" s="5">
        <v>10798716.963529199</v>
      </c>
      <c r="AC172" s="5">
        <v>10637769.8572811</v>
      </c>
    </row>
    <row r="173" spans="1:29" x14ac:dyDescent="0.45">
      <c r="A173" s="5" t="s">
        <v>359</v>
      </c>
      <c r="B173" s="5">
        <v>44183585.783792801</v>
      </c>
      <c r="C173" s="5">
        <v>89105370.784192994</v>
      </c>
      <c r="D173" s="5">
        <v>79290103.227504894</v>
      </c>
      <c r="E173" s="5">
        <v>72250703.400853604</v>
      </c>
      <c r="F173" s="5">
        <v>106103099.7916</v>
      </c>
      <c r="G173" s="5">
        <v>88752301.999673799</v>
      </c>
      <c r="H173" s="5">
        <v>58793166.274506703</v>
      </c>
      <c r="I173" s="5">
        <v>281852949.07457298</v>
      </c>
      <c r="J173" s="5">
        <v>156201293.30298501</v>
      </c>
      <c r="K173" s="5">
        <v>91282294.693994805</v>
      </c>
      <c r="L173" s="5">
        <v>77804125.911222294</v>
      </c>
      <c r="M173" s="5">
        <v>51111671.932467103</v>
      </c>
      <c r="N173" s="5">
        <v>90311562.294778794</v>
      </c>
      <c r="O173" s="5">
        <v>162328953.59955299</v>
      </c>
      <c r="P173" s="5">
        <v>95724828.821781501</v>
      </c>
      <c r="Q173" s="5">
        <v>65955796.147042103</v>
      </c>
      <c r="R173" s="5">
        <v>86750325.691111505</v>
      </c>
      <c r="S173" s="5">
        <v>69929053.714067295</v>
      </c>
      <c r="T173" s="5">
        <v>92385548.112818107</v>
      </c>
      <c r="U173" s="5">
        <v>102918160.337769</v>
      </c>
      <c r="V173" s="5">
        <v>106736180.869564</v>
      </c>
      <c r="W173" s="5">
        <v>54397856.017367199</v>
      </c>
      <c r="X173" s="5">
        <v>195368151.271092</v>
      </c>
      <c r="Y173" s="5">
        <v>60825332.5012808</v>
      </c>
      <c r="Z173" s="5">
        <v>85065850.364353105</v>
      </c>
      <c r="AA173" s="5">
        <v>84683089.808751598</v>
      </c>
      <c r="AB173" s="5">
        <v>80907028.128526196</v>
      </c>
      <c r="AC173" s="5">
        <v>80765022.126999497</v>
      </c>
    </row>
    <row r="174" spans="1:29" x14ac:dyDescent="0.45">
      <c r="A174" s="5" t="s">
        <v>304</v>
      </c>
      <c r="B174" s="5">
        <v>2044847515.52527</v>
      </c>
      <c r="C174" s="5">
        <v>1403410270.5594101</v>
      </c>
      <c r="D174" s="5">
        <v>1102600627.5560901</v>
      </c>
      <c r="E174" s="5">
        <v>2214812401.5571499</v>
      </c>
      <c r="F174" s="5">
        <v>301389496.57490599</v>
      </c>
      <c r="G174" s="5">
        <v>1440061366.1746099</v>
      </c>
      <c r="H174" s="5">
        <v>1536174115.0950799</v>
      </c>
      <c r="I174" s="5">
        <v>148214741.50761801</v>
      </c>
      <c r="J174" s="5">
        <v>535214325.07543898</v>
      </c>
      <c r="K174" s="5">
        <v>42788371.432041697</v>
      </c>
      <c r="L174" s="5">
        <v>363267658.467291</v>
      </c>
      <c r="M174" s="5">
        <v>1191474397.5790901</v>
      </c>
      <c r="N174" s="5">
        <v>2215753622.8147602</v>
      </c>
      <c r="O174" s="5">
        <v>767425612.04080105</v>
      </c>
      <c r="P174" s="5">
        <v>1039866551.6984299</v>
      </c>
      <c r="Q174" s="5">
        <v>2333874224.7789602</v>
      </c>
      <c r="R174" s="5">
        <v>525949344.40762198</v>
      </c>
      <c r="S174" s="5">
        <v>1886701509.8929701</v>
      </c>
      <c r="T174" s="5">
        <v>704240206.98884904</v>
      </c>
      <c r="U174" s="5">
        <v>1130007418.1029999</v>
      </c>
      <c r="V174" s="5">
        <v>1627622921.0256</v>
      </c>
      <c r="W174" s="5">
        <v>1401117036.6444099</v>
      </c>
      <c r="X174" s="5">
        <v>444112266.48849899</v>
      </c>
      <c r="Y174" s="5">
        <v>1270669127.7899301</v>
      </c>
      <c r="Z174" s="5">
        <v>1173278796.74227</v>
      </c>
      <c r="AA174" s="5">
        <v>1277230785.06107</v>
      </c>
      <c r="AB174" s="5">
        <v>1399524222.7897799</v>
      </c>
      <c r="AC174" s="5">
        <v>1385221553.2853701</v>
      </c>
    </row>
    <row r="175" spans="1:29" x14ac:dyDescent="0.45">
      <c r="A175" s="5" t="s">
        <v>174</v>
      </c>
      <c r="B175" s="5">
        <v>179919366.11814201</v>
      </c>
      <c r="C175" s="5">
        <v>700106693.82126296</v>
      </c>
      <c r="D175" s="5">
        <v>233258902.10196501</v>
      </c>
      <c r="E175" s="5">
        <v>232157893.33527499</v>
      </c>
      <c r="F175" s="5">
        <v>179396400.70142299</v>
      </c>
      <c r="G175" s="5">
        <v>660051059.12202799</v>
      </c>
      <c r="H175" s="5">
        <v>255449488.28267801</v>
      </c>
      <c r="I175" s="5">
        <v>921373702.19090796</v>
      </c>
      <c r="J175" s="5">
        <v>286646877.57031</v>
      </c>
      <c r="K175" s="5">
        <v>93744640.082957193</v>
      </c>
      <c r="L175" s="5">
        <v>227103383.49316299</v>
      </c>
      <c r="M175" s="5">
        <v>659606488.18506503</v>
      </c>
      <c r="N175" s="5">
        <v>821134193.21936798</v>
      </c>
      <c r="O175" s="5">
        <v>1046906571.52495</v>
      </c>
      <c r="P175" s="5">
        <v>40743009.083940499</v>
      </c>
      <c r="Q175" s="5">
        <v>618376483.34819102</v>
      </c>
      <c r="R175" s="5">
        <v>226804738.354247</v>
      </c>
      <c r="S175" s="5">
        <v>517440728.80715799</v>
      </c>
      <c r="T175" s="5">
        <v>223701176.844145</v>
      </c>
      <c r="U175" s="5">
        <v>1106887794.86555</v>
      </c>
      <c r="V175" s="5">
        <v>1362193934.93712</v>
      </c>
      <c r="W175" s="5">
        <v>464154431.26591003</v>
      </c>
      <c r="X175" s="5">
        <v>1302503627.23281</v>
      </c>
      <c r="Y175" s="5">
        <v>662022438.94583702</v>
      </c>
      <c r="Z175" s="5">
        <v>451478057.73459703</v>
      </c>
      <c r="AA175" s="5">
        <v>527061036.077833</v>
      </c>
      <c r="AB175" s="5">
        <v>502225166.89078099</v>
      </c>
      <c r="AC175" s="5">
        <v>543041840.01041102</v>
      </c>
    </row>
    <row r="176" spans="1:29" x14ac:dyDescent="0.45">
      <c r="A176" s="5" t="s">
        <v>424</v>
      </c>
      <c r="B176" s="5">
        <v>4311288.9616965596</v>
      </c>
      <c r="C176" s="5">
        <v>3654058.2875294499</v>
      </c>
      <c r="D176" s="5">
        <v>5765762.0706764301</v>
      </c>
      <c r="E176" s="5">
        <v>3438802.31514091</v>
      </c>
      <c r="F176" s="5">
        <v>4415824.39132227</v>
      </c>
      <c r="G176" s="5">
        <v>5384437.1757036</v>
      </c>
      <c r="H176" s="5">
        <v>4477240.2865014402</v>
      </c>
      <c r="I176" s="5">
        <v>100751805.529318</v>
      </c>
      <c r="J176" s="5">
        <v>19108811.086879499</v>
      </c>
      <c r="K176" s="5">
        <v>8616953.3335019797</v>
      </c>
      <c r="L176" s="5">
        <v>5058458.1252448997</v>
      </c>
      <c r="M176" s="5">
        <v>7598125.8011634098</v>
      </c>
      <c r="N176" s="5">
        <v>5536739.9017698197</v>
      </c>
      <c r="O176" s="5">
        <v>5164778.5538095301</v>
      </c>
      <c r="P176" s="5">
        <v>4898506.5366697898</v>
      </c>
      <c r="Q176" s="5">
        <v>3703816.3377084401</v>
      </c>
      <c r="R176" s="5">
        <v>8095154.1372481501</v>
      </c>
      <c r="S176" s="5">
        <v>5324035.7360791303</v>
      </c>
      <c r="T176" s="5">
        <v>4076732.2368165501</v>
      </c>
      <c r="U176" s="5">
        <v>5918559.3815410696</v>
      </c>
      <c r="V176" s="5">
        <v>7032466.9171115896</v>
      </c>
      <c r="W176" s="5">
        <v>5331781.6833977504</v>
      </c>
      <c r="X176" s="5">
        <v>36528005.611094996</v>
      </c>
      <c r="Y176" s="5">
        <v>5590322.6843547197</v>
      </c>
      <c r="Z176" s="5">
        <v>6450585.93938288</v>
      </c>
      <c r="AA176" s="5">
        <v>6130540.6624138402</v>
      </c>
      <c r="AB176" s="5">
        <v>5421525.9016577797</v>
      </c>
      <c r="AC176" s="5">
        <v>7202815.3976763301</v>
      </c>
    </row>
    <row r="177" spans="1:29" x14ac:dyDescent="0.45">
      <c r="A177" s="5" t="s">
        <v>305</v>
      </c>
      <c r="B177" s="5">
        <v>28902160.867570199</v>
      </c>
      <c r="C177" s="5">
        <v>50615588.447263502</v>
      </c>
      <c r="D177" s="5">
        <v>22738244.231657799</v>
      </c>
      <c r="E177" s="5">
        <v>23421239.670262098</v>
      </c>
      <c r="F177" s="5">
        <v>19064643.871200901</v>
      </c>
      <c r="G177" s="5">
        <v>22318680.019010302</v>
      </c>
      <c r="H177" s="5">
        <v>21522235.225709401</v>
      </c>
      <c r="I177" s="5">
        <v>44644962.986677699</v>
      </c>
      <c r="J177" s="5">
        <v>23496707.145184301</v>
      </c>
      <c r="K177" s="5">
        <v>9790174.6833980195</v>
      </c>
      <c r="L177" s="5">
        <v>21706726.9152296</v>
      </c>
      <c r="M177" s="5">
        <v>26618211.9109639</v>
      </c>
      <c r="N177" s="5">
        <v>31946982.2475533</v>
      </c>
      <c r="O177" s="5">
        <v>29122588.134809699</v>
      </c>
      <c r="P177" s="5">
        <v>33157491.0265444</v>
      </c>
      <c r="Q177" s="5">
        <v>24971466.0880371</v>
      </c>
      <c r="R177" s="5">
        <v>21574902.243172102</v>
      </c>
      <c r="S177" s="5">
        <v>21958098.752324399</v>
      </c>
      <c r="T177" s="5">
        <v>21704963.651297301</v>
      </c>
      <c r="U177" s="5">
        <v>24069079.223424301</v>
      </c>
      <c r="V177" s="5">
        <v>28925332.085202102</v>
      </c>
      <c r="W177" s="5">
        <v>23785027.7602816</v>
      </c>
      <c r="X177" s="5">
        <v>87477597.416941896</v>
      </c>
      <c r="Y177" s="5">
        <v>27142405.879123401</v>
      </c>
      <c r="Z177" s="5">
        <v>23200618.572057899</v>
      </c>
      <c r="AA177" s="5">
        <v>22363637.059397601</v>
      </c>
      <c r="AB177" s="5">
        <v>24353266.961731099</v>
      </c>
      <c r="AC177" s="5">
        <v>26819118.147708099</v>
      </c>
    </row>
    <row r="178" spans="1:29" x14ac:dyDescent="0.45">
      <c r="A178" s="5" t="s">
        <v>306</v>
      </c>
      <c r="B178" s="5">
        <v>78779513.509389907</v>
      </c>
      <c r="C178" s="5">
        <v>54945296.710041203</v>
      </c>
      <c r="D178" s="5">
        <v>69713466.252969697</v>
      </c>
      <c r="E178" s="5">
        <v>108629264.04133099</v>
      </c>
      <c r="F178" s="5">
        <v>84754350.804235294</v>
      </c>
      <c r="G178" s="5">
        <v>9372560.1780888792</v>
      </c>
      <c r="H178" s="5">
        <v>95438930.747119203</v>
      </c>
      <c r="I178" s="5">
        <v>48558067.828576602</v>
      </c>
      <c r="J178" s="5">
        <v>85543969.497720107</v>
      </c>
      <c r="K178" s="5">
        <v>86941389.021073595</v>
      </c>
      <c r="L178" s="5">
        <v>84195474.965137899</v>
      </c>
      <c r="M178" s="5">
        <v>69061516.447361007</v>
      </c>
      <c r="N178" s="5">
        <v>70393318.481443599</v>
      </c>
      <c r="O178" s="5">
        <v>64802457.195379503</v>
      </c>
      <c r="P178" s="5">
        <v>70984168.799246505</v>
      </c>
      <c r="Q178" s="5">
        <v>73800038.087161005</v>
      </c>
      <c r="R178" s="5">
        <v>85095730.843743205</v>
      </c>
      <c r="S178" s="5">
        <v>85680609.662466794</v>
      </c>
      <c r="T178" s="5">
        <v>105434324.758552</v>
      </c>
      <c r="U178" s="5">
        <v>105606875.78119899</v>
      </c>
      <c r="V178" s="5">
        <v>94552291.257179394</v>
      </c>
      <c r="W178" s="5">
        <v>102058559.686207</v>
      </c>
      <c r="X178" s="5">
        <v>113322732.728825</v>
      </c>
      <c r="Y178" s="5">
        <v>108732636.651943</v>
      </c>
      <c r="Z178" s="5">
        <v>55266747.849698901</v>
      </c>
      <c r="AA178" s="5">
        <v>67846618.686277404</v>
      </c>
      <c r="AB178" s="5">
        <v>78048016.9581763</v>
      </c>
      <c r="AC178" s="5">
        <v>71265068.647226006</v>
      </c>
    </row>
    <row r="179" spans="1:29" x14ac:dyDescent="0.45">
      <c r="A179" s="5" t="s">
        <v>425</v>
      </c>
      <c r="B179" s="5">
        <v>48277478.157013401</v>
      </c>
      <c r="C179" s="5">
        <v>222804645.42307901</v>
      </c>
      <c r="D179" s="5">
        <v>65668139.07124</v>
      </c>
      <c r="E179" s="5">
        <v>58547150.209049299</v>
      </c>
      <c r="F179" s="5">
        <v>43877879.646314502</v>
      </c>
      <c r="G179" s="5">
        <v>182964871.96367601</v>
      </c>
      <c r="H179" s="5">
        <v>61331364.459324002</v>
      </c>
      <c r="I179" s="5">
        <v>359347907.66532099</v>
      </c>
      <c r="J179" s="5">
        <v>62237602.133234903</v>
      </c>
      <c r="K179" s="5">
        <v>20428486.430169601</v>
      </c>
      <c r="L179" s="5">
        <v>46666922.802053504</v>
      </c>
      <c r="M179" s="5">
        <v>168772100.006006</v>
      </c>
      <c r="N179" s="5">
        <v>226812477.76185101</v>
      </c>
      <c r="O179" s="5">
        <v>333699744.379421</v>
      </c>
      <c r="P179" s="5">
        <v>12364550.4573997</v>
      </c>
      <c r="Q179" s="5">
        <v>175667155.75616199</v>
      </c>
      <c r="R179" s="5">
        <v>44620066.399643503</v>
      </c>
      <c r="S179" s="5">
        <v>146489761.754742</v>
      </c>
      <c r="T179" s="5">
        <v>50013541.821530797</v>
      </c>
      <c r="U179" s="5">
        <v>289430046.81229502</v>
      </c>
      <c r="V179" s="5">
        <v>367069268.96639001</v>
      </c>
      <c r="W179" s="5">
        <v>111824548.209767</v>
      </c>
      <c r="X179" s="5">
        <v>188857135.480782</v>
      </c>
      <c r="Y179" s="5">
        <v>153350561.74070799</v>
      </c>
      <c r="Z179" s="5">
        <v>130071694.89666601</v>
      </c>
      <c r="AA179" s="5">
        <v>129438050.77073801</v>
      </c>
      <c r="AB179" s="5">
        <v>133861330.375523</v>
      </c>
      <c r="AC179" s="5">
        <v>134433441.55229399</v>
      </c>
    </row>
    <row r="180" spans="1:29" x14ac:dyDescent="0.45">
      <c r="A180" s="5" t="s">
        <v>307</v>
      </c>
      <c r="B180" s="5">
        <v>3766074.0389926801</v>
      </c>
      <c r="C180" s="5">
        <v>4932139.9810538804</v>
      </c>
      <c r="D180" s="5">
        <v>5340740.3450170504</v>
      </c>
      <c r="E180" s="5">
        <v>5695926.6083714897</v>
      </c>
      <c r="F180" s="5">
        <v>5668680.0449409904</v>
      </c>
      <c r="G180" s="5">
        <v>5625840.4532597698</v>
      </c>
      <c r="H180" s="5">
        <v>13095689.371122001</v>
      </c>
      <c r="I180" s="5">
        <v>12227168.5982391</v>
      </c>
      <c r="J180" s="5">
        <v>11101519.752019599</v>
      </c>
      <c r="K180" s="5">
        <v>27909094.058666602</v>
      </c>
      <c r="L180" s="5">
        <v>17263305.6186237</v>
      </c>
      <c r="M180" s="5">
        <v>17410651.498626102</v>
      </c>
      <c r="N180" s="5">
        <v>8533543.5164050702</v>
      </c>
      <c r="O180" s="5">
        <v>10689008.50172</v>
      </c>
      <c r="P180" s="5">
        <v>11289897.4468241</v>
      </c>
      <c r="Q180" s="5">
        <v>2666038.2905991799</v>
      </c>
      <c r="R180" s="5">
        <v>5800402.7145546796</v>
      </c>
      <c r="S180" s="5">
        <v>2690147.57863008</v>
      </c>
      <c r="T180" s="5">
        <v>6785153.8799008504</v>
      </c>
      <c r="U180" s="5">
        <v>5750987.6149920104</v>
      </c>
      <c r="V180" s="5">
        <v>5479465.6360427402</v>
      </c>
      <c r="W180" s="5">
        <v>10305203.6190784</v>
      </c>
      <c r="X180" s="5">
        <v>224796706.710471</v>
      </c>
      <c r="Y180" s="5">
        <v>17169624.677200601</v>
      </c>
      <c r="Z180" s="5">
        <v>7467228.7867183201</v>
      </c>
      <c r="AA180" s="5">
        <v>7904044.3162984597</v>
      </c>
      <c r="AB180" s="5">
        <v>7853210.2594623901</v>
      </c>
      <c r="AC180" s="5">
        <v>8962606.0259697996</v>
      </c>
    </row>
    <row r="181" spans="1:29" x14ac:dyDescent="0.45">
      <c r="A181" s="5" t="s">
        <v>376</v>
      </c>
      <c r="B181" s="5">
        <v>664947978.43935001</v>
      </c>
      <c r="C181" s="5">
        <v>405835358.01275897</v>
      </c>
      <c r="D181" s="5">
        <v>1230544834.05198</v>
      </c>
      <c r="E181" s="5">
        <v>1125268664.22772</v>
      </c>
      <c r="F181" s="5">
        <v>1434341744.08763</v>
      </c>
      <c r="G181" s="5">
        <v>736264850.14517498</v>
      </c>
      <c r="H181" s="5">
        <v>739023658.364972</v>
      </c>
      <c r="I181" s="5">
        <v>3795782498.58815</v>
      </c>
      <c r="J181" s="5">
        <v>2158197532.6511998</v>
      </c>
      <c r="K181" s="5">
        <v>1365559286.07883</v>
      </c>
      <c r="L181" s="5">
        <v>1563000718.1986899</v>
      </c>
      <c r="M181" s="5">
        <v>493861321.77799302</v>
      </c>
      <c r="N181" s="5">
        <v>860324118.98116803</v>
      </c>
      <c r="O181" s="5">
        <v>1524528716.0371301</v>
      </c>
      <c r="P181" s="5">
        <v>2602205857.9920702</v>
      </c>
      <c r="Q181" s="5">
        <v>526048598.79106098</v>
      </c>
      <c r="R181" s="5">
        <v>1864701271.68959</v>
      </c>
      <c r="S181" s="5">
        <v>805743383.10537601</v>
      </c>
      <c r="T181" s="5">
        <v>1050809698.39697</v>
      </c>
      <c r="U181" s="5">
        <v>752440187.37482297</v>
      </c>
      <c r="V181" s="5">
        <v>727714144.78704405</v>
      </c>
      <c r="W181" s="5">
        <v>1247104353.5999401</v>
      </c>
      <c r="X181" s="5">
        <v>3610153993.7079501</v>
      </c>
      <c r="Y181" s="5">
        <v>856832483.05674696</v>
      </c>
      <c r="Z181" s="5">
        <v>1030993391.15185</v>
      </c>
      <c r="AA181" s="5">
        <v>1065830309.35707</v>
      </c>
      <c r="AB181" s="5">
        <v>1001472878.3833801</v>
      </c>
      <c r="AC181" s="5">
        <v>1063385280.18619</v>
      </c>
    </row>
    <row r="182" spans="1:29" x14ac:dyDescent="0.45">
      <c r="A182" s="5" t="s">
        <v>175</v>
      </c>
      <c r="B182" s="5">
        <v>12281056.8425992</v>
      </c>
      <c r="C182" s="5">
        <v>1605114.94357943</v>
      </c>
      <c r="D182" s="5">
        <v>13216758.807893099</v>
      </c>
      <c r="E182" s="5">
        <v>13182144.485037901</v>
      </c>
      <c r="F182" s="5">
        <v>15379939.9945536</v>
      </c>
      <c r="G182" s="5">
        <v>22657651.143859301</v>
      </c>
      <c r="H182" s="5">
        <v>59215341.118159801</v>
      </c>
      <c r="I182" s="5">
        <v>174698217.61693099</v>
      </c>
      <c r="J182" s="5">
        <v>66153587.490661502</v>
      </c>
      <c r="K182" s="5">
        <v>135241948.85846099</v>
      </c>
      <c r="L182" s="5">
        <v>21689210.9567587</v>
      </c>
      <c r="M182" s="5">
        <v>25053164.308059201</v>
      </c>
      <c r="N182" s="5">
        <v>27042850.407362599</v>
      </c>
      <c r="O182" s="5">
        <v>12758237.456131199</v>
      </c>
      <c r="P182" s="5">
        <v>30220319.8544758</v>
      </c>
      <c r="Q182" s="5">
        <v>17974538.366494998</v>
      </c>
      <c r="R182" s="5">
        <v>126318347.641875</v>
      </c>
      <c r="S182" s="5">
        <v>56151533.579249002</v>
      </c>
      <c r="T182" s="5">
        <v>61674514.739670902</v>
      </c>
      <c r="U182" s="5">
        <v>60101928.676213101</v>
      </c>
      <c r="V182" s="5">
        <v>2819995.89264079</v>
      </c>
      <c r="W182" s="5">
        <v>26307391.012701102</v>
      </c>
      <c r="X182" s="5">
        <v>79202665.477125898</v>
      </c>
      <c r="Y182" s="5">
        <v>3172897.5173837501</v>
      </c>
      <c r="Z182" s="5">
        <v>26053006.539044399</v>
      </c>
      <c r="AA182" s="5">
        <v>26477379.62855</v>
      </c>
      <c r="AB182" s="5">
        <v>25505378.897932101</v>
      </c>
      <c r="AC182" s="5">
        <v>27395739.546744801</v>
      </c>
    </row>
    <row r="183" spans="1:29" x14ac:dyDescent="0.45">
      <c r="A183" s="5" t="s">
        <v>176</v>
      </c>
      <c r="B183" s="5">
        <v>4720024.1133698998</v>
      </c>
      <c r="C183" s="5">
        <v>3596618.6473876</v>
      </c>
      <c r="D183" s="5">
        <v>11228533.218709299</v>
      </c>
      <c r="E183" s="5">
        <v>4038553.7139676102</v>
      </c>
      <c r="F183" s="5">
        <v>8056689.2493004799</v>
      </c>
      <c r="G183" s="5">
        <v>2544599.4104837398</v>
      </c>
      <c r="H183" s="5">
        <v>2982384.07713942</v>
      </c>
      <c r="I183" s="5">
        <v>14241328.844831301</v>
      </c>
      <c r="J183" s="5">
        <v>7626721.9925543005</v>
      </c>
      <c r="K183" s="5">
        <v>13097066.3669455</v>
      </c>
      <c r="L183" s="5">
        <v>13194465.0329214</v>
      </c>
      <c r="M183" s="5">
        <v>5309702.9731366504</v>
      </c>
      <c r="N183" s="5">
        <v>2974633.93655458</v>
      </c>
      <c r="O183" s="5">
        <v>3366465.18489228</v>
      </c>
      <c r="P183" s="5">
        <v>5528179.0705726296</v>
      </c>
      <c r="Q183" s="5">
        <v>7022804.7979768096</v>
      </c>
      <c r="R183" s="5">
        <v>6778257.0030025998</v>
      </c>
      <c r="S183" s="5">
        <v>7596537.9342742702</v>
      </c>
      <c r="T183" s="5">
        <v>6607294.0867914101</v>
      </c>
      <c r="U183" s="5">
        <v>3145639.1256243298</v>
      </c>
      <c r="V183" s="5">
        <v>3814302.74208734</v>
      </c>
      <c r="W183" s="5">
        <v>5356151.5624987297</v>
      </c>
      <c r="X183" s="5">
        <v>22113060.1938252</v>
      </c>
      <c r="Y183" s="5">
        <v>4251525.3938470604</v>
      </c>
      <c r="Z183" s="5">
        <v>5009050.6934749102</v>
      </c>
      <c r="AA183" s="5">
        <v>5722868.5980873602</v>
      </c>
      <c r="AB183" s="5">
        <v>5986366.0225296495</v>
      </c>
      <c r="AC183" s="5">
        <v>5757059.3155424902</v>
      </c>
    </row>
    <row r="184" spans="1:29" x14ac:dyDescent="0.45">
      <c r="A184" s="5" t="s">
        <v>177</v>
      </c>
      <c r="B184" s="5">
        <v>6401331.3916467801</v>
      </c>
      <c r="C184" s="5">
        <v>4639770.84851244</v>
      </c>
      <c r="D184" s="5">
        <v>7162491.5719584301</v>
      </c>
      <c r="E184" s="5">
        <v>9849641.6337797996</v>
      </c>
      <c r="F184" s="5">
        <v>9553276.9021854997</v>
      </c>
      <c r="G184" s="5">
        <v>7465505.6385201504</v>
      </c>
      <c r="H184" s="5">
        <v>6508287.1446658801</v>
      </c>
      <c r="I184" s="5">
        <v>6824579.7155116098</v>
      </c>
      <c r="J184" s="5">
        <v>6212178.82040051</v>
      </c>
      <c r="K184" s="5">
        <v>6625662.8981637601</v>
      </c>
      <c r="L184" s="5">
        <v>6649525.1713939896</v>
      </c>
      <c r="M184" s="5">
        <v>190048.65028480301</v>
      </c>
      <c r="N184" s="5">
        <v>603914.25820307794</v>
      </c>
      <c r="O184" s="5">
        <v>1145731.77357285</v>
      </c>
      <c r="P184" s="5">
        <v>1518529.42430728</v>
      </c>
      <c r="Q184" s="5">
        <v>5934947.7707985304</v>
      </c>
      <c r="R184" s="5">
        <v>7753437.8834491698</v>
      </c>
      <c r="S184" s="5">
        <v>8037917.5165531496</v>
      </c>
      <c r="T184" s="5">
        <v>9589547.5545529593</v>
      </c>
      <c r="U184" s="5">
        <v>8496666.3966736607</v>
      </c>
      <c r="V184" s="5">
        <v>6754038.5296302196</v>
      </c>
      <c r="W184" s="5">
        <v>7474824.0152229099</v>
      </c>
      <c r="X184" s="5">
        <v>5591701.9787296802</v>
      </c>
      <c r="Y184" s="5">
        <v>8253962.5839533703</v>
      </c>
      <c r="Z184" s="5">
        <v>4604474.8193835104</v>
      </c>
      <c r="AA184" s="5">
        <v>5815309.0047899801</v>
      </c>
      <c r="AB184" s="5">
        <v>5096915.9965628898</v>
      </c>
      <c r="AC184" s="5">
        <v>5426140.3456365904</v>
      </c>
    </row>
    <row r="185" spans="1:29" x14ac:dyDescent="0.45">
      <c r="A185" s="5" t="s">
        <v>178</v>
      </c>
      <c r="B185" s="5">
        <v>184369808.266379</v>
      </c>
      <c r="C185" s="5">
        <v>140549231.664343</v>
      </c>
      <c r="D185" s="5">
        <v>161385578.04469401</v>
      </c>
      <c r="E185" s="5">
        <v>168141345.717767</v>
      </c>
      <c r="F185" s="5">
        <v>153110725.84553599</v>
      </c>
      <c r="G185" s="5">
        <v>157641959.85435599</v>
      </c>
      <c r="H185" s="5">
        <v>163570342.13882899</v>
      </c>
      <c r="I185" s="5">
        <v>80573123.818982303</v>
      </c>
      <c r="J185" s="5">
        <v>134021497.252232</v>
      </c>
      <c r="K185" s="5">
        <v>200000213.49884501</v>
      </c>
      <c r="L185" s="5">
        <v>161297100.26858699</v>
      </c>
      <c r="M185" s="5">
        <v>147199191.75323901</v>
      </c>
      <c r="N185" s="5">
        <v>191025776.89340699</v>
      </c>
      <c r="O185" s="5">
        <v>138199029.13833299</v>
      </c>
      <c r="P185" s="5">
        <v>137342279.283858</v>
      </c>
      <c r="Q185" s="5">
        <v>137815410.31477401</v>
      </c>
      <c r="R185" s="5">
        <v>178070005.61118701</v>
      </c>
      <c r="S185" s="5">
        <v>155906709.20197999</v>
      </c>
      <c r="T185" s="5">
        <v>177512611.34185001</v>
      </c>
      <c r="U185" s="5">
        <v>175056967.27597001</v>
      </c>
      <c r="V185" s="5">
        <v>182296905.20875999</v>
      </c>
      <c r="W185" s="5">
        <v>184954593.825142</v>
      </c>
      <c r="X185" s="5">
        <v>180971707.17431101</v>
      </c>
      <c r="Y185" s="5">
        <v>165093726.10951099</v>
      </c>
      <c r="Z185" s="5">
        <v>130108294.966195</v>
      </c>
      <c r="AA185" s="5">
        <v>175368026.11746699</v>
      </c>
      <c r="AB185" s="5">
        <v>134271287.599296</v>
      </c>
      <c r="AC185" s="5">
        <v>168796500.78019801</v>
      </c>
    </row>
    <row r="186" spans="1:29" x14ac:dyDescent="0.45">
      <c r="A186" s="5" t="s">
        <v>192</v>
      </c>
      <c r="B186" s="5">
        <v>195409905.096302</v>
      </c>
      <c r="C186" s="5">
        <v>109619179.182256</v>
      </c>
      <c r="D186" s="5">
        <v>165538873.56452301</v>
      </c>
      <c r="E186" s="5">
        <v>228720677.99093899</v>
      </c>
      <c r="F186" s="5">
        <v>209718944.053729</v>
      </c>
      <c r="G186" s="5">
        <v>159556360.195759</v>
      </c>
      <c r="H186" s="5">
        <v>152908805.462928</v>
      </c>
      <c r="I186" s="5">
        <v>140558175.126436</v>
      </c>
      <c r="J186" s="5">
        <v>168839867.30197799</v>
      </c>
      <c r="K186" s="5">
        <v>207943202.60781601</v>
      </c>
      <c r="L186" s="5">
        <v>162659763.46844199</v>
      </c>
      <c r="M186" s="5">
        <v>174141131.692112</v>
      </c>
      <c r="N186" s="5">
        <v>189029709.58415499</v>
      </c>
      <c r="O186" s="5">
        <v>191155150.05446199</v>
      </c>
      <c r="P186" s="5">
        <v>214456579.176763</v>
      </c>
      <c r="Q186" s="5">
        <v>106413181.84417599</v>
      </c>
      <c r="R186" s="5">
        <v>224559344.142221</v>
      </c>
      <c r="S186" s="5">
        <v>140777139.26870599</v>
      </c>
      <c r="T186" s="5">
        <v>201122962.84268799</v>
      </c>
      <c r="U186" s="5">
        <v>193695960.91310501</v>
      </c>
      <c r="V186" s="5">
        <v>168542812.554607</v>
      </c>
      <c r="W186" s="5">
        <v>174547602.33497</v>
      </c>
      <c r="X186" s="5">
        <v>66436487.450291798</v>
      </c>
      <c r="Y186" s="5">
        <v>190274467.922739</v>
      </c>
      <c r="Z186" s="5">
        <v>141596251.033122</v>
      </c>
      <c r="AA186" s="5">
        <v>150548990.34525999</v>
      </c>
      <c r="AB186" s="5">
        <v>144218266.341097</v>
      </c>
      <c r="AC186" s="5">
        <v>151447836.83209899</v>
      </c>
    </row>
    <row r="187" spans="1:29" x14ac:dyDescent="0.45">
      <c r="A187" s="5" t="s">
        <v>193</v>
      </c>
      <c r="B187" s="5">
        <v>16127792.885465</v>
      </c>
      <c r="C187" s="5">
        <v>10560106.603828199</v>
      </c>
      <c r="D187" s="5">
        <v>14114997.0310349</v>
      </c>
      <c r="E187" s="5">
        <v>19854080.496965699</v>
      </c>
      <c r="F187" s="5">
        <v>20175910.498609301</v>
      </c>
      <c r="G187" s="5">
        <v>15533125.7607008</v>
      </c>
      <c r="H187" s="5">
        <v>16764733.894367101</v>
      </c>
      <c r="I187" s="5">
        <v>15307073.595685</v>
      </c>
      <c r="J187" s="5">
        <v>18229612.559081499</v>
      </c>
      <c r="K187" s="5">
        <v>24920961.534260198</v>
      </c>
      <c r="L187" s="5">
        <v>16734462.2607545</v>
      </c>
      <c r="M187" s="5">
        <v>17758316.157820001</v>
      </c>
      <c r="N187" s="5">
        <v>17049135.616902798</v>
      </c>
      <c r="O187" s="5">
        <v>14072676.0722262</v>
      </c>
      <c r="P187" s="5">
        <v>18893926.1751667</v>
      </c>
      <c r="Q187" s="5">
        <v>10786957.9226145</v>
      </c>
      <c r="R187" s="5">
        <v>23469134.220622402</v>
      </c>
      <c r="S187" s="5">
        <v>13063214.704597199</v>
      </c>
      <c r="T187" s="5">
        <v>20935153.332268301</v>
      </c>
      <c r="U187" s="5">
        <v>21184078.905081902</v>
      </c>
      <c r="V187" s="5">
        <v>17461946.677544899</v>
      </c>
      <c r="W187" s="5">
        <v>18205567.505229</v>
      </c>
      <c r="X187" s="5">
        <v>9957880.1021133997</v>
      </c>
      <c r="Y187" s="5">
        <v>20276065.723441601</v>
      </c>
      <c r="Z187" s="5">
        <v>13547367.431168601</v>
      </c>
      <c r="AA187" s="5">
        <v>14294975.676446799</v>
      </c>
      <c r="AB187" s="5">
        <v>14667237.746172899</v>
      </c>
      <c r="AC187" s="5">
        <v>14745505.810425701</v>
      </c>
    </row>
    <row r="188" spans="1:29" x14ac:dyDescent="0.45">
      <c r="A188" s="5" t="s">
        <v>349</v>
      </c>
      <c r="B188" s="5">
        <v>20129346.115459099</v>
      </c>
      <c r="C188" s="5">
        <v>9410551.2455712594</v>
      </c>
      <c r="D188" s="5">
        <v>5240166.91561832</v>
      </c>
      <c r="E188" s="5">
        <v>3670010.7008867799</v>
      </c>
      <c r="F188" s="5">
        <v>7149972.3001325903</v>
      </c>
      <c r="G188" s="5">
        <v>8513060.2513088305</v>
      </c>
      <c r="H188" s="5">
        <v>5304752.3619248401</v>
      </c>
      <c r="I188" s="5">
        <v>13968701.017306199</v>
      </c>
      <c r="J188" s="5">
        <v>6972551.1395298</v>
      </c>
      <c r="K188" s="5">
        <v>50274589.732208103</v>
      </c>
      <c r="L188" s="5">
        <v>2300167.8081825902</v>
      </c>
      <c r="M188" s="5">
        <v>4068866.49746519</v>
      </c>
      <c r="N188" s="5">
        <v>5154589.3132247198</v>
      </c>
      <c r="O188" s="5">
        <v>15041104.267035</v>
      </c>
      <c r="P188" s="5">
        <v>8085820.5166964903</v>
      </c>
      <c r="Q188" s="5">
        <v>4124175.70111633</v>
      </c>
      <c r="R188" s="5">
        <v>3161846.1352993101</v>
      </c>
      <c r="S188" s="5">
        <v>11078394.6527714</v>
      </c>
      <c r="T188" s="5">
        <v>4117944.4057274</v>
      </c>
      <c r="U188" s="5">
        <v>20048355.995803598</v>
      </c>
      <c r="V188" s="5">
        <v>5765625.28115605</v>
      </c>
      <c r="W188" s="5">
        <v>4840289.59342534</v>
      </c>
      <c r="X188" s="5">
        <v>8995961.3205239307</v>
      </c>
      <c r="Y188" s="5">
        <v>7611195.4912201697</v>
      </c>
      <c r="Z188" s="5">
        <v>10957355.9852772</v>
      </c>
      <c r="AA188" s="5">
        <v>10087321.046110401</v>
      </c>
      <c r="AB188" s="5">
        <v>11841886.0214947</v>
      </c>
      <c r="AC188" s="5">
        <v>11967781.7179332</v>
      </c>
    </row>
    <row r="189" spans="1:29" x14ac:dyDescent="0.45">
      <c r="A189" s="5" t="s">
        <v>371</v>
      </c>
      <c r="B189" s="5">
        <v>26266545.0187327</v>
      </c>
      <c r="C189" s="5">
        <v>12156761.6848075</v>
      </c>
      <c r="D189" s="5">
        <v>6790475.2726996597</v>
      </c>
      <c r="E189" s="5">
        <v>27968242.586716801</v>
      </c>
      <c r="F189" s="5">
        <v>46344948.636983797</v>
      </c>
      <c r="G189" s="5">
        <v>18396076.426036</v>
      </c>
      <c r="H189" s="5">
        <v>18202590.456617098</v>
      </c>
      <c r="I189" s="5">
        <v>38915290.567065001</v>
      </c>
      <c r="J189" s="5">
        <v>40957598.8557714</v>
      </c>
      <c r="K189" s="5">
        <v>21869718.1838172</v>
      </c>
      <c r="L189" s="5">
        <v>31645786.858437501</v>
      </c>
      <c r="M189" s="5">
        <v>13311696.10715</v>
      </c>
      <c r="N189" s="5">
        <v>4477422.8904043101</v>
      </c>
      <c r="O189" s="5">
        <v>9796457.8582376298</v>
      </c>
      <c r="P189" s="5">
        <v>32980637.559603602</v>
      </c>
      <c r="Q189" s="5">
        <v>4048314.65114123</v>
      </c>
      <c r="R189" s="5">
        <v>16427870.404381899</v>
      </c>
      <c r="S189" s="5">
        <v>18853917.346201699</v>
      </c>
      <c r="T189" s="5">
        <v>27789363.1397052</v>
      </c>
      <c r="U189" s="5">
        <v>18207686.6694226</v>
      </c>
      <c r="V189" s="5">
        <v>14168712.748119</v>
      </c>
      <c r="W189" s="5">
        <v>8444557.1808985099</v>
      </c>
      <c r="X189" s="5">
        <v>252351587.133165</v>
      </c>
      <c r="Y189" s="5">
        <v>20848883.318568699</v>
      </c>
      <c r="Z189" s="5">
        <v>23674569.9375985</v>
      </c>
      <c r="AA189" s="5">
        <v>21172239.6395455</v>
      </c>
      <c r="AB189" s="5">
        <v>22755242.471526299</v>
      </c>
      <c r="AC189" s="5">
        <v>21827084.315113299</v>
      </c>
    </row>
    <row r="190" spans="1:29" x14ac:dyDescent="0.45">
      <c r="A190" s="5" t="s">
        <v>310</v>
      </c>
      <c r="B190" s="5">
        <v>57147832.688796997</v>
      </c>
      <c r="C190" s="5">
        <v>34697463.220349804</v>
      </c>
      <c r="D190" s="5">
        <v>79031528.688745707</v>
      </c>
      <c r="E190" s="5">
        <v>46003334.330472201</v>
      </c>
      <c r="F190" s="5">
        <v>48695490.5991427</v>
      </c>
      <c r="G190" s="5">
        <v>37003907.189394102</v>
      </c>
      <c r="H190" s="5">
        <v>16488334.869826799</v>
      </c>
      <c r="I190" s="5">
        <v>46277460.665263802</v>
      </c>
      <c r="J190" s="5">
        <v>66556161.691037901</v>
      </c>
      <c r="K190" s="5">
        <v>29941195.524545699</v>
      </c>
      <c r="L190" s="5">
        <v>51983752.859848797</v>
      </c>
      <c r="M190" s="5">
        <v>19901018.697271202</v>
      </c>
      <c r="N190" s="5">
        <v>13264319.0781992</v>
      </c>
      <c r="O190" s="5">
        <v>26151560.124223299</v>
      </c>
      <c r="P190" s="5">
        <v>41318894.173501499</v>
      </c>
      <c r="Q190" s="5">
        <v>14184228.4771732</v>
      </c>
      <c r="R190" s="5">
        <v>61398376.407896601</v>
      </c>
      <c r="S190" s="5">
        <v>30696896.6138325</v>
      </c>
      <c r="T190" s="5">
        <v>46116343.223401099</v>
      </c>
      <c r="U190" s="5">
        <v>19844893.645846099</v>
      </c>
      <c r="V190" s="5">
        <v>16779973.241978999</v>
      </c>
      <c r="W190" s="5">
        <v>26744704.6519127</v>
      </c>
      <c r="X190" s="5">
        <v>91527865.095997304</v>
      </c>
      <c r="Y190" s="5">
        <v>30351815.9921625</v>
      </c>
      <c r="Z190" s="5">
        <v>35949016.564343899</v>
      </c>
      <c r="AA190" s="5">
        <v>36435585.010361798</v>
      </c>
      <c r="AB190" s="5">
        <v>37473987.729749501</v>
      </c>
      <c r="AC190" s="5">
        <v>36773377.307431698</v>
      </c>
    </row>
    <row r="191" spans="1:29" x14ac:dyDescent="0.45">
      <c r="A191" s="5" t="s">
        <v>194</v>
      </c>
      <c r="B191" s="5">
        <v>6116642.08334048</v>
      </c>
      <c r="C191" s="5">
        <v>6022485.0790539701</v>
      </c>
      <c r="D191" s="5">
        <v>7334026.2956736302</v>
      </c>
      <c r="E191" s="5">
        <v>4904075.2330302903</v>
      </c>
      <c r="F191" s="5">
        <v>2603457.7747379802</v>
      </c>
      <c r="G191" s="5">
        <v>5344140.1788189402</v>
      </c>
      <c r="H191" s="5">
        <v>8159111.6870305296</v>
      </c>
      <c r="I191" s="5">
        <v>1675495.6355852601</v>
      </c>
      <c r="J191" s="5">
        <v>2167050.76542866</v>
      </c>
      <c r="K191" s="5">
        <v>1429598.6854233099</v>
      </c>
      <c r="L191" s="5">
        <v>1352931.4854051101</v>
      </c>
      <c r="M191" s="5">
        <v>4277123.8867404703</v>
      </c>
      <c r="N191" s="5">
        <v>6892243.4510985604</v>
      </c>
      <c r="O191" s="5">
        <v>1616976.1283782399</v>
      </c>
      <c r="P191" s="5">
        <v>7523466.02576885</v>
      </c>
      <c r="Q191" s="5">
        <v>796812.29476468498</v>
      </c>
      <c r="R191" s="5">
        <v>1237302.7050904101</v>
      </c>
      <c r="S191" s="5">
        <v>659641.93371332204</v>
      </c>
      <c r="T191" s="5">
        <v>841027.83123963501</v>
      </c>
      <c r="U191" s="5">
        <v>768052.39890833199</v>
      </c>
      <c r="V191" s="5">
        <v>382639.22391816101</v>
      </c>
      <c r="W191" s="5">
        <v>960898.27091417497</v>
      </c>
      <c r="X191" s="5">
        <v>401633.06983710802</v>
      </c>
      <c r="Y191" s="5">
        <v>1508739.6014117301</v>
      </c>
      <c r="Z191" s="5">
        <v>3209337.2707909299</v>
      </c>
      <c r="AA191" s="5">
        <v>3267560.7381415898</v>
      </c>
      <c r="AB191" s="5">
        <v>2941286.5741925598</v>
      </c>
      <c r="AC191" s="5">
        <v>3302199.4513330399</v>
      </c>
    </row>
    <row r="192" spans="1:29" x14ac:dyDescent="0.45">
      <c r="A192" s="5" t="s">
        <v>195</v>
      </c>
      <c r="B192" s="5">
        <v>286540102.85854501</v>
      </c>
      <c r="C192" s="5">
        <v>1106559457.3058701</v>
      </c>
      <c r="D192" s="5">
        <v>745511660.48489702</v>
      </c>
      <c r="E192" s="5">
        <v>390208484.59838802</v>
      </c>
      <c r="F192" s="5">
        <v>285241962.30868399</v>
      </c>
      <c r="G192" s="5">
        <v>615447904.18868899</v>
      </c>
      <c r="H192" s="5">
        <v>653748158.35858905</v>
      </c>
      <c r="I192" s="5">
        <v>724932073.12158704</v>
      </c>
      <c r="J192" s="5">
        <v>449194626.846044</v>
      </c>
      <c r="K192" s="5">
        <v>722603914.19437003</v>
      </c>
      <c r="L192" s="5">
        <v>360628090.93322402</v>
      </c>
      <c r="M192" s="5">
        <v>1019338106.6660399</v>
      </c>
      <c r="N192" s="5">
        <v>2073477961.6156299</v>
      </c>
      <c r="O192" s="5">
        <v>2377250735.1670198</v>
      </c>
      <c r="P192" s="5">
        <v>904327463.92640698</v>
      </c>
      <c r="Q192" s="5">
        <v>1668678833.5962901</v>
      </c>
      <c r="R192" s="5">
        <v>421957930.38087797</v>
      </c>
      <c r="S192" s="5">
        <v>983281223.09215701</v>
      </c>
      <c r="T192" s="5">
        <v>441183695.31429797</v>
      </c>
      <c r="U192" s="5">
        <v>949186583.55809498</v>
      </c>
      <c r="V192" s="5">
        <v>2008231344.1487501</v>
      </c>
      <c r="W192" s="5">
        <v>745756644.42683697</v>
      </c>
      <c r="X192" s="5">
        <v>1128223073.9699199</v>
      </c>
      <c r="Y192" s="5">
        <v>486235011.01039702</v>
      </c>
      <c r="Z192" s="5">
        <v>870219399.38962197</v>
      </c>
      <c r="AA192" s="5">
        <v>880412558.72922695</v>
      </c>
      <c r="AB192" s="5">
        <v>894332291.41819596</v>
      </c>
      <c r="AC192" s="5">
        <v>902631204.83542395</v>
      </c>
    </row>
    <row r="193" spans="1:29" x14ac:dyDescent="0.45">
      <c r="A193" s="5" t="s">
        <v>196</v>
      </c>
      <c r="B193" s="5">
        <v>100832491.856902</v>
      </c>
      <c r="C193" s="5">
        <v>177137745.088624</v>
      </c>
      <c r="D193" s="5">
        <v>220318753.44200301</v>
      </c>
      <c r="E193" s="5">
        <v>152896989.02526399</v>
      </c>
      <c r="F193" s="5">
        <v>233513935.089178</v>
      </c>
      <c r="G193" s="5">
        <v>189573696.45427001</v>
      </c>
      <c r="H193" s="5">
        <v>165641917.44839799</v>
      </c>
      <c r="I193" s="5">
        <v>3186327805.6374202</v>
      </c>
      <c r="J193" s="5">
        <v>649595275.82204497</v>
      </c>
      <c r="K193" s="5">
        <v>320502014.13588202</v>
      </c>
      <c r="L193" s="5">
        <v>207226710.033014</v>
      </c>
      <c r="M193" s="5">
        <v>153685217.58555299</v>
      </c>
      <c r="N193" s="5">
        <v>255094220.903254</v>
      </c>
      <c r="O193" s="5">
        <v>322200447.86929798</v>
      </c>
      <c r="P193" s="5">
        <v>211549449.694204</v>
      </c>
      <c r="Q193" s="5">
        <v>146926484.205634</v>
      </c>
      <c r="R193" s="5">
        <v>252047994.587522</v>
      </c>
      <c r="S193" s="5">
        <v>179218121.458453</v>
      </c>
      <c r="T193" s="5">
        <v>152431385.85892299</v>
      </c>
      <c r="U193" s="5">
        <v>232114422.03844899</v>
      </c>
      <c r="V193" s="5">
        <v>320897333.34973103</v>
      </c>
      <c r="W193" s="5">
        <v>158596935.50338599</v>
      </c>
      <c r="X193" s="5">
        <v>1336177538.64853</v>
      </c>
      <c r="Y193" s="5">
        <v>151046148.10069901</v>
      </c>
      <c r="Z193" s="5">
        <v>257730248.76266599</v>
      </c>
      <c r="AA193" s="5">
        <v>263511751.60451701</v>
      </c>
      <c r="AB193" s="5">
        <v>263438863.06137699</v>
      </c>
      <c r="AC193" s="5">
        <v>272037852.97864199</v>
      </c>
    </row>
    <row r="194" spans="1:29" x14ac:dyDescent="0.45">
      <c r="A194" s="5" t="s">
        <v>437</v>
      </c>
      <c r="B194" s="5">
        <v>8145468.4462890299</v>
      </c>
      <c r="C194" s="5">
        <v>25804273.4985887</v>
      </c>
      <c r="D194" s="5">
        <v>25951387.565994799</v>
      </c>
      <c r="E194" s="5">
        <v>8580714.6372225694</v>
      </c>
      <c r="F194" s="5">
        <v>14581771.9066831</v>
      </c>
      <c r="G194" s="5">
        <v>7617214.5085301101</v>
      </c>
      <c r="H194" s="5">
        <v>26366268.2160285</v>
      </c>
      <c r="I194" s="5">
        <v>27849748.757758301</v>
      </c>
      <c r="J194" s="5">
        <v>9519300.0383779798</v>
      </c>
      <c r="K194" s="5">
        <v>8689063.2510209996</v>
      </c>
      <c r="L194" s="5">
        <v>26667254.3914035</v>
      </c>
      <c r="M194" s="5">
        <v>16793664.652787302</v>
      </c>
      <c r="N194" s="5">
        <v>6160058.4742031796</v>
      </c>
      <c r="O194" s="5">
        <v>20786888.946605299</v>
      </c>
      <c r="P194" s="5">
        <v>20485543.400637299</v>
      </c>
      <c r="Q194" s="5">
        <v>21019174.740026601</v>
      </c>
      <c r="R194" s="5">
        <v>24751912.9124429</v>
      </c>
      <c r="S194" s="5">
        <v>28310414.258478999</v>
      </c>
      <c r="T194" s="5">
        <v>13993201.3992987</v>
      </c>
      <c r="U194" s="5">
        <v>30045551.562434401</v>
      </c>
      <c r="V194" s="5">
        <v>26201001.848615699</v>
      </c>
      <c r="W194" s="5">
        <v>27390826.2153273</v>
      </c>
      <c r="X194" s="5">
        <v>39003575.802623697</v>
      </c>
      <c r="Y194" s="5">
        <v>7442810.0232253503</v>
      </c>
      <c r="Z194" s="5">
        <v>21694443.017327901</v>
      </c>
      <c r="AA194" s="5">
        <v>15879988.387305399</v>
      </c>
      <c r="AB194" s="5">
        <v>23745673.585934199</v>
      </c>
      <c r="AC194" s="5">
        <v>23969063.8021187</v>
      </c>
    </row>
    <row r="195" spans="1:29" x14ac:dyDescent="0.45">
      <c r="A195" s="5" t="s">
        <v>197</v>
      </c>
      <c r="B195" s="5">
        <v>236214.21541223201</v>
      </c>
      <c r="C195" s="5">
        <v>231181.74863878699</v>
      </c>
      <c r="D195" s="5">
        <v>213979.661957648</v>
      </c>
      <c r="E195" s="5">
        <v>284151.47888433299</v>
      </c>
      <c r="F195" s="5">
        <v>287459.99068405799</v>
      </c>
      <c r="G195" s="5">
        <v>236262.901606895</v>
      </c>
      <c r="H195" s="5">
        <v>385069.41555042902</v>
      </c>
      <c r="I195" s="5">
        <v>747394.11049753195</v>
      </c>
      <c r="J195" s="5">
        <v>431007.03511324601</v>
      </c>
      <c r="K195" s="5">
        <v>611461.448925882</v>
      </c>
      <c r="L195" s="5">
        <v>325342.72436311498</v>
      </c>
      <c r="M195" s="5">
        <v>305017.31229262601</v>
      </c>
      <c r="N195" s="5">
        <v>193594.95036985099</v>
      </c>
      <c r="O195" s="5">
        <v>291134.49512261298</v>
      </c>
      <c r="P195" s="5">
        <v>323462.93046092498</v>
      </c>
      <c r="Q195" s="5">
        <v>234180.31022999401</v>
      </c>
      <c r="R195" s="5">
        <v>242799.484113304</v>
      </c>
      <c r="S195" s="5">
        <v>295240.60831464001</v>
      </c>
      <c r="T195" s="5">
        <v>398119.24305752403</v>
      </c>
      <c r="U195" s="5">
        <v>260251.36476968101</v>
      </c>
      <c r="V195" s="5">
        <v>354093.54922853602</v>
      </c>
      <c r="W195" s="5">
        <v>450494.45505997603</v>
      </c>
      <c r="X195" s="5">
        <v>421362.72984052403</v>
      </c>
      <c r="Y195" s="5">
        <v>314464.06771147298</v>
      </c>
      <c r="Z195" s="5">
        <v>170907.83472158099</v>
      </c>
      <c r="AA195" s="5">
        <v>244049.633750284</v>
      </c>
      <c r="AB195" s="5">
        <v>256295.09106775199</v>
      </c>
      <c r="AC195" s="5">
        <v>259958.28935392899</v>
      </c>
    </row>
    <row r="196" spans="1:29" x14ac:dyDescent="0.45">
      <c r="A196" s="5" t="s">
        <v>311</v>
      </c>
      <c r="B196" s="5">
        <v>13188546484.8078</v>
      </c>
      <c r="C196" s="5">
        <v>5004764491.9974499</v>
      </c>
      <c r="D196" s="5">
        <v>6047500484.3877697</v>
      </c>
      <c r="E196" s="5">
        <v>10074458703.5937</v>
      </c>
      <c r="F196" s="5">
        <v>12153770791.550301</v>
      </c>
      <c r="G196" s="5">
        <v>10426758523.139299</v>
      </c>
      <c r="H196" s="5">
        <v>6930808261.8034201</v>
      </c>
      <c r="I196" s="5">
        <v>29628612684.416</v>
      </c>
      <c r="J196" s="5">
        <v>16891199623.892799</v>
      </c>
      <c r="K196" s="5">
        <v>11539505343.122999</v>
      </c>
      <c r="L196" s="5">
        <v>6553035619.9090004</v>
      </c>
      <c r="M196" s="5">
        <v>9161401021.5672798</v>
      </c>
      <c r="N196" s="5">
        <v>2641333679.7243299</v>
      </c>
      <c r="O196" s="5">
        <v>6741556548.8283501</v>
      </c>
      <c r="P196" s="5">
        <v>5258286305.0643702</v>
      </c>
      <c r="Q196" s="5">
        <v>2193714695.5961299</v>
      </c>
      <c r="R196" s="5">
        <v>7081411601.2082796</v>
      </c>
      <c r="S196" s="5">
        <v>6901959050.7220898</v>
      </c>
      <c r="T196" s="5">
        <v>11658757407.7442</v>
      </c>
      <c r="U196" s="5">
        <v>8650304230.4061394</v>
      </c>
      <c r="V196" s="5">
        <v>6290067829.3985901</v>
      </c>
      <c r="W196" s="5">
        <v>4785878047.4102802</v>
      </c>
      <c r="X196" s="5">
        <v>19928396686.019001</v>
      </c>
      <c r="Y196" s="5">
        <v>3710749055.5397601</v>
      </c>
      <c r="Z196" s="5">
        <v>8199661127.62076</v>
      </c>
      <c r="AA196" s="5">
        <v>7939002560.1314497</v>
      </c>
      <c r="AB196" s="5">
        <v>8252841105.3115301</v>
      </c>
      <c r="AC196" s="5">
        <v>8637635882.6807404</v>
      </c>
    </row>
    <row r="197" spans="1:29" x14ac:dyDescent="0.45">
      <c r="A197" s="5" t="s">
        <v>198</v>
      </c>
      <c r="B197" s="5">
        <v>62286697.297245197</v>
      </c>
      <c r="C197" s="5">
        <v>13266834.977717601</v>
      </c>
      <c r="D197" s="5">
        <v>51640961.214261301</v>
      </c>
      <c r="E197" s="5">
        <v>43844771.898810901</v>
      </c>
      <c r="F197" s="5">
        <v>83294070.116317198</v>
      </c>
      <c r="G197" s="5">
        <v>55971338.404662602</v>
      </c>
      <c r="H197" s="5">
        <v>92803391.248107195</v>
      </c>
      <c r="I197" s="5">
        <v>236082762.07398301</v>
      </c>
      <c r="J197" s="5">
        <v>166666321.584611</v>
      </c>
      <c r="K197" s="5">
        <v>37985442.158073202</v>
      </c>
      <c r="L197" s="5">
        <v>60650865.237940498</v>
      </c>
      <c r="M197" s="5">
        <v>34957558.143111803</v>
      </c>
      <c r="N197" s="5">
        <v>41788200.924963802</v>
      </c>
      <c r="O197" s="5">
        <v>27121727.8127882</v>
      </c>
      <c r="P197" s="5">
        <v>17892650.359592699</v>
      </c>
      <c r="Q197" s="5">
        <v>14383374.0360738</v>
      </c>
      <c r="R197" s="5">
        <v>22967968.161988702</v>
      </c>
      <c r="S197" s="5">
        <v>54610371.788978897</v>
      </c>
      <c r="T197" s="5">
        <v>62227693.934168696</v>
      </c>
      <c r="U197" s="5">
        <v>88754251.844063997</v>
      </c>
      <c r="V197" s="5">
        <v>39715297.901584499</v>
      </c>
      <c r="W197" s="5">
        <v>27320054.9999809</v>
      </c>
      <c r="X197" s="5">
        <v>76210025.090474501</v>
      </c>
      <c r="Y197" s="5">
        <v>49371804.576247603</v>
      </c>
      <c r="Z197" s="5">
        <v>51439188.860462599</v>
      </c>
      <c r="AA197" s="5">
        <v>38485987.800400801</v>
      </c>
      <c r="AB197" s="5">
        <v>50151874.745238401</v>
      </c>
      <c r="AC197" s="5">
        <v>50887949.353189297</v>
      </c>
    </row>
    <row r="198" spans="1:29" x14ac:dyDescent="0.45">
      <c r="A198" s="5" t="s">
        <v>312</v>
      </c>
      <c r="B198" s="5">
        <v>1390041.5571556699</v>
      </c>
      <c r="C198" s="5">
        <v>928999.57807164302</v>
      </c>
      <c r="D198" s="5">
        <v>997227.26045757404</v>
      </c>
      <c r="E198" s="5">
        <v>29748988.1888544</v>
      </c>
      <c r="F198" s="5">
        <v>4561145.9339651801</v>
      </c>
      <c r="G198" s="5">
        <v>7142990.7240119204</v>
      </c>
      <c r="H198" s="5">
        <v>1074923.46995689</v>
      </c>
      <c r="I198" s="5">
        <v>3183568.36622938</v>
      </c>
      <c r="J198" s="5">
        <v>1699681.9318736701</v>
      </c>
      <c r="K198" s="5">
        <v>1226237.5400877499</v>
      </c>
      <c r="L198" s="5">
        <v>1710742.5777187401</v>
      </c>
      <c r="M198" s="5">
        <v>1013055.93207311</v>
      </c>
      <c r="N198" s="5">
        <v>585787.99785810395</v>
      </c>
      <c r="O198" s="5">
        <v>986084.65221984999</v>
      </c>
      <c r="P198" s="5">
        <v>711071.00193452602</v>
      </c>
      <c r="Q198" s="5">
        <v>16917510.430521999</v>
      </c>
      <c r="R198" s="5">
        <v>4347534.5899706399</v>
      </c>
      <c r="S198" s="5">
        <v>28080287.6807772</v>
      </c>
      <c r="T198" s="5">
        <v>19496065.031116799</v>
      </c>
      <c r="U198" s="5">
        <v>54939922.382022299</v>
      </c>
      <c r="V198" s="5">
        <v>49681115.554269701</v>
      </c>
      <c r="W198" s="5">
        <v>1143778.1630527501</v>
      </c>
      <c r="X198" s="5">
        <v>6446783.4509918196</v>
      </c>
      <c r="Y198" s="5">
        <v>43632553.511427604</v>
      </c>
      <c r="Z198" s="5">
        <v>11492465.547762999</v>
      </c>
      <c r="AA198" s="5">
        <v>10642228.832803501</v>
      </c>
      <c r="AB198" s="5">
        <v>10170444.2238653</v>
      </c>
      <c r="AC198" s="5">
        <v>10587713.5436971</v>
      </c>
    </row>
    <row r="199" spans="1:29" x14ac:dyDescent="0.45">
      <c r="A199" s="5" t="s">
        <v>201</v>
      </c>
      <c r="B199" s="5">
        <v>8909415.3496602103</v>
      </c>
      <c r="C199" s="5">
        <v>18597249.2765259</v>
      </c>
      <c r="D199" s="5">
        <v>9581060.31327831</v>
      </c>
      <c r="E199" s="5">
        <v>9265804.1526857503</v>
      </c>
      <c r="F199" s="5">
        <v>7847464.65200039</v>
      </c>
      <c r="G199" s="5">
        <v>10600541.038102999</v>
      </c>
      <c r="H199" s="5">
        <v>8733987.7876182999</v>
      </c>
      <c r="I199" s="5">
        <v>5613226.5979571203</v>
      </c>
      <c r="J199" s="5">
        <v>7850391.4846730698</v>
      </c>
      <c r="K199" s="5">
        <v>4364471.9167913496</v>
      </c>
      <c r="L199" s="5">
        <v>7630934.2338912897</v>
      </c>
      <c r="M199" s="5">
        <v>9174985.5067614093</v>
      </c>
      <c r="N199" s="5">
        <v>11080912.631861299</v>
      </c>
      <c r="O199" s="5">
        <v>18493005.226516999</v>
      </c>
      <c r="P199" s="5">
        <v>10401555.1756882</v>
      </c>
      <c r="Q199" s="5">
        <v>23451101.347291499</v>
      </c>
      <c r="R199" s="5">
        <v>5823762.05344343</v>
      </c>
      <c r="S199" s="5">
        <v>9677636.9859504309</v>
      </c>
      <c r="T199" s="5">
        <v>13583251.7443267</v>
      </c>
      <c r="U199" s="5">
        <v>11628769.3487275</v>
      </c>
      <c r="V199" s="5">
        <v>16180733.533507099</v>
      </c>
      <c r="W199" s="5">
        <v>10363468.295053201</v>
      </c>
      <c r="X199" s="5">
        <v>8599115.3878326695</v>
      </c>
      <c r="Y199" s="5">
        <v>10695849.6911928</v>
      </c>
      <c r="Z199" s="5">
        <v>11281002.029929399</v>
      </c>
      <c r="AA199" s="5">
        <v>10861957.0050832</v>
      </c>
      <c r="AB199" s="5">
        <v>9559924.4162700493</v>
      </c>
      <c r="AC199" s="5">
        <v>10401774.241334099</v>
      </c>
    </row>
    <row r="200" spans="1:29" x14ac:dyDescent="0.45">
      <c r="A200" s="5" t="s">
        <v>203</v>
      </c>
      <c r="B200" s="5">
        <v>633401838.816535</v>
      </c>
      <c r="C200" s="5">
        <v>509882054.26643002</v>
      </c>
      <c r="D200" s="5">
        <v>553093299.85715199</v>
      </c>
      <c r="E200" s="5">
        <v>538155233.63519299</v>
      </c>
      <c r="F200" s="5">
        <v>600903797.656739</v>
      </c>
      <c r="G200" s="5">
        <v>574724000.60861301</v>
      </c>
      <c r="H200" s="5">
        <v>551911800.790856</v>
      </c>
      <c r="I200" s="5">
        <v>654082993.91616905</v>
      </c>
      <c r="J200" s="5">
        <v>469841285.00121099</v>
      </c>
      <c r="K200" s="5">
        <v>490514362.87331599</v>
      </c>
      <c r="L200" s="5">
        <v>542733445.88903797</v>
      </c>
      <c r="M200" s="5">
        <v>560624674.31130302</v>
      </c>
      <c r="N200" s="5">
        <v>646239976.88529503</v>
      </c>
      <c r="O200" s="5">
        <v>513613882.94540799</v>
      </c>
      <c r="P200" s="5">
        <v>630048062.13548398</v>
      </c>
      <c r="Q200" s="5">
        <v>548174986.00331199</v>
      </c>
      <c r="R200" s="5">
        <v>496829239.48918402</v>
      </c>
      <c r="S200" s="5">
        <v>583797179.05097103</v>
      </c>
      <c r="T200" s="5">
        <v>619775051.14354205</v>
      </c>
      <c r="U200" s="5">
        <v>584162282.36580002</v>
      </c>
      <c r="V200" s="5">
        <v>518988937.10693401</v>
      </c>
      <c r="W200" s="5">
        <v>635454504.22258496</v>
      </c>
      <c r="X200" s="5">
        <v>420025500.06060803</v>
      </c>
      <c r="Y200" s="5">
        <v>650426381.51577497</v>
      </c>
      <c r="Z200" s="5">
        <v>552918458.56231105</v>
      </c>
      <c r="AA200" s="5">
        <v>543273607.98483002</v>
      </c>
      <c r="AB200" s="5">
        <v>528259404.52792197</v>
      </c>
      <c r="AC200" s="5">
        <v>525865974.04010803</v>
      </c>
    </row>
    <row r="201" spans="1:29" x14ac:dyDescent="0.45">
      <c r="A201" s="5" t="s">
        <v>360</v>
      </c>
      <c r="B201" s="5">
        <v>462435572.65715301</v>
      </c>
      <c r="C201" s="5">
        <v>621692051.25061798</v>
      </c>
      <c r="D201" s="5">
        <v>601292999.54223001</v>
      </c>
      <c r="E201" s="5">
        <v>327804883.371014</v>
      </c>
      <c r="F201" s="5">
        <v>521989977.37494802</v>
      </c>
      <c r="G201" s="5">
        <v>371910353.614263</v>
      </c>
      <c r="H201" s="5">
        <v>413979564.41811901</v>
      </c>
      <c r="I201" s="5">
        <v>1526500616.14779</v>
      </c>
      <c r="J201" s="5">
        <v>297960222.55345398</v>
      </c>
      <c r="K201" s="5">
        <v>413589424.51646298</v>
      </c>
      <c r="L201" s="5">
        <v>478001270.89084601</v>
      </c>
      <c r="M201" s="5">
        <v>302532107.28814298</v>
      </c>
      <c r="N201" s="5">
        <v>943823243.68318999</v>
      </c>
      <c r="O201" s="5">
        <v>1224886124.5063601</v>
      </c>
      <c r="P201" s="5">
        <v>1402888518.9952199</v>
      </c>
      <c r="Q201" s="5">
        <v>799191230.18570101</v>
      </c>
      <c r="R201" s="5">
        <v>340154014.94546902</v>
      </c>
      <c r="S201" s="5">
        <v>718004455.50193799</v>
      </c>
      <c r="T201" s="5">
        <v>682630241.56377101</v>
      </c>
      <c r="U201" s="5">
        <v>787339261.44296098</v>
      </c>
      <c r="V201" s="5">
        <v>1079175653.3661301</v>
      </c>
      <c r="W201" s="5">
        <v>778578222.50192702</v>
      </c>
      <c r="X201" s="5">
        <v>893904450.61026299</v>
      </c>
      <c r="Y201" s="5">
        <v>807511969.10328901</v>
      </c>
      <c r="Z201" s="5">
        <v>686435612.89103198</v>
      </c>
      <c r="AA201" s="5">
        <v>691759002.81324804</v>
      </c>
      <c r="AB201" s="5">
        <v>674352617.79681098</v>
      </c>
      <c r="AC201" s="5">
        <v>680138951.42373598</v>
      </c>
    </row>
    <row r="202" spans="1:29" x14ac:dyDescent="0.45">
      <c r="A202" s="5" t="s">
        <v>361</v>
      </c>
      <c r="B202" s="5">
        <v>5103075.9072499499</v>
      </c>
      <c r="C202" s="5">
        <v>13391323.1709162</v>
      </c>
      <c r="D202" s="5">
        <v>10837123.6743326</v>
      </c>
      <c r="E202" s="5">
        <v>6824191.54382513</v>
      </c>
      <c r="F202" s="5">
        <v>11533957.140298501</v>
      </c>
      <c r="G202" s="5">
        <v>20771204.825869199</v>
      </c>
      <c r="H202" s="5">
        <v>7587827.2669688398</v>
      </c>
      <c r="I202" s="5">
        <v>28245591.7538331</v>
      </c>
      <c r="J202" s="5">
        <v>8953985.0500716697</v>
      </c>
      <c r="K202" s="5">
        <v>8556975.2327196393</v>
      </c>
      <c r="L202" s="5">
        <v>9878608.1431461796</v>
      </c>
      <c r="M202" s="5">
        <v>3033639.3560771402</v>
      </c>
      <c r="N202" s="5">
        <v>47636821.761894703</v>
      </c>
      <c r="O202" s="5">
        <v>15319189.584402701</v>
      </c>
      <c r="P202" s="5">
        <v>6712928.5543493098</v>
      </c>
      <c r="Q202" s="5">
        <v>16718288.2036412</v>
      </c>
      <c r="R202" s="5">
        <v>6541738.4785803296</v>
      </c>
      <c r="S202" s="5">
        <v>12215847.3553224</v>
      </c>
      <c r="T202" s="5">
        <v>5289682.2165175602</v>
      </c>
      <c r="U202" s="5">
        <v>2820769.0436625401</v>
      </c>
      <c r="V202" s="5">
        <v>2460120.67439534</v>
      </c>
      <c r="W202" s="5">
        <v>3849719.30533366</v>
      </c>
      <c r="X202" s="5">
        <v>15595727.859009299</v>
      </c>
      <c r="Y202" s="5">
        <v>3515867.2494024001</v>
      </c>
      <c r="Z202" s="5">
        <v>10453802.815835601</v>
      </c>
      <c r="AA202" s="5">
        <v>9641787.0088535193</v>
      </c>
      <c r="AB202" s="5">
        <v>9837406.2642035205</v>
      </c>
      <c r="AC202" s="5">
        <v>9850272.7695382107</v>
      </c>
    </row>
    <row r="203" spans="1:29" x14ac:dyDescent="0.45">
      <c r="A203" s="5" t="s">
        <v>353</v>
      </c>
      <c r="B203" s="5">
        <v>307679.20506482403</v>
      </c>
      <c r="C203" s="5">
        <v>307458.98314158601</v>
      </c>
      <c r="D203" s="5">
        <v>504826.881208651</v>
      </c>
      <c r="E203" s="5">
        <v>1432294.1421046299</v>
      </c>
      <c r="F203" s="5">
        <v>1957607.4502081601</v>
      </c>
      <c r="G203" s="5">
        <v>2254840.8561289599</v>
      </c>
      <c r="H203" s="5">
        <v>1423857.3918905701</v>
      </c>
      <c r="I203" s="5">
        <v>948017.05904673203</v>
      </c>
      <c r="J203" s="5">
        <v>902091.64624508901</v>
      </c>
      <c r="K203" s="5">
        <v>1081983.87480052</v>
      </c>
      <c r="L203" s="5">
        <v>452775.13050630101</v>
      </c>
      <c r="M203" s="5">
        <v>1193628.37357411</v>
      </c>
      <c r="N203" s="5">
        <v>1711653.99633195</v>
      </c>
      <c r="O203" s="5">
        <v>1398800.78279268</v>
      </c>
      <c r="P203" s="5">
        <v>2073372.8716618</v>
      </c>
      <c r="Q203" s="5">
        <v>2288837.55647302</v>
      </c>
      <c r="R203" s="5">
        <v>737817.24356397195</v>
      </c>
      <c r="S203" s="5">
        <v>1660553.4437595999</v>
      </c>
      <c r="T203" s="5">
        <v>294041.844638974</v>
      </c>
      <c r="U203" s="5">
        <v>376156.05462018598</v>
      </c>
      <c r="V203" s="5">
        <v>919903.35687817901</v>
      </c>
      <c r="W203" s="5">
        <v>965298.41850115196</v>
      </c>
      <c r="X203" s="5">
        <v>760545.13277377596</v>
      </c>
      <c r="Y203" s="5">
        <v>1021645.4103023401</v>
      </c>
      <c r="Z203" s="5">
        <v>1024162.7587374999</v>
      </c>
      <c r="AA203" s="5">
        <v>1138880.9057700201</v>
      </c>
      <c r="AB203" s="5">
        <v>1020403.85592746</v>
      </c>
      <c r="AC203" s="5">
        <v>1117067.9060893799</v>
      </c>
    </row>
    <row r="204" spans="1:29" x14ac:dyDescent="0.45">
      <c r="A204" s="5" t="s">
        <v>372</v>
      </c>
      <c r="B204" s="5">
        <v>2231599.84193544</v>
      </c>
      <c r="C204" s="5">
        <v>1793292.6402110001</v>
      </c>
      <c r="D204" s="5">
        <v>2480536.8228807799</v>
      </c>
      <c r="E204" s="5">
        <v>2096397.4281001401</v>
      </c>
      <c r="F204" s="5">
        <v>2266525.1766511998</v>
      </c>
      <c r="G204" s="5">
        <v>2847015.6934642498</v>
      </c>
      <c r="H204" s="5">
        <v>1954789.9140312499</v>
      </c>
      <c r="I204" s="5">
        <v>1262462.07493072</v>
      </c>
      <c r="J204" s="5">
        <v>1595195.07322939</v>
      </c>
      <c r="K204" s="5">
        <v>2494116.6534146699</v>
      </c>
      <c r="L204" s="5">
        <v>2351092.3632599399</v>
      </c>
      <c r="M204" s="5">
        <v>1736670.0175263199</v>
      </c>
      <c r="N204" s="5">
        <v>2975877.0310728098</v>
      </c>
      <c r="O204" s="5">
        <v>2874880.9645434301</v>
      </c>
      <c r="P204" s="5">
        <v>2277558.9539486002</v>
      </c>
      <c r="Q204" s="5">
        <v>2524911.4151124801</v>
      </c>
      <c r="R204" s="5">
        <v>2826631.1552319401</v>
      </c>
      <c r="S204" s="5">
        <v>2928617.1541520301</v>
      </c>
      <c r="T204" s="5">
        <v>1801389.2340134</v>
      </c>
      <c r="U204" s="5">
        <v>1886784.6218306101</v>
      </c>
      <c r="V204" s="5">
        <v>1946145.10299949</v>
      </c>
      <c r="W204" s="5">
        <v>1783144.8889781099</v>
      </c>
      <c r="X204" s="5">
        <v>2063928.6572143901</v>
      </c>
      <c r="Y204" s="5">
        <v>1946331.2486109701</v>
      </c>
      <c r="Z204" s="5">
        <v>2105033.47965384</v>
      </c>
      <c r="AA204" s="5">
        <v>1883292.6258042301</v>
      </c>
      <c r="AB204" s="5">
        <v>2489216.3322167299</v>
      </c>
      <c r="AC204" s="5">
        <v>1936434.06457362</v>
      </c>
    </row>
    <row r="205" spans="1:29" x14ac:dyDescent="0.45">
      <c r="A205" s="5" t="s">
        <v>314</v>
      </c>
      <c r="B205" s="5">
        <v>32685519.150919601</v>
      </c>
      <c r="C205" s="5">
        <v>26636452.785986699</v>
      </c>
      <c r="D205" s="5">
        <v>21667022.0542394</v>
      </c>
      <c r="E205" s="5">
        <v>12432664.7234751</v>
      </c>
      <c r="F205" s="5">
        <v>27009702.813507099</v>
      </c>
      <c r="G205" s="5">
        <v>20384884.1847407</v>
      </c>
      <c r="H205" s="5">
        <v>30722793.016857699</v>
      </c>
      <c r="I205" s="5">
        <v>28158573.856420599</v>
      </c>
      <c r="J205" s="5">
        <v>41682764.022016004</v>
      </c>
      <c r="K205" s="5">
        <v>27406229.821169998</v>
      </c>
      <c r="L205" s="5">
        <v>13775261.909779999</v>
      </c>
      <c r="M205" s="5">
        <v>19343542.847095098</v>
      </c>
      <c r="N205" s="5">
        <v>22731847.746535301</v>
      </c>
      <c r="O205" s="5">
        <v>45940958.173991799</v>
      </c>
      <c r="P205" s="5">
        <v>46557382.581150398</v>
      </c>
      <c r="Q205" s="5">
        <v>33299915.840741701</v>
      </c>
      <c r="R205" s="5">
        <v>41657341.0431711</v>
      </c>
      <c r="S205" s="5">
        <v>35033695.204069398</v>
      </c>
      <c r="T205" s="5">
        <v>22483490.6677293</v>
      </c>
      <c r="U205" s="5">
        <v>87482799.144021496</v>
      </c>
      <c r="V205" s="5">
        <v>42834531.580275498</v>
      </c>
      <c r="W205" s="5">
        <v>46975787.275463901</v>
      </c>
      <c r="X205" s="5">
        <v>47231479.552852899</v>
      </c>
      <c r="Y205" s="5">
        <v>27112295.661331099</v>
      </c>
      <c r="Z205" s="5">
        <v>28038978.847261</v>
      </c>
      <c r="AA205" s="5">
        <v>29025136.8733995</v>
      </c>
      <c r="AB205" s="5">
        <v>29235746.538482599</v>
      </c>
      <c r="AC205" s="5">
        <v>29021197.661237098</v>
      </c>
    </row>
    <row r="206" spans="1:29" x14ac:dyDescent="0.45">
      <c r="A206" s="5" t="s">
        <v>367</v>
      </c>
      <c r="B206" s="5">
        <v>176023297.65068999</v>
      </c>
      <c r="C206" s="5">
        <v>116266320.939825</v>
      </c>
      <c r="D206" s="5">
        <v>302186677.54075402</v>
      </c>
      <c r="E206" s="5">
        <v>156615793.31432801</v>
      </c>
      <c r="F206" s="5">
        <v>239445148.98258501</v>
      </c>
      <c r="G206" s="5">
        <v>90829328.940070793</v>
      </c>
      <c r="H206" s="5">
        <v>105066444.552435</v>
      </c>
      <c r="I206" s="5">
        <v>552139303.249717</v>
      </c>
      <c r="J206" s="5">
        <v>243150590.37656301</v>
      </c>
      <c r="K206" s="5">
        <v>281405163.65261298</v>
      </c>
      <c r="L206" s="5">
        <v>188101821.609781</v>
      </c>
      <c r="M206" s="5">
        <v>121833564.609787</v>
      </c>
      <c r="N206" s="5">
        <v>174319248.62543601</v>
      </c>
      <c r="O206" s="5">
        <v>194974898.79150301</v>
      </c>
      <c r="P206" s="5">
        <v>350904527.296655</v>
      </c>
      <c r="Q206" s="5">
        <v>109137249.761437</v>
      </c>
      <c r="R206" s="5">
        <v>187358421.82186499</v>
      </c>
      <c r="S206" s="5">
        <v>82118241.884687498</v>
      </c>
      <c r="T206" s="5">
        <v>192249775.128719</v>
      </c>
      <c r="U206" s="5">
        <v>163627719.04119501</v>
      </c>
      <c r="V206" s="5">
        <v>177916267.92938799</v>
      </c>
      <c r="W206" s="5">
        <v>212025283.363215</v>
      </c>
      <c r="X206" s="5">
        <v>526470399.90677297</v>
      </c>
      <c r="Y206" s="5">
        <v>150547927.00646201</v>
      </c>
      <c r="Z206" s="5">
        <v>167769986.65490499</v>
      </c>
      <c r="AA206" s="5">
        <v>175960544.12236401</v>
      </c>
      <c r="AB206" s="5">
        <v>163288650.21284601</v>
      </c>
      <c r="AC206" s="5">
        <v>164530737.65930799</v>
      </c>
    </row>
    <row r="207" spans="1:29" x14ac:dyDescent="0.45">
      <c r="A207" s="5" t="s">
        <v>377</v>
      </c>
      <c r="B207" s="5">
        <v>35697066.748887599</v>
      </c>
      <c r="C207" s="5">
        <v>27262370.650591198</v>
      </c>
      <c r="D207" s="5">
        <v>84009580.105487093</v>
      </c>
      <c r="E207" s="5">
        <v>29162902.252014998</v>
      </c>
      <c r="F207" s="5">
        <v>56225401.305799402</v>
      </c>
      <c r="G207" s="5">
        <v>19014957.163115799</v>
      </c>
      <c r="H207" s="5">
        <v>20724437.106083099</v>
      </c>
      <c r="I207" s="5">
        <v>95205535.888285205</v>
      </c>
      <c r="J207" s="5">
        <v>52536172.9600925</v>
      </c>
      <c r="K207" s="5">
        <v>85925210.345264494</v>
      </c>
      <c r="L207" s="5">
        <v>84263580.644773602</v>
      </c>
      <c r="M207" s="5">
        <v>34378730.913372204</v>
      </c>
      <c r="N207" s="5">
        <v>21348537.0872459</v>
      </c>
      <c r="O207" s="5">
        <v>23303586.067220401</v>
      </c>
      <c r="P207" s="5">
        <v>37196990.365456402</v>
      </c>
      <c r="Q207" s="5">
        <v>49346446.073017798</v>
      </c>
      <c r="R207" s="5">
        <v>40299417.847184099</v>
      </c>
      <c r="S207" s="5">
        <v>48243624.970203899</v>
      </c>
      <c r="T207" s="5">
        <v>41531226.103080504</v>
      </c>
      <c r="U207" s="5">
        <v>19601695.5458855</v>
      </c>
      <c r="V207" s="5">
        <v>24490144.9081196</v>
      </c>
      <c r="W207" s="5">
        <v>34854004.091274202</v>
      </c>
      <c r="X207" s="5">
        <v>132168563.939505</v>
      </c>
      <c r="Y207" s="5">
        <v>27493918.387905601</v>
      </c>
      <c r="Z207" s="5">
        <v>36982059.943721697</v>
      </c>
      <c r="AA207" s="5">
        <v>37580650.003905602</v>
      </c>
      <c r="AB207" s="5">
        <v>37359395.700161003</v>
      </c>
      <c r="AC207" s="5">
        <v>37321753.083873004</v>
      </c>
    </row>
    <row r="208" spans="1:29" x14ac:dyDescent="0.45">
      <c r="A208" s="5" t="s">
        <v>206</v>
      </c>
      <c r="B208" s="5">
        <v>5461759.9155721599</v>
      </c>
      <c r="C208" s="5">
        <v>2300751.63259592</v>
      </c>
      <c r="D208" s="5">
        <v>13769328.458690301</v>
      </c>
      <c r="E208" s="5">
        <v>28896645.553800799</v>
      </c>
      <c r="F208" s="5">
        <v>26344887.208077502</v>
      </c>
      <c r="G208" s="5">
        <v>20249491.987608299</v>
      </c>
      <c r="H208" s="5">
        <v>21488697.372905198</v>
      </c>
      <c r="I208" s="5">
        <v>15878754.1720828</v>
      </c>
      <c r="J208" s="5">
        <v>20057639.896968201</v>
      </c>
      <c r="K208" s="5">
        <v>36749207.135685802</v>
      </c>
      <c r="L208" s="5">
        <v>12334628.491743799</v>
      </c>
      <c r="M208" s="5">
        <v>22168452.8957428</v>
      </c>
      <c r="N208" s="5">
        <v>5377801.8893616498</v>
      </c>
      <c r="O208" s="5">
        <v>20416439.2628479</v>
      </c>
      <c r="P208" s="5">
        <v>10110483.4129944</v>
      </c>
      <c r="Q208" s="5">
        <v>12318725.0191743</v>
      </c>
      <c r="R208" s="5">
        <v>39844729.197681598</v>
      </c>
      <c r="S208" s="5">
        <v>17358356.458643399</v>
      </c>
      <c r="T208" s="5">
        <v>3941528.2064239602</v>
      </c>
      <c r="U208" s="5">
        <v>10073166.4550447</v>
      </c>
      <c r="V208" s="5">
        <v>7530503.1671140203</v>
      </c>
      <c r="W208" s="5">
        <v>13224579.6865495</v>
      </c>
      <c r="X208" s="5">
        <v>16811252.478984401</v>
      </c>
      <c r="Y208" s="5">
        <v>7280099.51095868</v>
      </c>
      <c r="Z208" s="5">
        <v>9854207.7266623992</v>
      </c>
      <c r="AA208" s="5">
        <v>11218118.290777201</v>
      </c>
      <c r="AB208" s="5">
        <v>10007656.4573822</v>
      </c>
      <c r="AC208" s="5">
        <v>11620951.004684901</v>
      </c>
    </row>
    <row r="209" spans="1:29" x14ac:dyDescent="0.45">
      <c r="A209" s="5" t="s">
        <v>315</v>
      </c>
      <c r="B209" s="5">
        <v>124112033.967492</v>
      </c>
      <c r="C209" s="5">
        <v>573682408.249439</v>
      </c>
      <c r="D209" s="5">
        <v>423507607.65094399</v>
      </c>
      <c r="E209" s="5">
        <v>242146383.09159699</v>
      </c>
      <c r="F209" s="5">
        <v>214853317.004693</v>
      </c>
      <c r="G209" s="5">
        <v>1643185282.9293599</v>
      </c>
      <c r="H209" s="5">
        <v>506647097.69419998</v>
      </c>
      <c r="I209" s="5">
        <v>715115579.30639398</v>
      </c>
      <c r="J209" s="5">
        <v>150961985.410696</v>
      </c>
      <c r="K209" s="5">
        <v>639623744.26242197</v>
      </c>
      <c r="L209" s="5">
        <v>27377018.408447798</v>
      </c>
      <c r="M209" s="5">
        <v>373681515.73356497</v>
      </c>
      <c r="N209" s="5">
        <v>427585770.823075</v>
      </c>
      <c r="O209" s="5">
        <v>347700788.86970598</v>
      </c>
      <c r="P209" s="5">
        <v>41301975.096765399</v>
      </c>
      <c r="Q209" s="5">
        <v>421807931.48276198</v>
      </c>
      <c r="R209" s="5">
        <v>97491299.409535497</v>
      </c>
      <c r="S209" s="5">
        <v>251869889.754641</v>
      </c>
      <c r="T209" s="5">
        <v>426546148.89116502</v>
      </c>
      <c r="U209" s="5">
        <v>474547487.71112299</v>
      </c>
      <c r="V209" s="5">
        <v>274552643.32262802</v>
      </c>
      <c r="W209" s="5">
        <v>88195407.389468402</v>
      </c>
      <c r="X209" s="5">
        <v>549923739.86410606</v>
      </c>
      <c r="Y209" s="5">
        <v>66631738.229939803</v>
      </c>
      <c r="Z209" s="5">
        <v>326866070.37408</v>
      </c>
      <c r="AA209" s="5">
        <v>318790019.72016799</v>
      </c>
      <c r="AB209" s="5">
        <v>335102181.64893198</v>
      </c>
      <c r="AC209" s="5">
        <v>330547261.20547301</v>
      </c>
    </row>
    <row r="210" spans="1:29" x14ac:dyDescent="0.45">
      <c r="A210" s="5" t="s">
        <v>316</v>
      </c>
      <c r="B210" s="5">
        <v>14391675.6559177</v>
      </c>
      <c r="C210" s="5">
        <v>9097863.4046402909</v>
      </c>
      <c r="D210" s="5">
        <v>11680956.3376603</v>
      </c>
      <c r="E210" s="5">
        <v>10462994.3291773</v>
      </c>
      <c r="F210" s="5">
        <v>17583826.858242601</v>
      </c>
      <c r="G210" s="5">
        <v>13014358.606112599</v>
      </c>
      <c r="H210" s="5">
        <v>16381289.2286647</v>
      </c>
      <c r="I210" s="5">
        <v>10816572.9650323</v>
      </c>
      <c r="J210" s="5">
        <v>16447717.4808947</v>
      </c>
      <c r="K210" s="5">
        <v>8656458.23854273</v>
      </c>
      <c r="L210" s="5">
        <v>15046488.987389101</v>
      </c>
      <c r="M210" s="5">
        <v>11531739.3350523</v>
      </c>
      <c r="N210" s="5">
        <v>9721582.8459285907</v>
      </c>
      <c r="O210" s="5">
        <v>11443354.591206999</v>
      </c>
      <c r="P210" s="5">
        <v>12547017.1541456</v>
      </c>
      <c r="Q210" s="5">
        <v>8864716.5256765895</v>
      </c>
      <c r="R210" s="5">
        <v>14452901.3439462</v>
      </c>
      <c r="S210" s="5">
        <v>14784880.0166327</v>
      </c>
      <c r="T210" s="5">
        <v>16117991.894432001</v>
      </c>
      <c r="U210" s="5">
        <v>16363773.6690732</v>
      </c>
      <c r="V210" s="5">
        <v>12303397.267882301</v>
      </c>
      <c r="W210" s="5">
        <v>17530395.299488802</v>
      </c>
      <c r="X210" s="5">
        <v>11667186.574232301</v>
      </c>
      <c r="Y210" s="5">
        <v>15198720.629671801</v>
      </c>
      <c r="Z210" s="5">
        <v>10034585.182792099</v>
      </c>
      <c r="AA210" s="5">
        <v>10790512.653364399</v>
      </c>
      <c r="AB210" s="5">
        <v>12281052.168214601</v>
      </c>
      <c r="AC210" s="5">
        <v>12235657.5523319</v>
      </c>
    </row>
    <row r="211" spans="1:29" x14ac:dyDescent="0.45">
      <c r="A211" s="5" t="s">
        <v>317</v>
      </c>
      <c r="B211" s="5">
        <v>174582500.348111</v>
      </c>
      <c r="C211" s="5">
        <v>141288989.02579799</v>
      </c>
      <c r="D211" s="5">
        <v>143985180.222449</v>
      </c>
      <c r="E211" s="5">
        <v>300720284.76355898</v>
      </c>
      <c r="F211" s="5">
        <v>179216170.37871</v>
      </c>
      <c r="G211" s="5">
        <v>148733692.02508301</v>
      </c>
      <c r="H211" s="5">
        <v>84029517.631567001</v>
      </c>
      <c r="I211" s="5">
        <v>75026670.1046139</v>
      </c>
      <c r="J211" s="5">
        <v>83219287.827140003</v>
      </c>
      <c r="K211" s="5">
        <v>110051241.004823</v>
      </c>
      <c r="L211" s="5">
        <v>157407131.65628201</v>
      </c>
      <c r="M211" s="5">
        <v>136616020.844448</v>
      </c>
      <c r="N211" s="5">
        <v>135848636.87542301</v>
      </c>
      <c r="O211" s="5">
        <v>136140488.73050901</v>
      </c>
      <c r="P211" s="5">
        <v>164611913.054656</v>
      </c>
      <c r="Q211" s="5">
        <v>128136534.99050801</v>
      </c>
      <c r="R211" s="5">
        <v>158408843.695425</v>
      </c>
      <c r="S211" s="5">
        <v>148933777.611105</v>
      </c>
      <c r="T211" s="5">
        <v>158744554.68927199</v>
      </c>
      <c r="U211" s="5">
        <v>157638353.12580401</v>
      </c>
      <c r="V211" s="5">
        <v>163996226.350227</v>
      </c>
      <c r="W211" s="5">
        <v>143382184.61469701</v>
      </c>
      <c r="X211" s="5">
        <v>355858857.86635602</v>
      </c>
      <c r="Y211" s="5">
        <v>161460491.50787899</v>
      </c>
      <c r="Z211" s="5">
        <v>127378403.00752801</v>
      </c>
      <c r="AA211" s="5">
        <v>127895367.61043499</v>
      </c>
      <c r="AB211" s="5">
        <v>131690593.849509</v>
      </c>
      <c r="AC211" s="5">
        <v>130291517.04471999</v>
      </c>
    </row>
    <row r="212" spans="1:29" x14ac:dyDescent="0.45">
      <c r="A212" s="5" t="s">
        <v>207</v>
      </c>
      <c r="B212" s="5">
        <v>34587253.584419899</v>
      </c>
      <c r="C212" s="5">
        <v>31786936.668185499</v>
      </c>
      <c r="D212" s="5">
        <v>24726069.683130398</v>
      </c>
      <c r="E212" s="5">
        <v>57865154.030224502</v>
      </c>
      <c r="F212" s="5">
        <v>57894754.959223598</v>
      </c>
      <c r="G212" s="5">
        <v>57795034.5856684</v>
      </c>
      <c r="H212" s="5">
        <v>52770102.601908401</v>
      </c>
      <c r="I212" s="5">
        <v>106507630.63585</v>
      </c>
      <c r="J212" s="5">
        <v>32634856.752122499</v>
      </c>
      <c r="K212" s="5">
        <v>247323986.03728399</v>
      </c>
      <c r="L212" s="5">
        <v>60885310.1539094</v>
      </c>
      <c r="M212" s="5">
        <v>63717951.998098001</v>
      </c>
      <c r="N212" s="5">
        <v>51132212.656197101</v>
      </c>
      <c r="O212" s="5">
        <v>110716251.328576</v>
      </c>
      <c r="P212" s="5">
        <v>88182385.679207399</v>
      </c>
      <c r="Q212" s="5">
        <v>30977056.078406401</v>
      </c>
      <c r="R212" s="5">
        <v>64070643.957371101</v>
      </c>
      <c r="S212" s="5">
        <v>66217168.417424902</v>
      </c>
      <c r="T212" s="5">
        <v>25643222.747888502</v>
      </c>
      <c r="U212" s="5">
        <v>22689886.8276214</v>
      </c>
      <c r="V212" s="5">
        <v>20732044.363531701</v>
      </c>
      <c r="W212" s="5">
        <v>24089201.906164099</v>
      </c>
      <c r="X212" s="5">
        <v>17723726.5942115</v>
      </c>
      <c r="Y212" s="5">
        <v>53131747.417174302</v>
      </c>
      <c r="Z212" s="5">
        <v>36582286.612774603</v>
      </c>
      <c r="AA212" s="5">
        <v>34663322.625058398</v>
      </c>
      <c r="AB212" s="5">
        <v>33309104.523455799</v>
      </c>
      <c r="AC212" s="5">
        <v>34279773.896869697</v>
      </c>
    </row>
    <row r="213" spans="1:29" x14ac:dyDescent="0.45">
      <c r="A213" s="5" t="s">
        <v>318</v>
      </c>
      <c r="B213" s="5">
        <v>12631152.313914901</v>
      </c>
      <c r="C213" s="5">
        <v>19782514.010452598</v>
      </c>
      <c r="D213" s="5">
        <v>32983506.7604605</v>
      </c>
      <c r="E213" s="5">
        <v>28637828.294970401</v>
      </c>
      <c r="F213" s="5">
        <v>38452887.695838302</v>
      </c>
      <c r="G213" s="5">
        <v>22476756.900392</v>
      </c>
      <c r="H213" s="5">
        <v>34437525.215870902</v>
      </c>
      <c r="I213" s="5">
        <v>88197140.859748498</v>
      </c>
      <c r="J213" s="5">
        <v>38437230.5796232</v>
      </c>
      <c r="K213" s="5">
        <v>8041776.7502741702</v>
      </c>
      <c r="L213" s="5">
        <v>31362559.529583</v>
      </c>
      <c r="M213" s="5">
        <v>26448552.630268101</v>
      </c>
      <c r="N213" s="5">
        <v>20033145.9121622</v>
      </c>
      <c r="O213" s="5">
        <v>23696844.194593702</v>
      </c>
      <c r="P213" s="5">
        <v>38548457.409041002</v>
      </c>
      <c r="Q213" s="5">
        <v>29930352.4758338</v>
      </c>
      <c r="R213" s="5">
        <v>36306486.357142702</v>
      </c>
      <c r="S213" s="5">
        <v>25395584.027540401</v>
      </c>
      <c r="T213" s="5">
        <v>35565268.824896403</v>
      </c>
      <c r="U213" s="5">
        <v>18077726.328859001</v>
      </c>
      <c r="V213" s="5">
        <v>37163627.071178399</v>
      </c>
      <c r="W213" s="5">
        <v>37743702.787394598</v>
      </c>
      <c r="X213" s="5">
        <v>17432288.034693401</v>
      </c>
      <c r="Y213" s="5">
        <v>16045451.344925299</v>
      </c>
      <c r="Z213" s="5">
        <v>32621596.621063899</v>
      </c>
      <c r="AA213" s="5">
        <v>29355793.129406601</v>
      </c>
      <c r="AB213" s="5">
        <v>31982209.654497501</v>
      </c>
      <c r="AC213" s="5">
        <v>31961214.790431201</v>
      </c>
    </row>
    <row r="214" spans="1:29" x14ac:dyDescent="0.45">
      <c r="A214" s="5" t="s">
        <v>208</v>
      </c>
      <c r="B214" s="5">
        <v>5991631.4849667801</v>
      </c>
      <c r="C214" s="5">
        <v>5617091.1136532398</v>
      </c>
      <c r="D214" s="5">
        <v>4972534.4839909002</v>
      </c>
      <c r="E214" s="5">
        <v>5410701.4850825202</v>
      </c>
      <c r="F214" s="5">
        <v>14975288.439322701</v>
      </c>
      <c r="G214" s="5">
        <v>6001953.66065838</v>
      </c>
      <c r="H214" s="5">
        <v>6313586.0607892396</v>
      </c>
      <c r="I214" s="5">
        <v>643260.38899780705</v>
      </c>
      <c r="J214" s="5">
        <v>10696287.948436599</v>
      </c>
      <c r="K214" s="5">
        <v>9917364.5898108594</v>
      </c>
      <c r="L214" s="5">
        <v>11141370.668168901</v>
      </c>
      <c r="M214" s="5">
        <v>1849841.6015612399</v>
      </c>
      <c r="N214" s="5">
        <v>2611028.78030203</v>
      </c>
      <c r="O214" s="5">
        <v>17074193.8212208</v>
      </c>
      <c r="P214" s="5">
        <v>15080886.351641599</v>
      </c>
      <c r="Q214" s="5">
        <v>1946901.6676783699</v>
      </c>
      <c r="R214" s="5">
        <v>13772720.4008174</v>
      </c>
      <c r="S214" s="5">
        <v>5900551.1286964295</v>
      </c>
      <c r="T214" s="5">
        <v>16545748.0127609</v>
      </c>
      <c r="U214" s="5">
        <v>47981606.218707003</v>
      </c>
      <c r="V214" s="5">
        <v>13306386.3236413</v>
      </c>
      <c r="W214" s="5">
        <v>12881363.4979035</v>
      </c>
      <c r="X214" s="5">
        <v>5732526.6490716403</v>
      </c>
      <c r="Y214" s="5">
        <v>13702637.6252733</v>
      </c>
      <c r="Z214" s="5">
        <v>6499916.9180199299</v>
      </c>
      <c r="AA214" s="5">
        <v>6490666.9155904399</v>
      </c>
      <c r="AB214" s="5">
        <v>6170131.3847155096</v>
      </c>
      <c r="AC214" s="5">
        <v>5800334.8545888001</v>
      </c>
    </row>
    <row r="215" spans="1:29" x14ac:dyDescent="0.45">
      <c r="A215" s="5" t="s">
        <v>209</v>
      </c>
      <c r="B215" s="5">
        <v>461808865.406138</v>
      </c>
      <c r="C215" s="5">
        <v>577982207.26492</v>
      </c>
      <c r="D215" s="5">
        <v>455210891.244699</v>
      </c>
      <c r="E215" s="5">
        <v>324632716.58230799</v>
      </c>
      <c r="F215" s="5">
        <v>173919188.32290101</v>
      </c>
      <c r="G215" s="5">
        <v>294442494.52476799</v>
      </c>
      <c r="H215" s="5">
        <v>575354665.79832006</v>
      </c>
      <c r="I215" s="5">
        <v>846713750.87101603</v>
      </c>
      <c r="J215" s="5">
        <v>432430365.02243203</v>
      </c>
      <c r="K215" s="5">
        <v>564620543.18041098</v>
      </c>
      <c r="L215" s="5">
        <v>533584914.14865202</v>
      </c>
      <c r="M215" s="5">
        <v>617609456.01991403</v>
      </c>
      <c r="N215" s="5">
        <v>423799268.17982203</v>
      </c>
      <c r="O215" s="5">
        <v>431659741.81697899</v>
      </c>
      <c r="P215" s="5">
        <v>401815708.893897</v>
      </c>
      <c r="Q215" s="5">
        <v>600988879.75677502</v>
      </c>
      <c r="R215" s="5">
        <v>685558559.04499602</v>
      </c>
      <c r="S215" s="5">
        <v>706131519.96537101</v>
      </c>
      <c r="T215" s="5">
        <v>433008463.46951801</v>
      </c>
      <c r="U215" s="5">
        <v>457513102.710747</v>
      </c>
      <c r="V215" s="5">
        <v>601262683.45358503</v>
      </c>
      <c r="W215" s="5">
        <v>669158050.57670105</v>
      </c>
      <c r="X215" s="5">
        <v>2198764244.0392399</v>
      </c>
      <c r="Y215" s="5">
        <v>701047926.38320994</v>
      </c>
      <c r="Z215" s="5">
        <v>489727655.14131099</v>
      </c>
      <c r="AA215" s="5">
        <v>504727830.190202</v>
      </c>
      <c r="AB215" s="5">
        <v>491342180.13042402</v>
      </c>
      <c r="AC215" s="5">
        <v>499680649.95459098</v>
      </c>
    </row>
    <row r="216" spans="1:29" x14ac:dyDescent="0.45">
      <c r="A216" s="5" t="s">
        <v>210</v>
      </c>
      <c r="B216" s="5">
        <v>187449352.743325</v>
      </c>
      <c r="C216" s="5">
        <v>258426851.48227999</v>
      </c>
      <c r="D216" s="5">
        <v>234400282.08392799</v>
      </c>
      <c r="E216" s="5">
        <v>132549432.315648</v>
      </c>
      <c r="F216" s="5">
        <v>129793731.251211</v>
      </c>
      <c r="G216" s="5">
        <v>169245428.49907601</v>
      </c>
      <c r="H216" s="5">
        <v>248626497.062971</v>
      </c>
      <c r="I216" s="5">
        <v>489763861.92075402</v>
      </c>
      <c r="J216" s="5">
        <v>238307285.70020899</v>
      </c>
      <c r="K216" s="5">
        <v>274296356.35642397</v>
      </c>
      <c r="L216" s="5">
        <v>245609096.20869601</v>
      </c>
      <c r="M216" s="5">
        <v>290768431.834373</v>
      </c>
      <c r="N216" s="5">
        <v>367939851.98959702</v>
      </c>
      <c r="O216" s="5">
        <v>87756591.906156793</v>
      </c>
      <c r="P216" s="5">
        <v>369215251.876836</v>
      </c>
      <c r="Q216" s="5">
        <v>340511771.52265501</v>
      </c>
      <c r="R216" s="5">
        <v>259891360.86495101</v>
      </c>
      <c r="S216" s="5">
        <v>365349545.506908</v>
      </c>
      <c r="T216" s="5">
        <v>236726745.834436</v>
      </c>
      <c r="U216" s="5">
        <v>251541658.60215399</v>
      </c>
      <c r="V216" s="5">
        <v>289983975.23213702</v>
      </c>
      <c r="W216" s="5">
        <v>292712907.77096599</v>
      </c>
      <c r="X216" s="5">
        <v>1059938142.89592</v>
      </c>
      <c r="Y216" s="5">
        <v>296635401.626463</v>
      </c>
      <c r="Z216" s="5">
        <v>257998166.619057</v>
      </c>
      <c r="AA216" s="5">
        <v>261855686.465536</v>
      </c>
      <c r="AB216" s="5">
        <v>258134190.297488</v>
      </c>
      <c r="AC216" s="5">
        <v>255053420.102552</v>
      </c>
    </row>
    <row r="217" spans="1:29" x14ac:dyDescent="0.45">
      <c r="A217" s="5" t="s">
        <v>211</v>
      </c>
      <c r="B217" s="5">
        <v>34938036.171944499</v>
      </c>
      <c r="C217" s="5">
        <v>25038205.181644201</v>
      </c>
      <c r="D217" s="5">
        <v>32509883.520183999</v>
      </c>
      <c r="E217" s="5">
        <v>25615323.7700685</v>
      </c>
      <c r="F217" s="5">
        <v>39160651.932807803</v>
      </c>
      <c r="G217" s="5">
        <v>21339854.794241399</v>
      </c>
      <c r="H217" s="5">
        <v>24377153.965139601</v>
      </c>
      <c r="I217" s="5">
        <v>3553175.0698965099</v>
      </c>
      <c r="J217" s="5">
        <v>40880162.977032699</v>
      </c>
      <c r="K217" s="5">
        <v>26452266.813088499</v>
      </c>
      <c r="L217" s="5">
        <v>33277590.7236767</v>
      </c>
      <c r="M217" s="5">
        <v>15858535.6434511</v>
      </c>
      <c r="N217" s="5">
        <v>18041158.590573601</v>
      </c>
      <c r="O217" s="5">
        <v>51340807.615375802</v>
      </c>
      <c r="P217" s="5">
        <v>44523961.803748302</v>
      </c>
      <c r="Q217" s="5">
        <v>17950078.414996199</v>
      </c>
      <c r="R217" s="5">
        <v>30447137.321137901</v>
      </c>
      <c r="S217" s="5">
        <v>27036087.245371498</v>
      </c>
      <c r="T217" s="5">
        <v>38939719.787896</v>
      </c>
      <c r="U217" s="5">
        <v>35773856.042823598</v>
      </c>
      <c r="V217" s="5">
        <v>29055134.9428543</v>
      </c>
      <c r="W217" s="5">
        <v>33130205.6518871</v>
      </c>
      <c r="X217" s="5">
        <v>15242923.019110801</v>
      </c>
      <c r="Y217" s="5">
        <v>40915598.421509102</v>
      </c>
      <c r="Z217" s="5">
        <v>23715952.165220499</v>
      </c>
      <c r="AA217" s="5">
        <v>23829699.5930296</v>
      </c>
      <c r="AB217" s="5">
        <v>25821370.2103692</v>
      </c>
      <c r="AC217" s="5">
        <v>24031132.366108902</v>
      </c>
    </row>
    <row r="218" spans="1:29" x14ac:dyDescent="0.45">
      <c r="A218" s="5" t="s">
        <v>212</v>
      </c>
      <c r="B218" s="5">
        <v>993566025.95231199</v>
      </c>
      <c r="C218" s="5">
        <v>719782733.34973705</v>
      </c>
      <c r="D218" s="5">
        <v>893946931.86075699</v>
      </c>
      <c r="E218" s="5">
        <v>783519186.43121099</v>
      </c>
      <c r="F218" s="5">
        <v>316008149.82903302</v>
      </c>
      <c r="G218" s="5">
        <v>429389574.38728702</v>
      </c>
      <c r="H218" s="5">
        <v>492174116.06166101</v>
      </c>
      <c r="I218" s="5">
        <v>382552585.26464802</v>
      </c>
      <c r="J218" s="5">
        <v>376588355.85976398</v>
      </c>
      <c r="K218" s="5">
        <v>151880724.80946401</v>
      </c>
      <c r="L218" s="5">
        <v>505542176.63231301</v>
      </c>
      <c r="M218" s="5">
        <v>794106281.64879405</v>
      </c>
      <c r="N218" s="5">
        <v>478013739.24174601</v>
      </c>
      <c r="O218" s="5">
        <v>625925703.94405603</v>
      </c>
      <c r="P218" s="5">
        <v>624685719.11607301</v>
      </c>
      <c r="Q218" s="5">
        <v>283550404.31085801</v>
      </c>
      <c r="R218" s="5">
        <v>118936744.89969499</v>
      </c>
      <c r="S218" s="5">
        <v>228655664.13915601</v>
      </c>
      <c r="T218" s="5">
        <v>854550127.67111194</v>
      </c>
      <c r="U218" s="5">
        <v>741367643.26430595</v>
      </c>
      <c r="V218" s="5">
        <v>1442425236.88833</v>
      </c>
      <c r="W218" s="5">
        <v>363264079.734918</v>
      </c>
      <c r="X218" s="5">
        <v>664395232.17247796</v>
      </c>
      <c r="Y218" s="5">
        <v>1338659401.4887099</v>
      </c>
      <c r="Z218" s="5">
        <v>594947007.86843395</v>
      </c>
      <c r="AA218" s="5">
        <v>604952823.04112005</v>
      </c>
      <c r="AB218" s="5">
        <v>592967907.95910501</v>
      </c>
      <c r="AC218" s="5">
        <v>581158944.40670097</v>
      </c>
    </row>
    <row r="219" spans="1:29" x14ac:dyDescent="0.45">
      <c r="A219" s="5" t="s">
        <v>319</v>
      </c>
      <c r="B219" s="5">
        <v>33605175.298680998</v>
      </c>
      <c r="C219" s="5">
        <v>42612261.215213999</v>
      </c>
      <c r="D219" s="5">
        <v>38654869.396232203</v>
      </c>
      <c r="E219" s="5">
        <v>26961589.727321401</v>
      </c>
      <c r="F219" s="5">
        <v>30331025.049956199</v>
      </c>
      <c r="G219" s="5">
        <v>41895778.412493199</v>
      </c>
      <c r="H219" s="5">
        <v>30716537.648105599</v>
      </c>
      <c r="I219" s="5">
        <v>11522888.791979199</v>
      </c>
      <c r="J219" s="5">
        <v>19827008.507835001</v>
      </c>
      <c r="K219" s="5">
        <v>6798100.7512486698</v>
      </c>
      <c r="L219" s="5">
        <v>25195238.448576398</v>
      </c>
      <c r="M219" s="5">
        <v>26175777.093370799</v>
      </c>
      <c r="N219" s="5">
        <v>49133135.234479703</v>
      </c>
      <c r="O219" s="5">
        <v>28604179.842927601</v>
      </c>
      <c r="P219" s="5">
        <v>37621691.803132802</v>
      </c>
      <c r="Q219" s="5">
        <v>30806946.686105799</v>
      </c>
      <c r="R219" s="5">
        <v>17992467.668777902</v>
      </c>
      <c r="S219" s="5">
        <v>34226959.1830386</v>
      </c>
      <c r="T219" s="5">
        <v>36211841.797929801</v>
      </c>
      <c r="U219" s="5">
        <v>30071049.849615</v>
      </c>
      <c r="V219" s="5">
        <v>35770932.762038201</v>
      </c>
      <c r="W219" s="5">
        <v>24693830.714589</v>
      </c>
      <c r="X219" s="5">
        <v>11349664.0684001</v>
      </c>
      <c r="Y219" s="5">
        <v>39772847.656125799</v>
      </c>
      <c r="Z219" s="5">
        <v>28635161.089118101</v>
      </c>
      <c r="AA219" s="5">
        <v>27205366.8977452</v>
      </c>
      <c r="AB219" s="5">
        <v>29511914.054259501</v>
      </c>
      <c r="AC219" s="5">
        <v>28926090.935991101</v>
      </c>
    </row>
    <row r="220" spans="1:29" x14ac:dyDescent="0.45">
      <c r="A220" s="5" t="s">
        <v>213</v>
      </c>
      <c r="B220" s="5">
        <v>40362101.676200897</v>
      </c>
      <c r="C220" s="5">
        <v>26662459.714505099</v>
      </c>
      <c r="D220" s="5">
        <v>42404743.879307501</v>
      </c>
      <c r="E220" s="5">
        <v>44667442.1054416</v>
      </c>
      <c r="F220" s="5">
        <v>13309369.8618694</v>
      </c>
      <c r="G220" s="5">
        <v>36934230.730435103</v>
      </c>
      <c r="H220" s="5">
        <v>27714886.9572489</v>
      </c>
      <c r="I220" s="5">
        <v>105916798.09985</v>
      </c>
      <c r="J220" s="5">
        <v>56599713.877476901</v>
      </c>
      <c r="K220" s="5">
        <v>28787305.058211099</v>
      </c>
      <c r="L220" s="5">
        <v>41739852.4374706</v>
      </c>
      <c r="M220" s="5">
        <v>46045696.246740498</v>
      </c>
      <c r="N220" s="5">
        <v>32748668.655185498</v>
      </c>
      <c r="O220" s="5">
        <v>20117006.8099657</v>
      </c>
      <c r="P220" s="5">
        <v>29056255.974590801</v>
      </c>
      <c r="Q220" s="5">
        <v>35056947.945920698</v>
      </c>
      <c r="R220" s="5">
        <v>56551511.380467303</v>
      </c>
      <c r="S220" s="5">
        <v>35914281.751860701</v>
      </c>
      <c r="T220" s="5">
        <v>36828887.6444043</v>
      </c>
      <c r="U220" s="5">
        <v>28159991.010128099</v>
      </c>
      <c r="V220" s="5">
        <v>29148053.864820499</v>
      </c>
      <c r="W220" s="5">
        <v>31273296.2184528</v>
      </c>
      <c r="X220" s="5">
        <v>38418718.833892599</v>
      </c>
      <c r="Y220" s="5">
        <v>26770507.414874502</v>
      </c>
      <c r="Z220" s="5">
        <v>33277542.428862099</v>
      </c>
      <c r="AA220" s="5">
        <v>34642606.386183098</v>
      </c>
      <c r="AB220" s="5">
        <v>31716672.473778199</v>
      </c>
      <c r="AC220" s="5">
        <v>32584803.942020901</v>
      </c>
    </row>
    <row r="221" spans="1:29" x14ac:dyDescent="0.45">
      <c r="A221" s="5" t="s">
        <v>320</v>
      </c>
      <c r="B221" s="5">
        <v>47112453.265125602</v>
      </c>
      <c r="C221" s="5">
        <v>47107461.980685703</v>
      </c>
      <c r="D221" s="5">
        <v>43415471.988931596</v>
      </c>
      <c r="E221" s="5">
        <v>55080840.618427098</v>
      </c>
      <c r="F221" s="5">
        <v>54517311.677077502</v>
      </c>
      <c r="G221" s="5">
        <v>51886644.879692703</v>
      </c>
      <c r="H221" s="5">
        <v>56880746.549405903</v>
      </c>
      <c r="I221" s="5">
        <v>82019756.277835503</v>
      </c>
      <c r="J221" s="5">
        <v>58390017.899083696</v>
      </c>
      <c r="K221" s="5">
        <v>90196085.516886696</v>
      </c>
      <c r="L221" s="5">
        <v>103171145.138548</v>
      </c>
      <c r="M221" s="5">
        <v>86876889.543715507</v>
      </c>
      <c r="N221" s="5">
        <v>55371446.319388799</v>
      </c>
      <c r="O221" s="5">
        <v>40486508.571003899</v>
      </c>
      <c r="P221" s="5">
        <v>58338381.058255501</v>
      </c>
      <c r="Q221" s="5">
        <v>34558529.076571897</v>
      </c>
      <c r="R221" s="5">
        <v>76118133.812398493</v>
      </c>
      <c r="S221" s="5">
        <v>37473168.532928601</v>
      </c>
      <c r="T221" s="5">
        <v>80684235.949369296</v>
      </c>
      <c r="U221" s="5">
        <v>71430399.559277907</v>
      </c>
      <c r="V221" s="5">
        <v>72733936.446301505</v>
      </c>
      <c r="W221" s="5">
        <v>55238887.665342197</v>
      </c>
      <c r="X221" s="5">
        <v>93923349.877645701</v>
      </c>
      <c r="Y221" s="5">
        <v>57706258.160053603</v>
      </c>
      <c r="Z221" s="5">
        <v>55178678.254427597</v>
      </c>
      <c r="AA221" s="5">
        <v>49648438.817542396</v>
      </c>
      <c r="AB221" s="5">
        <v>51480042.263206497</v>
      </c>
      <c r="AC221" s="5">
        <v>52098469.033306003</v>
      </c>
    </row>
    <row r="222" spans="1:29" x14ac:dyDescent="0.45">
      <c r="A222" s="5" t="s">
        <v>321</v>
      </c>
      <c r="B222" s="5">
        <v>7026044.7399188597</v>
      </c>
      <c r="C222" s="5">
        <v>4881154.6726000896</v>
      </c>
      <c r="D222" s="5">
        <v>11858086.781446399</v>
      </c>
      <c r="E222" s="5">
        <v>14134498.978996299</v>
      </c>
      <c r="F222" s="5">
        <v>18369488.773297001</v>
      </c>
      <c r="G222" s="5">
        <v>16072636.417440699</v>
      </c>
      <c r="H222" s="5">
        <v>11611547.895542899</v>
      </c>
      <c r="I222" s="5">
        <v>115564358.101383</v>
      </c>
      <c r="J222" s="5">
        <v>23508253.158812501</v>
      </c>
      <c r="K222" s="5">
        <v>1124151649.67939</v>
      </c>
      <c r="L222" s="5">
        <v>8687251.0941281095</v>
      </c>
      <c r="M222" s="5">
        <v>17915396.7215987</v>
      </c>
      <c r="N222" s="5">
        <v>12239678.126645301</v>
      </c>
      <c r="O222" s="5">
        <v>9114896.6977523006</v>
      </c>
      <c r="P222" s="5">
        <v>4759897.3104929598</v>
      </c>
      <c r="Q222" s="5">
        <v>5663152.5917724799</v>
      </c>
      <c r="R222" s="5">
        <v>26492735.429795101</v>
      </c>
      <c r="S222" s="5">
        <v>9011372.1849378292</v>
      </c>
      <c r="T222" s="5">
        <v>13769222.206298901</v>
      </c>
      <c r="U222" s="5">
        <v>8762490.6005803999</v>
      </c>
      <c r="V222" s="5">
        <v>7329862.0840108804</v>
      </c>
      <c r="W222" s="5">
        <v>6251414.1537069101</v>
      </c>
      <c r="X222" s="5">
        <v>8633828.2052903809</v>
      </c>
      <c r="Y222" s="5">
        <v>3507365.9980389699</v>
      </c>
      <c r="Z222" s="5">
        <v>28830042.544276301</v>
      </c>
      <c r="AA222" s="5">
        <v>27909043.1758724</v>
      </c>
      <c r="AB222" s="5">
        <v>29147534.853596099</v>
      </c>
      <c r="AC222" s="5">
        <v>29350713.601390202</v>
      </c>
    </row>
    <row r="223" spans="1:29" x14ac:dyDescent="0.45">
      <c r="A223" s="5" t="s">
        <v>322</v>
      </c>
      <c r="B223" s="5">
        <v>86916471.479619294</v>
      </c>
      <c r="C223" s="5">
        <v>207406230.52121201</v>
      </c>
      <c r="D223" s="5">
        <v>120284016.25345001</v>
      </c>
      <c r="E223" s="5">
        <v>94962784.147588402</v>
      </c>
      <c r="F223" s="5">
        <v>95824595.547428697</v>
      </c>
      <c r="G223" s="5">
        <v>124444635.44169</v>
      </c>
      <c r="H223" s="5">
        <v>171260758.41895601</v>
      </c>
      <c r="I223" s="5">
        <v>125337899.860616</v>
      </c>
      <c r="J223" s="5">
        <v>98510954.129569605</v>
      </c>
      <c r="K223" s="5">
        <v>264516277.95216599</v>
      </c>
      <c r="L223" s="5">
        <v>241575241.953688</v>
      </c>
      <c r="M223" s="5">
        <v>220907915.15642899</v>
      </c>
      <c r="N223" s="5">
        <v>530523032.10036802</v>
      </c>
      <c r="O223" s="5">
        <v>364970596.45880198</v>
      </c>
      <c r="P223" s="5">
        <v>199143756.70678601</v>
      </c>
      <c r="Q223" s="5">
        <v>363834402.45390803</v>
      </c>
      <c r="R223" s="5">
        <v>109965401.67360801</v>
      </c>
      <c r="S223" s="5">
        <v>177203405.29212201</v>
      </c>
      <c r="T223" s="5">
        <v>58300885.340309598</v>
      </c>
      <c r="U223" s="5">
        <v>142335561.608289</v>
      </c>
      <c r="V223" s="5">
        <v>254714712.715817</v>
      </c>
      <c r="W223" s="5">
        <v>231695801.341445</v>
      </c>
      <c r="X223" s="5">
        <v>378828874.99545199</v>
      </c>
      <c r="Y223" s="5">
        <v>155743364.04266101</v>
      </c>
      <c r="Z223" s="5">
        <v>209038650.75536999</v>
      </c>
      <c r="AA223" s="5">
        <v>205656686.322025</v>
      </c>
      <c r="AB223" s="5">
        <v>213022748.314816</v>
      </c>
      <c r="AC223" s="5">
        <v>210752649.881302</v>
      </c>
    </row>
    <row r="224" spans="1:29" x14ac:dyDescent="0.45">
      <c r="A224" s="5" t="s">
        <v>323</v>
      </c>
      <c r="B224" s="5">
        <v>18594763.304611299</v>
      </c>
      <c r="C224" s="5">
        <v>17125153.947305702</v>
      </c>
      <c r="D224" s="5">
        <v>21201216.022874001</v>
      </c>
      <c r="E224" s="5">
        <v>24761464.6614535</v>
      </c>
      <c r="F224" s="5">
        <v>15792062.236742999</v>
      </c>
      <c r="G224" s="5">
        <v>19890831.8938086</v>
      </c>
      <c r="H224" s="5">
        <v>28865683.690857101</v>
      </c>
      <c r="I224" s="5">
        <v>23379283.3190764</v>
      </c>
      <c r="J224" s="5">
        <v>34567173.549089</v>
      </c>
      <c r="K224" s="5">
        <v>18063975.268909901</v>
      </c>
      <c r="L224" s="5">
        <v>23018900.675731301</v>
      </c>
      <c r="M224" s="5">
        <v>21044524.011073299</v>
      </c>
      <c r="N224" s="5">
        <v>7441316.7115818104</v>
      </c>
      <c r="O224" s="5">
        <v>6221586.03237426</v>
      </c>
      <c r="P224" s="5">
        <v>13817404.774822799</v>
      </c>
      <c r="Q224" s="5">
        <v>31269393.973419201</v>
      </c>
      <c r="R224" s="5">
        <v>34960482.396237597</v>
      </c>
      <c r="S224" s="5">
        <v>28837656.757189099</v>
      </c>
      <c r="T224" s="5">
        <v>45254638.931652397</v>
      </c>
      <c r="U224" s="5">
        <v>29950179.481122199</v>
      </c>
      <c r="V224" s="5">
        <v>56911322.485550299</v>
      </c>
      <c r="W224" s="5">
        <v>32099772.040578801</v>
      </c>
      <c r="X224" s="5">
        <v>501791406.56715101</v>
      </c>
      <c r="Y224" s="5">
        <v>20681311.8568797</v>
      </c>
      <c r="Z224" s="5">
        <v>23473527.995737899</v>
      </c>
      <c r="AA224" s="5">
        <v>18058102.943526901</v>
      </c>
      <c r="AB224" s="5">
        <v>20465408.648497202</v>
      </c>
      <c r="AC224" s="5">
        <v>24959101.933661401</v>
      </c>
    </row>
    <row r="225" spans="1:29" x14ac:dyDescent="0.45">
      <c r="A225" s="5" t="s">
        <v>324</v>
      </c>
      <c r="B225" s="5">
        <v>6540728.0642289696</v>
      </c>
      <c r="C225" s="5">
        <v>6402522.1279753996</v>
      </c>
      <c r="D225" s="5">
        <v>6449237.3804462701</v>
      </c>
      <c r="E225" s="5">
        <v>7344488.7624158598</v>
      </c>
      <c r="F225" s="5">
        <v>6712413.8412693003</v>
      </c>
      <c r="G225" s="5">
        <v>6320276.2335683098</v>
      </c>
      <c r="H225" s="5">
        <v>65338561.467068203</v>
      </c>
      <c r="I225" s="5">
        <v>166428981.34955499</v>
      </c>
      <c r="J225" s="5">
        <v>4997316.6558779199</v>
      </c>
      <c r="K225" s="5">
        <v>118338356.95175999</v>
      </c>
      <c r="L225" s="5">
        <v>97264305.160085693</v>
      </c>
      <c r="M225" s="5">
        <v>97353185.301532403</v>
      </c>
      <c r="N225" s="5">
        <v>6236424.8298676396</v>
      </c>
      <c r="O225" s="5">
        <v>5941505.8323262203</v>
      </c>
      <c r="P225" s="5">
        <v>6757071.1548663396</v>
      </c>
      <c r="Q225" s="5">
        <v>5603086.7302739499</v>
      </c>
      <c r="R225" s="5">
        <v>7085822.4518498201</v>
      </c>
      <c r="S225" s="5">
        <v>5792062.0999686001</v>
      </c>
      <c r="T225" s="5">
        <v>7045806.2082605204</v>
      </c>
      <c r="U225" s="5">
        <v>7469241.6911485102</v>
      </c>
      <c r="V225" s="5">
        <v>77955996.564343303</v>
      </c>
      <c r="W225" s="5">
        <v>5550284.2393847303</v>
      </c>
      <c r="X225" s="5">
        <v>11643744.349977201</v>
      </c>
      <c r="Y225" s="5">
        <v>6741426.1244468503</v>
      </c>
      <c r="Z225" s="5">
        <v>20550901.000040598</v>
      </c>
      <c r="AA225" s="5">
        <v>20460027.424961001</v>
      </c>
      <c r="AB225" s="5">
        <v>22159656.4065657</v>
      </c>
      <c r="AC225" s="5">
        <v>21936253.751697101</v>
      </c>
    </row>
    <row r="226" spans="1:29" x14ac:dyDescent="0.45">
      <c r="A226" s="5" t="s">
        <v>214</v>
      </c>
      <c r="B226" s="5">
        <v>71792682.338155299</v>
      </c>
      <c r="C226" s="5">
        <v>45668917.736268997</v>
      </c>
      <c r="D226" s="5">
        <v>50336422.3524772</v>
      </c>
      <c r="E226" s="5">
        <v>111879172.43376701</v>
      </c>
      <c r="F226" s="5">
        <v>61142017.184266403</v>
      </c>
      <c r="G226" s="5">
        <v>60461207.746822298</v>
      </c>
      <c r="H226" s="5">
        <v>93520501.015348807</v>
      </c>
      <c r="I226" s="5">
        <v>14130702.1811444</v>
      </c>
      <c r="J226" s="5">
        <v>53932797.103941299</v>
      </c>
      <c r="K226" s="5">
        <v>21236622.3225177</v>
      </c>
      <c r="L226" s="5">
        <v>53903034.519158103</v>
      </c>
      <c r="M226" s="5">
        <v>56563213.791838497</v>
      </c>
      <c r="N226" s="5">
        <v>97784480.296033293</v>
      </c>
      <c r="O226" s="5">
        <v>44886637.659341902</v>
      </c>
      <c r="P226" s="5">
        <v>69820541.742549896</v>
      </c>
      <c r="Q226" s="5">
        <v>21542472.7904264</v>
      </c>
      <c r="R226" s="5">
        <v>115805349.869699</v>
      </c>
      <c r="S226" s="5">
        <v>48252910.334624201</v>
      </c>
      <c r="T226" s="5">
        <v>100794994.540574</v>
      </c>
      <c r="U226" s="5">
        <v>103206824.658977</v>
      </c>
      <c r="V226" s="5">
        <v>144334057.86193299</v>
      </c>
      <c r="W226" s="5">
        <v>86554254.428355694</v>
      </c>
      <c r="X226" s="5">
        <v>111548945.917192</v>
      </c>
      <c r="Y226" s="5">
        <v>99965778.426892698</v>
      </c>
      <c r="Z226" s="5">
        <v>47322726.517696798</v>
      </c>
      <c r="AA226" s="5">
        <v>53756852.622497901</v>
      </c>
      <c r="AB226" s="5">
        <v>51660146.157138199</v>
      </c>
      <c r="AC226" s="5">
        <v>53497538.375158198</v>
      </c>
    </row>
    <row r="227" spans="1:29" x14ac:dyDescent="0.45">
      <c r="A227" s="5" t="s">
        <v>215</v>
      </c>
      <c r="B227" s="5">
        <v>12870810.5623472</v>
      </c>
      <c r="C227" s="5">
        <v>7668358.9082820397</v>
      </c>
      <c r="D227" s="5">
        <v>21337411.437095899</v>
      </c>
      <c r="E227" s="5">
        <v>24315620.887152001</v>
      </c>
      <c r="F227" s="5">
        <v>24156618.890223902</v>
      </c>
      <c r="G227" s="5">
        <v>13686733.6681145</v>
      </c>
      <c r="H227" s="5">
        <v>15347468.0154252</v>
      </c>
      <c r="I227" s="5">
        <v>55242688.669222698</v>
      </c>
      <c r="J227" s="5">
        <v>30849445.294357799</v>
      </c>
      <c r="K227" s="5">
        <v>504038609.90532398</v>
      </c>
      <c r="L227" s="5">
        <v>22172231.1845905</v>
      </c>
      <c r="M227" s="5">
        <v>8079190.95658057</v>
      </c>
      <c r="N227" s="5">
        <v>8188236.0657441895</v>
      </c>
      <c r="O227" s="5">
        <v>14315899.4860989</v>
      </c>
      <c r="P227" s="5">
        <v>19641760.638056502</v>
      </c>
      <c r="Q227" s="5">
        <v>19668366.488603901</v>
      </c>
      <c r="R227" s="5">
        <v>18258562.3743046</v>
      </c>
      <c r="S227" s="5">
        <v>13341652.2795885</v>
      </c>
      <c r="T227" s="5">
        <v>15103366.655327501</v>
      </c>
      <c r="U227" s="5">
        <v>34917331.148159698</v>
      </c>
      <c r="V227" s="5">
        <v>16618141.549251299</v>
      </c>
      <c r="W227" s="5">
        <v>30533651.7890407</v>
      </c>
      <c r="X227" s="5">
        <v>93058056.445905894</v>
      </c>
      <c r="Y227" s="5">
        <v>24434602.084185399</v>
      </c>
      <c r="Z227" s="5">
        <v>27597510.536231302</v>
      </c>
      <c r="AA227" s="5">
        <v>27288023.464237299</v>
      </c>
      <c r="AB227" s="5">
        <v>27969819.911095802</v>
      </c>
      <c r="AC227" s="5">
        <v>28687790.1550363</v>
      </c>
    </row>
    <row r="228" spans="1:29" x14ac:dyDescent="0.45">
      <c r="A228" s="5" t="s">
        <v>325</v>
      </c>
      <c r="B228" s="5">
        <v>49148129.073230401</v>
      </c>
      <c r="C228" s="5">
        <v>286910092.47723597</v>
      </c>
      <c r="D228" s="5">
        <v>107595673.037862</v>
      </c>
      <c r="E228" s="5">
        <v>50106576.356536902</v>
      </c>
      <c r="F228" s="5">
        <v>42973080.795151398</v>
      </c>
      <c r="G228" s="5">
        <v>24934239.348620798</v>
      </c>
      <c r="H228" s="5">
        <v>65898979.590562403</v>
      </c>
      <c r="I228" s="5">
        <v>514860197.49444902</v>
      </c>
      <c r="J228" s="5">
        <v>91374405.081631005</v>
      </c>
      <c r="K228" s="5">
        <v>241385963.323282</v>
      </c>
      <c r="L228" s="5">
        <v>95824551.677861303</v>
      </c>
      <c r="M228" s="5">
        <v>67917138.496460199</v>
      </c>
      <c r="N228" s="5">
        <v>325945394.79554302</v>
      </c>
      <c r="O228" s="5">
        <v>406702935.710769</v>
      </c>
      <c r="P228" s="5">
        <v>271784301.92551398</v>
      </c>
      <c r="Q228" s="5">
        <v>653589696.58817196</v>
      </c>
      <c r="R228" s="5">
        <v>216746404.35569599</v>
      </c>
      <c r="S228" s="5">
        <v>201476490.27590099</v>
      </c>
      <c r="T228" s="5">
        <v>86789166.012842104</v>
      </c>
      <c r="U228" s="5">
        <v>213425833.842666</v>
      </c>
      <c r="V228" s="5">
        <v>303695297.45014799</v>
      </c>
      <c r="W228" s="5">
        <v>111012358.96881799</v>
      </c>
      <c r="X228" s="5">
        <v>334513497.10255402</v>
      </c>
      <c r="Y228" s="5">
        <v>83908482.795865595</v>
      </c>
      <c r="Z228" s="5">
        <v>219378217.272257</v>
      </c>
      <c r="AA228" s="5">
        <v>214344798.72055501</v>
      </c>
      <c r="AB228" s="5">
        <v>219403958.27932799</v>
      </c>
      <c r="AC228" s="5">
        <v>220842344.438131</v>
      </c>
    </row>
    <row r="229" spans="1:29" x14ac:dyDescent="0.45">
      <c r="A229" s="5" t="s">
        <v>216</v>
      </c>
      <c r="B229" s="5">
        <v>4401656.2774759801</v>
      </c>
      <c r="C229" s="5">
        <v>6502137.3904566597</v>
      </c>
      <c r="D229" s="5">
        <v>4946582.1431830404</v>
      </c>
      <c r="E229" s="5">
        <v>4358037.3916046396</v>
      </c>
      <c r="F229" s="5">
        <v>4148138.5549383</v>
      </c>
      <c r="G229" s="5">
        <v>4422400.9379623504</v>
      </c>
      <c r="H229" s="5">
        <v>4431232.4185397103</v>
      </c>
      <c r="I229" s="5">
        <v>7588614.9037056696</v>
      </c>
      <c r="J229" s="5">
        <v>3203784.7157739499</v>
      </c>
      <c r="K229" s="5">
        <v>19518792.168547101</v>
      </c>
      <c r="L229" s="5">
        <v>15928748.6322002</v>
      </c>
      <c r="M229" s="5">
        <v>31193965.534579098</v>
      </c>
      <c r="N229" s="5">
        <v>12887279.652482999</v>
      </c>
      <c r="O229" s="5">
        <v>15680573.9245806</v>
      </c>
      <c r="P229" s="5">
        <v>11461894.907907899</v>
      </c>
      <c r="Q229" s="5">
        <v>26487036.656587198</v>
      </c>
      <c r="R229" s="5">
        <v>7828397.9762442699</v>
      </c>
      <c r="S229" s="5">
        <v>5096589.6072471002</v>
      </c>
      <c r="T229" s="5">
        <v>4163964.78369419</v>
      </c>
      <c r="U229" s="5">
        <v>5414985.6285498198</v>
      </c>
      <c r="V229" s="5">
        <v>8466751.0377955195</v>
      </c>
      <c r="W229" s="5">
        <v>12597094.879635399</v>
      </c>
      <c r="X229" s="5">
        <v>5226633.7861391203</v>
      </c>
      <c r="Y229" s="5">
        <v>9905579.2884540595</v>
      </c>
      <c r="Z229" s="5">
        <v>12977726.9365157</v>
      </c>
      <c r="AA229" s="5">
        <v>12314052.106349301</v>
      </c>
      <c r="AB229" s="5">
        <v>13036424.034773801</v>
      </c>
      <c r="AC229" s="5">
        <v>15349372.3672622</v>
      </c>
    </row>
    <row r="230" spans="1:29" x14ac:dyDescent="0.45">
      <c r="A230" s="5" t="s">
        <v>217</v>
      </c>
      <c r="B230" s="5">
        <v>321648943.54448098</v>
      </c>
      <c r="C230" s="5">
        <v>231258563.18919301</v>
      </c>
      <c r="D230" s="5">
        <v>247606129.92958501</v>
      </c>
      <c r="E230" s="5">
        <v>279729142.89907402</v>
      </c>
      <c r="F230" s="5">
        <v>294794547.90203398</v>
      </c>
      <c r="G230" s="5">
        <v>237513069.127518</v>
      </c>
      <c r="H230" s="5">
        <v>261434373.73833999</v>
      </c>
      <c r="I230" s="5">
        <v>238101995.78780699</v>
      </c>
      <c r="J230" s="5">
        <v>283238380.55171502</v>
      </c>
      <c r="K230" s="5">
        <v>235984238.75192001</v>
      </c>
      <c r="L230" s="5">
        <v>354973487.64539897</v>
      </c>
      <c r="M230" s="5">
        <v>303320138.02118498</v>
      </c>
      <c r="N230" s="5">
        <v>225677751.016417</v>
      </c>
      <c r="O230" s="5">
        <v>183163035.20132101</v>
      </c>
      <c r="P230" s="5">
        <v>267641402.973405</v>
      </c>
      <c r="Q230" s="5">
        <v>203894157.46318701</v>
      </c>
      <c r="R230" s="5">
        <v>342775254.21469599</v>
      </c>
      <c r="S230" s="5">
        <v>274284821.94540203</v>
      </c>
      <c r="T230" s="5">
        <v>333345159.61996299</v>
      </c>
      <c r="U230" s="5">
        <v>292350413.26087803</v>
      </c>
      <c r="V230" s="5">
        <v>250429079.844491</v>
      </c>
      <c r="W230" s="5">
        <v>322678920.196253</v>
      </c>
      <c r="X230" s="5">
        <v>215890857.609938</v>
      </c>
      <c r="Y230" s="5">
        <v>360175055.62889701</v>
      </c>
      <c r="Z230" s="5">
        <v>226561693.66377601</v>
      </c>
      <c r="AA230" s="5">
        <v>248025602.04455999</v>
      </c>
      <c r="AB230" s="5">
        <v>242842689.08795601</v>
      </c>
      <c r="AC230" s="5">
        <v>249378731.33714101</v>
      </c>
    </row>
    <row r="231" spans="1:29" x14ac:dyDescent="0.45">
      <c r="A231" s="5" t="s">
        <v>326</v>
      </c>
      <c r="B231" s="5">
        <v>1324414.80927749</v>
      </c>
      <c r="C231" s="5">
        <v>2155054.9408922601</v>
      </c>
      <c r="D231" s="5">
        <v>1895645.0863339</v>
      </c>
      <c r="E231" s="5">
        <v>2019747.4866550399</v>
      </c>
      <c r="F231" s="5">
        <v>1539412.80528245</v>
      </c>
      <c r="G231" s="5">
        <v>3476588.3504953501</v>
      </c>
      <c r="H231" s="5">
        <v>3051799.06080367</v>
      </c>
      <c r="I231" s="5">
        <v>3592721.9129528301</v>
      </c>
      <c r="J231" s="5">
        <v>1738933.1256784899</v>
      </c>
      <c r="K231" s="5">
        <v>39256090.104790099</v>
      </c>
      <c r="L231" s="5">
        <v>2814505.2081100899</v>
      </c>
      <c r="M231" s="5">
        <v>4602763.1441063397</v>
      </c>
      <c r="N231" s="5">
        <v>1479753.11132527</v>
      </c>
      <c r="O231" s="5">
        <v>3674084.4872813602</v>
      </c>
      <c r="P231" s="5">
        <v>2884076.07261763</v>
      </c>
      <c r="Q231" s="5">
        <v>47758542.4402529</v>
      </c>
      <c r="R231" s="5">
        <v>1635812.56449457</v>
      </c>
      <c r="S231" s="5">
        <v>3303661.95316851</v>
      </c>
      <c r="T231" s="5">
        <v>3556263.94476027</v>
      </c>
      <c r="U231" s="5">
        <v>4206551.8877198901</v>
      </c>
      <c r="V231" s="5">
        <v>6037586.9166778997</v>
      </c>
      <c r="W231" s="5">
        <v>2405324.1573246298</v>
      </c>
      <c r="X231" s="5">
        <v>2754164.83191839</v>
      </c>
      <c r="Y231" s="5">
        <v>2297264.0887082098</v>
      </c>
      <c r="Z231" s="5">
        <v>7977571.7945636697</v>
      </c>
      <c r="AA231" s="5">
        <v>8327256.4067472201</v>
      </c>
      <c r="AB231" s="5">
        <v>8287580.0048829103</v>
      </c>
      <c r="AC231" s="5">
        <v>8087517.7760400698</v>
      </c>
    </row>
    <row r="232" spans="1:29" x14ac:dyDescent="0.45">
      <c r="A232" s="5" t="s">
        <v>218</v>
      </c>
      <c r="B232" s="5">
        <v>38644203.239529997</v>
      </c>
      <c r="C232" s="5">
        <v>27019494.202798899</v>
      </c>
      <c r="D232" s="5">
        <v>91023474.818819702</v>
      </c>
      <c r="E232" s="5">
        <v>54066814.614148699</v>
      </c>
      <c r="F232" s="5">
        <v>64618740.547430001</v>
      </c>
      <c r="G232" s="5">
        <v>40935765.840799898</v>
      </c>
      <c r="H232" s="5">
        <v>23512860.664116502</v>
      </c>
      <c r="I232" s="5">
        <v>143413683.31112701</v>
      </c>
      <c r="J232" s="5">
        <v>76034816.067236304</v>
      </c>
      <c r="K232" s="5">
        <v>104001713.903327</v>
      </c>
      <c r="L232" s="5">
        <v>83559660.713082105</v>
      </c>
      <c r="M232" s="5">
        <v>39464928.017073303</v>
      </c>
      <c r="N232" s="5">
        <v>25992409.681423299</v>
      </c>
      <c r="O232" s="5">
        <v>35655733.282881297</v>
      </c>
      <c r="P232" s="5">
        <v>38736528.762235798</v>
      </c>
      <c r="Q232" s="5">
        <v>34664964.1862422</v>
      </c>
      <c r="R232" s="5">
        <v>86231051.371012196</v>
      </c>
      <c r="S232" s="5">
        <v>62830355.612266399</v>
      </c>
      <c r="T232" s="5">
        <v>37548180.016026698</v>
      </c>
      <c r="U232" s="5">
        <v>31744431.589226</v>
      </c>
      <c r="V232" s="5">
        <v>22688305.253278799</v>
      </c>
      <c r="W232" s="5">
        <v>27324630.630663399</v>
      </c>
      <c r="X232" s="5">
        <v>74124945.130036101</v>
      </c>
      <c r="Y232" s="5">
        <v>21721185.3792287</v>
      </c>
      <c r="Z232" s="5">
        <v>43051604.930297598</v>
      </c>
      <c r="AA232" s="5">
        <v>40657945.820138603</v>
      </c>
      <c r="AB232" s="5">
        <v>41790201.996537797</v>
      </c>
      <c r="AC232" s="5">
        <v>41219711.902254403</v>
      </c>
    </row>
    <row r="233" spans="1:29" x14ac:dyDescent="0.45">
      <c r="A233" s="5" t="s">
        <v>219</v>
      </c>
      <c r="B233" s="5">
        <v>16077806.640705001</v>
      </c>
      <c r="C233" s="5">
        <v>31880295.618472099</v>
      </c>
      <c r="D233" s="5">
        <v>10182356.5300729</v>
      </c>
      <c r="E233" s="5">
        <v>16345631.318434</v>
      </c>
      <c r="F233" s="5">
        <v>56747454.270602301</v>
      </c>
      <c r="G233" s="5">
        <v>23391798.961212002</v>
      </c>
      <c r="H233" s="5">
        <v>13072664.840758201</v>
      </c>
      <c r="I233" s="5">
        <v>45980587.426064499</v>
      </c>
      <c r="J233" s="5">
        <v>6316183.8749168599</v>
      </c>
      <c r="K233" s="5">
        <v>146072563.61658499</v>
      </c>
      <c r="L233" s="5">
        <v>78804489.106308207</v>
      </c>
      <c r="M233" s="5">
        <v>20621355.216076501</v>
      </c>
      <c r="N233" s="5">
        <v>63508770.291410796</v>
      </c>
      <c r="O233" s="5">
        <v>19985200.189543899</v>
      </c>
      <c r="P233" s="5">
        <v>14811334.007520501</v>
      </c>
      <c r="Q233" s="5">
        <v>53651975.544826701</v>
      </c>
      <c r="R233" s="5">
        <v>50979340.314342</v>
      </c>
      <c r="S233" s="5">
        <v>12463403.435455101</v>
      </c>
      <c r="T233" s="5">
        <v>47714063.585843198</v>
      </c>
      <c r="U233" s="5">
        <v>51859854.903737597</v>
      </c>
      <c r="V233" s="5">
        <v>28079504.946670901</v>
      </c>
      <c r="W233" s="5">
        <v>26610809.610040698</v>
      </c>
      <c r="X233" s="5">
        <v>29039065.131979398</v>
      </c>
      <c r="Y233" s="5">
        <v>44336548.0975376</v>
      </c>
      <c r="Z233" s="5">
        <v>31420113.544671699</v>
      </c>
      <c r="AA233" s="5">
        <v>32716572.5213085</v>
      </c>
      <c r="AB233" s="5">
        <v>30887453.723927099</v>
      </c>
      <c r="AC233" s="5">
        <v>31854132.864602402</v>
      </c>
    </row>
    <row r="234" spans="1:29" x14ac:dyDescent="0.45">
      <c r="A234" s="5" t="s">
        <v>220</v>
      </c>
      <c r="B234" s="5">
        <v>294808334.23219597</v>
      </c>
      <c r="C234" s="5">
        <v>187081656.34331501</v>
      </c>
      <c r="D234" s="5">
        <v>240547632.60992301</v>
      </c>
      <c r="E234" s="5">
        <v>322153761.36679298</v>
      </c>
      <c r="F234" s="5">
        <v>240466671.53537199</v>
      </c>
      <c r="G234" s="5">
        <v>208766162.13178799</v>
      </c>
      <c r="H234" s="5">
        <v>346764624.75825</v>
      </c>
      <c r="I234" s="5">
        <v>45718822.139105499</v>
      </c>
      <c r="J234" s="5">
        <v>277519788.63996601</v>
      </c>
      <c r="K234" s="5">
        <v>101820415.89126</v>
      </c>
      <c r="L234" s="5">
        <v>184721703.940826</v>
      </c>
      <c r="M234" s="5">
        <v>225926173.34773299</v>
      </c>
      <c r="N234" s="5">
        <v>207310022.374228</v>
      </c>
      <c r="O234" s="5">
        <v>157736481.882148</v>
      </c>
      <c r="P234" s="5">
        <v>247838514.09367901</v>
      </c>
      <c r="Q234" s="5">
        <v>94073796.820577696</v>
      </c>
      <c r="R234" s="5">
        <v>269718621.42933202</v>
      </c>
      <c r="S234" s="5">
        <v>173587818.67318901</v>
      </c>
      <c r="T234" s="5">
        <v>375315767.14255899</v>
      </c>
      <c r="U234" s="5">
        <v>396858839.30906099</v>
      </c>
      <c r="V234" s="5">
        <v>376952968.51639497</v>
      </c>
      <c r="W234" s="5">
        <v>219810189.29570401</v>
      </c>
      <c r="X234" s="5">
        <v>8654922.9846343193</v>
      </c>
      <c r="Y234" s="5">
        <v>231820416.54574099</v>
      </c>
      <c r="Z234" s="5">
        <v>185958169.33763799</v>
      </c>
      <c r="AA234" s="5">
        <v>194168596.395895</v>
      </c>
      <c r="AB234" s="5">
        <v>182494063.58223701</v>
      </c>
      <c r="AC234" s="5">
        <v>186039214.26288199</v>
      </c>
    </row>
    <row r="235" spans="1:29" x14ac:dyDescent="0.45">
      <c r="A235" s="5" t="s">
        <v>327</v>
      </c>
      <c r="B235" s="5">
        <v>7798845.14576024</v>
      </c>
      <c r="C235" s="5">
        <v>95469246.034259006</v>
      </c>
      <c r="D235" s="5">
        <v>29774877.296946999</v>
      </c>
      <c r="E235" s="5">
        <v>13529210.1280002</v>
      </c>
      <c r="F235" s="5">
        <v>6084182.38785352</v>
      </c>
      <c r="G235" s="5">
        <v>47917198.5694227</v>
      </c>
      <c r="H235" s="5">
        <v>56937345.392467</v>
      </c>
      <c r="I235" s="5">
        <v>341497.507292594</v>
      </c>
      <c r="J235" s="5">
        <v>9287625.0796989202</v>
      </c>
      <c r="K235" s="5">
        <v>18480649.589028101</v>
      </c>
      <c r="L235" s="5">
        <v>8128068.2436259203</v>
      </c>
      <c r="M235" s="5">
        <v>118757750.68673</v>
      </c>
      <c r="N235" s="5">
        <v>103828139.091893</v>
      </c>
      <c r="O235" s="5">
        <v>100261963.00775801</v>
      </c>
      <c r="P235" s="5">
        <v>33609493.694527201</v>
      </c>
      <c r="Q235" s="5">
        <v>121265506.39820801</v>
      </c>
      <c r="R235" s="5">
        <v>3204695.1005337099</v>
      </c>
      <c r="S235" s="5">
        <v>57363175.979932897</v>
      </c>
      <c r="T235" s="5">
        <v>10834457.1919457</v>
      </c>
      <c r="U235" s="5">
        <v>51071447.714282699</v>
      </c>
      <c r="V235" s="5">
        <v>77598033.519597903</v>
      </c>
      <c r="W235" s="5">
        <v>34521607.495109603</v>
      </c>
      <c r="X235" s="5">
        <v>1177384.128217</v>
      </c>
      <c r="Y235" s="5">
        <v>23346064.9170634</v>
      </c>
      <c r="Z235" s="5">
        <v>42817571.910716198</v>
      </c>
      <c r="AA235" s="5">
        <v>42885807.650711097</v>
      </c>
      <c r="AB235" s="5">
        <v>43994710.599131897</v>
      </c>
      <c r="AC235" s="5">
        <v>44429124.924486198</v>
      </c>
    </row>
    <row r="236" spans="1:29" x14ac:dyDescent="0.45">
      <c r="A236" s="5" t="s">
        <v>221</v>
      </c>
      <c r="B236" s="5">
        <v>156788465.769921</v>
      </c>
      <c r="C236" s="5">
        <v>131691629.230736</v>
      </c>
      <c r="D236" s="5">
        <v>239781996.05028799</v>
      </c>
      <c r="E236" s="5">
        <v>173155093.21545199</v>
      </c>
      <c r="F236" s="5">
        <v>166237510.17317</v>
      </c>
      <c r="G236" s="5">
        <v>132668038.874145</v>
      </c>
      <c r="H236" s="5">
        <v>179446481.08201</v>
      </c>
      <c r="I236" s="5">
        <v>652239077.123703</v>
      </c>
      <c r="J236" s="5">
        <v>340896471.38736099</v>
      </c>
      <c r="K236" s="5">
        <v>112204314.007038</v>
      </c>
      <c r="L236" s="5">
        <v>241175031.59661001</v>
      </c>
      <c r="M236" s="5">
        <v>110775115.59364399</v>
      </c>
      <c r="N236" s="5">
        <v>234774342.49081501</v>
      </c>
      <c r="O236" s="5">
        <v>348395645.00677699</v>
      </c>
      <c r="P236" s="5">
        <v>384943313.61133301</v>
      </c>
      <c r="Q236" s="5">
        <v>135545595.51431301</v>
      </c>
      <c r="R236" s="5">
        <v>213926945.07847601</v>
      </c>
      <c r="S236" s="5">
        <v>252978953.49040899</v>
      </c>
      <c r="T236" s="5">
        <v>296595997.56676197</v>
      </c>
      <c r="U236" s="5">
        <v>201137931.14718601</v>
      </c>
      <c r="V236" s="5">
        <v>300429774.56911302</v>
      </c>
      <c r="W236" s="5">
        <v>239200271.51786101</v>
      </c>
      <c r="X236" s="5">
        <v>448766148.65517998</v>
      </c>
      <c r="Y236" s="5">
        <v>270183201.87787998</v>
      </c>
      <c r="Z236" s="5">
        <v>191332564.800001</v>
      </c>
      <c r="AA236" s="5">
        <v>215442537.114876</v>
      </c>
      <c r="AB236" s="5">
        <v>209290110.52570799</v>
      </c>
      <c r="AC236" s="5">
        <v>224967594.61829901</v>
      </c>
    </row>
    <row r="237" spans="1:29" x14ac:dyDescent="0.45">
      <c r="A237" s="5" t="s">
        <v>222</v>
      </c>
      <c r="B237" s="5">
        <v>23545939.995729402</v>
      </c>
      <c r="C237" s="5">
        <v>25855177.999557901</v>
      </c>
      <c r="D237" s="5">
        <v>24649904.980619099</v>
      </c>
      <c r="E237" s="5">
        <v>16492227.1555943</v>
      </c>
      <c r="F237" s="5">
        <v>21897105.691688601</v>
      </c>
      <c r="G237" s="5">
        <v>16240187.164364999</v>
      </c>
      <c r="H237" s="5">
        <v>22779659.7472362</v>
      </c>
      <c r="I237" s="5">
        <v>25624189.987051301</v>
      </c>
      <c r="J237" s="5">
        <v>15010457.6406342</v>
      </c>
      <c r="K237" s="5">
        <v>55179068.699329004</v>
      </c>
      <c r="L237" s="5">
        <v>35478743.509295098</v>
      </c>
      <c r="M237" s="5">
        <v>22832828.989848301</v>
      </c>
      <c r="N237" s="5">
        <v>35978535.740659498</v>
      </c>
      <c r="O237" s="5">
        <v>39225843.672450997</v>
      </c>
      <c r="P237" s="5">
        <v>38878567.124104798</v>
      </c>
      <c r="Q237" s="5">
        <v>25320238.446094502</v>
      </c>
      <c r="R237" s="5">
        <v>23978849.021143399</v>
      </c>
      <c r="S237" s="5">
        <v>24801248.017405599</v>
      </c>
      <c r="T237" s="5">
        <v>27711881.868765902</v>
      </c>
      <c r="U237" s="5">
        <v>24896952.171909701</v>
      </c>
      <c r="V237" s="5">
        <v>24281461.6303441</v>
      </c>
      <c r="W237" s="5">
        <v>26729815.694196202</v>
      </c>
      <c r="X237" s="5">
        <v>48249277.496152401</v>
      </c>
      <c r="Y237" s="5">
        <v>25742909.9916698</v>
      </c>
      <c r="Z237" s="5">
        <v>24012044.385696501</v>
      </c>
      <c r="AA237" s="5">
        <v>23818996.654672202</v>
      </c>
      <c r="AB237" s="5">
        <v>24344218.442276899</v>
      </c>
      <c r="AC237" s="5">
        <v>25175936.0416946</v>
      </c>
    </row>
    <row r="238" spans="1:29" x14ac:dyDescent="0.45">
      <c r="A238" s="5" t="s">
        <v>223</v>
      </c>
      <c r="B238" s="5">
        <v>62986322.2786064</v>
      </c>
      <c r="C238" s="5">
        <v>165526679.27479401</v>
      </c>
      <c r="D238" s="5">
        <v>105539642.066443</v>
      </c>
      <c r="E238" s="5">
        <v>125686577.726202</v>
      </c>
      <c r="F238" s="5">
        <v>23011544.8340717</v>
      </c>
      <c r="G238" s="5">
        <v>133163510.50917301</v>
      </c>
      <c r="H238" s="5">
        <v>113794772.625192</v>
      </c>
      <c r="I238" s="5">
        <v>83051755.185466602</v>
      </c>
      <c r="J238" s="5">
        <v>81850154.0645376</v>
      </c>
      <c r="K238" s="5">
        <v>52180097.286868997</v>
      </c>
      <c r="L238" s="5">
        <v>57989032.3285667</v>
      </c>
      <c r="M238" s="5">
        <v>234292589.93583599</v>
      </c>
      <c r="N238" s="5">
        <v>194176037.59265101</v>
      </c>
      <c r="O238" s="5">
        <v>142236297.796556</v>
      </c>
      <c r="P238" s="5">
        <v>155007365.01717401</v>
      </c>
      <c r="Q238" s="5">
        <v>280739106.50377202</v>
      </c>
      <c r="R238" s="5">
        <v>110909003.475841</v>
      </c>
      <c r="S238" s="5">
        <v>187135731.617302</v>
      </c>
      <c r="T238" s="5">
        <v>67180239.424423203</v>
      </c>
      <c r="U238" s="5">
        <v>186830969.04029101</v>
      </c>
      <c r="V238" s="5">
        <v>238241995.57509801</v>
      </c>
      <c r="W238" s="5">
        <v>105228116.77034</v>
      </c>
      <c r="X238" s="5">
        <v>291480038.138942</v>
      </c>
      <c r="Y238" s="5">
        <v>103627023.130505</v>
      </c>
      <c r="Z238" s="5">
        <v>138422174.04789799</v>
      </c>
      <c r="AA238" s="5">
        <v>142085710.27858201</v>
      </c>
      <c r="AB238" s="5">
        <v>143386520.92436901</v>
      </c>
      <c r="AC238" s="5">
        <v>141741783.969203</v>
      </c>
    </row>
    <row r="239" spans="1:29" x14ac:dyDescent="0.45">
      <c r="A239" s="5" t="s">
        <v>224</v>
      </c>
      <c r="B239" s="5">
        <v>159320082.472673</v>
      </c>
      <c r="C239" s="5">
        <v>394468659.92775601</v>
      </c>
      <c r="D239" s="5">
        <v>228783387.43317899</v>
      </c>
      <c r="E239" s="5">
        <v>242947513.76931399</v>
      </c>
      <c r="F239" s="5">
        <v>260755670.35119101</v>
      </c>
      <c r="G239" s="5">
        <v>463435543.36579901</v>
      </c>
      <c r="H239" s="5">
        <v>568909671.36974299</v>
      </c>
      <c r="I239" s="5">
        <v>440900517.31311798</v>
      </c>
      <c r="J239" s="5">
        <v>227762074.39824599</v>
      </c>
      <c r="K239" s="5">
        <v>334934972.239106</v>
      </c>
      <c r="L239" s="5">
        <v>241274370.350593</v>
      </c>
      <c r="M239" s="5">
        <v>728584154.470402</v>
      </c>
      <c r="N239" s="5">
        <v>1032681952.01652</v>
      </c>
      <c r="O239" s="5">
        <v>916337865.51050401</v>
      </c>
      <c r="P239" s="5">
        <v>671292175.27813804</v>
      </c>
      <c r="Q239" s="5">
        <v>872743550.24633098</v>
      </c>
      <c r="R239" s="5">
        <v>204034299.63126501</v>
      </c>
      <c r="S239" s="5">
        <v>641029094.20013499</v>
      </c>
      <c r="T239" s="5">
        <v>311930517.38392001</v>
      </c>
      <c r="U239" s="5">
        <v>702448256.296875</v>
      </c>
      <c r="V239" s="5">
        <v>1034716623.8073601</v>
      </c>
      <c r="W239" s="5">
        <v>623868454.73610401</v>
      </c>
      <c r="X239" s="5">
        <v>513845864.60563803</v>
      </c>
      <c r="Y239" s="5">
        <v>514429591.30576903</v>
      </c>
      <c r="Z239" s="5">
        <v>458351470.32714897</v>
      </c>
      <c r="AA239" s="5">
        <v>569412721.24371004</v>
      </c>
      <c r="AB239" s="5">
        <v>505560024.32640302</v>
      </c>
      <c r="AC239" s="5">
        <v>582328994.00939298</v>
      </c>
    </row>
    <row r="240" spans="1:29" x14ac:dyDescent="0.45">
      <c r="A240" s="5" t="s">
        <v>225</v>
      </c>
      <c r="B240" s="5">
        <v>1127403.2162657401</v>
      </c>
      <c r="C240" s="5">
        <v>2951129.3361893301</v>
      </c>
      <c r="D240" s="5">
        <v>2190918.13241727</v>
      </c>
      <c r="E240" s="5">
        <v>1241170.7390121401</v>
      </c>
      <c r="F240" s="5">
        <v>858479.08851714199</v>
      </c>
      <c r="G240" s="5">
        <v>1562641.2126859201</v>
      </c>
      <c r="H240" s="5">
        <v>2060153.13508347</v>
      </c>
      <c r="I240" s="5">
        <v>2142843.7463185801</v>
      </c>
      <c r="J240" s="5">
        <v>1339135.50600707</v>
      </c>
      <c r="K240" s="5">
        <v>2493209.0725824502</v>
      </c>
      <c r="L240" s="5">
        <v>3692497.6010754802</v>
      </c>
      <c r="M240" s="5">
        <v>2183473.95389095</v>
      </c>
      <c r="N240" s="5">
        <v>1632776.2924407199</v>
      </c>
      <c r="O240" s="5">
        <v>1697458.9535735999</v>
      </c>
      <c r="P240" s="5">
        <v>1318448.4693064201</v>
      </c>
      <c r="Q240" s="5">
        <v>4267986.1685662204</v>
      </c>
      <c r="R240" s="5">
        <v>3730103.54054482</v>
      </c>
      <c r="S240" s="5">
        <v>2736983.9970310298</v>
      </c>
      <c r="T240" s="5">
        <v>932782.90347572905</v>
      </c>
      <c r="U240" s="5">
        <v>1415694.3092122199</v>
      </c>
      <c r="V240" s="5">
        <v>1233601.6404186699</v>
      </c>
      <c r="W240" s="5">
        <v>1493383.9022083301</v>
      </c>
      <c r="X240" s="5">
        <v>3455430.4875210901</v>
      </c>
      <c r="Y240" s="5">
        <v>1313262.91265311</v>
      </c>
      <c r="Z240" s="5">
        <v>1964393.6926812199</v>
      </c>
      <c r="AA240" s="5">
        <v>2081383.8541422901</v>
      </c>
      <c r="AB240" s="5">
        <v>1981558.72882809</v>
      </c>
      <c r="AC240" s="5">
        <v>2032603.33011382</v>
      </c>
    </row>
    <row r="241" spans="1:29" x14ac:dyDescent="0.45">
      <c r="A241" s="5" t="s">
        <v>226</v>
      </c>
      <c r="B241" s="5">
        <v>126294603.42513201</v>
      </c>
      <c r="C241" s="5">
        <v>265935253.44190499</v>
      </c>
      <c r="D241" s="5">
        <v>228843072.651218</v>
      </c>
      <c r="E241" s="5">
        <v>245725762.61750901</v>
      </c>
      <c r="F241" s="5">
        <v>35956171.563624598</v>
      </c>
      <c r="G241" s="5">
        <v>141963185.169608</v>
      </c>
      <c r="H241" s="5">
        <v>183440406.40384799</v>
      </c>
      <c r="I241" s="5">
        <v>207086517.37147599</v>
      </c>
      <c r="J241" s="5">
        <v>163225630.24371299</v>
      </c>
      <c r="K241" s="5">
        <v>117189945.439807</v>
      </c>
      <c r="L241" s="5">
        <v>78923334.299797595</v>
      </c>
      <c r="M241" s="5">
        <v>435246334.80072099</v>
      </c>
      <c r="N241" s="5">
        <v>335357636.31840801</v>
      </c>
      <c r="O241" s="5">
        <v>237010102.83533099</v>
      </c>
      <c r="P241" s="5">
        <v>356026658.80235898</v>
      </c>
      <c r="Q241" s="5">
        <v>596116076.29901195</v>
      </c>
      <c r="R241" s="5">
        <v>257814486.346286</v>
      </c>
      <c r="S241" s="5">
        <v>389045724.38249701</v>
      </c>
      <c r="T241" s="5">
        <v>85918798.831374601</v>
      </c>
      <c r="U241" s="5">
        <v>146999744.41313499</v>
      </c>
      <c r="V241" s="5">
        <v>247283140.89245301</v>
      </c>
      <c r="W241" s="5">
        <v>241375299.693782</v>
      </c>
      <c r="X241" s="5">
        <v>729905384.00601006</v>
      </c>
      <c r="Y241" s="5">
        <v>212890765.92951801</v>
      </c>
      <c r="Z241" s="5">
        <v>256879695.49056801</v>
      </c>
      <c r="AA241" s="5">
        <v>249429611.703336</v>
      </c>
      <c r="AB241" s="5">
        <v>249223500.84322599</v>
      </c>
      <c r="AC241" s="5">
        <v>260361191.648974</v>
      </c>
    </row>
    <row r="242" spans="1:29" x14ac:dyDescent="0.45">
      <c r="A242" s="5" t="s">
        <v>227</v>
      </c>
      <c r="B242" s="5">
        <v>1357433.8232625199</v>
      </c>
      <c r="C242" s="5">
        <v>8690756.2433930691</v>
      </c>
      <c r="D242" s="5">
        <v>2557974.4957549898</v>
      </c>
      <c r="E242" s="5">
        <v>1232126.49662189</v>
      </c>
      <c r="F242" s="5">
        <v>858685.28870383196</v>
      </c>
      <c r="G242" s="5">
        <v>3118934.8132502902</v>
      </c>
      <c r="H242" s="5">
        <v>3462502.07983024</v>
      </c>
      <c r="I242" s="5">
        <v>615762.55900927703</v>
      </c>
      <c r="J242" s="5">
        <v>854939.72189642105</v>
      </c>
      <c r="K242" s="5">
        <v>570686.31666926795</v>
      </c>
      <c r="L242" s="5">
        <v>989875.66764656105</v>
      </c>
      <c r="M242" s="5">
        <v>2935075.2102713902</v>
      </c>
      <c r="N242" s="5">
        <v>7845321.0415782304</v>
      </c>
      <c r="O242" s="5">
        <v>9322962.5500087496</v>
      </c>
      <c r="P242" s="5">
        <v>4583791.6414869204</v>
      </c>
      <c r="Q242" s="5">
        <v>6053880.3572658803</v>
      </c>
      <c r="R242" s="5">
        <v>791786.18700969603</v>
      </c>
      <c r="S242" s="5">
        <v>4570195.4869344803</v>
      </c>
      <c r="T242" s="5">
        <v>1300004.6600333899</v>
      </c>
      <c r="U242" s="5">
        <v>2462442.3002906302</v>
      </c>
      <c r="V242" s="5">
        <v>4688685.2154573901</v>
      </c>
      <c r="W242" s="5">
        <v>2813151.26633156</v>
      </c>
      <c r="X242" s="5">
        <v>466755.88507900498</v>
      </c>
      <c r="Y242" s="5">
        <v>2659047.5012759301</v>
      </c>
      <c r="Z242" s="5">
        <v>3967094.3825602401</v>
      </c>
      <c r="AA242" s="5">
        <v>3773016.1849481901</v>
      </c>
      <c r="AB242" s="5">
        <v>3908412.47902263</v>
      </c>
      <c r="AC242" s="5">
        <v>3887033.35616878</v>
      </c>
    </row>
    <row r="243" spans="1:29" x14ac:dyDescent="0.45">
      <c r="A243" s="5" t="s">
        <v>228</v>
      </c>
      <c r="B243" s="5">
        <v>74985578.258953795</v>
      </c>
      <c r="C243" s="5">
        <v>43466038.046881698</v>
      </c>
      <c r="D243" s="5">
        <v>63887585.872532003</v>
      </c>
      <c r="E243" s="5">
        <v>84422363.781815797</v>
      </c>
      <c r="F243" s="5">
        <v>79150190.345845401</v>
      </c>
      <c r="G243" s="5">
        <v>60892942.477800198</v>
      </c>
      <c r="H243" s="5">
        <v>69516300.590918496</v>
      </c>
      <c r="I243" s="5">
        <v>47484034.719413698</v>
      </c>
      <c r="J243" s="5">
        <v>68822757.426072299</v>
      </c>
      <c r="K243" s="5">
        <v>73084323.127028003</v>
      </c>
      <c r="L243" s="5">
        <v>70711176.918281093</v>
      </c>
      <c r="M243" s="5">
        <v>86359100.181299999</v>
      </c>
      <c r="N243" s="5">
        <v>71566733.729886293</v>
      </c>
      <c r="O243" s="5">
        <v>47811780.136480801</v>
      </c>
      <c r="P243" s="5">
        <v>74543601.067231596</v>
      </c>
      <c r="Q243" s="5">
        <v>37115962.333115101</v>
      </c>
      <c r="R243" s="5">
        <v>77977491.832641497</v>
      </c>
      <c r="S243" s="5">
        <v>49012932.039834999</v>
      </c>
      <c r="T243" s="5">
        <v>93373902.501222506</v>
      </c>
      <c r="U243" s="5">
        <v>86756860.953673199</v>
      </c>
      <c r="V243" s="5">
        <v>75714094.659940496</v>
      </c>
      <c r="W243" s="5">
        <v>79782620.040537402</v>
      </c>
      <c r="X243" s="5">
        <v>18721611.133853201</v>
      </c>
      <c r="Y243" s="5">
        <v>88422530.944185004</v>
      </c>
      <c r="Z243" s="5">
        <v>53305446.607867397</v>
      </c>
      <c r="AA243" s="5">
        <v>54604846.610565104</v>
      </c>
      <c r="AB243" s="5">
        <v>55019209.699964598</v>
      </c>
      <c r="AC243" s="5">
        <v>55256619.254661299</v>
      </c>
    </row>
    <row r="244" spans="1:29" x14ac:dyDescent="0.45">
      <c r="A244" s="5" t="s">
        <v>229</v>
      </c>
      <c r="B244" s="5">
        <v>37191650.979121499</v>
      </c>
      <c r="C244" s="5">
        <v>29126043.330316599</v>
      </c>
      <c r="D244" s="5">
        <v>34470845.789531797</v>
      </c>
      <c r="E244" s="5">
        <v>37498854.064549103</v>
      </c>
      <c r="F244" s="5">
        <v>46141161.142001599</v>
      </c>
      <c r="G244" s="5">
        <v>37131226.910354502</v>
      </c>
      <c r="H244" s="5">
        <v>32131121.973296501</v>
      </c>
      <c r="I244" s="5">
        <v>22933964.6477523</v>
      </c>
      <c r="J244" s="5">
        <v>33725164.500692599</v>
      </c>
      <c r="K244" s="5">
        <v>27824718.912554901</v>
      </c>
      <c r="L244" s="5">
        <v>36856503.371976897</v>
      </c>
      <c r="M244" s="5">
        <v>24575135.579525001</v>
      </c>
      <c r="N244" s="5">
        <v>40986084.210999399</v>
      </c>
      <c r="O244" s="5">
        <v>38426484.309202597</v>
      </c>
      <c r="P244" s="5">
        <v>23199256.952461001</v>
      </c>
      <c r="Q244" s="5">
        <v>29523238.893192001</v>
      </c>
      <c r="R244" s="5">
        <v>52501705.899308302</v>
      </c>
      <c r="S244" s="5">
        <v>33325299.358673502</v>
      </c>
      <c r="T244" s="5">
        <v>39307646.612306803</v>
      </c>
      <c r="U244" s="5">
        <v>34181524.717279002</v>
      </c>
      <c r="V244" s="5">
        <v>32418286.368685801</v>
      </c>
      <c r="W244" s="5">
        <v>40564648.813926101</v>
      </c>
      <c r="X244" s="5">
        <v>31244524.207042299</v>
      </c>
      <c r="Y244" s="5">
        <v>46501529.930215403</v>
      </c>
      <c r="Z244" s="5">
        <v>29395010.446629498</v>
      </c>
      <c r="AA244" s="5">
        <v>31167364.222055901</v>
      </c>
      <c r="AB244" s="5">
        <v>31558170.215727799</v>
      </c>
      <c r="AC244" s="5">
        <v>32933309.065305699</v>
      </c>
    </row>
    <row r="245" spans="1:29" x14ac:dyDescent="0.45">
      <c r="A245" s="5" t="s">
        <v>328</v>
      </c>
      <c r="B245" s="5">
        <v>5626790877.1588697</v>
      </c>
      <c r="C245" s="5">
        <v>3465736502.5732498</v>
      </c>
      <c r="D245" s="5">
        <v>3567273532.1220298</v>
      </c>
      <c r="E245" s="5">
        <v>3732803488.6703601</v>
      </c>
      <c r="F245" s="5">
        <v>3682941240.9921699</v>
      </c>
      <c r="G245" s="5">
        <v>3566127748.5764399</v>
      </c>
      <c r="H245" s="5">
        <v>4734727133.3495703</v>
      </c>
      <c r="I245" s="5">
        <v>9893741741.8131905</v>
      </c>
      <c r="J245" s="5">
        <v>6070935168.7337198</v>
      </c>
      <c r="K245" s="5">
        <v>4770804573.48703</v>
      </c>
      <c r="L245" s="5">
        <v>5787662908.9078398</v>
      </c>
      <c r="M245" s="5">
        <v>4207518297.34479</v>
      </c>
      <c r="N245" s="5">
        <v>2118125123.83968</v>
      </c>
      <c r="O245" s="5">
        <v>4915126015.5449495</v>
      </c>
      <c r="P245" s="5">
        <v>3138954794.63727</v>
      </c>
      <c r="Q245" s="5">
        <v>1955180090.45995</v>
      </c>
      <c r="R245" s="5">
        <v>3084082423.3383598</v>
      </c>
      <c r="S245" s="5">
        <v>2967315066.3971901</v>
      </c>
      <c r="T245" s="5">
        <v>4073788293.76266</v>
      </c>
      <c r="U245" s="5">
        <v>4878845598.5482998</v>
      </c>
      <c r="V245" s="5">
        <v>3507785650.0208201</v>
      </c>
      <c r="W245" s="5">
        <v>3696216927.0598302</v>
      </c>
      <c r="X245" s="5">
        <v>6786110909.7029896</v>
      </c>
      <c r="Y245" s="5">
        <v>3522223024.7860198</v>
      </c>
      <c r="Z245" s="5">
        <v>3536499343.6868401</v>
      </c>
      <c r="AA245" s="5">
        <v>3260772933.6040001</v>
      </c>
      <c r="AB245" s="5">
        <v>3420766234.6617699</v>
      </c>
      <c r="AC245" s="5">
        <v>3464537994.7233</v>
      </c>
    </row>
    <row r="246" spans="1:29" x14ac:dyDescent="0.45">
      <c r="A246" s="5" t="s">
        <v>329</v>
      </c>
      <c r="B246" s="5">
        <v>127550640.30282199</v>
      </c>
      <c r="C246" s="5">
        <v>64251936.638356604</v>
      </c>
      <c r="D246" s="5">
        <v>7407022.22322571</v>
      </c>
      <c r="E246" s="5">
        <v>12932146.8223243</v>
      </c>
      <c r="F246" s="5">
        <v>46690787.952367797</v>
      </c>
      <c r="G246" s="5">
        <v>11219267.158243701</v>
      </c>
      <c r="H246" s="5">
        <v>1770660.7534262899</v>
      </c>
      <c r="I246" s="5">
        <v>51876874.593170397</v>
      </c>
      <c r="J246" s="5">
        <v>3326218.4742039</v>
      </c>
      <c r="K246" s="5">
        <v>43814247.145040102</v>
      </c>
      <c r="L246" s="5">
        <v>8575449.9055770505</v>
      </c>
      <c r="M246" s="5">
        <v>7007096.9763685102</v>
      </c>
      <c r="N246" s="5">
        <v>8037272.8160295803</v>
      </c>
      <c r="O246" s="5">
        <v>110067555.36920901</v>
      </c>
      <c r="P246" s="5">
        <v>57588196.643383101</v>
      </c>
      <c r="Q246" s="5">
        <v>27469820.515684299</v>
      </c>
      <c r="R246" s="5">
        <v>42639551.545666203</v>
      </c>
      <c r="S246" s="5">
        <v>10773976.470079901</v>
      </c>
      <c r="T246" s="5">
        <v>165689234.24360999</v>
      </c>
      <c r="U246" s="5">
        <v>307162122.81997699</v>
      </c>
      <c r="V246" s="5">
        <v>448383960.24138498</v>
      </c>
      <c r="W246" s="5">
        <v>256014507.622628</v>
      </c>
      <c r="X246" s="5">
        <v>103040683.222853</v>
      </c>
      <c r="Y246" s="5">
        <v>204112246.043901</v>
      </c>
      <c r="Z246" s="5">
        <v>71445731.670082107</v>
      </c>
      <c r="AA246" s="5">
        <v>71864861.705779701</v>
      </c>
      <c r="AB246" s="5">
        <v>78494449.141583294</v>
      </c>
      <c r="AC246" s="5">
        <v>77790846.014373094</v>
      </c>
    </row>
    <row r="247" spans="1:29" x14ac:dyDescent="0.45">
      <c r="A247" s="5" t="s">
        <v>230</v>
      </c>
      <c r="B247" s="5">
        <v>92126627.3495197</v>
      </c>
      <c r="C247" s="5">
        <v>66380507.292870998</v>
      </c>
      <c r="D247" s="5">
        <v>47239560.046717599</v>
      </c>
      <c r="E247" s="5">
        <v>35836466.698160201</v>
      </c>
      <c r="F247" s="5">
        <v>53251924.450575501</v>
      </c>
      <c r="G247" s="5">
        <v>49266151.329655699</v>
      </c>
      <c r="H247" s="5">
        <v>49969445.124034397</v>
      </c>
      <c r="I247" s="5">
        <v>56746961.718232103</v>
      </c>
      <c r="J247" s="5">
        <v>32658169.6128118</v>
      </c>
      <c r="K247" s="5">
        <v>43581840.664274</v>
      </c>
      <c r="L247" s="5">
        <v>76245940.048027605</v>
      </c>
      <c r="M247" s="5">
        <v>32656024.2551542</v>
      </c>
      <c r="N247" s="5">
        <v>103013797.05442201</v>
      </c>
      <c r="O247" s="5">
        <v>125700685.516058</v>
      </c>
      <c r="P247" s="5">
        <v>179762015.76420301</v>
      </c>
      <c r="Q247" s="5">
        <v>78454035.224531204</v>
      </c>
      <c r="R247" s="5">
        <v>47630056.0817343</v>
      </c>
      <c r="S247" s="5">
        <v>83026782.268267706</v>
      </c>
      <c r="T247" s="5">
        <v>86754926.854011402</v>
      </c>
      <c r="U247" s="5">
        <v>119458172.922628</v>
      </c>
      <c r="V247" s="5">
        <v>115063211.82359</v>
      </c>
      <c r="W247" s="5">
        <v>83285936.956133395</v>
      </c>
      <c r="X247" s="5">
        <v>414430324.30640203</v>
      </c>
      <c r="Y247" s="5">
        <v>101492170.730947</v>
      </c>
      <c r="Z247" s="5">
        <v>70272501.047698706</v>
      </c>
      <c r="AA247" s="5">
        <v>74980072.496165693</v>
      </c>
      <c r="AB247" s="5">
        <v>68315821.731106207</v>
      </c>
      <c r="AC247" s="5">
        <v>72217657.633051902</v>
      </c>
    </row>
    <row r="248" spans="1:29" x14ac:dyDescent="0.45">
      <c r="A248" s="5" t="s">
        <v>330</v>
      </c>
      <c r="B248" s="5">
        <v>85763009.267025501</v>
      </c>
      <c r="C248" s="5">
        <v>47325183.9075903</v>
      </c>
      <c r="D248" s="5">
        <v>34121334.199858502</v>
      </c>
      <c r="E248" s="5">
        <v>32341820.575497501</v>
      </c>
      <c r="F248" s="5">
        <v>55324707.984478898</v>
      </c>
      <c r="G248" s="5">
        <v>27470095.8921858</v>
      </c>
      <c r="H248" s="5">
        <v>45289712.093412898</v>
      </c>
      <c r="I248" s="5">
        <v>84057601.918698996</v>
      </c>
      <c r="J248" s="5">
        <v>38308938.384355702</v>
      </c>
      <c r="K248" s="5">
        <v>41089004.699959598</v>
      </c>
      <c r="L248" s="5">
        <v>70341669.588472798</v>
      </c>
      <c r="M248" s="5">
        <v>16600100.361925799</v>
      </c>
      <c r="N248" s="5">
        <v>54703135.874077603</v>
      </c>
      <c r="O248" s="5">
        <v>106257801.96816801</v>
      </c>
      <c r="P248" s="5">
        <v>178410628.706267</v>
      </c>
      <c r="Q248" s="5">
        <v>49102476.570806302</v>
      </c>
      <c r="R248" s="5">
        <v>44080236.471970297</v>
      </c>
      <c r="S248" s="5">
        <v>64860400.976127401</v>
      </c>
      <c r="T248" s="5">
        <v>62882286.010680698</v>
      </c>
      <c r="U248" s="5">
        <v>102814792.822934</v>
      </c>
      <c r="V248" s="5">
        <v>102567931.42264099</v>
      </c>
      <c r="W248" s="5">
        <v>89716220.765604705</v>
      </c>
      <c r="X248" s="5">
        <v>954153628.565166</v>
      </c>
      <c r="Y248" s="5">
        <v>104012877.262668</v>
      </c>
      <c r="Z248" s="5">
        <v>60657117.841210902</v>
      </c>
      <c r="AA248" s="5">
        <v>59901424.443557397</v>
      </c>
      <c r="AB248" s="5">
        <v>64438392.940822303</v>
      </c>
      <c r="AC248" s="5">
        <v>60518445.914680697</v>
      </c>
    </row>
    <row r="249" spans="1:29" x14ac:dyDescent="0.45">
      <c r="A249" s="5" t="s">
        <v>231</v>
      </c>
      <c r="B249" s="5">
        <v>138944484.17657501</v>
      </c>
      <c r="C249" s="5">
        <v>92211528.596090004</v>
      </c>
      <c r="D249" s="5">
        <v>86789958.509829506</v>
      </c>
      <c r="E249" s="5">
        <v>157923115.09570801</v>
      </c>
      <c r="F249" s="5">
        <v>111788060.897927</v>
      </c>
      <c r="G249" s="5">
        <v>128430809.331174</v>
      </c>
      <c r="H249" s="5">
        <v>131146657.918198</v>
      </c>
      <c r="I249" s="5">
        <v>121535527.478136</v>
      </c>
      <c r="J249" s="5">
        <v>124979408.03166901</v>
      </c>
      <c r="K249" s="5">
        <v>55699434.852724597</v>
      </c>
      <c r="L249" s="5">
        <v>89755736.819871902</v>
      </c>
      <c r="M249" s="5">
        <v>146909300.17866701</v>
      </c>
      <c r="N249" s="5">
        <v>97426598.337981895</v>
      </c>
      <c r="O249" s="5">
        <v>77231407.368065402</v>
      </c>
      <c r="P249" s="5">
        <v>98160665.050582096</v>
      </c>
      <c r="Q249" s="5">
        <v>87735591.624734893</v>
      </c>
      <c r="R249" s="5">
        <v>106113917.05971301</v>
      </c>
      <c r="S249" s="5">
        <v>124078353.90680499</v>
      </c>
      <c r="T249" s="5">
        <v>141198677.01020101</v>
      </c>
      <c r="U249" s="5">
        <v>126249495.125847</v>
      </c>
      <c r="V249" s="5">
        <v>125067227.843053</v>
      </c>
      <c r="W249" s="5">
        <v>129630572.803624</v>
      </c>
      <c r="X249" s="5">
        <v>139980594.76931399</v>
      </c>
      <c r="Y249" s="5">
        <v>131922625.593795</v>
      </c>
      <c r="Z249" s="5">
        <v>90635688.730822295</v>
      </c>
      <c r="AA249" s="5">
        <v>99663848.855903998</v>
      </c>
      <c r="AB249" s="5">
        <v>98801990.788831398</v>
      </c>
      <c r="AC249" s="5">
        <v>102018652.935536</v>
      </c>
    </row>
    <row r="250" spans="1:29" x14ac:dyDescent="0.45">
      <c r="A250" s="5" t="s">
        <v>436</v>
      </c>
      <c r="B250" s="5">
        <v>14210043.7374568</v>
      </c>
      <c r="C250" s="5">
        <v>10559072.9274453</v>
      </c>
      <c r="D250" s="5">
        <v>12900221.939237</v>
      </c>
      <c r="E250" s="5">
        <v>18998305.994408701</v>
      </c>
      <c r="F250" s="5">
        <v>12304060.6608411</v>
      </c>
      <c r="G250" s="5">
        <v>13545841.1206668</v>
      </c>
      <c r="H250" s="5">
        <v>15000623.418429799</v>
      </c>
      <c r="I250" s="5">
        <v>4164944.6380196498</v>
      </c>
      <c r="J250" s="5">
        <v>11399273.367214199</v>
      </c>
      <c r="K250" s="5">
        <v>12189279.496474801</v>
      </c>
      <c r="L250" s="5">
        <v>14720895.859191</v>
      </c>
      <c r="M250" s="5">
        <v>13403103.843460299</v>
      </c>
      <c r="N250" s="5">
        <v>12174294.5303702</v>
      </c>
      <c r="O250" s="5">
        <v>8159336.5865465701</v>
      </c>
      <c r="P250" s="5">
        <v>10151337.9005736</v>
      </c>
      <c r="Q250" s="5">
        <v>16752985.1303964</v>
      </c>
      <c r="R250" s="5">
        <v>7383758.23919346</v>
      </c>
      <c r="S250" s="5">
        <v>10236413.3977558</v>
      </c>
      <c r="T250" s="5">
        <v>6595044.1795369396</v>
      </c>
      <c r="U250" s="5">
        <v>10988373.599764699</v>
      </c>
      <c r="V250" s="5">
        <v>14902233.837856101</v>
      </c>
      <c r="W250" s="5">
        <v>7332950.1578330602</v>
      </c>
      <c r="X250" s="5">
        <v>18872340.1352196</v>
      </c>
      <c r="Y250" s="5">
        <v>6834271.3849982703</v>
      </c>
      <c r="Z250" s="5">
        <v>11942241.266654599</v>
      </c>
      <c r="AA250" s="5">
        <v>14448551.399573</v>
      </c>
      <c r="AB250" s="5">
        <v>10911397.0289819</v>
      </c>
      <c r="AC250" s="5">
        <v>10990713.272593699</v>
      </c>
    </row>
    <row r="251" spans="1:29" x14ac:dyDescent="0.45">
      <c r="A251" s="5" t="s">
        <v>331</v>
      </c>
      <c r="B251" s="5">
        <v>114765819.960068</v>
      </c>
      <c r="C251" s="5">
        <v>39175360.652772203</v>
      </c>
      <c r="D251" s="5">
        <v>69874445.042078495</v>
      </c>
      <c r="E251" s="5">
        <v>50701190.500252202</v>
      </c>
      <c r="F251" s="5">
        <v>68873889.7006782</v>
      </c>
      <c r="G251" s="5">
        <v>59336455.562361702</v>
      </c>
      <c r="H251" s="5">
        <v>83010599.744507</v>
      </c>
      <c r="I251" s="5">
        <v>95152314.133097902</v>
      </c>
      <c r="J251" s="5">
        <v>40141611.264734797</v>
      </c>
      <c r="K251" s="5">
        <v>13488968.6142866</v>
      </c>
      <c r="L251" s="5">
        <v>26613494.477551501</v>
      </c>
      <c r="M251" s="5">
        <v>18859213.095603801</v>
      </c>
      <c r="N251" s="5">
        <v>23827834.981843598</v>
      </c>
      <c r="O251" s="5">
        <v>73755241.551486403</v>
      </c>
      <c r="P251" s="5">
        <v>127898721.901831</v>
      </c>
      <c r="Q251" s="5">
        <v>118370447.28621501</v>
      </c>
      <c r="R251" s="5">
        <v>41176649.427223697</v>
      </c>
      <c r="S251" s="5">
        <v>36882635.512151599</v>
      </c>
      <c r="T251" s="5">
        <v>16023850.167863401</v>
      </c>
      <c r="U251" s="5">
        <v>101486706.908779</v>
      </c>
      <c r="V251" s="5">
        <v>113080462.260012</v>
      </c>
      <c r="W251" s="5">
        <v>58911994.900165401</v>
      </c>
      <c r="X251" s="5">
        <v>48111543.309541799</v>
      </c>
      <c r="Y251" s="5">
        <v>110885505.713129</v>
      </c>
      <c r="Z251" s="5">
        <v>85038552.7387252</v>
      </c>
      <c r="AA251" s="5">
        <v>80399065.886721507</v>
      </c>
      <c r="AB251" s="5">
        <v>85919014.753594294</v>
      </c>
      <c r="AC251" s="5">
        <v>89232926.231917903</v>
      </c>
    </row>
    <row r="252" spans="1:29" x14ac:dyDescent="0.45">
      <c r="A252" s="5" t="s">
        <v>332</v>
      </c>
      <c r="B252" s="5">
        <v>262986733.95847201</v>
      </c>
      <c r="C252" s="5">
        <v>489051676.21349502</v>
      </c>
      <c r="D252" s="5">
        <v>358306360.56030399</v>
      </c>
      <c r="E252" s="5">
        <v>527794167.91130197</v>
      </c>
      <c r="F252" s="5">
        <v>396811741.52665699</v>
      </c>
      <c r="G252" s="5">
        <v>634809805.19306195</v>
      </c>
      <c r="H252" s="5">
        <v>72354302.142449901</v>
      </c>
      <c r="I252" s="5">
        <v>824832188.48879099</v>
      </c>
      <c r="J252" s="5">
        <v>85892976.720908105</v>
      </c>
      <c r="K252" s="5">
        <v>1188633800.5652201</v>
      </c>
      <c r="L252" s="5">
        <v>688552980.77983701</v>
      </c>
      <c r="M252" s="5">
        <v>1014685343.76934</v>
      </c>
      <c r="N252" s="5">
        <v>778857707.85294402</v>
      </c>
      <c r="O252" s="5">
        <v>766226258.52143502</v>
      </c>
      <c r="P252" s="5">
        <v>109163861.8159</v>
      </c>
      <c r="Q252" s="5">
        <v>966821956.75388801</v>
      </c>
      <c r="R252" s="5">
        <v>515958002.59425199</v>
      </c>
      <c r="S252" s="5">
        <v>645956172.73256099</v>
      </c>
      <c r="T252" s="5">
        <v>436343515.994066</v>
      </c>
      <c r="U252" s="5">
        <v>381093651.29325598</v>
      </c>
      <c r="V252" s="5">
        <v>665450373.84787095</v>
      </c>
      <c r="W252" s="5">
        <v>508550863.45848501</v>
      </c>
      <c r="X252" s="5">
        <v>359702479.98730201</v>
      </c>
      <c r="Y252" s="5">
        <v>102167958.208097</v>
      </c>
      <c r="Z252" s="5">
        <v>485084080.26686198</v>
      </c>
      <c r="AA252" s="5">
        <v>493502292.27017599</v>
      </c>
      <c r="AB252" s="5">
        <v>509841291.93701601</v>
      </c>
      <c r="AC252" s="5">
        <v>568660473.121153</v>
      </c>
    </row>
    <row r="253" spans="1:29" x14ac:dyDescent="0.45">
      <c r="A253" s="5" t="s">
        <v>232</v>
      </c>
      <c r="B253" s="5">
        <v>55871775.337176301</v>
      </c>
      <c r="C253" s="5">
        <v>64972397.232763</v>
      </c>
      <c r="D253" s="5">
        <v>59653759.5234816</v>
      </c>
      <c r="E253" s="5">
        <v>44221279.070024997</v>
      </c>
      <c r="F253" s="5">
        <v>40086089.203248903</v>
      </c>
      <c r="G253" s="5">
        <v>40706493.216229603</v>
      </c>
      <c r="H253" s="5">
        <v>34103409.985875599</v>
      </c>
      <c r="I253" s="5">
        <v>46674732.339450099</v>
      </c>
      <c r="J253" s="5">
        <v>38730607.199464299</v>
      </c>
      <c r="K253" s="5">
        <v>38291205.737084299</v>
      </c>
      <c r="L253" s="5">
        <v>47309453.022054002</v>
      </c>
      <c r="M253" s="5">
        <v>52458445.955123901</v>
      </c>
      <c r="N253" s="5">
        <v>47302522.520956002</v>
      </c>
      <c r="O253" s="5">
        <v>38657227.8985999</v>
      </c>
      <c r="P253" s="5">
        <v>35676684.476584502</v>
      </c>
      <c r="Q253" s="5">
        <v>51686658.399954699</v>
      </c>
      <c r="R253" s="5">
        <v>44237992.617314696</v>
      </c>
      <c r="S253" s="5">
        <v>30380689.424351301</v>
      </c>
      <c r="T253" s="5">
        <v>56490085.4974446</v>
      </c>
      <c r="U253" s="5">
        <v>42136502.439347498</v>
      </c>
      <c r="V253" s="5">
        <v>46232428.175630301</v>
      </c>
      <c r="W253" s="5">
        <v>41507965.075943999</v>
      </c>
      <c r="X253" s="5">
        <v>70825761.040665507</v>
      </c>
      <c r="Y253" s="5">
        <v>47069633.701681398</v>
      </c>
      <c r="Z253" s="5">
        <v>41457112.987767197</v>
      </c>
      <c r="AA253" s="5">
        <v>44721789.699268103</v>
      </c>
      <c r="AB253" s="5">
        <v>45536898.905358396</v>
      </c>
      <c r="AC253" s="5">
        <v>45895937.590863302</v>
      </c>
    </row>
    <row r="254" spans="1:29" x14ac:dyDescent="0.45">
      <c r="A254" s="5" t="s">
        <v>233</v>
      </c>
      <c r="B254" s="5">
        <v>41459820.949892901</v>
      </c>
      <c r="C254" s="5">
        <v>36080680.876679301</v>
      </c>
      <c r="D254" s="5">
        <v>38446963.355506703</v>
      </c>
      <c r="E254" s="5">
        <v>42672327.283749998</v>
      </c>
      <c r="F254" s="5">
        <v>12580185.212006999</v>
      </c>
      <c r="G254" s="5">
        <v>34458981.024747998</v>
      </c>
      <c r="H254" s="5">
        <v>71260849.369137496</v>
      </c>
      <c r="I254" s="5">
        <v>43832977.688502699</v>
      </c>
      <c r="J254" s="5">
        <v>71056947.486014798</v>
      </c>
      <c r="K254" s="5">
        <v>81883686.973279104</v>
      </c>
      <c r="L254" s="5">
        <v>78732641.342476696</v>
      </c>
      <c r="M254" s="5">
        <v>63584444.327519298</v>
      </c>
      <c r="N254" s="5">
        <v>67678953.460139707</v>
      </c>
      <c r="O254" s="5">
        <v>51558862.843108602</v>
      </c>
      <c r="P254" s="5">
        <v>75249662.291189998</v>
      </c>
      <c r="Q254" s="5">
        <v>66415231.501684301</v>
      </c>
      <c r="R254" s="5">
        <v>6707042.3210767005</v>
      </c>
      <c r="S254" s="5">
        <v>14863734.2335661</v>
      </c>
      <c r="T254" s="5">
        <v>48299184.203174502</v>
      </c>
      <c r="U254" s="5">
        <v>14725934.0245427</v>
      </c>
      <c r="V254" s="5">
        <v>37732128.079726703</v>
      </c>
      <c r="W254" s="5">
        <v>29067707.095440801</v>
      </c>
      <c r="X254" s="5">
        <v>120006070.690393</v>
      </c>
      <c r="Y254" s="5">
        <v>84441215.997224003</v>
      </c>
      <c r="Z254" s="5">
        <v>46158908.121953599</v>
      </c>
      <c r="AA254" s="5">
        <v>53470656.543783903</v>
      </c>
      <c r="AB254" s="5">
        <v>55743062.071127698</v>
      </c>
      <c r="AC254" s="5">
        <v>56571081.329717599</v>
      </c>
    </row>
    <row r="255" spans="1:29" x14ac:dyDescent="0.45">
      <c r="A255" s="5" t="s">
        <v>378</v>
      </c>
      <c r="B255" s="5">
        <v>474898771.96548498</v>
      </c>
      <c r="C255" s="5">
        <v>341748497.59010297</v>
      </c>
      <c r="D255" s="5">
        <v>739226386.529405</v>
      </c>
      <c r="E255" s="5">
        <v>593385292.967803</v>
      </c>
      <c r="F255" s="5">
        <v>767369043.67204404</v>
      </c>
      <c r="G255" s="5">
        <v>404057732.48083401</v>
      </c>
      <c r="H255" s="5">
        <v>251694493.53660601</v>
      </c>
      <c r="I255" s="5">
        <v>1054050293.71991</v>
      </c>
      <c r="J255" s="5">
        <v>1005474348.9592201</v>
      </c>
      <c r="K255" s="5">
        <v>689240458.13864994</v>
      </c>
      <c r="L255" s="5">
        <v>792204120.60487795</v>
      </c>
      <c r="M255" s="5">
        <v>352333048.43942499</v>
      </c>
      <c r="N255" s="5">
        <v>317881490.11160499</v>
      </c>
      <c r="O255" s="5">
        <v>725649372.02306998</v>
      </c>
      <c r="P255" s="5">
        <v>768343667.36440003</v>
      </c>
      <c r="Q255" s="5">
        <v>392086971.93076098</v>
      </c>
      <c r="R255" s="5">
        <v>1015462912.7279201</v>
      </c>
      <c r="S255" s="5">
        <v>680662567.04089499</v>
      </c>
      <c r="T255" s="5">
        <v>919986095.99613595</v>
      </c>
      <c r="U255" s="5">
        <v>679796651.82148898</v>
      </c>
      <c r="V255" s="5">
        <v>604223692.25599802</v>
      </c>
      <c r="W255" s="5">
        <v>570802705.80470204</v>
      </c>
      <c r="X255" s="5">
        <v>1022355027.2366199</v>
      </c>
      <c r="Y255" s="5">
        <v>607445664.60885096</v>
      </c>
      <c r="Z255" s="5">
        <v>505792700.51501298</v>
      </c>
      <c r="AA255" s="5">
        <v>509783036.89044797</v>
      </c>
      <c r="AB255" s="5">
        <v>524809368.58132702</v>
      </c>
      <c r="AC255" s="5">
        <v>509118171.59952098</v>
      </c>
    </row>
    <row r="256" spans="1:29" x14ac:dyDescent="0.45">
      <c r="A256" s="5" t="s">
        <v>234</v>
      </c>
      <c r="B256" s="5">
        <v>12376251.9165377</v>
      </c>
      <c r="C256" s="5">
        <v>58749427.968371697</v>
      </c>
      <c r="D256" s="5">
        <v>20487923.476082601</v>
      </c>
      <c r="E256" s="5">
        <v>17938087.257099699</v>
      </c>
      <c r="F256" s="5">
        <v>17030173.578673601</v>
      </c>
      <c r="G256" s="5">
        <v>38277421.9029456</v>
      </c>
      <c r="H256" s="5">
        <v>39617079.473384403</v>
      </c>
      <c r="I256" s="5">
        <v>24286153.160613298</v>
      </c>
      <c r="J256" s="5">
        <v>17291181.923510201</v>
      </c>
      <c r="K256" s="5">
        <v>25033146.894981202</v>
      </c>
      <c r="L256" s="5">
        <v>15811349.475215301</v>
      </c>
      <c r="M256" s="5">
        <v>60979378.734962001</v>
      </c>
      <c r="N256" s="5">
        <v>64977073.047549501</v>
      </c>
      <c r="O256" s="5">
        <v>33093897.950805001</v>
      </c>
      <c r="P256" s="5">
        <v>27402720.459880002</v>
      </c>
      <c r="Q256" s="5">
        <v>106777545.465487</v>
      </c>
      <c r="R256" s="5">
        <v>28660320.165541001</v>
      </c>
      <c r="S256" s="5">
        <v>37738204.499443099</v>
      </c>
      <c r="T256" s="5">
        <v>15375203.761093</v>
      </c>
      <c r="U256" s="5">
        <v>21476982.727740999</v>
      </c>
      <c r="V256" s="5">
        <v>28699711.608176898</v>
      </c>
      <c r="W256" s="5">
        <v>17724162.962578699</v>
      </c>
      <c r="X256" s="5">
        <v>23486464.639012702</v>
      </c>
      <c r="Y256" s="5">
        <v>18094915.942218401</v>
      </c>
      <c r="Z256" s="5">
        <v>29613172.803953599</v>
      </c>
      <c r="AA256" s="5">
        <v>33172452.421808202</v>
      </c>
      <c r="AB256" s="5">
        <v>34370286.407528304</v>
      </c>
      <c r="AC256" s="5">
        <v>35894060.566333301</v>
      </c>
    </row>
    <row r="257" spans="1:29" x14ac:dyDescent="0.45">
      <c r="A257" s="5" t="s">
        <v>333</v>
      </c>
      <c r="B257" s="5">
        <v>64236090.634039201</v>
      </c>
      <c r="C257" s="5">
        <v>167964859.203509</v>
      </c>
      <c r="D257" s="5">
        <v>81533078.964259103</v>
      </c>
      <c r="E257" s="5">
        <v>82760657.331459597</v>
      </c>
      <c r="F257" s="5">
        <v>88789374.711539507</v>
      </c>
      <c r="G257" s="5">
        <v>144848238.28036901</v>
      </c>
      <c r="H257" s="5">
        <v>205202533.14790401</v>
      </c>
      <c r="I257" s="5">
        <v>103258824.66647799</v>
      </c>
      <c r="J257" s="5">
        <v>90241322.900456995</v>
      </c>
      <c r="K257" s="5">
        <v>83792449.721108302</v>
      </c>
      <c r="L257" s="5">
        <v>76844897.679662794</v>
      </c>
      <c r="M257" s="5">
        <v>229974746.25766799</v>
      </c>
      <c r="N257" s="5">
        <v>309502915.10845101</v>
      </c>
      <c r="O257" s="5">
        <v>343879756.99243599</v>
      </c>
      <c r="P257" s="5">
        <v>235164672.86401299</v>
      </c>
      <c r="Q257" s="5">
        <v>283373423.94229603</v>
      </c>
      <c r="R257" s="5">
        <v>69401277.016212195</v>
      </c>
      <c r="S257" s="5">
        <v>241634532.62450501</v>
      </c>
      <c r="T257" s="5">
        <v>106615547.953719</v>
      </c>
      <c r="U257" s="5">
        <v>237310309.39010301</v>
      </c>
      <c r="V257" s="5">
        <v>341360623.74087</v>
      </c>
      <c r="W257" s="5">
        <v>229507029.541536</v>
      </c>
      <c r="X257" s="5">
        <v>115698158.116209</v>
      </c>
      <c r="Y257" s="5">
        <v>168321628.83302799</v>
      </c>
      <c r="Z257" s="5">
        <v>150662707.484494</v>
      </c>
      <c r="AA257" s="5">
        <v>150036511.25378999</v>
      </c>
      <c r="AB257" s="5">
        <v>157419417.57938299</v>
      </c>
      <c r="AC257" s="5">
        <v>150717954.54895699</v>
      </c>
    </row>
    <row r="258" spans="1:29" x14ac:dyDescent="0.45">
      <c r="A258" s="5" t="s">
        <v>235</v>
      </c>
      <c r="B258" s="5">
        <v>49519365.728103697</v>
      </c>
      <c r="C258" s="5">
        <v>122229246.168551</v>
      </c>
      <c r="D258" s="5">
        <v>106340656.383711</v>
      </c>
      <c r="E258" s="5">
        <v>60117756.012457103</v>
      </c>
      <c r="F258" s="5">
        <v>28651943.945419598</v>
      </c>
      <c r="G258" s="5">
        <v>73092952.766901106</v>
      </c>
      <c r="H258" s="5">
        <v>73810449.239585802</v>
      </c>
      <c r="I258" s="5">
        <v>67794027.8068223</v>
      </c>
      <c r="J258" s="5">
        <v>42317420.122000702</v>
      </c>
      <c r="K258" s="5">
        <v>96279157.475673407</v>
      </c>
      <c r="L258" s="5">
        <v>61971418.361070201</v>
      </c>
      <c r="M258" s="5">
        <v>118012499.14876799</v>
      </c>
      <c r="N258" s="5">
        <v>235808655.20171601</v>
      </c>
      <c r="O258" s="5">
        <v>212546328.79298699</v>
      </c>
      <c r="P258" s="5">
        <v>248296835.97197199</v>
      </c>
      <c r="Q258" s="5">
        <v>130052186.39974301</v>
      </c>
      <c r="R258" s="5">
        <v>104138070.325681</v>
      </c>
      <c r="S258" s="5">
        <v>121768487.72833</v>
      </c>
      <c r="T258" s="5">
        <v>68867449.197856694</v>
      </c>
      <c r="U258" s="5">
        <v>50019500.129060797</v>
      </c>
      <c r="V258" s="5">
        <v>104446015.52142601</v>
      </c>
      <c r="W258" s="5">
        <v>74843632.770306394</v>
      </c>
      <c r="X258" s="5">
        <v>631976887.84308195</v>
      </c>
      <c r="Y258" s="5">
        <v>78859483.9323311</v>
      </c>
      <c r="Z258" s="5">
        <v>107505552.33258</v>
      </c>
      <c r="AA258" s="5">
        <v>113117121.18150499</v>
      </c>
      <c r="AB258" s="5">
        <v>115947745.543871</v>
      </c>
      <c r="AC258" s="5">
        <v>121409119.459223</v>
      </c>
    </row>
    <row r="259" spans="1:29" x14ac:dyDescent="0.45">
      <c r="A259" s="5" t="s">
        <v>354</v>
      </c>
      <c r="B259" s="5">
        <v>482063547.58231002</v>
      </c>
      <c r="C259" s="5">
        <v>646721536.802037</v>
      </c>
      <c r="D259" s="5">
        <v>634004383.11397898</v>
      </c>
      <c r="E259" s="5">
        <v>352938219.02132398</v>
      </c>
      <c r="F259" s="5">
        <v>554953767.64980805</v>
      </c>
      <c r="G259" s="5">
        <v>404282614.44385803</v>
      </c>
      <c r="H259" s="5">
        <v>450958221.91418999</v>
      </c>
      <c r="I259" s="5">
        <v>1604677384.19045</v>
      </c>
      <c r="J259" s="5">
        <v>326016717.73522598</v>
      </c>
      <c r="K259" s="5">
        <v>455082813.21437699</v>
      </c>
      <c r="L259" s="5">
        <v>528312866.76968002</v>
      </c>
      <c r="M259" s="5">
        <v>346450101.36978298</v>
      </c>
      <c r="N259" s="5">
        <v>1018276868.9680001</v>
      </c>
      <c r="O259" s="5">
        <v>1311917464.1824601</v>
      </c>
      <c r="P259" s="5">
        <v>1502911308.73369</v>
      </c>
      <c r="Q259" s="5">
        <v>878620273.504426</v>
      </c>
      <c r="R259" s="5">
        <v>380802220.30845499</v>
      </c>
      <c r="S259" s="5">
        <v>799103258.26261795</v>
      </c>
      <c r="T259" s="5">
        <v>753234036.39810395</v>
      </c>
      <c r="U259" s="5">
        <v>863011151.33647895</v>
      </c>
      <c r="V259" s="5">
        <v>1180998807.09076</v>
      </c>
      <c r="W259" s="5">
        <v>859468913.271384</v>
      </c>
      <c r="X259" s="5">
        <v>1011143619.69039</v>
      </c>
      <c r="Y259" s="5">
        <v>900696167.00475502</v>
      </c>
      <c r="Z259" s="5">
        <v>698108995.55173898</v>
      </c>
      <c r="AA259" s="5">
        <v>756998949.01476598</v>
      </c>
      <c r="AB259" s="5">
        <v>748211842.307639</v>
      </c>
      <c r="AC259" s="5">
        <v>767819351.14231503</v>
      </c>
    </row>
    <row r="260" spans="1:29" x14ac:dyDescent="0.45">
      <c r="A260" s="5" t="s">
        <v>429</v>
      </c>
      <c r="B260" s="5">
        <v>107029321.372198</v>
      </c>
      <c r="C260" s="5">
        <v>59422362.119828001</v>
      </c>
      <c r="D260" s="5">
        <v>94626393.733866096</v>
      </c>
      <c r="E260" s="5">
        <v>138988145.073048</v>
      </c>
      <c r="F260" s="5">
        <v>134051275.43213101</v>
      </c>
      <c r="G260" s="5">
        <v>88647967.502468303</v>
      </c>
      <c r="H260" s="5">
        <v>105137475.65387399</v>
      </c>
      <c r="I260" s="5">
        <v>73350694.249194905</v>
      </c>
      <c r="J260" s="5">
        <v>132186497.67709599</v>
      </c>
      <c r="K260" s="5">
        <v>181288145.181393</v>
      </c>
      <c r="L260" s="5">
        <v>105397125.24850699</v>
      </c>
      <c r="M260" s="5">
        <v>91454677.029631197</v>
      </c>
      <c r="N260" s="5">
        <v>96543284.889127299</v>
      </c>
      <c r="O260" s="5">
        <v>85801964.417861</v>
      </c>
      <c r="P260" s="5">
        <v>131151774.270676</v>
      </c>
      <c r="Q260" s="5">
        <v>30036663.074530099</v>
      </c>
      <c r="R260" s="5">
        <v>139148877.40921801</v>
      </c>
      <c r="S260" s="5">
        <v>84116548.934713095</v>
      </c>
      <c r="T260" s="5">
        <v>139643660.60674599</v>
      </c>
      <c r="U260" s="5">
        <v>138328802.66546601</v>
      </c>
      <c r="V260" s="5">
        <v>104923152.29836801</v>
      </c>
      <c r="W260" s="5">
        <v>123111732.71683</v>
      </c>
      <c r="X260" s="5">
        <v>41177443.178393602</v>
      </c>
      <c r="Y260" s="5">
        <v>136685576.96947101</v>
      </c>
      <c r="Z260" s="5">
        <v>91709231.546780303</v>
      </c>
      <c r="AA260" s="5">
        <v>86569008.760419995</v>
      </c>
      <c r="AB260" s="5">
        <v>89001047.548859596</v>
      </c>
      <c r="AC260" s="5">
        <v>90951599.966650307</v>
      </c>
    </row>
    <row r="261" spans="1:29" x14ac:dyDescent="0.45">
      <c r="A261" s="5" t="s">
        <v>236</v>
      </c>
      <c r="B261" s="5">
        <v>882493528.01800799</v>
      </c>
      <c r="C261" s="5">
        <v>601620729.05569994</v>
      </c>
      <c r="D261" s="5">
        <v>694441528.913275</v>
      </c>
      <c r="E261" s="5">
        <v>864099500.76401496</v>
      </c>
      <c r="F261" s="5">
        <v>911349439.47665501</v>
      </c>
      <c r="G261" s="5">
        <v>720240607.32687998</v>
      </c>
      <c r="H261" s="5">
        <v>688401879.42787695</v>
      </c>
      <c r="I261" s="5">
        <v>565319968.26622295</v>
      </c>
      <c r="J261" s="5">
        <v>745565593.91349304</v>
      </c>
      <c r="K261" s="5">
        <v>832514151.21916294</v>
      </c>
      <c r="L261" s="5">
        <v>891495938.99905503</v>
      </c>
      <c r="M261" s="5">
        <v>766207586.17144096</v>
      </c>
      <c r="N261" s="5">
        <v>3138116.4030425702</v>
      </c>
      <c r="O261" s="5">
        <v>538195853.34911799</v>
      </c>
      <c r="P261" s="5">
        <v>3670828.2709959899</v>
      </c>
      <c r="Q261" s="5">
        <v>5498584.5542308902</v>
      </c>
      <c r="R261" s="5">
        <v>13399243.4661557</v>
      </c>
      <c r="S261" s="5">
        <v>9088300.8871257696</v>
      </c>
      <c r="T261" s="5">
        <v>724767048.02600098</v>
      </c>
      <c r="U261" s="5">
        <v>701415314.14589906</v>
      </c>
      <c r="V261" s="5">
        <v>668133487.80586398</v>
      </c>
      <c r="W261" s="5">
        <v>2766649.64900557</v>
      </c>
      <c r="X261" s="5">
        <v>85477951.905898303</v>
      </c>
      <c r="Y261" s="5">
        <v>3742976.4936878998</v>
      </c>
      <c r="Z261" s="5">
        <v>455348398.65321702</v>
      </c>
      <c r="AA261" s="5">
        <v>445265541.29024202</v>
      </c>
      <c r="AB261" s="5">
        <v>430723558.44260001</v>
      </c>
      <c r="AC261" s="5">
        <v>466111666.237387</v>
      </c>
    </row>
    <row r="262" spans="1:29" x14ac:dyDescent="0.45">
      <c r="A262" s="5" t="s">
        <v>355</v>
      </c>
      <c r="B262" s="5">
        <v>303982162.96020502</v>
      </c>
      <c r="C262" s="5">
        <v>580794657.60903597</v>
      </c>
      <c r="D262" s="5">
        <v>707244188.79638195</v>
      </c>
      <c r="E262" s="5">
        <v>485657480.00853503</v>
      </c>
      <c r="F262" s="5">
        <v>670878730.65313399</v>
      </c>
      <c r="G262" s="5">
        <v>245085664.95468301</v>
      </c>
      <c r="H262" s="5">
        <v>275358471.14354903</v>
      </c>
      <c r="I262" s="5">
        <v>2295586532.1968398</v>
      </c>
      <c r="J262" s="5">
        <v>1068147129.50247</v>
      </c>
      <c r="K262" s="5">
        <v>838672484.90121102</v>
      </c>
      <c r="L262" s="5">
        <v>641654419.27436399</v>
      </c>
      <c r="M262" s="5">
        <v>364527734.15156198</v>
      </c>
      <c r="N262" s="5">
        <v>339945251.543459</v>
      </c>
      <c r="O262" s="5">
        <v>339073458.942541</v>
      </c>
      <c r="P262" s="5">
        <v>261935485.72414801</v>
      </c>
      <c r="Q262" s="5">
        <v>547086580.77913499</v>
      </c>
      <c r="R262" s="5">
        <v>824843906.22226202</v>
      </c>
      <c r="S262" s="5">
        <v>501070613.86088401</v>
      </c>
      <c r="T262" s="5">
        <v>583145784.39357102</v>
      </c>
      <c r="U262" s="5">
        <v>363045691.16592401</v>
      </c>
      <c r="V262" s="5">
        <v>475855728.08144403</v>
      </c>
      <c r="W262" s="5">
        <v>328478353.43479902</v>
      </c>
      <c r="X262" s="5">
        <v>1793226025.82812</v>
      </c>
      <c r="Y262" s="5">
        <v>398998270.513906</v>
      </c>
      <c r="Z262" s="5">
        <v>471807123.10849398</v>
      </c>
      <c r="AA262" s="5">
        <v>486908283.98887801</v>
      </c>
      <c r="AB262" s="5">
        <v>478726815.73180997</v>
      </c>
      <c r="AC262" s="5">
        <v>510250483.08099699</v>
      </c>
    </row>
    <row r="263" spans="1:29" x14ac:dyDescent="0.45">
      <c r="A263" s="5" t="s">
        <v>237</v>
      </c>
      <c r="B263" s="5">
        <v>2813937347.0113602</v>
      </c>
      <c r="C263" s="5">
        <v>2105593629.45225</v>
      </c>
      <c r="D263" s="5">
        <v>2415734346.6981301</v>
      </c>
      <c r="E263" s="5">
        <v>2872483450.0861802</v>
      </c>
      <c r="F263" s="5">
        <v>2975116293.6372499</v>
      </c>
      <c r="G263" s="5">
        <v>2427789018.2620201</v>
      </c>
      <c r="H263" s="5">
        <v>2400693776.7701201</v>
      </c>
      <c r="I263" s="5">
        <v>1884066830.0053999</v>
      </c>
      <c r="J263" s="5">
        <v>2517554192.9792299</v>
      </c>
      <c r="K263" s="5">
        <v>2757500308.9541001</v>
      </c>
      <c r="L263" s="5">
        <v>2812561122.1031599</v>
      </c>
      <c r="M263" s="5">
        <v>2628755678.1662302</v>
      </c>
      <c r="N263" s="5">
        <v>80861943.662830204</v>
      </c>
      <c r="O263" s="5">
        <v>1878466341.7427001</v>
      </c>
      <c r="P263" s="5">
        <v>45634244.502866499</v>
      </c>
      <c r="Q263" s="5">
        <v>62504574.815824702</v>
      </c>
      <c r="R263" s="5">
        <v>75499762.107143998</v>
      </c>
      <c r="S263" s="5">
        <v>95747485.1681353</v>
      </c>
      <c r="T263" s="5">
        <v>2655084311.9566102</v>
      </c>
      <c r="U263" s="5">
        <v>2504847349.7967801</v>
      </c>
      <c r="V263" s="5">
        <v>2198875742.7743101</v>
      </c>
      <c r="W263" s="5">
        <v>31258555.5792147</v>
      </c>
      <c r="X263" s="5">
        <v>608060538.10440898</v>
      </c>
      <c r="Y263" s="5">
        <v>163685786.12110901</v>
      </c>
      <c r="Z263" s="5">
        <v>1554025627.7425399</v>
      </c>
      <c r="AA263" s="5">
        <v>1551396590.84287</v>
      </c>
      <c r="AB263" s="5">
        <v>1525080260.6090901</v>
      </c>
      <c r="AC263" s="5">
        <v>1587219981.13237</v>
      </c>
    </row>
    <row r="264" spans="1:29" x14ac:dyDescent="0.45">
      <c r="A264" s="5" t="s">
        <v>238</v>
      </c>
      <c r="B264" s="5">
        <v>24394098.669486001</v>
      </c>
      <c r="C264" s="5">
        <v>15728428.9028551</v>
      </c>
      <c r="D264" s="5">
        <v>21594155.7838796</v>
      </c>
      <c r="E264" s="5">
        <v>28028704.297881901</v>
      </c>
      <c r="F264" s="5">
        <v>20986967.6100327</v>
      </c>
      <c r="G264" s="5">
        <v>22867519.6132433</v>
      </c>
      <c r="H264" s="5">
        <v>18702883.2324108</v>
      </c>
      <c r="I264" s="5">
        <v>18423769.774117101</v>
      </c>
      <c r="J264" s="5">
        <v>17511131.1979062</v>
      </c>
      <c r="K264" s="5">
        <v>19942523.308398701</v>
      </c>
      <c r="L264" s="5">
        <v>24305529.2868549</v>
      </c>
      <c r="M264" s="5">
        <v>21859535.802801698</v>
      </c>
      <c r="N264" s="5">
        <v>15294652.181324299</v>
      </c>
      <c r="O264" s="5">
        <v>15446317.229089599</v>
      </c>
      <c r="P264" s="5">
        <v>22150754.280693099</v>
      </c>
      <c r="Q264" s="5">
        <v>21561795.733231701</v>
      </c>
      <c r="R264" s="5">
        <v>30233795.4979316</v>
      </c>
      <c r="S264" s="5">
        <v>22755071.2457093</v>
      </c>
      <c r="T264" s="5">
        <v>31736071.506900199</v>
      </c>
      <c r="U264" s="5">
        <v>23447212.7971121</v>
      </c>
      <c r="V264" s="5">
        <v>17931220.822026301</v>
      </c>
      <c r="W264" s="5">
        <v>27397634.1708709</v>
      </c>
      <c r="X264" s="5">
        <v>22665570.057300001</v>
      </c>
      <c r="Y264" s="5">
        <v>32251948.659083199</v>
      </c>
      <c r="Z264" s="5">
        <v>17962817.588506401</v>
      </c>
      <c r="AA264" s="5">
        <v>25319439.959572099</v>
      </c>
      <c r="AB264" s="5">
        <v>17716988.677607499</v>
      </c>
      <c r="AC264" s="5">
        <v>27141321.9232083</v>
      </c>
    </row>
    <row r="265" spans="1:29" x14ac:dyDescent="0.45">
      <c r="A265" s="5" t="s">
        <v>334</v>
      </c>
      <c r="B265" s="5">
        <v>14795706.581687801</v>
      </c>
      <c r="C265" s="5">
        <v>26024438.903144699</v>
      </c>
      <c r="D265" s="5">
        <v>16124310.0479191</v>
      </c>
      <c r="E265" s="5">
        <v>14294622.5547638</v>
      </c>
      <c r="F265" s="5">
        <v>5318723.65329934</v>
      </c>
      <c r="G265" s="5">
        <v>22612793.211872201</v>
      </c>
      <c r="H265" s="5">
        <v>21476930.341030199</v>
      </c>
      <c r="I265" s="5">
        <v>56547268.036641598</v>
      </c>
      <c r="J265" s="5">
        <v>16870790.548684198</v>
      </c>
      <c r="K265" s="5">
        <v>3008341.86502225</v>
      </c>
      <c r="L265" s="5">
        <v>3979697.8952101599</v>
      </c>
      <c r="M265" s="5">
        <v>16542120.0500108</v>
      </c>
      <c r="N265" s="5">
        <v>50369725.599248998</v>
      </c>
      <c r="O265" s="5">
        <v>47979071.105091803</v>
      </c>
      <c r="P265" s="5">
        <v>28001092.604048699</v>
      </c>
      <c r="Q265" s="5">
        <v>24684803.269028299</v>
      </c>
      <c r="R265" s="5">
        <v>9349103.29358791</v>
      </c>
      <c r="S265" s="5">
        <v>32632984.2728539</v>
      </c>
      <c r="T265" s="5">
        <v>7874635.99542093</v>
      </c>
      <c r="U265" s="5">
        <v>15454098.644566599</v>
      </c>
      <c r="V265" s="5">
        <v>25873363.715714902</v>
      </c>
      <c r="W265" s="5">
        <v>24152587.234418701</v>
      </c>
      <c r="X265" s="5">
        <v>197997567.15009299</v>
      </c>
      <c r="Y265" s="5">
        <v>30921152.852715898</v>
      </c>
      <c r="Z265" s="5">
        <v>22107940.981446899</v>
      </c>
      <c r="AA265" s="5">
        <v>22922544.681039698</v>
      </c>
      <c r="AB265" s="5">
        <v>22262814.218438901</v>
      </c>
      <c r="AC265" s="5">
        <v>23244814.7452466</v>
      </c>
    </row>
    <row r="266" spans="1:29" x14ac:dyDescent="0.45">
      <c r="A266" s="5" t="s">
        <v>239</v>
      </c>
      <c r="B266" s="5">
        <v>6686197.49976849</v>
      </c>
      <c r="C266" s="5">
        <v>9101131.6331071705</v>
      </c>
      <c r="D266" s="5">
        <v>7894512.4946834203</v>
      </c>
      <c r="E266" s="5">
        <v>3952820.3405053499</v>
      </c>
      <c r="F266" s="5">
        <v>4442617.3983094702</v>
      </c>
      <c r="G266" s="5">
        <v>6590913.9153582202</v>
      </c>
      <c r="H266" s="5">
        <v>4601548.4188470701</v>
      </c>
      <c r="I266" s="5">
        <v>2737495.6994020799</v>
      </c>
      <c r="J266" s="5">
        <v>3362807.4654051298</v>
      </c>
      <c r="K266" s="5">
        <v>431498.26674066699</v>
      </c>
      <c r="L266" s="5">
        <v>4586264.3631640803</v>
      </c>
      <c r="M266" s="5">
        <v>3072710.9327014</v>
      </c>
      <c r="N266" s="5">
        <v>4955906.0755756004</v>
      </c>
      <c r="O266" s="5">
        <v>3282798.3841803302</v>
      </c>
      <c r="P266" s="5">
        <v>3643959.1481130598</v>
      </c>
      <c r="Q266" s="5">
        <v>3160556.38934593</v>
      </c>
      <c r="R266" s="5">
        <v>1516461.8805074301</v>
      </c>
      <c r="S266" s="5">
        <v>3397734.4729294698</v>
      </c>
      <c r="T266" s="5">
        <v>4598921.75448405</v>
      </c>
      <c r="U266" s="5">
        <v>2574280.1717031202</v>
      </c>
      <c r="V266" s="5">
        <v>3599341.3586304099</v>
      </c>
      <c r="W266" s="5">
        <v>3303957.20538184</v>
      </c>
      <c r="X266" s="5">
        <v>12273782.604802299</v>
      </c>
      <c r="Y266" s="5">
        <v>4108055.94117259</v>
      </c>
      <c r="Z266" s="5">
        <v>4437648.1141072903</v>
      </c>
      <c r="AA266" s="5">
        <v>4410159.2714962503</v>
      </c>
      <c r="AB266" s="5">
        <v>4268317.7290072804</v>
      </c>
      <c r="AC266" s="5">
        <v>4260003.90872839</v>
      </c>
    </row>
    <row r="267" spans="1:29" x14ac:dyDescent="0.45">
      <c r="A267" s="5" t="s">
        <v>240</v>
      </c>
      <c r="B267" s="5">
        <v>149319726.70115501</v>
      </c>
      <c r="C267" s="5">
        <v>98153825.868498802</v>
      </c>
      <c r="D267" s="5">
        <v>131218556.860117</v>
      </c>
      <c r="E267" s="5">
        <v>159310794.978562</v>
      </c>
      <c r="F267" s="5">
        <v>124162492.12025701</v>
      </c>
      <c r="G267" s="5">
        <v>98973472.7769344</v>
      </c>
      <c r="H267" s="5">
        <v>118782751.07351901</v>
      </c>
      <c r="I267" s="5">
        <v>147298314.25456899</v>
      </c>
      <c r="J267" s="5">
        <v>153029360.37951899</v>
      </c>
      <c r="K267" s="5">
        <v>139355421.60398799</v>
      </c>
      <c r="L267" s="5">
        <v>88532466.568923295</v>
      </c>
      <c r="M267" s="5">
        <v>112101183.56457201</v>
      </c>
      <c r="N267" s="5">
        <v>102737742.502297</v>
      </c>
      <c r="O267" s="5">
        <v>100028759.95527799</v>
      </c>
      <c r="P267" s="5">
        <v>104743712.118412</v>
      </c>
      <c r="Q267" s="5">
        <v>93698034.264289394</v>
      </c>
      <c r="R267" s="5">
        <v>132995190.195179</v>
      </c>
      <c r="S267" s="5">
        <v>121878107.377453</v>
      </c>
      <c r="T267" s="5">
        <v>128967688.080586</v>
      </c>
      <c r="U267" s="5">
        <v>131888022.366394</v>
      </c>
      <c r="V267" s="5">
        <v>113904851.394701</v>
      </c>
      <c r="W267" s="5">
        <v>118177497.51263399</v>
      </c>
      <c r="X267" s="5">
        <v>95929869.493262202</v>
      </c>
      <c r="Y267" s="5">
        <v>133750303.902904</v>
      </c>
      <c r="Z267" s="5">
        <v>104021573.700432</v>
      </c>
      <c r="AA267" s="5">
        <v>111749535.69893</v>
      </c>
      <c r="AB267" s="5">
        <v>108593063.905784</v>
      </c>
      <c r="AC267" s="5">
        <v>112162376.16783901</v>
      </c>
    </row>
    <row r="268" spans="1:29" x14ac:dyDescent="0.45">
      <c r="A268" s="5" t="s">
        <v>241</v>
      </c>
      <c r="B268" s="5">
        <v>29836870.671820998</v>
      </c>
      <c r="C268" s="5">
        <v>25956068.258497801</v>
      </c>
      <c r="D268" s="5">
        <v>34574424.4059567</v>
      </c>
      <c r="E268" s="5">
        <v>31441270.820295598</v>
      </c>
      <c r="F268" s="5">
        <v>33365767.858200502</v>
      </c>
      <c r="G268" s="5">
        <v>24590260.879184701</v>
      </c>
      <c r="H268" s="5">
        <v>38868268.506096102</v>
      </c>
      <c r="I268" s="5">
        <v>42268195.912795603</v>
      </c>
      <c r="J268" s="5">
        <v>38321345.583522096</v>
      </c>
      <c r="K268" s="5">
        <v>62371344.098036297</v>
      </c>
      <c r="L268" s="5">
        <v>39753294.139951698</v>
      </c>
      <c r="M268" s="5">
        <v>33467212.010107901</v>
      </c>
      <c r="N268" s="5">
        <v>28207755.1554217</v>
      </c>
      <c r="O268" s="5">
        <v>30194184.9716703</v>
      </c>
      <c r="P268" s="5">
        <v>25460013.593326401</v>
      </c>
      <c r="Q268" s="5">
        <v>28150410.827223498</v>
      </c>
      <c r="R268" s="5">
        <v>43481630.9466772</v>
      </c>
      <c r="S268" s="5">
        <v>40150235.986582197</v>
      </c>
      <c r="T268" s="5">
        <v>37604662.290168896</v>
      </c>
      <c r="U268" s="5">
        <v>39598003.310029998</v>
      </c>
      <c r="V268" s="5">
        <v>40040400.533422798</v>
      </c>
      <c r="W268" s="5">
        <v>37072143.928752802</v>
      </c>
      <c r="X268" s="5">
        <v>55801730.586988099</v>
      </c>
      <c r="Y268" s="5">
        <v>35444530.905874804</v>
      </c>
      <c r="Z268" s="5">
        <v>29008545.270490699</v>
      </c>
      <c r="AA268" s="5">
        <v>27983042.094545599</v>
      </c>
      <c r="AB268" s="5">
        <v>30652023.183591101</v>
      </c>
      <c r="AC268" s="5">
        <v>32661809.142143101</v>
      </c>
    </row>
    <row r="269" spans="1:29" x14ac:dyDescent="0.45">
      <c r="A269" s="5" t="s">
        <v>356</v>
      </c>
      <c r="B269" s="5">
        <v>130288505.942139</v>
      </c>
      <c r="C269" s="5">
        <v>526572497.91244501</v>
      </c>
      <c r="D269" s="5">
        <v>384319488.75931197</v>
      </c>
      <c r="E269" s="5">
        <v>234759282.756845</v>
      </c>
      <c r="F269" s="5">
        <v>163778345.71489999</v>
      </c>
      <c r="G269" s="5">
        <v>347046393.06641501</v>
      </c>
      <c r="H269" s="5">
        <v>329231997.25188297</v>
      </c>
      <c r="I269" s="5">
        <v>351688840.76891398</v>
      </c>
      <c r="J269" s="5">
        <v>221515985.49668601</v>
      </c>
      <c r="K269" s="5">
        <v>470997940.04339498</v>
      </c>
      <c r="L269" s="5">
        <v>236027284.31462899</v>
      </c>
      <c r="M269" s="5">
        <v>573574915.54670596</v>
      </c>
      <c r="N269" s="5">
        <v>935895253.086604</v>
      </c>
      <c r="O269" s="5">
        <v>1052965514.9524</v>
      </c>
      <c r="P269" s="5">
        <v>439883355.65970302</v>
      </c>
      <c r="Q269" s="5">
        <v>839433162.654719</v>
      </c>
      <c r="R269" s="5">
        <v>218643152.94949099</v>
      </c>
      <c r="S269" s="5">
        <v>473846522.10184002</v>
      </c>
      <c r="T269" s="5">
        <v>242560868.00203499</v>
      </c>
      <c r="U269" s="5">
        <v>499859457.744528</v>
      </c>
      <c r="V269" s="5">
        <v>958614430.68661201</v>
      </c>
      <c r="W269" s="5">
        <v>357297039.51975298</v>
      </c>
      <c r="X269" s="5">
        <v>664123894.25983</v>
      </c>
      <c r="Y269" s="5">
        <v>262345254.43553701</v>
      </c>
      <c r="Z269" s="5">
        <v>469402759.84988803</v>
      </c>
      <c r="AA269" s="5">
        <v>486560290.21642601</v>
      </c>
      <c r="AB269" s="5">
        <v>502043768.083781</v>
      </c>
      <c r="AC269" s="5">
        <v>506689087.512196</v>
      </c>
    </row>
    <row r="270" spans="1:29" x14ac:dyDescent="0.45">
      <c r="A270" s="5" t="s">
        <v>350</v>
      </c>
      <c r="B270" s="5">
        <v>4782739.0774009302</v>
      </c>
      <c r="C270" s="5">
        <v>17637088.5549055</v>
      </c>
      <c r="D270" s="5">
        <v>15635948.0208055</v>
      </c>
      <c r="E270" s="5">
        <v>13838528.041893801</v>
      </c>
      <c r="F270" s="5">
        <v>27318193.8545021</v>
      </c>
      <c r="G270" s="5">
        <v>4635174.0453324197</v>
      </c>
      <c r="H270" s="5">
        <v>328009308.69440699</v>
      </c>
      <c r="I270" s="5">
        <v>251008750.45039299</v>
      </c>
      <c r="J270" s="5">
        <v>302051392.75088</v>
      </c>
      <c r="K270" s="5">
        <v>214504659.10986301</v>
      </c>
      <c r="L270" s="5">
        <v>10647101.845811799</v>
      </c>
      <c r="M270" s="5">
        <v>30496541.579627901</v>
      </c>
      <c r="N270" s="5">
        <v>209233708.91771299</v>
      </c>
      <c r="O270" s="5">
        <v>74152658.960701406</v>
      </c>
      <c r="P270" s="5">
        <v>343953566.496499</v>
      </c>
      <c r="Q270" s="5">
        <v>24323936.5284371</v>
      </c>
      <c r="R270" s="5">
        <v>1456367.92953295</v>
      </c>
      <c r="S270" s="5">
        <v>13170660.900938001</v>
      </c>
      <c r="T270" s="5">
        <v>22995767.753222398</v>
      </c>
      <c r="U270" s="5">
        <v>29964240.3184947</v>
      </c>
      <c r="V270" s="5">
        <v>25499227.903216898</v>
      </c>
      <c r="W270" s="5">
        <v>12486072.139316199</v>
      </c>
      <c r="X270" s="5">
        <v>10520350.710827099</v>
      </c>
      <c r="Y270" s="5">
        <v>9856582.0049837306</v>
      </c>
      <c r="Z270" s="5">
        <v>50861744.633195199</v>
      </c>
      <c r="AA270" s="5">
        <v>49839221.939708203</v>
      </c>
      <c r="AB270" s="5">
        <v>51515356.728568196</v>
      </c>
      <c r="AC270" s="5">
        <v>54075383.088687301</v>
      </c>
    </row>
    <row r="271" spans="1:29" x14ac:dyDescent="0.45">
      <c r="A271" s="5" t="s">
        <v>383</v>
      </c>
      <c r="B271" s="5">
        <v>3794748.4249442201</v>
      </c>
      <c r="C271" s="5">
        <v>5306601.8405828504</v>
      </c>
      <c r="D271" s="5">
        <v>4901268.4123248998</v>
      </c>
      <c r="E271" s="5">
        <v>4310999.7825389402</v>
      </c>
      <c r="F271" s="5">
        <v>6281514.0462283697</v>
      </c>
      <c r="G271" s="5">
        <v>4556939.6023547798</v>
      </c>
      <c r="H271" s="5">
        <v>4953911.8165616998</v>
      </c>
      <c r="I271" s="5">
        <v>6331461.3385651</v>
      </c>
      <c r="J271" s="5">
        <v>6522663.4077686202</v>
      </c>
      <c r="K271" s="5">
        <v>1968475.37334268</v>
      </c>
      <c r="L271" s="5">
        <v>3828957.83223157</v>
      </c>
      <c r="M271" s="5">
        <v>3735681.1031531901</v>
      </c>
      <c r="N271" s="5">
        <v>5946882.6653754497</v>
      </c>
      <c r="O271" s="5">
        <v>10381632.5066528</v>
      </c>
      <c r="P271" s="5">
        <v>7883383.5615427401</v>
      </c>
      <c r="Q271" s="5">
        <v>4571667.3840758102</v>
      </c>
      <c r="R271" s="5">
        <v>3901831.2636178201</v>
      </c>
      <c r="S271" s="5">
        <v>5599153.4881790597</v>
      </c>
      <c r="T271" s="5">
        <v>6248448.9527443899</v>
      </c>
      <c r="U271" s="5">
        <v>7937046.9154758202</v>
      </c>
      <c r="V271" s="5">
        <v>7516574.2496370897</v>
      </c>
      <c r="W271" s="5">
        <v>5664215.5182956196</v>
      </c>
      <c r="X271" s="5">
        <v>26085511.737129901</v>
      </c>
      <c r="Y271" s="5">
        <v>6284461.3116983902</v>
      </c>
      <c r="Z271" s="5">
        <v>5021399.1562205199</v>
      </c>
      <c r="AA271" s="5">
        <v>4942788.2714294996</v>
      </c>
      <c r="AB271" s="5">
        <v>5170021.7479359899</v>
      </c>
      <c r="AC271" s="5">
        <v>4895396.5721447803</v>
      </c>
    </row>
    <row r="272" spans="1:29" x14ac:dyDescent="0.45">
      <c r="A272" s="5" t="s">
        <v>242</v>
      </c>
      <c r="B272" s="5">
        <v>2014762.5623805099</v>
      </c>
      <c r="C272" s="5">
        <v>21651444.280358098</v>
      </c>
      <c r="D272" s="5">
        <v>1523497.23956843</v>
      </c>
      <c r="E272" s="5">
        <v>1339025.7097502199</v>
      </c>
      <c r="F272" s="5">
        <v>1450282.35010785</v>
      </c>
      <c r="G272" s="5">
        <v>8512214.74515073</v>
      </c>
      <c r="H272" s="5">
        <v>12102640.2216192</v>
      </c>
      <c r="I272" s="5">
        <v>995984.83507261204</v>
      </c>
      <c r="J272" s="5">
        <v>1203849.7265437499</v>
      </c>
      <c r="K272" s="5">
        <v>9100501.1377100907</v>
      </c>
      <c r="L272" s="5">
        <v>1375549.8123409301</v>
      </c>
      <c r="M272" s="5">
        <v>4455600.5180206597</v>
      </c>
      <c r="N272" s="5">
        <v>37530961.444425799</v>
      </c>
      <c r="O272" s="5">
        <v>49438313.410631903</v>
      </c>
      <c r="P272" s="5">
        <v>12588777.255712699</v>
      </c>
      <c r="Q272" s="5">
        <v>17072197.807537802</v>
      </c>
      <c r="R272" s="5">
        <v>667455.46330644703</v>
      </c>
      <c r="S272" s="5">
        <v>12657444.654348399</v>
      </c>
      <c r="T272" s="5">
        <v>3817829.9882110199</v>
      </c>
      <c r="U272" s="5">
        <v>20439948.3485041</v>
      </c>
      <c r="V272" s="5">
        <v>30387696.6655734</v>
      </c>
      <c r="W272" s="5">
        <v>9268589.0038741007</v>
      </c>
      <c r="X272" s="5">
        <v>7376439.4745301297</v>
      </c>
      <c r="Y272" s="5">
        <v>8782559.5697537009</v>
      </c>
      <c r="Z272" s="5">
        <v>13619856.5518071</v>
      </c>
      <c r="AA272" s="5">
        <v>13202998.326165199</v>
      </c>
      <c r="AB272" s="5">
        <v>12881251.449910499</v>
      </c>
      <c r="AC272" s="5">
        <v>12805690.0739708</v>
      </c>
    </row>
    <row r="273" spans="1:29" x14ac:dyDescent="0.45">
      <c r="A273" s="5" t="s">
        <v>243</v>
      </c>
      <c r="B273" s="5">
        <v>39374935.650513701</v>
      </c>
      <c r="C273" s="5">
        <v>27399785.902336501</v>
      </c>
      <c r="D273" s="5">
        <v>31100946.6738947</v>
      </c>
      <c r="E273" s="5">
        <v>59616277.369402699</v>
      </c>
      <c r="F273" s="5">
        <v>58296405.024692103</v>
      </c>
      <c r="G273" s="5">
        <v>49218171.781088002</v>
      </c>
      <c r="H273" s="5">
        <v>63483401.348855197</v>
      </c>
      <c r="I273" s="5">
        <v>35439164.667900898</v>
      </c>
      <c r="J273" s="5">
        <v>46889449.642918199</v>
      </c>
      <c r="K273" s="5">
        <v>40974077.495336398</v>
      </c>
      <c r="L273" s="5">
        <v>40408846.384815499</v>
      </c>
      <c r="M273" s="5">
        <v>48805332.848209701</v>
      </c>
      <c r="N273" s="5">
        <v>58855403.814195797</v>
      </c>
      <c r="O273" s="5">
        <v>37883001.764288798</v>
      </c>
      <c r="P273" s="5">
        <v>47595984.568061396</v>
      </c>
      <c r="Q273" s="5">
        <v>47701578.643052399</v>
      </c>
      <c r="R273" s="5">
        <v>64954176.810854703</v>
      </c>
      <c r="S273" s="5">
        <v>49242229.766393498</v>
      </c>
      <c r="T273" s="5">
        <v>59760431.329133697</v>
      </c>
      <c r="U273" s="5">
        <v>55620045.320015103</v>
      </c>
      <c r="V273" s="5">
        <v>51228363.104255401</v>
      </c>
      <c r="W273" s="5">
        <v>47826511.433498301</v>
      </c>
      <c r="X273" s="5">
        <v>57886854.310588203</v>
      </c>
      <c r="Y273" s="5">
        <v>51368847.832516201</v>
      </c>
      <c r="Z273" s="5">
        <v>44448437.223201603</v>
      </c>
      <c r="AA273" s="5">
        <v>47657627.455443203</v>
      </c>
      <c r="AB273" s="5">
        <v>40107839.819610201</v>
      </c>
      <c r="AC273" s="5">
        <v>48579429.652309</v>
      </c>
    </row>
    <row r="274" spans="1:29" x14ac:dyDescent="0.45">
      <c r="A274" s="5" t="s">
        <v>335</v>
      </c>
      <c r="B274" s="5">
        <v>88419105.303916499</v>
      </c>
      <c r="C274" s="5">
        <v>228205444.853681</v>
      </c>
      <c r="D274" s="5">
        <v>142546869.34709299</v>
      </c>
      <c r="E274" s="5">
        <v>84595361.839423597</v>
      </c>
      <c r="F274" s="5">
        <v>18566963.857768498</v>
      </c>
      <c r="G274" s="5">
        <v>81310249.152435794</v>
      </c>
      <c r="H274" s="5">
        <v>42641894.219650701</v>
      </c>
      <c r="I274" s="5">
        <v>47604720.1846544</v>
      </c>
      <c r="J274" s="5">
        <v>39845436.166195497</v>
      </c>
      <c r="K274" s="5">
        <v>16537867.3873441</v>
      </c>
      <c r="L274" s="5">
        <v>40298164.5529911</v>
      </c>
      <c r="M274" s="5">
        <v>109207545.972781</v>
      </c>
      <c r="N274" s="5">
        <v>70661627.478499204</v>
      </c>
      <c r="O274" s="5">
        <v>42625979.446080297</v>
      </c>
      <c r="P274" s="5">
        <v>22085373.237798799</v>
      </c>
      <c r="Q274" s="5">
        <v>127323777.34753101</v>
      </c>
      <c r="R274" s="5">
        <v>29481601.323325999</v>
      </c>
      <c r="S274" s="5">
        <v>119132769.72250301</v>
      </c>
      <c r="T274" s="5">
        <v>68348454.028484404</v>
      </c>
      <c r="U274" s="5">
        <v>37122621.647973903</v>
      </c>
      <c r="V274" s="5">
        <v>72398734.709985197</v>
      </c>
      <c r="W274" s="5">
        <v>42883912.4974536</v>
      </c>
      <c r="X274" s="5">
        <v>171602854.24470901</v>
      </c>
      <c r="Y274" s="5">
        <v>42596446.087911598</v>
      </c>
      <c r="Z274" s="5">
        <v>81553459.9673305</v>
      </c>
      <c r="AA274" s="5">
        <v>80822072.645528704</v>
      </c>
      <c r="AB274" s="5">
        <v>64380102.944338299</v>
      </c>
      <c r="AC274" s="5">
        <v>84541325.829425603</v>
      </c>
    </row>
    <row r="275" spans="1:29" x14ac:dyDescent="0.45">
      <c r="A275" s="5" t="s">
        <v>244</v>
      </c>
      <c r="B275" s="5">
        <v>46343684.9738051</v>
      </c>
      <c r="C275" s="5">
        <v>155051908.59403399</v>
      </c>
      <c r="D275" s="5">
        <v>104285552.58246</v>
      </c>
      <c r="E275" s="5">
        <v>97647067.970780998</v>
      </c>
      <c r="F275" s="5">
        <v>67469522.055402696</v>
      </c>
      <c r="G275" s="5">
        <v>92343053.363473594</v>
      </c>
      <c r="H275" s="5">
        <v>59230671.889411397</v>
      </c>
      <c r="I275" s="5">
        <v>71292498.990363404</v>
      </c>
      <c r="J275" s="5">
        <v>77958521.397535697</v>
      </c>
      <c r="K275" s="5">
        <v>37498469.904213101</v>
      </c>
      <c r="L275" s="5">
        <v>89568788.947734505</v>
      </c>
      <c r="M275" s="5">
        <v>135238598.66570601</v>
      </c>
      <c r="N275" s="5">
        <v>75770629.892734006</v>
      </c>
      <c r="O275" s="5">
        <v>63010110.163959101</v>
      </c>
      <c r="P275" s="5">
        <v>49679987.336767599</v>
      </c>
      <c r="Q275" s="5">
        <v>96175945.352219194</v>
      </c>
      <c r="R275" s="5">
        <v>66439830.895600498</v>
      </c>
      <c r="S275" s="5">
        <v>115357798.640652</v>
      </c>
      <c r="T275" s="5">
        <v>56782935.274760403</v>
      </c>
      <c r="U275" s="5">
        <v>72178223.167035997</v>
      </c>
      <c r="V275" s="5">
        <v>65119634.446971498</v>
      </c>
      <c r="W275" s="5">
        <v>68549511.704640001</v>
      </c>
      <c r="X275" s="5">
        <v>98391203.066164196</v>
      </c>
      <c r="Y275" s="5">
        <v>77601681.396964997</v>
      </c>
      <c r="Z275" s="5">
        <v>65774165.735040598</v>
      </c>
      <c r="AA275" s="5">
        <v>87260078.124017403</v>
      </c>
      <c r="AB275" s="5">
        <v>67203547.085066095</v>
      </c>
      <c r="AC275" s="5">
        <v>82534549.941479906</v>
      </c>
    </row>
    <row r="276" spans="1:29" x14ac:dyDescent="0.45">
      <c r="A276" s="5" t="s">
        <v>439</v>
      </c>
      <c r="B276" s="5">
        <v>114319.058285202</v>
      </c>
      <c r="C276" s="5">
        <v>22879256.3322885</v>
      </c>
      <c r="D276" s="5">
        <v>1659224.62708593</v>
      </c>
      <c r="E276" s="5">
        <v>275229.36752825201</v>
      </c>
      <c r="F276" s="5">
        <v>73790.6747704265</v>
      </c>
      <c r="G276" s="5">
        <v>8207267.0693665203</v>
      </c>
      <c r="H276" s="5">
        <v>9565398.3890263103</v>
      </c>
      <c r="I276" s="5">
        <v>153543.21098820001</v>
      </c>
      <c r="J276" s="5">
        <v>85498.782784082097</v>
      </c>
      <c r="K276" s="5">
        <v>358181.78412646003</v>
      </c>
      <c r="L276" s="5">
        <v>174044.08620047299</v>
      </c>
      <c r="M276" s="5">
        <v>23953551.485709898</v>
      </c>
      <c r="N276" s="5">
        <v>23327840.998943999</v>
      </c>
      <c r="O276" s="5">
        <v>15209017.9727249</v>
      </c>
      <c r="P276" s="5">
        <v>2027819.9851156699</v>
      </c>
      <c r="Q276" s="5">
        <v>44478824.927307203</v>
      </c>
      <c r="R276" s="5">
        <v>81098.640377666394</v>
      </c>
      <c r="S276" s="5">
        <v>6706107.5194054497</v>
      </c>
      <c r="T276" s="5">
        <v>351625.60720313998</v>
      </c>
      <c r="U276" s="5">
        <v>6175633.6257402403</v>
      </c>
      <c r="V276" s="5">
        <v>10764358.629491299</v>
      </c>
      <c r="W276" s="5">
        <v>3021314.5713790599</v>
      </c>
      <c r="X276" s="5">
        <v>138739.86813590801</v>
      </c>
      <c r="Y276" s="5">
        <v>1707723.02291948</v>
      </c>
      <c r="Z276" s="5">
        <v>9130797.7447983399</v>
      </c>
      <c r="AA276" s="5">
        <v>8865802.4992952999</v>
      </c>
      <c r="AB276" s="5">
        <v>9214197.0901286192</v>
      </c>
      <c r="AC276" s="5">
        <v>9360737.9278863706</v>
      </c>
    </row>
    <row r="277" spans="1:29" x14ac:dyDescent="0.45">
      <c r="A277" s="5" t="s">
        <v>362</v>
      </c>
      <c r="B277" s="5">
        <v>23965513.843332302</v>
      </c>
      <c r="C277" s="5">
        <v>41987833.1882497</v>
      </c>
      <c r="D277" s="5">
        <v>64248772.470946901</v>
      </c>
      <c r="E277" s="5">
        <v>47608599.168683298</v>
      </c>
      <c r="F277" s="5">
        <v>46717898.676456802</v>
      </c>
      <c r="G277" s="5">
        <v>35867308.632490002</v>
      </c>
      <c r="H277" s="5">
        <v>27699729.9153786</v>
      </c>
      <c r="I277" s="5">
        <v>188595584.980986</v>
      </c>
      <c r="J277" s="5">
        <v>73539869.333382294</v>
      </c>
      <c r="K277" s="5">
        <v>63895205.758762203</v>
      </c>
      <c r="L277" s="5">
        <v>51836021.049262099</v>
      </c>
      <c r="M277" s="5">
        <v>45818873.280593097</v>
      </c>
      <c r="N277" s="5">
        <v>43028828.3335585</v>
      </c>
      <c r="O277" s="5">
        <v>52561957.101051398</v>
      </c>
      <c r="P277" s="5">
        <v>34648218.914248601</v>
      </c>
      <c r="Q277" s="5">
        <v>53611901.1941434</v>
      </c>
      <c r="R277" s="5">
        <v>58865249.8420626</v>
      </c>
      <c r="S277" s="5">
        <v>43242829.348669797</v>
      </c>
      <c r="T277" s="5">
        <v>44848171.868053503</v>
      </c>
      <c r="U277" s="5">
        <v>24399571.026256301</v>
      </c>
      <c r="V277" s="5">
        <v>33820725.002037898</v>
      </c>
      <c r="W277" s="5">
        <v>28910323.427659702</v>
      </c>
      <c r="X277" s="5">
        <v>197140335.62103999</v>
      </c>
      <c r="Y277" s="5">
        <v>30705823.025389299</v>
      </c>
      <c r="Z277" s="5">
        <v>47207109.709956601</v>
      </c>
      <c r="AA277" s="5">
        <v>47042665.889741398</v>
      </c>
      <c r="AB277" s="5">
        <v>44999468.237610303</v>
      </c>
      <c r="AC277" s="5">
        <v>45134780.636238597</v>
      </c>
    </row>
    <row r="278" spans="1:29" x14ac:dyDescent="0.45">
      <c r="A278" s="5" t="s">
        <v>245</v>
      </c>
      <c r="B278" s="5">
        <v>26954071.716443699</v>
      </c>
      <c r="C278" s="5">
        <v>39274037.186631098</v>
      </c>
      <c r="D278" s="5">
        <v>30497708.656719599</v>
      </c>
      <c r="E278" s="5">
        <v>24914774.704307601</v>
      </c>
      <c r="F278" s="5">
        <v>32593301.992640302</v>
      </c>
      <c r="G278" s="5">
        <v>30407437.906491999</v>
      </c>
      <c r="H278" s="5">
        <v>4458609.4102107501</v>
      </c>
      <c r="I278" s="5">
        <v>12101299.325363699</v>
      </c>
      <c r="J278" s="5">
        <v>32016520.939706199</v>
      </c>
      <c r="K278" s="5">
        <v>21150164.5620213</v>
      </c>
      <c r="L278" s="5">
        <v>20961672.5240499</v>
      </c>
      <c r="M278" s="5">
        <v>20936886.460351299</v>
      </c>
      <c r="N278" s="5">
        <v>30273751.091850299</v>
      </c>
      <c r="O278" s="5">
        <v>57516927.073337696</v>
      </c>
      <c r="P278" s="5">
        <v>32535390.595232699</v>
      </c>
      <c r="Q278" s="5">
        <v>27526922.034100398</v>
      </c>
      <c r="R278" s="5">
        <v>15184367.9066683</v>
      </c>
      <c r="S278" s="5">
        <v>28061731.573056601</v>
      </c>
      <c r="T278" s="5">
        <v>28363518.952686898</v>
      </c>
      <c r="U278" s="5">
        <v>34680198.122914098</v>
      </c>
      <c r="V278" s="5">
        <v>43964104.087704897</v>
      </c>
      <c r="W278" s="5">
        <v>25156199.186295699</v>
      </c>
      <c r="X278" s="5">
        <v>35112819.811705999</v>
      </c>
      <c r="Y278" s="5">
        <v>34722587.583618999</v>
      </c>
      <c r="Z278" s="5">
        <v>27312228.566113502</v>
      </c>
      <c r="AA278" s="5">
        <v>29612164.6538518</v>
      </c>
      <c r="AB278" s="5">
        <v>24916930.701510899</v>
      </c>
      <c r="AC278" s="5">
        <v>28467422.978796002</v>
      </c>
    </row>
    <row r="279" spans="1:29" x14ac:dyDescent="0.45">
      <c r="A279" s="5" t="s">
        <v>363</v>
      </c>
      <c r="B279" s="5">
        <v>126430520.24762499</v>
      </c>
      <c r="C279" s="5">
        <v>85111299.723097801</v>
      </c>
      <c r="D279" s="5">
        <v>239670709.56117699</v>
      </c>
      <c r="E279" s="5">
        <v>224820320.325571</v>
      </c>
      <c r="F279" s="5">
        <v>179302581.54195201</v>
      </c>
      <c r="G279" s="5">
        <v>274268888.47691202</v>
      </c>
      <c r="H279" s="5">
        <v>170599124.95657399</v>
      </c>
      <c r="I279" s="5">
        <v>688597614.04757202</v>
      </c>
      <c r="J279" s="5">
        <v>176383118.641251</v>
      </c>
      <c r="K279" s="5">
        <v>446453685.68670499</v>
      </c>
      <c r="L279" s="5">
        <v>570783675.78626597</v>
      </c>
      <c r="M279" s="5">
        <v>152507167.766864</v>
      </c>
      <c r="N279" s="5">
        <v>144033029.05278</v>
      </c>
      <c r="O279" s="5">
        <v>68820467.938351497</v>
      </c>
      <c r="P279" s="5">
        <v>120225460.369386</v>
      </c>
      <c r="Q279" s="5">
        <v>445398593.85688698</v>
      </c>
      <c r="R279" s="5">
        <v>299307808.79783201</v>
      </c>
      <c r="S279" s="5">
        <v>155944009.623833</v>
      </c>
      <c r="T279" s="5">
        <v>204473777.55213201</v>
      </c>
      <c r="U279" s="5">
        <v>133991245.02143499</v>
      </c>
      <c r="V279" s="5">
        <v>137115046.89460599</v>
      </c>
      <c r="W279" s="5">
        <v>133904821.458928</v>
      </c>
      <c r="X279" s="5">
        <v>13057207181.755501</v>
      </c>
      <c r="Y279" s="5">
        <v>154287127.967493</v>
      </c>
      <c r="Z279" s="5">
        <v>404951163.70476103</v>
      </c>
      <c r="AA279" s="5">
        <v>452918195.210931</v>
      </c>
      <c r="AB279" s="5">
        <v>437559251.28144199</v>
      </c>
      <c r="AC279" s="5">
        <v>458715395.21906</v>
      </c>
    </row>
    <row r="280" spans="1:29" x14ac:dyDescent="0.45">
      <c r="A280" s="5" t="s">
        <v>336</v>
      </c>
      <c r="B280" s="5">
        <v>4641679.1479379497</v>
      </c>
      <c r="C280" s="5">
        <v>3754414.8302132501</v>
      </c>
      <c r="D280" s="5">
        <v>4815815.51190296</v>
      </c>
      <c r="E280" s="5">
        <v>9756009.3736778405</v>
      </c>
      <c r="F280" s="5">
        <v>7729061.9096897496</v>
      </c>
      <c r="G280" s="5">
        <v>6963698.41706286</v>
      </c>
      <c r="H280" s="5">
        <v>4317062.1427441398</v>
      </c>
      <c r="I280" s="5">
        <v>10507373.4466998</v>
      </c>
      <c r="J280" s="5">
        <v>8755739.4328675494</v>
      </c>
      <c r="K280" s="5">
        <v>5526705.5247470597</v>
      </c>
      <c r="L280" s="5">
        <v>19101119.161124099</v>
      </c>
      <c r="M280" s="5">
        <v>3977000.90458804</v>
      </c>
      <c r="N280" s="5">
        <v>2821957.9508224302</v>
      </c>
      <c r="O280" s="5">
        <v>2468705.6705032401</v>
      </c>
      <c r="P280" s="5">
        <v>2583234.1471368601</v>
      </c>
      <c r="Q280" s="5">
        <v>6150701.7338523697</v>
      </c>
      <c r="R280" s="5">
        <v>11457672.3204857</v>
      </c>
      <c r="S280" s="5">
        <v>6816838.9669273198</v>
      </c>
      <c r="T280" s="5">
        <v>4593128.1819365602</v>
      </c>
      <c r="U280" s="5">
        <v>5476682.8655466298</v>
      </c>
      <c r="V280" s="5">
        <v>3651915.3717521699</v>
      </c>
      <c r="W280" s="5">
        <v>6043393.0071627302</v>
      </c>
      <c r="X280" s="5">
        <v>10574251.594080901</v>
      </c>
      <c r="Y280" s="5">
        <v>4407687.4977332801</v>
      </c>
      <c r="Z280" s="5">
        <v>4548653.2830959102</v>
      </c>
      <c r="AA280" s="5">
        <v>4344895.9741126904</v>
      </c>
      <c r="AB280" s="5">
        <v>4255104.5437791096</v>
      </c>
      <c r="AC280" s="5">
        <v>4462910.63047559</v>
      </c>
    </row>
    <row r="281" spans="1:29" x14ac:dyDescent="0.45">
      <c r="A281" s="5" t="s">
        <v>337</v>
      </c>
      <c r="B281" s="5">
        <v>264257839.84107101</v>
      </c>
      <c r="C281" s="5">
        <v>482050333.842296</v>
      </c>
      <c r="D281" s="5">
        <v>217700347.722451</v>
      </c>
      <c r="E281" s="5">
        <v>236368931.785395</v>
      </c>
      <c r="F281" s="5">
        <v>240755925.723214</v>
      </c>
      <c r="G281" s="5">
        <v>188083553.59490401</v>
      </c>
      <c r="H281" s="5">
        <v>835168155.36120296</v>
      </c>
      <c r="I281" s="5">
        <v>468153850.397021</v>
      </c>
      <c r="J281" s="5">
        <v>488981654.56179702</v>
      </c>
      <c r="K281" s="5">
        <v>399166158.020181</v>
      </c>
      <c r="L281" s="5">
        <v>345365775.18297499</v>
      </c>
      <c r="M281" s="5">
        <v>360150443.00055701</v>
      </c>
      <c r="N281" s="5">
        <v>151415499.337439</v>
      </c>
      <c r="O281" s="5">
        <v>427908664.83252603</v>
      </c>
      <c r="P281" s="5">
        <v>298038472.00326502</v>
      </c>
      <c r="Q281" s="5">
        <v>256115543.968734</v>
      </c>
      <c r="R281" s="5">
        <v>309489091.56364101</v>
      </c>
      <c r="S281" s="5">
        <v>319466002.25393802</v>
      </c>
      <c r="T281" s="5">
        <v>212707297.44817999</v>
      </c>
      <c r="U281" s="5">
        <v>592260957.67839801</v>
      </c>
      <c r="V281" s="5">
        <v>353849546.10294503</v>
      </c>
      <c r="W281" s="5">
        <v>366135869.01415002</v>
      </c>
      <c r="X281" s="5">
        <v>628178448.91517401</v>
      </c>
      <c r="Y281" s="5">
        <v>294716081.53726399</v>
      </c>
      <c r="Z281" s="5">
        <v>233650073.48527199</v>
      </c>
      <c r="AA281" s="5">
        <v>280767283.96368998</v>
      </c>
      <c r="AB281" s="5">
        <v>368222261.97230399</v>
      </c>
      <c r="AC281" s="5">
        <v>296689304.98861098</v>
      </c>
    </row>
    <row r="282" spans="1:29" x14ac:dyDescent="0.45">
      <c r="A282" s="5" t="s">
        <v>338</v>
      </c>
      <c r="B282" s="5">
        <v>176933249.30985001</v>
      </c>
      <c r="C282" s="5">
        <v>391831476.59380198</v>
      </c>
      <c r="D282" s="5">
        <v>326323045.73568898</v>
      </c>
      <c r="E282" s="5">
        <v>75670397.502667099</v>
      </c>
      <c r="F282" s="5">
        <v>62270734.503083996</v>
      </c>
      <c r="G282" s="5">
        <v>118356739.44078</v>
      </c>
      <c r="H282" s="5">
        <v>73630766.979032993</v>
      </c>
      <c r="I282" s="5">
        <v>70859755.015722498</v>
      </c>
      <c r="J282" s="5">
        <v>87871860.255335003</v>
      </c>
      <c r="K282" s="5">
        <v>23737409.534182899</v>
      </c>
      <c r="L282" s="5">
        <v>63653561.6262706</v>
      </c>
      <c r="M282" s="5">
        <v>207903921.56422499</v>
      </c>
      <c r="N282" s="5">
        <v>186348021.51135901</v>
      </c>
      <c r="O282" s="5">
        <v>157628187.649685</v>
      </c>
      <c r="P282" s="5">
        <v>59522173.286698297</v>
      </c>
      <c r="Q282" s="5">
        <v>205210533.97150499</v>
      </c>
      <c r="R282" s="5">
        <v>87033283.964049593</v>
      </c>
      <c r="S282" s="5">
        <v>208534300.25938001</v>
      </c>
      <c r="T282" s="5">
        <v>174603062.15867499</v>
      </c>
      <c r="U282" s="5">
        <v>73491351.999026403</v>
      </c>
      <c r="V282" s="5">
        <v>133328690.572668</v>
      </c>
      <c r="W282" s="5">
        <v>109845526.75652701</v>
      </c>
      <c r="X282" s="5">
        <v>185054794.11302799</v>
      </c>
      <c r="Y282" s="5">
        <v>99817312.359190807</v>
      </c>
      <c r="Z282" s="5">
        <v>128292661.31624199</v>
      </c>
      <c r="AA282" s="5">
        <v>138282917.53505099</v>
      </c>
      <c r="AB282" s="5">
        <v>155602702.59891099</v>
      </c>
      <c r="AC282" s="5">
        <v>148710627.21313</v>
      </c>
    </row>
    <row r="283" spans="1:29" x14ac:dyDescent="0.45">
      <c r="A283" s="5" t="s">
        <v>246</v>
      </c>
      <c r="B283" s="5">
        <v>37762702.673784703</v>
      </c>
      <c r="C283" s="5">
        <v>29185236.302959401</v>
      </c>
      <c r="D283" s="5">
        <v>53427068.975213997</v>
      </c>
      <c r="E283" s="5">
        <v>14955341.6168894</v>
      </c>
      <c r="F283" s="5">
        <v>4977404.7923681904</v>
      </c>
      <c r="G283" s="5">
        <v>9231208.0415824801</v>
      </c>
      <c r="H283" s="5">
        <v>40251528.730453297</v>
      </c>
      <c r="I283" s="5">
        <v>90377248.270936206</v>
      </c>
      <c r="J283" s="5">
        <v>39456856.680936404</v>
      </c>
      <c r="K283" s="5">
        <v>2104534.9776081401</v>
      </c>
      <c r="L283" s="5">
        <v>14785869.4024441</v>
      </c>
      <c r="M283" s="5">
        <v>24066918.576513499</v>
      </c>
      <c r="N283" s="5">
        <v>18559494.9111211</v>
      </c>
      <c r="O283" s="5">
        <v>5301900.6987664904</v>
      </c>
      <c r="P283" s="5">
        <v>6695014.8450500499</v>
      </c>
      <c r="Q283" s="5">
        <v>14243284.5207459</v>
      </c>
      <c r="R283" s="5">
        <v>17885063.892124899</v>
      </c>
      <c r="S283" s="5">
        <v>21773549.3261212</v>
      </c>
      <c r="T283" s="5">
        <v>5563192.0159444399</v>
      </c>
      <c r="U283" s="5">
        <v>7543970.6210461799</v>
      </c>
      <c r="V283" s="5">
        <v>8677021.9848468509</v>
      </c>
      <c r="W283" s="5">
        <v>20164686.982303601</v>
      </c>
      <c r="X283" s="5">
        <v>105725893.644774</v>
      </c>
      <c r="Y283" s="5">
        <v>12186810.256736999</v>
      </c>
      <c r="Z283" s="5">
        <v>17662984.598247498</v>
      </c>
      <c r="AA283" s="5">
        <v>15656290.485133599</v>
      </c>
      <c r="AB283" s="5">
        <v>16831690.478147101</v>
      </c>
      <c r="AC283" s="5">
        <v>15731825.5128868</v>
      </c>
    </row>
    <row r="284" spans="1:29" x14ac:dyDescent="0.45">
      <c r="A284" s="5" t="s">
        <v>339</v>
      </c>
      <c r="B284" s="5">
        <v>113550381.616771</v>
      </c>
      <c r="C284" s="5">
        <v>169310841.63587299</v>
      </c>
      <c r="D284" s="5">
        <v>19641201.8164827</v>
      </c>
      <c r="E284" s="5">
        <v>24164429.741404399</v>
      </c>
      <c r="F284" s="5">
        <v>7507379.6202251399</v>
      </c>
      <c r="G284" s="5">
        <v>45984364.759231701</v>
      </c>
      <c r="H284" s="5">
        <v>119964819.00606</v>
      </c>
      <c r="I284" s="5">
        <v>44248809.135511398</v>
      </c>
      <c r="J284" s="5">
        <v>14580191.953472</v>
      </c>
      <c r="K284" s="5">
        <v>35269427.6049878</v>
      </c>
      <c r="L284" s="5">
        <v>17048703.015561901</v>
      </c>
      <c r="M284" s="5">
        <v>148668478.94447199</v>
      </c>
      <c r="N284" s="5">
        <v>183754481.804234</v>
      </c>
      <c r="O284" s="5">
        <v>69856451.488730803</v>
      </c>
      <c r="P284" s="5">
        <v>86137482.626512796</v>
      </c>
      <c r="Q284" s="5">
        <v>249703843.96782601</v>
      </c>
      <c r="R284" s="5">
        <v>21924643.3796639</v>
      </c>
      <c r="S284" s="5">
        <v>231795571.84623101</v>
      </c>
      <c r="T284" s="5">
        <v>11212809.4084951</v>
      </c>
      <c r="U284" s="5">
        <v>86475888.377774805</v>
      </c>
      <c r="V284" s="5">
        <v>267445536.65997899</v>
      </c>
      <c r="W284" s="5">
        <v>43195535.838419497</v>
      </c>
      <c r="X284" s="5">
        <v>33866295.7072699</v>
      </c>
      <c r="Y284" s="5">
        <v>62106716.404948696</v>
      </c>
      <c r="Z284" s="5">
        <v>76543619.497901395</v>
      </c>
      <c r="AA284" s="5">
        <v>70531431.383375093</v>
      </c>
      <c r="AB284" s="5">
        <v>81500301.794442698</v>
      </c>
      <c r="AC284" s="5">
        <v>77771958.824866995</v>
      </c>
    </row>
    <row r="285" spans="1:29" x14ac:dyDescent="0.45">
      <c r="A285" s="5" t="s">
        <v>247</v>
      </c>
      <c r="B285" s="5">
        <v>1282625485.7718599</v>
      </c>
      <c r="C285" s="5">
        <v>1326317410.23648</v>
      </c>
      <c r="D285" s="5">
        <v>981984977.407215</v>
      </c>
      <c r="E285" s="5">
        <v>1052058353.5822001</v>
      </c>
      <c r="F285" s="5">
        <v>225948560.00694501</v>
      </c>
      <c r="G285" s="5">
        <v>631539635.79007602</v>
      </c>
      <c r="H285" s="5">
        <v>525319852.69322801</v>
      </c>
      <c r="I285" s="5">
        <v>2061978321.43959</v>
      </c>
      <c r="J285" s="5">
        <v>525137451.31319898</v>
      </c>
      <c r="K285" s="5">
        <v>1066586669.41468</v>
      </c>
      <c r="L285" s="5">
        <v>172557609.23899001</v>
      </c>
      <c r="M285" s="5">
        <v>1102117519.59217</v>
      </c>
      <c r="N285" s="5">
        <v>1063570563.45215</v>
      </c>
      <c r="O285" s="5">
        <v>714863432.41117597</v>
      </c>
      <c r="P285" s="5">
        <v>796029241.00745499</v>
      </c>
      <c r="Q285" s="5">
        <v>1376554069.9904799</v>
      </c>
      <c r="R285" s="5">
        <v>1005006898.89404</v>
      </c>
      <c r="S285" s="5">
        <v>1193672952.1273601</v>
      </c>
      <c r="T285" s="5">
        <v>421211486.823237</v>
      </c>
      <c r="U285" s="5">
        <v>521454876.24394703</v>
      </c>
      <c r="V285" s="5">
        <v>1031190012.37967</v>
      </c>
      <c r="W285" s="5">
        <v>665611028.05404305</v>
      </c>
      <c r="X285" s="5">
        <v>6506444364.35495</v>
      </c>
      <c r="Y285" s="5">
        <v>1011578443.40563</v>
      </c>
      <c r="Z285" s="5">
        <v>890334227.05956495</v>
      </c>
      <c r="AA285" s="5">
        <v>940368225.93275106</v>
      </c>
      <c r="AB285" s="5">
        <v>925826021.68618095</v>
      </c>
      <c r="AC285" s="5">
        <v>978611651.91241503</v>
      </c>
    </row>
    <row r="286" spans="1:29" x14ac:dyDescent="0.45">
      <c r="A286" s="5" t="s">
        <v>248</v>
      </c>
      <c r="B286" s="5">
        <v>53628643.064673297</v>
      </c>
      <c r="C286" s="5">
        <v>25629449.288602199</v>
      </c>
      <c r="D286" s="5">
        <v>36158688.783996202</v>
      </c>
      <c r="E286" s="5">
        <v>47858054.044372797</v>
      </c>
      <c r="F286" s="5">
        <v>58862516.832040697</v>
      </c>
      <c r="G286" s="5">
        <v>112770299.76030099</v>
      </c>
      <c r="H286" s="5">
        <v>23878800.901343402</v>
      </c>
      <c r="I286" s="5">
        <v>1281437819.88797</v>
      </c>
      <c r="J286" s="5">
        <v>49956922.682894498</v>
      </c>
      <c r="K286" s="5">
        <v>158224553.24669701</v>
      </c>
      <c r="L286" s="5">
        <v>140822247.79590401</v>
      </c>
      <c r="M286" s="5">
        <v>112383062.473875</v>
      </c>
      <c r="N286" s="5">
        <v>13196971.095460201</v>
      </c>
      <c r="O286" s="5">
        <v>19797533.861644901</v>
      </c>
      <c r="P286" s="5">
        <v>16282693.640468201</v>
      </c>
      <c r="Q286" s="5">
        <v>28938237.683520202</v>
      </c>
      <c r="R286" s="5">
        <v>31139953.0897827</v>
      </c>
      <c r="S286" s="5">
        <v>30728788.3156964</v>
      </c>
      <c r="T286" s="5">
        <v>47055444.422279701</v>
      </c>
      <c r="U286" s="5">
        <v>28265188.509534899</v>
      </c>
      <c r="V286" s="5">
        <v>24769166.603965499</v>
      </c>
      <c r="W286" s="5">
        <v>32926329.741275899</v>
      </c>
      <c r="X286" s="5">
        <v>88283695.814796299</v>
      </c>
      <c r="Y286" s="5">
        <v>30276212.355697501</v>
      </c>
      <c r="Z286" s="5">
        <v>77582770.552493393</v>
      </c>
      <c r="AA286" s="5">
        <v>66968360.782248899</v>
      </c>
      <c r="AB286" s="5">
        <v>53834344.406971097</v>
      </c>
      <c r="AC286" s="5">
        <v>59474784.662685402</v>
      </c>
    </row>
    <row r="287" spans="1:29" x14ac:dyDescent="0.45">
      <c r="A287" s="5" t="s">
        <v>430</v>
      </c>
      <c r="B287" s="5">
        <v>2781884106.04632</v>
      </c>
      <c r="C287" s="5">
        <v>2022112842.5030501</v>
      </c>
      <c r="D287" s="5">
        <v>2361856386.8777399</v>
      </c>
      <c r="E287" s="5">
        <v>2473151802.52144</v>
      </c>
      <c r="F287" s="5">
        <v>2784050629.0967202</v>
      </c>
      <c r="G287" s="5">
        <v>2407737587.7234101</v>
      </c>
      <c r="H287" s="5">
        <v>2584915369.7751398</v>
      </c>
      <c r="I287" s="5">
        <v>2786284597.6461501</v>
      </c>
      <c r="J287" s="5">
        <v>2715764030.9798999</v>
      </c>
      <c r="K287" s="5">
        <v>1916234970.13344</v>
      </c>
      <c r="L287" s="5">
        <v>2727839800.4681001</v>
      </c>
      <c r="M287" s="5">
        <v>2277438615.6809001</v>
      </c>
      <c r="N287" s="5">
        <v>2049104500.22088</v>
      </c>
      <c r="O287" s="5">
        <v>1883198304.2565401</v>
      </c>
      <c r="P287" s="5">
        <v>2121145647.3087101</v>
      </c>
      <c r="Q287" s="5">
        <v>1899363470.4591999</v>
      </c>
      <c r="R287" s="5">
        <v>3004423368.8592501</v>
      </c>
      <c r="S287" s="5">
        <v>2449170480.9198298</v>
      </c>
      <c r="T287" s="5">
        <v>2946832044.0671201</v>
      </c>
      <c r="U287" s="5">
        <v>2707171885.23247</v>
      </c>
      <c r="V287" s="5">
        <v>2014465533.71084</v>
      </c>
      <c r="W287" s="5">
        <v>2885676814.2269702</v>
      </c>
      <c r="X287" s="5">
        <v>2771784616.7982402</v>
      </c>
      <c r="Y287" s="5">
        <v>2809075478.4400301</v>
      </c>
      <c r="Z287" s="5">
        <v>2245591752.4699502</v>
      </c>
      <c r="AA287" s="5">
        <v>2209180912.0764899</v>
      </c>
      <c r="AB287" s="5">
        <v>2106364539.9042399</v>
      </c>
      <c r="AC287" s="5">
        <v>2217340660.6203599</v>
      </c>
    </row>
    <row r="288" spans="1:29" x14ac:dyDescent="0.45">
      <c r="A288" s="5" t="s">
        <v>379</v>
      </c>
      <c r="B288" s="5">
        <v>29360433.5516489</v>
      </c>
      <c r="C288" s="5">
        <v>47904603.966590598</v>
      </c>
      <c r="D288" s="5">
        <v>46947924.8249759</v>
      </c>
      <c r="E288" s="5">
        <v>23500125.392800599</v>
      </c>
      <c r="F288" s="5">
        <v>22724255.631493799</v>
      </c>
      <c r="G288" s="5">
        <v>24060881.2066103</v>
      </c>
      <c r="H288" s="5">
        <v>22114681.182217199</v>
      </c>
      <c r="I288" s="5">
        <v>145620061.54918301</v>
      </c>
      <c r="J288" s="5">
        <v>21601188.330180101</v>
      </c>
      <c r="K288" s="5">
        <v>109334858.265965</v>
      </c>
      <c r="L288" s="5">
        <v>54060800.822990403</v>
      </c>
      <c r="M288" s="5">
        <v>42382912.938854001</v>
      </c>
      <c r="N288" s="5">
        <v>4742826.7453273702</v>
      </c>
      <c r="O288" s="5">
        <v>20302252.413059499</v>
      </c>
      <c r="P288" s="5">
        <v>12999298.0692745</v>
      </c>
      <c r="Q288" s="5">
        <v>59072234.748084202</v>
      </c>
      <c r="R288" s="5">
        <v>42577800.618979</v>
      </c>
      <c r="S288" s="5">
        <v>50280296.268151499</v>
      </c>
      <c r="T288" s="5">
        <v>23859832.755183101</v>
      </c>
      <c r="U288" s="5">
        <v>23633052.553926598</v>
      </c>
      <c r="V288" s="5">
        <v>23747269.522622399</v>
      </c>
      <c r="W288" s="5">
        <v>24623471.265046101</v>
      </c>
      <c r="X288" s="5">
        <v>457719338.34311497</v>
      </c>
      <c r="Y288" s="5">
        <v>20894490.7358476</v>
      </c>
      <c r="Z288" s="5">
        <v>39009516.715947099</v>
      </c>
      <c r="AA288" s="5">
        <v>38535549.880132101</v>
      </c>
      <c r="AB288" s="5">
        <v>41406857.503444701</v>
      </c>
      <c r="AC288" s="5">
        <v>42007444.763707601</v>
      </c>
    </row>
    <row r="289" spans="1:29" x14ac:dyDescent="0.45">
      <c r="A289" s="5" t="s">
        <v>340</v>
      </c>
      <c r="B289" s="5">
        <v>57744816.756365597</v>
      </c>
      <c r="C289" s="5">
        <v>103618481.039524</v>
      </c>
      <c r="D289" s="5">
        <v>94032151.663261503</v>
      </c>
      <c r="E289" s="5">
        <v>81511754.836547896</v>
      </c>
      <c r="F289" s="5">
        <v>102312873.208717</v>
      </c>
      <c r="G289" s="5">
        <v>85875399.052104607</v>
      </c>
      <c r="H289" s="5">
        <v>62498573.831264399</v>
      </c>
      <c r="I289" s="5">
        <v>406576644.97204202</v>
      </c>
      <c r="J289" s="5">
        <v>180161592.59840599</v>
      </c>
      <c r="K289" s="5">
        <v>104584490.44613799</v>
      </c>
      <c r="L289" s="5">
        <v>75259450.241067797</v>
      </c>
      <c r="M289" s="5">
        <v>62662607.125533499</v>
      </c>
      <c r="N289" s="5">
        <v>95630697.156748503</v>
      </c>
      <c r="O289" s="5">
        <v>157527680.43541199</v>
      </c>
      <c r="P289" s="5">
        <v>90409288.202297896</v>
      </c>
      <c r="Q289" s="5">
        <v>81115843.426014498</v>
      </c>
      <c r="R289" s="5">
        <v>101986122.78220899</v>
      </c>
      <c r="S289" s="5">
        <v>84139626.544531107</v>
      </c>
      <c r="T289" s="5">
        <v>85895797.289502203</v>
      </c>
      <c r="U289" s="5">
        <v>106688983.91222499</v>
      </c>
      <c r="V289" s="5">
        <v>111328020.175772</v>
      </c>
      <c r="W289" s="5">
        <v>60938442.877359197</v>
      </c>
      <c r="X289" s="5">
        <v>272944617.63462001</v>
      </c>
      <c r="Y289" s="5">
        <v>60818800.465469301</v>
      </c>
      <c r="Z289" s="5">
        <v>87537566.016161606</v>
      </c>
      <c r="AA289" s="5">
        <v>90245053.190254599</v>
      </c>
      <c r="AB289" s="5">
        <v>88494658.304705203</v>
      </c>
      <c r="AC289" s="5">
        <v>92122439.676295996</v>
      </c>
    </row>
    <row r="290" spans="1:29" x14ac:dyDescent="0.45">
      <c r="A290" s="5" t="s">
        <v>249</v>
      </c>
      <c r="B290" s="5">
        <v>20287463.761265699</v>
      </c>
      <c r="C290" s="5">
        <v>23273838.1952173</v>
      </c>
      <c r="D290" s="5">
        <v>30009874.349793602</v>
      </c>
      <c r="E290" s="5">
        <v>12074164.5352506</v>
      </c>
      <c r="F290" s="5">
        <v>16216856.4658603</v>
      </c>
      <c r="G290" s="5">
        <v>16193842.272325801</v>
      </c>
      <c r="H290" s="5">
        <v>16577129.4511126</v>
      </c>
      <c r="I290" s="5">
        <v>17310784.9819916</v>
      </c>
      <c r="J290" s="5">
        <v>20635788.216389999</v>
      </c>
      <c r="K290" s="5">
        <v>7855402.9849528298</v>
      </c>
      <c r="L290" s="5">
        <v>22539603.5081225</v>
      </c>
      <c r="M290" s="5">
        <v>15435629.3307402</v>
      </c>
      <c r="N290" s="5">
        <v>17093313.0824995</v>
      </c>
      <c r="O290" s="5">
        <v>40748801.138119899</v>
      </c>
      <c r="P290" s="5">
        <v>22367716.563317601</v>
      </c>
      <c r="Q290" s="5">
        <v>17263128.262439702</v>
      </c>
      <c r="R290" s="5">
        <v>17839386.396231201</v>
      </c>
      <c r="S290" s="5">
        <v>19547146.732230499</v>
      </c>
      <c r="T290" s="5">
        <v>22895022.568817701</v>
      </c>
      <c r="U290" s="5">
        <v>32139801.810718801</v>
      </c>
      <c r="V290" s="5">
        <v>28882289.582902201</v>
      </c>
      <c r="W290" s="5">
        <v>18172680.9197031</v>
      </c>
      <c r="X290" s="5">
        <v>41389016.4455119</v>
      </c>
      <c r="Y290" s="5">
        <v>16504745.381900501</v>
      </c>
      <c r="Z290" s="5">
        <v>15907615.123641901</v>
      </c>
      <c r="AA290" s="5">
        <v>16288894.4534672</v>
      </c>
      <c r="AB290" s="5">
        <v>18805772.103142001</v>
      </c>
      <c r="AC290" s="5">
        <v>19343476.1964956</v>
      </c>
    </row>
    <row r="291" spans="1:29" x14ac:dyDescent="0.45">
      <c r="A291" s="5" t="s">
        <v>250</v>
      </c>
      <c r="B291" s="5">
        <v>6582489.7182328803</v>
      </c>
      <c r="C291" s="5">
        <v>7910769.8641953403</v>
      </c>
      <c r="D291" s="5">
        <v>7309456.6276009697</v>
      </c>
      <c r="E291" s="5">
        <v>4406522.2708662301</v>
      </c>
      <c r="F291" s="5">
        <v>5282220.5723890597</v>
      </c>
      <c r="G291" s="5">
        <v>5592700.5134819997</v>
      </c>
      <c r="H291" s="5">
        <v>6509268.9043255104</v>
      </c>
      <c r="I291" s="5">
        <v>9174959.0175844394</v>
      </c>
      <c r="J291" s="5">
        <v>7058749.11397833</v>
      </c>
      <c r="K291" s="5">
        <v>5132520.6342422701</v>
      </c>
      <c r="L291" s="5">
        <v>6655163.8880392304</v>
      </c>
      <c r="M291" s="5">
        <v>5664879.3784738202</v>
      </c>
      <c r="N291" s="5">
        <v>6962842.99638863</v>
      </c>
      <c r="O291" s="5">
        <v>14210432.072906001</v>
      </c>
      <c r="P291" s="5">
        <v>7663762.7896532603</v>
      </c>
      <c r="Q291" s="5">
        <v>7409370.1783208</v>
      </c>
      <c r="R291" s="5">
        <v>5634182.4758430896</v>
      </c>
      <c r="S291" s="5">
        <v>5870612.9533846602</v>
      </c>
      <c r="T291" s="5">
        <v>7220926.1093969001</v>
      </c>
      <c r="U291" s="5">
        <v>8933810.1879779398</v>
      </c>
      <c r="V291" s="5">
        <v>10748842.1679902</v>
      </c>
      <c r="W291" s="5">
        <v>7844053.4421162298</v>
      </c>
      <c r="X291" s="5">
        <v>11740361.209790699</v>
      </c>
      <c r="Y291" s="5">
        <v>4861262.8699730504</v>
      </c>
      <c r="Z291" s="5">
        <v>6546858.1010045204</v>
      </c>
      <c r="AA291" s="5">
        <v>8366821.5936673498</v>
      </c>
      <c r="AB291" s="5">
        <v>7506850.8565120297</v>
      </c>
      <c r="AC291" s="5">
        <v>7171592.7926160898</v>
      </c>
    </row>
    <row r="292" spans="1:29" x14ac:dyDescent="0.45">
      <c r="A292" s="5" t="s">
        <v>251</v>
      </c>
      <c r="B292" s="5">
        <v>20261152.8807601</v>
      </c>
      <c r="C292" s="5">
        <v>31678496.6337515</v>
      </c>
      <c r="D292" s="5">
        <v>23801072.840851702</v>
      </c>
      <c r="E292" s="5">
        <v>14931415.638974199</v>
      </c>
      <c r="F292" s="5">
        <v>16596137.6265602</v>
      </c>
      <c r="G292" s="5">
        <v>17435904.491945598</v>
      </c>
      <c r="H292" s="5">
        <v>16883715.4592719</v>
      </c>
      <c r="I292" s="5">
        <v>5904276.0647762604</v>
      </c>
      <c r="J292" s="5">
        <v>16417992.0740408</v>
      </c>
      <c r="K292" s="5">
        <v>9312122.4002869409</v>
      </c>
      <c r="L292" s="5">
        <v>11747481.1527611</v>
      </c>
      <c r="M292" s="5">
        <v>14416044.940037301</v>
      </c>
      <c r="N292" s="5">
        <v>16819400.084429398</v>
      </c>
      <c r="O292" s="5">
        <v>55869724.843057401</v>
      </c>
      <c r="P292" s="5">
        <v>26680103.152468301</v>
      </c>
      <c r="Q292" s="5">
        <v>21671258.795109201</v>
      </c>
      <c r="R292" s="5">
        <v>10351139.8599637</v>
      </c>
      <c r="S292" s="5">
        <v>15509661.781947199</v>
      </c>
      <c r="T292" s="5">
        <v>16705621.555441</v>
      </c>
      <c r="U292" s="5">
        <v>24563952.794160299</v>
      </c>
      <c r="V292" s="5">
        <v>31472355.614672799</v>
      </c>
      <c r="W292" s="5">
        <v>24811408.045945</v>
      </c>
      <c r="X292" s="5">
        <v>19275745.0420774</v>
      </c>
      <c r="Y292" s="5">
        <v>23310617.908939701</v>
      </c>
      <c r="Z292" s="5">
        <v>20689616.198849302</v>
      </c>
      <c r="AA292" s="5">
        <v>19637499.920658</v>
      </c>
      <c r="AB292" s="5">
        <v>19663032.104759101</v>
      </c>
      <c r="AC292" s="5">
        <v>19842166.863580901</v>
      </c>
    </row>
    <row r="293" spans="1:29" x14ac:dyDescent="0.45">
      <c r="A293" s="5" t="s">
        <v>431</v>
      </c>
      <c r="B293" s="5">
        <v>77331908.361558706</v>
      </c>
      <c r="C293" s="5">
        <v>110127789.61466099</v>
      </c>
      <c r="D293" s="5">
        <v>97276167.596957698</v>
      </c>
      <c r="E293" s="5">
        <v>81901105.164370596</v>
      </c>
      <c r="F293" s="5">
        <v>77476510.227758899</v>
      </c>
      <c r="G293" s="5">
        <v>76043145.699558198</v>
      </c>
      <c r="H293" s="5">
        <v>73621474.069603696</v>
      </c>
      <c r="I293" s="5">
        <v>6098602.4691594103</v>
      </c>
      <c r="J293" s="5">
        <v>99799686.571246505</v>
      </c>
      <c r="K293" s="5">
        <v>37158836.500607297</v>
      </c>
      <c r="L293" s="5">
        <v>77245556.558823198</v>
      </c>
      <c r="M293" s="5">
        <v>69426400.735966206</v>
      </c>
      <c r="N293" s="5">
        <v>100623689.34742901</v>
      </c>
      <c r="O293" s="5">
        <v>169604137.41261101</v>
      </c>
      <c r="P293" s="5">
        <v>112755122.59945901</v>
      </c>
      <c r="Q293" s="5">
        <v>107593716.29525299</v>
      </c>
      <c r="R293" s="5">
        <v>63505347.628868401</v>
      </c>
      <c r="S293" s="5">
        <v>84737847.517820895</v>
      </c>
      <c r="T293" s="5">
        <v>137877971.8996</v>
      </c>
      <c r="U293" s="5">
        <v>95878532.922976598</v>
      </c>
      <c r="V293" s="5">
        <v>120433967.583253</v>
      </c>
      <c r="W293" s="5">
        <v>89895452.059759498</v>
      </c>
      <c r="X293" s="5">
        <v>27345119.641146801</v>
      </c>
      <c r="Y293" s="5">
        <v>85350280.672280401</v>
      </c>
      <c r="Z293" s="5">
        <v>84302761.902539</v>
      </c>
      <c r="AA293" s="5">
        <v>87094679.629088297</v>
      </c>
      <c r="AB293" s="5">
        <v>84418364.919507802</v>
      </c>
      <c r="AC293" s="5">
        <v>84433890.096256405</v>
      </c>
    </row>
    <row r="294" spans="1:29" x14ac:dyDescent="0.45">
      <c r="A294" s="5" t="s">
        <v>252</v>
      </c>
      <c r="B294" s="5">
        <v>12027654.9020814</v>
      </c>
      <c r="C294" s="5">
        <v>36040694.981184997</v>
      </c>
      <c r="D294" s="5">
        <v>32390849.410126898</v>
      </c>
      <c r="E294" s="5">
        <v>24001279.691051502</v>
      </c>
      <c r="F294" s="5">
        <v>21808423.043967102</v>
      </c>
      <c r="G294" s="5">
        <v>16777959.732089099</v>
      </c>
      <c r="H294" s="5">
        <v>19771078.807054199</v>
      </c>
      <c r="I294" s="5">
        <v>22396545.171963401</v>
      </c>
      <c r="J294" s="5">
        <v>22440591.3725265</v>
      </c>
      <c r="K294" s="5">
        <v>11419159.416576499</v>
      </c>
      <c r="L294" s="5">
        <v>27404506.265144501</v>
      </c>
      <c r="M294" s="5">
        <v>30056422.739427701</v>
      </c>
      <c r="N294" s="5">
        <v>25206379.6326789</v>
      </c>
      <c r="O294" s="5">
        <v>7101532.3078228598</v>
      </c>
      <c r="P294" s="5">
        <v>19246006.414740998</v>
      </c>
      <c r="Q294" s="5">
        <v>30349088.708369501</v>
      </c>
      <c r="R294" s="5">
        <v>5393919.9730306296</v>
      </c>
      <c r="S294" s="5">
        <v>16464054.169115899</v>
      </c>
      <c r="T294" s="5">
        <v>34177160.402621701</v>
      </c>
      <c r="U294" s="5">
        <v>24498023.3572491</v>
      </c>
      <c r="V294" s="5">
        <v>26588540.3533771</v>
      </c>
      <c r="W294" s="5">
        <v>7024457.8058924796</v>
      </c>
      <c r="X294" s="5">
        <v>30847168.674458999</v>
      </c>
      <c r="Y294" s="5">
        <v>26650603.833377801</v>
      </c>
      <c r="Z294" s="5">
        <v>22670504.122251902</v>
      </c>
      <c r="AA294" s="5">
        <v>24869825.5806248</v>
      </c>
      <c r="AB294" s="5">
        <v>25644073.598957598</v>
      </c>
      <c r="AC294" s="5">
        <v>17583309.492208</v>
      </c>
    </row>
    <row r="295" spans="1:29" x14ac:dyDescent="0.45">
      <c r="A295" s="5" t="s">
        <v>253</v>
      </c>
      <c r="B295" s="5">
        <v>44798263.5939788</v>
      </c>
      <c r="C295" s="5">
        <v>41902315.510949299</v>
      </c>
      <c r="D295" s="5">
        <v>79977565.481968105</v>
      </c>
      <c r="E295" s="5">
        <v>63762613.620208196</v>
      </c>
      <c r="F295" s="5">
        <v>140421430.84349701</v>
      </c>
      <c r="G295" s="5">
        <v>47224606.660487399</v>
      </c>
      <c r="H295" s="5">
        <v>41092686.306788303</v>
      </c>
      <c r="I295" s="5">
        <v>1342993553.76632</v>
      </c>
      <c r="J295" s="5">
        <v>155761120.514285</v>
      </c>
      <c r="K295" s="5">
        <v>367094843.64952397</v>
      </c>
      <c r="L295" s="5">
        <v>163213905.48813</v>
      </c>
      <c r="M295" s="5">
        <v>44204380.914456099</v>
      </c>
      <c r="N295" s="5">
        <v>53277790.659615502</v>
      </c>
      <c r="O295" s="5">
        <v>59280950.2764128</v>
      </c>
      <c r="P295" s="5">
        <v>69213443.081964701</v>
      </c>
      <c r="Q295" s="5">
        <v>44560928.233501501</v>
      </c>
      <c r="R295" s="5">
        <v>124138476.409445</v>
      </c>
      <c r="S295" s="5">
        <v>48375570.884694599</v>
      </c>
      <c r="T295" s="5">
        <v>88668571.886381596</v>
      </c>
      <c r="U295" s="5">
        <v>46181041.0079161</v>
      </c>
      <c r="V295" s="5">
        <v>55890907.067800999</v>
      </c>
      <c r="W295" s="5">
        <v>53737963.3678248</v>
      </c>
      <c r="X295" s="5">
        <v>590071391.43034399</v>
      </c>
      <c r="Y295" s="5">
        <v>46002654.7680922</v>
      </c>
      <c r="Z295" s="5">
        <v>84224349.271879703</v>
      </c>
      <c r="AA295" s="5">
        <v>92184253.473602399</v>
      </c>
      <c r="AB295" s="5">
        <v>87596043.184632495</v>
      </c>
      <c r="AC295" s="5">
        <v>96088125.4235342</v>
      </c>
    </row>
    <row r="296" spans="1:29" x14ac:dyDescent="0.45">
      <c r="A296" s="5" t="s">
        <v>254</v>
      </c>
      <c r="B296" s="5">
        <v>56581089.705544397</v>
      </c>
      <c r="C296" s="5">
        <v>57249081.647272199</v>
      </c>
      <c r="D296" s="5">
        <v>69347915.474289</v>
      </c>
      <c r="E296" s="5">
        <v>71262501.215774104</v>
      </c>
      <c r="F296" s="5">
        <v>58618389.302436799</v>
      </c>
      <c r="G296" s="5">
        <v>66869898.903918102</v>
      </c>
      <c r="H296" s="5">
        <v>66066023.9826442</v>
      </c>
      <c r="I296" s="5">
        <v>53824302.078114301</v>
      </c>
      <c r="J296" s="5">
        <v>58912941.068298303</v>
      </c>
      <c r="K296" s="5">
        <v>80398594.300638005</v>
      </c>
      <c r="L296" s="5">
        <v>68660528.092592895</v>
      </c>
      <c r="M296" s="5">
        <v>79540115.399561197</v>
      </c>
      <c r="N296" s="5">
        <v>64673546.811032698</v>
      </c>
      <c r="O296" s="5">
        <v>53224734.932720803</v>
      </c>
      <c r="P296" s="5">
        <v>60857981.421243399</v>
      </c>
      <c r="Q296" s="5">
        <v>76872224.622428</v>
      </c>
      <c r="R296" s="5">
        <v>79721329.823839098</v>
      </c>
      <c r="S296" s="5">
        <v>80182114.958916694</v>
      </c>
      <c r="T296" s="5">
        <v>75364243.265883893</v>
      </c>
      <c r="U296" s="5">
        <v>73068518.199403897</v>
      </c>
      <c r="V296" s="5">
        <v>73832988.898164004</v>
      </c>
      <c r="W296" s="5">
        <v>58631008.768542498</v>
      </c>
      <c r="X296" s="5">
        <v>73152243.1083498</v>
      </c>
      <c r="Y296" s="5">
        <v>8874316.0577988308</v>
      </c>
      <c r="Z296" s="5">
        <v>56447182.995387703</v>
      </c>
      <c r="AA296" s="5">
        <v>61853504.6805906</v>
      </c>
      <c r="AB296" s="5">
        <v>61654652.011809997</v>
      </c>
      <c r="AC296" s="5">
        <v>62913115.486177899</v>
      </c>
    </row>
    <row r="297" spans="1:29" x14ac:dyDescent="0.45">
      <c r="A297" s="5" t="s">
        <v>255</v>
      </c>
      <c r="B297" s="5">
        <v>415853.82404431998</v>
      </c>
      <c r="C297" s="5">
        <v>4222098.33147626</v>
      </c>
      <c r="D297" s="5">
        <v>8817642.8216806296</v>
      </c>
      <c r="E297" s="5">
        <v>405648.51345944899</v>
      </c>
      <c r="F297" s="5">
        <v>5426606.2889289604</v>
      </c>
      <c r="G297" s="5">
        <v>478668.62078688602</v>
      </c>
      <c r="H297" s="5">
        <v>265191.46496214299</v>
      </c>
      <c r="I297" s="5">
        <v>5341582.5494862897</v>
      </c>
      <c r="J297" s="5">
        <v>951510.08799191297</v>
      </c>
      <c r="K297" s="5">
        <v>737019.83724680101</v>
      </c>
      <c r="L297" s="5">
        <v>3208850.5316890199</v>
      </c>
      <c r="M297" s="5">
        <v>6459968.2175029796</v>
      </c>
      <c r="N297" s="5">
        <v>292920.41599931999</v>
      </c>
      <c r="O297" s="5">
        <v>225050.77041684199</v>
      </c>
      <c r="P297" s="5">
        <v>146099.756314664</v>
      </c>
      <c r="Q297" s="5">
        <v>7357428.6749438699</v>
      </c>
      <c r="R297" s="5">
        <v>361353.11284843099</v>
      </c>
      <c r="S297" s="5">
        <v>8195333.5519591598</v>
      </c>
      <c r="T297" s="5">
        <v>693136.14571469405</v>
      </c>
      <c r="U297" s="5">
        <v>255723.169140382</v>
      </c>
      <c r="V297" s="5">
        <v>5123745.80024915</v>
      </c>
      <c r="W297" s="5">
        <v>273549.33743663598</v>
      </c>
      <c r="X297" s="5">
        <v>681735415.75797403</v>
      </c>
      <c r="Y297" s="5">
        <v>252765.86789949701</v>
      </c>
      <c r="Z297" s="5">
        <v>12550752.924903899</v>
      </c>
      <c r="AA297" s="5">
        <v>12205503.664576801</v>
      </c>
      <c r="AB297" s="5">
        <v>13500459.920048799</v>
      </c>
      <c r="AC297" s="5">
        <v>13005690.2538139</v>
      </c>
    </row>
    <row r="298" spans="1:29" x14ac:dyDescent="0.45">
      <c r="A298" s="5" t="s">
        <v>364</v>
      </c>
      <c r="B298" s="5">
        <v>21299404.494963899</v>
      </c>
      <c r="C298" s="5">
        <v>18508261.816643301</v>
      </c>
      <c r="D298" s="5">
        <v>31320626.806967799</v>
      </c>
      <c r="E298" s="5">
        <v>26092612.028003599</v>
      </c>
      <c r="F298" s="5">
        <v>53258791.401432797</v>
      </c>
      <c r="G298" s="5">
        <v>19481234.574390501</v>
      </c>
      <c r="H298" s="5">
        <v>17900682.217519801</v>
      </c>
      <c r="I298" s="5">
        <v>468252886.60444897</v>
      </c>
      <c r="J298" s="5">
        <v>56059123.405146196</v>
      </c>
      <c r="K298" s="5">
        <v>129056224.204248</v>
      </c>
      <c r="L298" s="5">
        <v>58165558.382093698</v>
      </c>
      <c r="M298" s="5">
        <v>18618919.521948099</v>
      </c>
      <c r="N298" s="5">
        <v>28573973.031166099</v>
      </c>
      <c r="O298" s="5">
        <v>38660580.335234798</v>
      </c>
      <c r="P298" s="5">
        <v>39778546.105101801</v>
      </c>
      <c r="Q298" s="5">
        <v>15700766.651892001</v>
      </c>
      <c r="R298" s="5">
        <v>40294552.810890801</v>
      </c>
      <c r="S298" s="5">
        <v>17010321.255630199</v>
      </c>
      <c r="T298" s="5">
        <v>30208907.331948198</v>
      </c>
      <c r="U298" s="5">
        <v>17624944.3567895</v>
      </c>
      <c r="V298" s="5">
        <v>20197979.301456802</v>
      </c>
      <c r="W298" s="5">
        <v>22096063.649773002</v>
      </c>
      <c r="X298" s="5">
        <v>201019735.27862599</v>
      </c>
      <c r="Y298" s="5">
        <v>31501017.7805827</v>
      </c>
      <c r="Z298" s="5">
        <v>32871188.765377998</v>
      </c>
      <c r="AA298" s="5">
        <v>34319178.426995099</v>
      </c>
      <c r="AB298" s="5">
        <v>31259928.946775101</v>
      </c>
      <c r="AC298" s="5">
        <v>33321492.478868201</v>
      </c>
    </row>
    <row r="299" spans="1:29" x14ac:dyDescent="0.45">
      <c r="A299" s="5" t="s">
        <v>256</v>
      </c>
      <c r="B299" s="5">
        <v>2804115.9764161799</v>
      </c>
      <c r="C299" s="5">
        <v>7701584.9973341897</v>
      </c>
      <c r="D299" s="5">
        <v>8867034.1184764206</v>
      </c>
      <c r="E299" s="5">
        <v>15220928.779403901</v>
      </c>
      <c r="F299" s="5">
        <v>109086475.683948</v>
      </c>
      <c r="G299" s="5">
        <v>20815452.150178201</v>
      </c>
      <c r="H299" s="5">
        <v>2339685.30716372</v>
      </c>
      <c r="I299" s="5">
        <v>5855253.4671160802</v>
      </c>
      <c r="J299" s="5">
        <v>1781333.8525944999</v>
      </c>
      <c r="K299" s="5">
        <v>183612435.012187</v>
      </c>
      <c r="L299" s="5">
        <v>25678629.082754601</v>
      </c>
      <c r="M299" s="5">
        <v>5954147.4461604999</v>
      </c>
      <c r="N299" s="5">
        <v>5066853.5763714397</v>
      </c>
      <c r="O299" s="5">
        <v>3218218.0824347399</v>
      </c>
      <c r="P299" s="5">
        <v>11091586.0853144</v>
      </c>
      <c r="Q299" s="5">
        <v>56301743.848038703</v>
      </c>
      <c r="R299" s="5">
        <v>34818325.9837301</v>
      </c>
      <c r="S299" s="5">
        <v>15848850.995100699</v>
      </c>
      <c r="T299" s="5">
        <v>17635303.029474799</v>
      </c>
      <c r="U299" s="5">
        <v>145560748.87936899</v>
      </c>
      <c r="V299" s="5">
        <v>4258349.0793777602</v>
      </c>
      <c r="W299" s="5">
        <v>3070526.4186638598</v>
      </c>
      <c r="X299" s="5">
        <v>6638109.9932640595</v>
      </c>
      <c r="Y299" s="5">
        <v>2578879.1313549099</v>
      </c>
      <c r="Z299" s="5">
        <v>21771465.203556199</v>
      </c>
      <c r="AA299" s="5">
        <v>21799983.122122899</v>
      </c>
      <c r="AB299" s="5">
        <v>21443190.722780999</v>
      </c>
      <c r="AC299" s="5">
        <v>22220036.121601701</v>
      </c>
    </row>
    <row r="300" spans="1:29" x14ac:dyDescent="0.45">
      <c r="A300" s="5" t="s">
        <v>341</v>
      </c>
      <c r="B300" s="5">
        <v>4169476.2527526901</v>
      </c>
      <c r="C300" s="5">
        <v>5094647.2882128898</v>
      </c>
      <c r="D300" s="5">
        <v>4763065.2499620104</v>
      </c>
      <c r="E300" s="5">
        <v>6628902.0499152904</v>
      </c>
      <c r="F300" s="5">
        <v>5125359.4674156001</v>
      </c>
      <c r="G300" s="5">
        <v>6521409.5655441098</v>
      </c>
      <c r="H300" s="5">
        <v>5640160.3032451002</v>
      </c>
      <c r="I300" s="5">
        <v>4403459.1805916503</v>
      </c>
      <c r="J300" s="5">
        <v>3917318.6010969202</v>
      </c>
      <c r="K300" s="5">
        <v>7640554.1966983704</v>
      </c>
      <c r="L300" s="5">
        <v>6087594.9369658902</v>
      </c>
      <c r="M300" s="5">
        <v>7685858.9754214603</v>
      </c>
      <c r="N300" s="5">
        <v>7198928.8967289096</v>
      </c>
      <c r="O300" s="5">
        <v>4520126.3068495197</v>
      </c>
      <c r="P300" s="5">
        <v>6820042.7240123702</v>
      </c>
      <c r="Q300" s="5">
        <v>3989714.33630689</v>
      </c>
      <c r="R300" s="5">
        <v>8049301.6800182499</v>
      </c>
      <c r="S300" s="5">
        <v>4041611.1225173399</v>
      </c>
      <c r="T300" s="5">
        <v>6679579.59413171</v>
      </c>
      <c r="U300" s="5">
        <v>7636237.5127344802</v>
      </c>
      <c r="V300" s="5">
        <v>5968755.71933241</v>
      </c>
      <c r="W300" s="5">
        <v>8298980.0827393103</v>
      </c>
      <c r="X300" s="5">
        <v>7337410.5274111601</v>
      </c>
      <c r="Y300" s="5">
        <v>5022252.9842704805</v>
      </c>
      <c r="Z300" s="5">
        <v>4754996.9763579201</v>
      </c>
      <c r="AA300" s="5">
        <v>4346315.3368622996</v>
      </c>
      <c r="AB300" s="5">
        <v>4975495.4743635701</v>
      </c>
      <c r="AC300" s="5">
        <v>5036345.8983733496</v>
      </c>
    </row>
    <row r="301" spans="1:29" x14ac:dyDescent="0.45">
      <c r="A301" s="5" t="s">
        <v>380</v>
      </c>
      <c r="B301" s="5">
        <v>330295190.77289099</v>
      </c>
      <c r="C301" s="5">
        <v>247547804.564634</v>
      </c>
      <c r="D301" s="5">
        <v>473542882.29224002</v>
      </c>
      <c r="E301" s="5">
        <v>306570891.22738397</v>
      </c>
      <c r="F301" s="5">
        <v>328506139.99653298</v>
      </c>
      <c r="G301" s="5">
        <v>244750410.34977099</v>
      </c>
      <c r="H301" s="5">
        <v>328180588.75646299</v>
      </c>
      <c r="I301" s="5">
        <v>1262801696.57781</v>
      </c>
      <c r="J301" s="5">
        <v>682363044.83611703</v>
      </c>
      <c r="K301" s="5">
        <v>194859191.826621</v>
      </c>
      <c r="L301" s="5">
        <v>419688564.24807698</v>
      </c>
      <c r="M301" s="5">
        <v>182353293.81919399</v>
      </c>
      <c r="N301" s="5">
        <v>378116868.615982</v>
      </c>
      <c r="O301" s="5">
        <v>625232998.92089605</v>
      </c>
      <c r="P301" s="5">
        <v>699689933.67678595</v>
      </c>
      <c r="Q301" s="5">
        <v>230092136.34457201</v>
      </c>
      <c r="R301" s="5">
        <v>459422982.75596601</v>
      </c>
      <c r="S301" s="5">
        <v>472869455.33134103</v>
      </c>
      <c r="T301" s="5">
        <v>518823215.56877702</v>
      </c>
      <c r="U301" s="5">
        <v>382206084.88303697</v>
      </c>
      <c r="V301" s="5">
        <v>523560753.09720403</v>
      </c>
      <c r="W301" s="5">
        <v>446587430.37665898</v>
      </c>
      <c r="X301" s="5">
        <v>789145613.24369597</v>
      </c>
      <c r="Y301" s="5">
        <v>458524849.81944102</v>
      </c>
      <c r="Z301" s="5">
        <v>367376384.30462801</v>
      </c>
      <c r="AA301" s="5">
        <v>369334238.19528598</v>
      </c>
      <c r="AB301" s="5">
        <v>386472358.04296899</v>
      </c>
      <c r="AC301" s="5">
        <v>378442252.57364702</v>
      </c>
    </row>
    <row r="302" spans="1:29" x14ac:dyDescent="0.45">
      <c r="A302" s="5" t="s">
        <v>342</v>
      </c>
      <c r="B302" s="5">
        <v>179858065.340487</v>
      </c>
      <c r="C302" s="5">
        <v>128001192.69591101</v>
      </c>
      <c r="D302" s="5">
        <v>141682310.098988</v>
      </c>
      <c r="E302" s="5">
        <v>199892446.51200899</v>
      </c>
      <c r="F302" s="5">
        <v>60807842.1194425</v>
      </c>
      <c r="G302" s="5">
        <v>156408118.74357799</v>
      </c>
      <c r="H302" s="5">
        <v>124016268.20804401</v>
      </c>
      <c r="I302" s="5">
        <v>17015317.366645701</v>
      </c>
      <c r="J302" s="5">
        <v>57335206.193614103</v>
      </c>
      <c r="K302" s="5">
        <v>21431241.1195747</v>
      </c>
      <c r="L302" s="5">
        <v>48713182.876198404</v>
      </c>
      <c r="M302" s="5">
        <v>124378396.87342501</v>
      </c>
      <c r="N302" s="5">
        <v>91098310.752692893</v>
      </c>
      <c r="O302" s="5">
        <v>65932717.924501397</v>
      </c>
      <c r="P302" s="5">
        <v>89353048.519311205</v>
      </c>
      <c r="Q302" s="5">
        <v>244132521.814318</v>
      </c>
      <c r="R302" s="5">
        <v>90950823.747033998</v>
      </c>
      <c r="S302" s="5">
        <v>193661181.04425001</v>
      </c>
      <c r="T302" s="5">
        <v>97533018.597485706</v>
      </c>
      <c r="U302" s="5">
        <v>112500402.89951199</v>
      </c>
      <c r="V302" s="5">
        <v>184154269.63863701</v>
      </c>
      <c r="W302" s="5">
        <v>138950690.770549</v>
      </c>
      <c r="X302" s="5">
        <v>203413161.078437</v>
      </c>
      <c r="Y302" s="5">
        <v>109939281.98171601</v>
      </c>
      <c r="Z302" s="5">
        <v>112710248.82769901</v>
      </c>
      <c r="AA302" s="5">
        <v>126611860.558485</v>
      </c>
      <c r="AB302" s="5">
        <v>118489043.954486</v>
      </c>
      <c r="AC302" s="5">
        <v>141158987.497044</v>
      </c>
    </row>
    <row r="303" spans="1:29" x14ac:dyDescent="0.45">
      <c r="A303" s="5" t="s">
        <v>257</v>
      </c>
      <c r="B303" s="5">
        <v>2091971.6002710799</v>
      </c>
      <c r="C303" s="5">
        <v>4099923.2107664198</v>
      </c>
      <c r="D303" s="5">
        <v>2692236.8521276698</v>
      </c>
      <c r="E303" s="5">
        <v>1650769.4580101799</v>
      </c>
      <c r="F303" s="5">
        <v>1357352.7268692299</v>
      </c>
      <c r="G303" s="5">
        <v>2777131.34008695</v>
      </c>
      <c r="H303" s="5">
        <v>2553831.42685962</v>
      </c>
      <c r="I303" s="5">
        <v>4274659.0942031303</v>
      </c>
      <c r="J303" s="5">
        <v>1968556.82456669</v>
      </c>
      <c r="K303" s="5">
        <v>700480.20024347003</v>
      </c>
      <c r="L303" s="5">
        <v>1686869.8047697099</v>
      </c>
      <c r="M303" s="5">
        <v>2250786.9507180899</v>
      </c>
      <c r="N303" s="5">
        <v>5743571.2634213697</v>
      </c>
      <c r="O303" s="5">
        <v>7228601.0521526802</v>
      </c>
      <c r="P303" s="5">
        <v>2580303.98195701</v>
      </c>
      <c r="Q303" s="5">
        <v>3492753.0842098002</v>
      </c>
      <c r="R303" s="5">
        <v>1543954.57295917</v>
      </c>
      <c r="S303" s="5">
        <v>3239324.9804793498</v>
      </c>
      <c r="T303" s="5">
        <v>1506524.2690614399</v>
      </c>
      <c r="U303" s="5">
        <v>5370864.3146018097</v>
      </c>
      <c r="V303" s="5">
        <v>7945797.6236527003</v>
      </c>
      <c r="W303" s="5">
        <v>3512223.8330816198</v>
      </c>
      <c r="X303" s="5">
        <v>1554947.5975927899</v>
      </c>
      <c r="Y303" s="5">
        <v>5221582.2489915099</v>
      </c>
      <c r="Z303" s="5">
        <v>2329054.5682667498</v>
      </c>
      <c r="AA303" s="5">
        <v>3208104.0649332199</v>
      </c>
      <c r="AB303" s="5">
        <v>2984358.7213701298</v>
      </c>
      <c r="AC303" s="5">
        <v>3516833.2594399299</v>
      </c>
    </row>
    <row r="304" spans="1:29" x14ac:dyDescent="0.45">
      <c r="A304" s="5" t="s">
        <v>258</v>
      </c>
      <c r="B304" s="5">
        <v>109344067.766653</v>
      </c>
      <c r="C304" s="5">
        <v>79633218.046392307</v>
      </c>
      <c r="D304" s="5">
        <v>28580120.249696001</v>
      </c>
      <c r="E304" s="5">
        <v>226272.69887813699</v>
      </c>
      <c r="F304" s="5">
        <v>1746721.69386139</v>
      </c>
      <c r="G304" s="5">
        <v>1034517.08787337</v>
      </c>
      <c r="H304" s="5">
        <v>954999.83709644503</v>
      </c>
      <c r="I304" s="5">
        <v>283671491.23256397</v>
      </c>
      <c r="J304" s="5">
        <v>31336276.857318401</v>
      </c>
      <c r="K304" s="5">
        <v>182797472.54184499</v>
      </c>
      <c r="L304" s="5">
        <v>5859583.86028946</v>
      </c>
      <c r="M304" s="5">
        <v>39099631.7001881</v>
      </c>
      <c r="N304" s="5">
        <v>985132.34254080104</v>
      </c>
      <c r="O304" s="5">
        <v>894687.54018164403</v>
      </c>
      <c r="P304" s="5">
        <v>196319.76997512401</v>
      </c>
      <c r="Q304" s="5">
        <v>343403.00229476299</v>
      </c>
      <c r="R304" s="5">
        <v>52399749.940339297</v>
      </c>
      <c r="S304" s="5">
        <v>1673730.9882922701</v>
      </c>
      <c r="T304" s="5">
        <v>1319629.6211814</v>
      </c>
      <c r="U304" s="5">
        <v>1077146.74975066</v>
      </c>
      <c r="V304" s="5">
        <v>1232862.3333586799</v>
      </c>
      <c r="W304" s="5">
        <v>1390987.8150291501</v>
      </c>
      <c r="X304" s="5">
        <v>3081056238.56142</v>
      </c>
      <c r="Y304" s="5">
        <v>4990668.9044735199</v>
      </c>
      <c r="Z304" s="5">
        <v>97291333.5939219</v>
      </c>
      <c r="AA304" s="5">
        <v>95138377.225216597</v>
      </c>
      <c r="AB304" s="5">
        <v>99546555.320769906</v>
      </c>
      <c r="AC304" s="5">
        <v>101833060.34454601</v>
      </c>
    </row>
    <row r="305" spans="1:29" x14ac:dyDescent="0.45">
      <c r="A305" s="5" t="s">
        <v>343</v>
      </c>
      <c r="B305" s="5">
        <v>83788862.453841403</v>
      </c>
      <c r="C305" s="5">
        <v>151980486.57378</v>
      </c>
      <c r="D305" s="5">
        <v>79275439.548187301</v>
      </c>
      <c r="E305" s="5">
        <v>46465344.475340903</v>
      </c>
      <c r="F305" s="5">
        <v>47516007.076315403</v>
      </c>
      <c r="G305" s="5">
        <v>95137940.435774699</v>
      </c>
      <c r="H305" s="5">
        <v>104860245.593373</v>
      </c>
      <c r="I305" s="5">
        <v>137495062.190615</v>
      </c>
      <c r="J305" s="5">
        <v>79295504.530776396</v>
      </c>
      <c r="K305" s="5">
        <v>20135240.359387401</v>
      </c>
      <c r="L305" s="5">
        <v>61483373.476779297</v>
      </c>
      <c r="M305" s="5">
        <v>79622671.163378596</v>
      </c>
      <c r="N305" s="5">
        <v>148822249.40904099</v>
      </c>
      <c r="O305" s="5">
        <v>238471943.020201</v>
      </c>
      <c r="P305" s="5">
        <v>76436683.520170897</v>
      </c>
      <c r="Q305" s="5">
        <v>110228231.45187999</v>
      </c>
      <c r="R305" s="5">
        <v>46476733.795880601</v>
      </c>
      <c r="S305" s="5">
        <v>125115568.54825801</v>
      </c>
      <c r="T305" s="5">
        <v>51846015.574450798</v>
      </c>
      <c r="U305" s="5">
        <v>181254458.52300799</v>
      </c>
      <c r="V305" s="5">
        <v>284492560.62475699</v>
      </c>
      <c r="W305" s="5">
        <v>119045774.99996801</v>
      </c>
      <c r="X305" s="5">
        <v>70197579.439203501</v>
      </c>
      <c r="Y305" s="5">
        <v>165033371.20594499</v>
      </c>
      <c r="Z305" s="5">
        <v>88920279.128718704</v>
      </c>
      <c r="AA305" s="5">
        <v>92978045.692616895</v>
      </c>
      <c r="AB305" s="5">
        <v>97892563.862979397</v>
      </c>
      <c r="AC305" s="5">
        <v>95382568.171159893</v>
      </c>
    </row>
    <row r="306" spans="1:29" x14ac:dyDescent="0.45">
      <c r="A306" s="5" t="s">
        <v>259</v>
      </c>
      <c r="B306" s="5">
        <v>38860233.408805303</v>
      </c>
      <c r="C306" s="5">
        <v>119289353.099636</v>
      </c>
      <c r="D306" s="5">
        <v>109306252.85706399</v>
      </c>
      <c r="E306" s="5">
        <v>63821365.158321202</v>
      </c>
      <c r="F306" s="5">
        <v>55387414.075992502</v>
      </c>
      <c r="G306" s="5">
        <v>61792029.368285</v>
      </c>
      <c r="H306" s="5">
        <v>49573529.593229704</v>
      </c>
      <c r="I306" s="5">
        <v>47678503.737459198</v>
      </c>
      <c r="J306" s="5">
        <v>58538179.916436799</v>
      </c>
      <c r="K306" s="5">
        <v>52635007.2468675</v>
      </c>
      <c r="L306" s="5">
        <v>68208623.052141801</v>
      </c>
      <c r="M306" s="5">
        <v>81885956.712378904</v>
      </c>
      <c r="N306" s="5">
        <v>82104792.339865103</v>
      </c>
      <c r="O306" s="5">
        <v>63145527.9777252</v>
      </c>
      <c r="P306" s="5">
        <v>53858410.108779199</v>
      </c>
      <c r="Q306" s="5">
        <v>86100098.179172203</v>
      </c>
      <c r="R306" s="5">
        <v>16060655.733490899</v>
      </c>
      <c r="S306" s="5">
        <v>84041555.778246105</v>
      </c>
      <c r="T306" s="5">
        <v>90791417.079363704</v>
      </c>
      <c r="U306" s="5">
        <v>64067200.326754399</v>
      </c>
      <c r="V306" s="5">
        <v>76079879.971498802</v>
      </c>
      <c r="W306" s="5">
        <v>61193241.496804297</v>
      </c>
      <c r="X306" s="5">
        <v>18529485.884183999</v>
      </c>
      <c r="Y306" s="5">
        <v>54904697.236539602</v>
      </c>
      <c r="Z306" s="5">
        <v>62822235.633069202</v>
      </c>
      <c r="AA306" s="5">
        <v>69633773.326460093</v>
      </c>
      <c r="AB306" s="5">
        <v>74098635.901310503</v>
      </c>
      <c r="AC306" s="5">
        <v>53780194.601803899</v>
      </c>
    </row>
    <row r="307" spans="1:29" x14ac:dyDescent="0.45">
      <c r="A307" s="5" t="s">
        <v>381</v>
      </c>
      <c r="B307" s="5">
        <v>410776344.258964</v>
      </c>
      <c r="C307" s="5">
        <v>1076425132.7044101</v>
      </c>
      <c r="D307" s="5">
        <v>1351307569.0669701</v>
      </c>
      <c r="E307" s="5">
        <v>729037541.80488396</v>
      </c>
      <c r="F307" s="5">
        <v>652182828.37081003</v>
      </c>
      <c r="G307" s="5">
        <v>755257503.88906705</v>
      </c>
      <c r="H307" s="5">
        <v>713413908.20195496</v>
      </c>
      <c r="I307" s="5">
        <v>2716240624.2409902</v>
      </c>
      <c r="J307" s="5">
        <v>1165116400.3108399</v>
      </c>
      <c r="K307" s="5">
        <v>1668975262.33988</v>
      </c>
      <c r="L307" s="5">
        <v>2350519965.1125398</v>
      </c>
      <c r="M307" s="5">
        <v>902705379.29503095</v>
      </c>
      <c r="N307" s="5">
        <v>855517857.65337205</v>
      </c>
      <c r="O307" s="5">
        <v>970153477.18989098</v>
      </c>
      <c r="P307" s="5">
        <v>1158433875.31371</v>
      </c>
      <c r="Q307" s="5">
        <v>1611559582.46698</v>
      </c>
      <c r="R307" s="5">
        <v>1741882685.2286</v>
      </c>
      <c r="S307" s="5">
        <v>1284999214.0009401</v>
      </c>
      <c r="T307" s="5">
        <v>609548420.84476101</v>
      </c>
      <c r="U307" s="5">
        <v>493508879.515939</v>
      </c>
      <c r="V307" s="5">
        <v>339974609.37639499</v>
      </c>
      <c r="W307" s="5">
        <v>714492445.66720295</v>
      </c>
      <c r="X307" s="5">
        <v>2665990673.5538201</v>
      </c>
      <c r="Y307" s="5">
        <v>719404830.64741397</v>
      </c>
      <c r="Z307" s="5">
        <v>979028724.58681202</v>
      </c>
      <c r="AA307" s="5">
        <v>1062356021.6221499</v>
      </c>
      <c r="AB307" s="5">
        <v>1024938512.10712</v>
      </c>
      <c r="AC307" s="5">
        <v>1053777877.8372</v>
      </c>
    </row>
    <row r="308" spans="1:29" x14ac:dyDescent="0.45">
      <c r="A308" s="5" t="s">
        <v>260</v>
      </c>
      <c r="B308" s="5">
        <v>64554483.620576702</v>
      </c>
      <c r="C308" s="5">
        <v>47247790.376309</v>
      </c>
      <c r="D308" s="5">
        <v>61750561.506377399</v>
      </c>
      <c r="E308" s="5">
        <v>88428781.016184494</v>
      </c>
      <c r="F308" s="5">
        <v>93783369.979610994</v>
      </c>
      <c r="G308" s="5">
        <v>58196471.018140003</v>
      </c>
      <c r="H308" s="5">
        <v>55383933.350595199</v>
      </c>
      <c r="I308" s="5">
        <v>136907166.71377999</v>
      </c>
      <c r="J308" s="5">
        <v>152155516.64628601</v>
      </c>
      <c r="K308" s="5">
        <v>70374658.763059497</v>
      </c>
      <c r="L308" s="5">
        <v>84905556.536583602</v>
      </c>
      <c r="M308" s="5">
        <v>57097745.046199001</v>
      </c>
      <c r="N308" s="5">
        <v>15544951.992878299</v>
      </c>
      <c r="O308" s="5">
        <v>41020315.104681402</v>
      </c>
      <c r="P308" s="5">
        <v>60355517.211839803</v>
      </c>
      <c r="Q308" s="5">
        <v>56029533.371792197</v>
      </c>
      <c r="R308" s="5">
        <v>67622896.143675506</v>
      </c>
      <c r="S308" s="5">
        <v>63653852.193744697</v>
      </c>
      <c r="T308" s="5">
        <v>55528104.848903403</v>
      </c>
      <c r="U308" s="5">
        <v>52959798.804054201</v>
      </c>
      <c r="V308" s="5">
        <v>53303110.724302702</v>
      </c>
      <c r="W308" s="5">
        <v>68101773.077913806</v>
      </c>
      <c r="X308" s="5">
        <v>111840072.32791799</v>
      </c>
      <c r="Y308" s="5">
        <v>118849261.62804601</v>
      </c>
      <c r="Z308" s="5">
        <v>83204970.537374407</v>
      </c>
      <c r="AA308" s="5">
        <v>82704756.574761897</v>
      </c>
      <c r="AB308" s="5">
        <v>80668652.547582701</v>
      </c>
      <c r="AC308" s="5">
        <v>84568009.745295197</v>
      </c>
    </row>
    <row r="309" spans="1:29" x14ac:dyDescent="0.45">
      <c r="A309" s="5" t="s">
        <v>344</v>
      </c>
      <c r="B309" s="5">
        <v>24420411.896585599</v>
      </c>
      <c r="C309" s="5">
        <v>21796254.4976255</v>
      </c>
      <c r="D309" s="5">
        <v>17431936.228955802</v>
      </c>
      <c r="E309" s="5">
        <v>12123923.5548389</v>
      </c>
      <c r="F309" s="5">
        <v>7534820.9501109598</v>
      </c>
      <c r="G309" s="5">
        <v>15914999.667461701</v>
      </c>
      <c r="H309" s="5">
        <v>16742022.715652199</v>
      </c>
      <c r="I309" s="5">
        <v>18180161.341264602</v>
      </c>
      <c r="J309" s="5">
        <v>9099926.8630479407</v>
      </c>
      <c r="K309" s="5">
        <v>13721702.5252956</v>
      </c>
      <c r="L309" s="5">
        <v>18826442.314721901</v>
      </c>
      <c r="M309" s="5">
        <v>15612115.4386288</v>
      </c>
      <c r="N309" s="5">
        <v>36871367.098135702</v>
      </c>
      <c r="O309" s="5">
        <v>13138718.268335</v>
      </c>
      <c r="P309" s="5">
        <v>10792408.764344901</v>
      </c>
      <c r="Q309" s="5">
        <v>25987600.039234601</v>
      </c>
      <c r="R309" s="5">
        <v>15900277.2079098</v>
      </c>
      <c r="S309" s="5">
        <v>25697083.255845301</v>
      </c>
      <c r="T309" s="5">
        <v>12936604.166837299</v>
      </c>
      <c r="U309" s="5">
        <v>14282457.4931123</v>
      </c>
      <c r="V309" s="5">
        <v>23137339.9335844</v>
      </c>
      <c r="W309" s="5">
        <v>13253354.908874501</v>
      </c>
      <c r="X309" s="5">
        <v>32902002.272190001</v>
      </c>
      <c r="Y309" s="5">
        <v>15639620.733053099</v>
      </c>
      <c r="Z309" s="5">
        <v>24337679.7563482</v>
      </c>
      <c r="AA309" s="5">
        <v>16802070.4691136</v>
      </c>
      <c r="AB309" s="5">
        <v>17926942.998037402</v>
      </c>
      <c r="AC309" s="5">
        <v>17433812.610864699</v>
      </c>
    </row>
    <row r="310" spans="1:29" x14ac:dyDescent="0.45">
      <c r="A310" s="5" t="s">
        <v>261</v>
      </c>
      <c r="B310" s="5">
        <v>38101809.062947601</v>
      </c>
      <c r="C310" s="5">
        <v>57005241.206188403</v>
      </c>
      <c r="D310" s="5">
        <v>41065699.137460701</v>
      </c>
      <c r="E310" s="5">
        <v>26322652.126909699</v>
      </c>
      <c r="F310" s="5">
        <v>15432294.712768801</v>
      </c>
      <c r="G310" s="5">
        <v>15026046.526837301</v>
      </c>
      <c r="H310" s="5">
        <v>18485097.9532336</v>
      </c>
      <c r="I310" s="5">
        <v>10360423.4475896</v>
      </c>
      <c r="J310" s="5">
        <v>18923832.492162399</v>
      </c>
      <c r="K310" s="5">
        <v>8108194.2334102504</v>
      </c>
      <c r="L310" s="5">
        <v>19846423.878804501</v>
      </c>
      <c r="M310" s="5">
        <v>29508816.020964202</v>
      </c>
      <c r="N310" s="5">
        <v>45865079.852921598</v>
      </c>
      <c r="O310" s="5">
        <v>117637458.535181</v>
      </c>
      <c r="P310" s="5">
        <v>32869845.604799598</v>
      </c>
      <c r="Q310" s="5">
        <v>49900950.193298697</v>
      </c>
      <c r="R310" s="5">
        <v>11845849.550209001</v>
      </c>
      <c r="S310" s="5">
        <v>39229513.517091803</v>
      </c>
      <c r="T310" s="5">
        <v>29950636.606283799</v>
      </c>
      <c r="U310" s="5">
        <v>20375602.1199436</v>
      </c>
      <c r="V310" s="5">
        <v>68116895.609608993</v>
      </c>
      <c r="W310" s="5">
        <v>20878580.6014576</v>
      </c>
      <c r="X310" s="5">
        <v>15622474.181896901</v>
      </c>
      <c r="Y310" s="5">
        <v>29231993.361180902</v>
      </c>
      <c r="Z310" s="5">
        <v>45790829.710133798</v>
      </c>
      <c r="AA310" s="5">
        <v>42607772.977058999</v>
      </c>
      <c r="AB310" s="5">
        <v>41462181.257779397</v>
      </c>
      <c r="AC310" s="5">
        <v>40336379.064139299</v>
      </c>
    </row>
    <row r="311" spans="1:29" x14ac:dyDescent="0.45">
      <c r="A311" s="5" t="s">
        <v>262</v>
      </c>
      <c r="B311" s="5">
        <v>8729085.5788252391</v>
      </c>
      <c r="C311" s="5">
        <v>21777501.829897501</v>
      </c>
      <c r="D311" s="5">
        <v>8427042.8510943092</v>
      </c>
      <c r="E311" s="5">
        <v>4261894.3453272404</v>
      </c>
      <c r="F311" s="5">
        <v>5218431.4926774697</v>
      </c>
      <c r="G311" s="5">
        <v>10615138.383888001</v>
      </c>
      <c r="H311" s="5">
        <v>13267000.914238799</v>
      </c>
      <c r="I311" s="5">
        <v>2211560.9297142602</v>
      </c>
      <c r="J311" s="5">
        <v>5009894.1711566905</v>
      </c>
      <c r="K311" s="5">
        <v>1630691.39541668</v>
      </c>
      <c r="L311" s="5">
        <v>4697302.4965305096</v>
      </c>
      <c r="M311" s="5">
        <v>9251087.0767194908</v>
      </c>
      <c r="N311" s="5">
        <v>16228560.932099599</v>
      </c>
      <c r="O311" s="5">
        <v>38400113.236741297</v>
      </c>
      <c r="P311" s="5">
        <v>19972677.109755699</v>
      </c>
      <c r="Q311" s="5">
        <v>14754123.848146001</v>
      </c>
      <c r="R311" s="5">
        <v>2642182.6571032801</v>
      </c>
      <c r="S311" s="5">
        <v>10312149.825652201</v>
      </c>
      <c r="T311" s="5">
        <v>8002829.2953228904</v>
      </c>
      <c r="U311" s="5">
        <v>15507659.901302001</v>
      </c>
      <c r="V311" s="5">
        <v>22209608.020511001</v>
      </c>
      <c r="W311" s="5">
        <v>18392585.072953299</v>
      </c>
      <c r="X311" s="5">
        <v>3397401.5786062502</v>
      </c>
      <c r="Y311" s="5">
        <v>16251289.4490145</v>
      </c>
      <c r="Z311" s="5">
        <v>12768940.472209901</v>
      </c>
      <c r="AA311" s="5">
        <v>12813038.174455799</v>
      </c>
      <c r="AB311" s="5">
        <v>11719463.60892</v>
      </c>
      <c r="AC311" s="5">
        <v>12430169.988637701</v>
      </c>
    </row>
    <row r="312" spans="1:29" x14ac:dyDescent="0.45">
      <c r="A312" s="5" t="s">
        <v>263</v>
      </c>
      <c r="B312" s="5">
        <v>26833022.403499</v>
      </c>
      <c r="C312" s="5">
        <v>76706623.657701403</v>
      </c>
      <c r="D312" s="5">
        <v>78399101.060773805</v>
      </c>
      <c r="E312" s="5">
        <v>36012407.4642727</v>
      </c>
      <c r="F312" s="5">
        <v>48845447.1810022</v>
      </c>
      <c r="G312" s="5">
        <v>57441372.642011501</v>
      </c>
      <c r="H312" s="5">
        <v>86023344.1223028</v>
      </c>
      <c r="I312" s="5">
        <v>285232711.28207803</v>
      </c>
      <c r="J312" s="5">
        <v>108841394.064934</v>
      </c>
      <c r="K312" s="5">
        <v>51964566.608068801</v>
      </c>
      <c r="L312" s="5">
        <v>66775328.579650298</v>
      </c>
      <c r="M312" s="5">
        <v>52848221.326458603</v>
      </c>
      <c r="N312" s="5">
        <v>144001713.24734601</v>
      </c>
      <c r="O312" s="5">
        <v>175605325.70991799</v>
      </c>
      <c r="P312" s="5">
        <v>132775504.533187</v>
      </c>
      <c r="Q312" s="5">
        <v>67357184.633039907</v>
      </c>
      <c r="R312" s="5">
        <v>60081332.058307096</v>
      </c>
      <c r="S312" s="5">
        <v>100419891.962354</v>
      </c>
      <c r="T312" s="5">
        <v>65110765.865493603</v>
      </c>
      <c r="U312" s="5">
        <v>88889982.194021896</v>
      </c>
      <c r="V312" s="5">
        <v>196282320.82067299</v>
      </c>
      <c r="W312" s="5">
        <v>109091052.773369</v>
      </c>
      <c r="X312" s="5">
        <v>55854790.418788299</v>
      </c>
      <c r="Y312" s="5">
        <v>98739826.402540699</v>
      </c>
      <c r="Z312" s="5">
        <v>73275622.819407701</v>
      </c>
      <c r="AA312" s="5">
        <v>77668765.912002996</v>
      </c>
      <c r="AB312" s="5">
        <v>79735941.309957504</v>
      </c>
      <c r="AC312" s="5">
        <v>81656995.548322096</v>
      </c>
    </row>
    <row r="313" spans="1:29" x14ac:dyDescent="0.45">
      <c r="A313" s="5" t="s">
        <v>264</v>
      </c>
      <c r="B313" s="5">
        <v>1575661.3439252099</v>
      </c>
      <c r="C313" s="5">
        <v>13030002.354714001</v>
      </c>
      <c r="D313" s="5">
        <v>8589646.8059511706</v>
      </c>
      <c r="E313" s="5">
        <v>8316334.0311045405</v>
      </c>
      <c r="F313" s="5">
        <v>10988799.8292538</v>
      </c>
      <c r="G313" s="5">
        <v>15307329.913411999</v>
      </c>
      <c r="H313" s="5">
        <v>7348780.1762407403</v>
      </c>
      <c r="I313" s="5">
        <v>13330518.832748201</v>
      </c>
      <c r="J313" s="5">
        <v>15656569.510358401</v>
      </c>
      <c r="K313" s="5">
        <v>7283409.2351807198</v>
      </c>
      <c r="L313" s="5">
        <v>8673902.4127563201</v>
      </c>
      <c r="M313" s="5">
        <v>11238269.9051945</v>
      </c>
      <c r="N313" s="5">
        <v>17002639.641451702</v>
      </c>
      <c r="O313" s="5">
        <v>36772761.297183603</v>
      </c>
      <c r="P313" s="5">
        <v>5918745.8499878095</v>
      </c>
      <c r="Q313" s="5">
        <v>8105619.4065397503</v>
      </c>
      <c r="R313" s="5">
        <v>15763000.275582399</v>
      </c>
      <c r="S313" s="5">
        <v>13114112.0272475</v>
      </c>
      <c r="T313" s="5">
        <v>13176967.8664736</v>
      </c>
      <c r="U313" s="5">
        <v>15110060.3422173</v>
      </c>
      <c r="V313" s="5">
        <v>41097685.153151803</v>
      </c>
      <c r="W313" s="5">
        <v>14776672.8103444</v>
      </c>
      <c r="X313" s="5">
        <v>25739567.675153598</v>
      </c>
      <c r="Y313" s="5">
        <v>13121061.981438501</v>
      </c>
      <c r="Z313" s="5">
        <v>12296513.0081205</v>
      </c>
      <c r="AA313" s="5">
        <v>11875190.702879701</v>
      </c>
      <c r="AB313" s="5">
        <v>12105376.769948</v>
      </c>
      <c r="AC313" s="5">
        <v>12216726.4528722</v>
      </c>
    </row>
    <row r="314" spans="1:29" x14ac:dyDescent="0.45">
      <c r="A314" s="5" t="s">
        <v>265</v>
      </c>
      <c r="B314" s="5">
        <v>9310527.4579635095</v>
      </c>
      <c r="C314" s="5">
        <v>6125493.0116098803</v>
      </c>
      <c r="D314" s="5">
        <v>9755451.6411314402</v>
      </c>
      <c r="E314" s="5">
        <v>6003318.4067804599</v>
      </c>
      <c r="F314" s="5">
        <v>4362775.4336820496</v>
      </c>
      <c r="G314" s="5">
        <v>3788599.7998847798</v>
      </c>
      <c r="H314" s="5">
        <v>5703794.5077758403</v>
      </c>
      <c r="I314" s="5">
        <v>60327458.628802598</v>
      </c>
      <c r="J314" s="5">
        <v>19724773.689964801</v>
      </c>
      <c r="K314" s="5">
        <v>20811171.2424936</v>
      </c>
      <c r="L314" s="5">
        <v>28064298.502013098</v>
      </c>
      <c r="M314" s="5">
        <v>30502061.151590999</v>
      </c>
      <c r="N314" s="5">
        <v>10517970.9838157</v>
      </c>
      <c r="O314" s="5">
        <v>10825472.712313401</v>
      </c>
      <c r="P314" s="5">
        <v>3357238.3937272602</v>
      </c>
      <c r="Q314" s="5">
        <v>21550598.250023998</v>
      </c>
      <c r="R314" s="5">
        <v>14209288.616236299</v>
      </c>
      <c r="S314" s="5">
        <v>22348404.065236099</v>
      </c>
      <c r="T314" s="5">
        <v>28572968.6658126</v>
      </c>
      <c r="U314" s="5">
        <v>10999927.897210401</v>
      </c>
      <c r="V314" s="5">
        <v>13027081.754172999</v>
      </c>
      <c r="W314" s="5">
        <v>22197577.026346199</v>
      </c>
      <c r="X314" s="5">
        <v>175462763.64713901</v>
      </c>
      <c r="Y314" s="5">
        <v>18826992.741494499</v>
      </c>
      <c r="Z314" s="5">
        <v>14664564.016432101</v>
      </c>
      <c r="AA314" s="5">
        <v>16976507.654100198</v>
      </c>
      <c r="AB314" s="5">
        <v>14819965.413053</v>
      </c>
      <c r="AC314" s="5">
        <v>15690440.0698372</v>
      </c>
    </row>
    <row r="315" spans="1:29" x14ac:dyDescent="0.45">
      <c r="A315" s="5" t="s">
        <v>266</v>
      </c>
      <c r="B315" s="5">
        <v>3319814.8830569098</v>
      </c>
      <c r="C315" s="5">
        <v>3173772.5845993198</v>
      </c>
      <c r="D315" s="5">
        <v>4060676.8654728699</v>
      </c>
      <c r="E315" s="5">
        <v>8170943.52013388</v>
      </c>
      <c r="F315" s="5">
        <v>4225297.3071432598</v>
      </c>
      <c r="G315" s="5">
        <v>6998107.1197186196</v>
      </c>
      <c r="H315" s="5">
        <v>3822753.92935722</v>
      </c>
      <c r="I315" s="5">
        <v>5662856.7636838704</v>
      </c>
      <c r="J315" s="5">
        <v>3215221.89992079</v>
      </c>
      <c r="K315" s="5">
        <v>2703478.0740074799</v>
      </c>
      <c r="L315" s="5">
        <v>2822364.8042896902</v>
      </c>
      <c r="M315" s="5">
        <v>2959576.5278163799</v>
      </c>
      <c r="N315" s="5">
        <v>2595098.0847189901</v>
      </c>
      <c r="O315" s="5">
        <v>3400152.18455783</v>
      </c>
      <c r="P315" s="5">
        <v>1797145.8261267301</v>
      </c>
      <c r="Q315" s="5">
        <v>2089199.6539563299</v>
      </c>
      <c r="R315" s="5">
        <v>4787407.88974497</v>
      </c>
      <c r="S315" s="5">
        <v>3917468.34362324</v>
      </c>
      <c r="T315" s="5">
        <v>4157980.6832550098</v>
      </c>
      <c r="U315" s="5">
        <v>4769839.96801663</v>
      </c>
      <c r="V315" s="5">
        <v>2975898.5454593101</v>
      </c>
      <c r="W315" s="5">
        <v>2515432.7636970901</v>
      </c>
      <c r="X315" s="5">
        <v>4444589.6368441796</v>
      </c>
      <c r="Y315" s="5">
        <v>2413031.6273250501</v>
      </c>
      <c r="Z315" s="5">
        <v>2770940.09105221</v>
      </c>
      <c r="AA315" s="5">
        <v>2173518.9999513598</v>
      </c>
      <c r="AB315" s="5">
        <v>3394136.17715667</v>
      </c>
      <c r="AC315" s="5">
        <v>3402095.5571448901</v>
      </c>
    </row>
    <row r="316" spans="1:29" x14ac:dyDescent="0.45">
      <c r="A316" s="5" t="s">
        <v>345</v>
      </c>
      <c r="B316" s="5">
        <v>6762517.8154239403</v>
      </c>
      <c r="C316" s="5">
        <v>22562784.8398927</v>
      </c>
      <c r="D316" s="5">
        <v>13893940.328340599</v>
      </c>
      <c r="E316" s="5">
        <v>8455178.7578755207</v>
      </c>
      <c r="F316" s="5">
        <v>9993666.1875196397</v>
      </c>
      <c r="G316" s="5">
        <v>9180498.6868375707</v>
      </c>
      <c r="H316" s="5">
        <v>6101919.7622449398</v>
      </c>
      <c r="I316" s="5">
        <v>66159021.763088398</v>
      </c>
      <c r="J316" s="5">
        <v>14064218.2920988</v>
      </c>
      <c r="K316" s="5">
        <v>18450141.332228798</v>
      </c>
      <c r="L316" s="5">
        <v>19324234.402107202</v>
      </c>
      <c r="M316" s="5">
        <v>12798995.4625035</v>
      </c>
      <c r="N316" s="5">
        <v>32686148.854828801</v>
      </c>
      <c r="O316" s="5">
        <v>10530655.0657518</v>
      </c>
      <c r="P316" s="5">
        <v>29057840.044536401</v>
      </c>
      <c r="Q316" s="5">
        <v>14919690.2967517</v>
      </c>
      <c r="R316" s="5">
        <v>126057305.36759201</v>
      </c>
      <c r="S316" s="5">
        <v>9413537.8031680603</v>
      </c>
      <c r="T316" s="5">
        <v>16690654.1051649</v>
      </c>
      <c r="U316" s="5">
        <v>39465785.215233698</v>
      </c>
      <c r="V316" s="5">
        <v>9680204.31358096</v>
      </c>
      <c r="W316" s="5">
        <v>11184316.588002499</v>
      </c>
      <c r="X316" s="5">
        <v>30120989.880991999</v>
      </c>
      <c r="Y316" s="5">
        <v>9591209.0516504906</v>
      </c>
      <c r="Z316" s="5">
        <v>15620482.7385264</v>
      </c>
      <c r="AA316" s="5">
        <v>15266489.0214031</v>
      </c>
      <c r="AB316" s="5">
        <v>13992815.7328874</v>
      </c>
      <c r="AC316" s="5">
        <v>17456687.144172899</v>
      </c>
    </row>
    <row r="317" spans="1:29" x14ac:dyDescent="0.45">
      <c r="A317" s="5" t="s">
        <v>365</v>
      </c>
      <c r="B317" s="5">
        <v>94258287.626168102</v>
      </c>
      <c r="C317" s="5">
        <v>99979794.197904497</v>
      </c>
      <c r="D317" s="5">
        <v>149750988.920091</v>
      </c>
      <c r="E317" s="5">
        <v>84127044.597795606</v>
      </c>
      <c r="F317" s="5">
        <v>512317684.72862399</v>
      </c>
      <c r="G317" s="5">
        <v>77280695.050330803</v>
      </c>
      <c r="H317" s="5">
        <v>83018416.841554195</v>
      </c>
      <c r="I317" s="5">
        <v>138939650.80507699</v>
      </c>
      <c r="J317" s="5">
        <v>69526757.624575794</v>
      </c>
      <c r="K317" s="5">
        <v>397187445.853625</v>
      </c>
      <c r="L317" s="5">
        <v>73015756.110063195</v>
      </c>
      <c r="M317" s="5">
        <v>84303662.3623835</v>
      </c>
      <c r="N317" s="5">
        <v>66613135.536649004</v>
      </c>
      <c r="O317" s="5">
        <v>105908124.16636001</v>
      </c>
      <c r="P317" s="5">
        <v>67716235.527245507</v>
      </c>
      <c r="Q317" s="5">
        <v>162950338.682547</v>
      </c>
      <c r="R317" s="5">
        <v>128385904.661992</v>
      </c>
      <c r="S317" s="5">
        <v>89941648.393560499</v>
      </c>
      <c r="T317" s="5">
        <v>80132602.4842439</v>
      </c>
      <c r="U317" s="5">
        <v>66199434.529382199</v>
      </c>
      <c r="V317" s="5">
        <v>68454517.730714202</v>
      </c>
      <c r="W317" s="5">
        <v>95073280.505669206</v>
      </c>
      <c r="X317" s="5">
        <v>71766663.091087997</v>
      </c>
      <c r="Y317" s="5">
        <v>98989951.341910005</v>
      </c>
      <c r="Z317" s="5">
        <v>88945317.777421206</v>
      </c>
      <c r="AA317" s="5">
        <v>96340479.405305907</v>
      </c>
      <c r="AB317" s="5">
        <v>93396306.302953303</v>
      </c>
      <c r="AC317" s="5">
        <v>95261747.746994302</v>
      </c>
    </row>
    <row r="318" spans="1:29" x14ac:dyDescent="0.45">
      <c r="A318" s="5" t="s">
        <v>366</v>
      </c>
      <c r="B318" s="5">
        <v>106701226.88316301</v>
      </c>
      <c r="C318" s="5">
        <v>376180619.03927702</v>
      </c>
      <c r="D318" s="5">
        <v>189192645.106924</v>
      </c>
      <c r="E318" s="5">
        <v>94059921.715687096</v>
      </c>
      <c r="F318" s="5">
        <v>99971417.985643998</v>
      </c>
      <c r="G318" s="5">
        <v>151565010.528483</v>
      </c>
      <c r="H318" s="5">
        <v>224495515.380624</v>
      </c>
      <c r="I318" s="5">
        <v>72241197.738151103</v>
      </c>
      <c r="J318" s="5">
        <v>43975615.227279097</v>
      </c>
      <c r="K318" s="5">
        <v>84115750.199458495</v>
      </c>
      <c r="L318" s="5">
        <v>41479289.822878197</v>
      </c>
      <c r="M318" s="5">
        <v>743408766.58459401</v>
      </c>
      <c r="N318" s="5">
        <v>246610405.51157501</v>
      </c>
      <c r="O318" s="5">
        <v>773499585.53151596</v>
      </c>
      <c r="P318" s="5">
        <v>106458037.207718</v>
      </c>
      <c r="Q318" s="5">
        <v>599809177.03420401</v>
      </c>
      <c r="R318" s="5">
        <v>73365135.058835402</v>
      </c>
      <c r="S318" s="5">
        <v>336442997.81894797</v>
      </c>
      <c r="T318" s="5">
        <v>77622871.113451704</v>
      </c>
      <c r="U318" s="5">
        <v>316871185.29827601</v>
      </c>
      <c r="V318" s="5">
        <v>559782456.36326694</v>
      </c>
      <c r="W318" s="5">
        <v>185820540.96911201</v>
      </c>
      <c r="X318" s="5">
        <v>618636281.81357098</v>
      </c>
      <c r="Y318" s="5">
        <v>87230062.124756098</v>
      </c>
      <c r="Z318" s="5">
        <v>263082122.67020199</v>
      </c>
      <c r="AA318" s="5">
        <v>281533924.67399299</v>
      </c>
      <c r="AB318" s="5">
        <v>279083403.15153402</v>
      </c>
      <c r="AC318" s="5">
        <v>280806157.21496999</v>
      </c>
    </row>
    <row r="319" spans="1:29" x14ac:dyDescent="0.45">
      <c r="A319" s="5" t="s">
        <v>346</v>
      </c>
      <c r="B319" s="5">
        <v>11659563.108562</v>
      </c>
      <c r="C319" s="5">
        <v>40948494.129361503</v>
      </c>
      <c r="D319" s="5">
        <v>25344217.868834101</v>
      </c>
      <c r="E319" s="5">
        <v>26236019.635216601</v>
      </c>
      <c r="F319" s="5">
        <v>19436902.2638762</v>
      </c>
      <c r="G319" s="5">
        <v>45934697.253875002</v>
      </c>
      <c r="H319" s="5">
        <v>41710909.380718596</v>
      </c>
      <c r="I319" s="5">
        <v>327645900.34907699</v>
      </c>
      <c r="J319" s="5">
        <v>33497982.049189702</v>
      </c>
      <c r="K319" s="5">
        <v>31551635.834705699</v>
      </c>
      <c r="L319" s="5">
        <v>14900819.272639399</v>
      </c>
      <c r="M319" s="5">
        <v>34864479.964639097</v>
      </c>
      <c r="N319" s="5">
        <v>41420319.155082099</v>
      </c>
      <c r="O319" s="5">
        <v>60646942.396182701</v>
      </c>
      <c r="P319" s="5">
        <v>23331694.5996489</v>
      </c>
      <c r="Q319" s="5">
        <v>42545981.667694204</v>
      </c>
      <c r="R319" s="5">
        <v>18875531.080013499</v>
      </c>
      <c r="S319" s="5">
        <v>46548861.692376003</v>
      </c>
      <c r="T319" s="5">
        <v>16022671.5829085</v>
      </c>
      <c r="U319" s="5">
        <v>18727160.8277569</v>
      </c>
      <c r="V319" s="5">
        <v>22885897.403372299</v>
      </c>
      <c r="W319" s="5">
        <v>21397869.659687899</v>
      </c>
      <c r="X319" s="5">
        <v>282552890.60543299</v>
      </c>
      <c r="Y319" s="5">
        <v>18419079.481771</v>
      </c>
      <c r="Z319" s="5">
        <v>30669393.2392358</v>
      </c>
      <c r="AA319" s="5">
        <v>34250698.809604198</v>
      </c>
      <c r="AB319" s="5">
        <v>31698356.051559601</v>
      </c>
      <c r="AC319" s="5">
        <v>34043563.638287298</v>
      </c>
    </row>
    <row r="320" spans="1:29" x14ac:dyDescent="0.45">
      <c r="A320" s="5" t="s">
        <v>347</v>
      </c>
      <c r="B320" s="5">
        <v>2032091893.0416701</v>
      </c>
      <c r="C320" s="5">
        <v>914868392.56221604</v>
      </c>
      <c r="D320" s="5">
        <v>512088260.87436998</v>
      </c>
      <c r="E320" s="5">
        <v>556220371.23461294</v>
      </c>
      <c r="F320" s="5">
        <v>339859206.62750602</v>
      </c>
      <c r="G320" s="5">
        <v>222194754.85953099</v>
      </c>
      <c r="H320" s="5">
        <v>734818433.48469198</v>
      </c>
      <c r="I320" s="5">
        <v>4254212271.5663199</v>
      </c>
      <c r="J320" s="5">
        <v>579195898.60130799</v>
      </c>
      <c r="K320" s="5">
        <v>153110130.05842099</v>
      </c>
      <c r="L320" s="5">
        <v>100268908.170366</v>
      </c>
      <c r="M320" s="5">
        <v>320327957.88777298</v>
      </c>
      <c r="N320" s="5">
        <v>948711893.66633904</v>
      </c>
      <c r="O320" s="5">
        <v>1444119148.30284</v>
      </c>
      <c r="P320" s="5">
        <v>1242466602.25967</v>
      </c>
      <c r="Q320" s="5">
        <v>673772146.79470003</v>
      </c>
      <c r="R320" s="5">
        <v>249712838.89516699</v>
      </c>
      <c r="S320" s="5">
        <v>473323076.79872602</v>
      </c>
      <c r="T320" s="5">
        <v>579600634.61956799</v>
      </c>
      <c r="U320" s="5">
        <v>1358261750.5143299</v>
      </c>
      <c r="V320" s="5">
        <v>1479070162.6781299</v>
      </c>
      <c r="W320" s="5">
        <v>1296818520.8919899</v>
      </c>
      <c r="X320" s="5">
        <v>243240290.361947</v>
      </c>
      <c r="Y320" s="5">
        <v>915773433.18106401</v>
      </c>
      <c r="Z320" s="5">
        <v>784661491.88146806</v>
      </c>
      <c r="AA320" s="5">
        <v>768205878.14116502</v>
      </c>
      <c r="AB320" s="5">
        <v>825330374.73230696</v>
      </c>
      <c r="AC320" s="5">
        <v>801707404.74308801</v>
      </c>
    </row>
    <row r="321" spans="1:29" x14ac:dyDescent="0.45">
      <c r="A321" s="5" t="s">
        <v>348</v>
      </c>
      <c r="B321" s="5">
        <v>102269509.77423</v>
      </c>
      <c r="C321" s="5">
        <v>113823794.64474</v>
      </c>
      <c r="D321" s="5">
        <v>117502179.98798101</v>
      </c>
      <c r="E321" s="5">
        <v>113562414.266324</v>
      </c>
      <c r="F321" s="5">
        <v>95126790.713699907</v>
      </c>
      <c r="G321" s="5">
        <v>129466432.575928</v>
      </c>
      <c r="H321" s="5">
        <v>115232747.629673</v>
      </c>
      <c r="I321" s="5">
        <v>137017908.65091601</v>
      </c>
      <c r="J321" s="5">
        <v>102404254.50282501</v>
      </c>
      <c r="K321" s="5">
        <v>182419752.155238</v>
      </c>
      <c r="L321" s="5">
        <v>94254875.660846397</v>
      </c>
      <c r="M321" s="5">
        <v>126402545.952722</v>
      </c>
      <c r="N321" s="5">
        <v>71612115.672001705</v>
      </c>
      <c r="O321" s="5">
        <v>144932953.462681</v>
      </c>
      <c r="P321" s="5">
        <v>101354435.66607</v>
      </c>
      <c r="Q321" s="5">
        <v>89655616.017963603</v>
      </c>
      <c r="R321" s="5">
        <v>106135805.401233</v>
      </c>
      <c r="S321" s="5">
        <v>104648332.36664601</v>
      </c>
      <c r="T321" s="5">
        <v>95526102.900101498</v>
      </c>
      <c r="U321" s="5">
        <v>119324909.14088599</v>
      </c>
      <c r="V321" s="5">
        <v>117892394.134137</v>
      </c>
      <c r="W321" s="5">
        <v>105375252.017703</v>
      </c>
      <c r="X321" s="5">
        <v>72475307.177797303</v>
      </c>
      <c r="Y321" s="5">
        <v>105930470.92768399</v>
      </c>
      <c r="Z321" s="5">
        <v>109231282.282022</v>
      </c>
      <c r="AA321" s="5">
        <v>103630413.655642</v>
      </c>
      <c r="AB321" s="5">
        <v>103611062.41907699</v>
      </c>
      <c r="AC321" s="5">
        <v>108017648.344872</v>
      </c>
    </row>
  </sheetData>
  <conditionalFormatting sqref="A1:A2">
    <cfRule type="duplicateValues" dxfId="9" priority="3"/>
  </conditionalFormatting>
  <conditionalFormatting sqref="A3:A213">
    <cfRule type="duplicateValues" dxfId="8" priority="1"/>
  </conditionalFormatting>
  <conditionalFormatting sqref="A214:A321">
    <cfRule type="duplicateValues" dxfId="7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DAE6-9534-43F6-95E3-9F2A096AB886}">
  <dimension ref="A1:Y649"/>
  <sheetViews>
    <sheetView topLeftCell="A315" workbookViewId="0">
      <selection activeCell="E631" sqref="A329:Y649"/>
    </sheetView>
  </sheetViews>
  <sheetFormatPr defaultRowHeight="14.25" x14ac:dyDescent="0.45"/>
  <cols>
    <col min="2" max="2" width="9.73046875" bestFit="1" customWidth="1"/>
    <col min="25" max="25" width="11.73046875" bestFit="1" customWidth="1"/>
  </cols>
  <sheetData>
    <row r="1" spans="1:25" x14ac:dyDescent="0.45">
      <c r="A1" s="1" t="s">
        <v>0</v>
      </c>
      <c r="B1" s="1" t="s">
        <v>385</v>
      </c>
      <c r="C1" s="1" t="s">
        <v>393</v>
      </c>
      <c r="D1" s="1" t="s">
        <v>401</v>
      </c>
      <c r="E1" s="1" t="s">
        <v>386</v>
      </c>
      <c r="F1" s="1" t="s">
        <v>394</v>
      </c>
      <c r="G1" s="1" t="s">
        <v>402</v>
      </c>
      <c r="H1" s="1" t="s">
        <v>387</v>
      </c>
      <c r="I1" s="1" t="s">
        <v>395</v>
      </c>
      <c r="J1" s="1" t="s">
        <v>403</v>
      </c>
      <c r="K1" s="1" t="s">
        <v>388</v>
      </c>
      <c r="L1" s="1" t="s">
        <v>396</v>
      </c>
      <c r="M1" s="1" t="s">
        <v>404</v>
      </c>
      <c r="N1" s="1" t="s">
        <v>389</v>
      </c>
      <c r="O1" s="1" t="s">
        <v>397</v>
      </c>
      <c r="P1" s="1" t="s">
        <v>405</v>
      </c>
      <c r="Q1" s="1" t="s">
        <v>390</v>
      </c>
      <c r="R1" s="1" t="s">
        <v>398</v>
      </c>
      <c r="S1" s="1" t="s">
        <v>406</v>
      </c>
      <c r="T1" s="1" t="s">
        <v>391</v>
      </c>
      <c r="U1" s="1" t="s">
        <v>399</v>
      </c>
      <c r="V1" s="1" t="s">
        <v>407</v>
      </c>
      <c r="W1" s="1" t="s">
        <v>392</v>
      </c>
      <c r="X1" s="1" t="s">
        <v>400</v>
      </c>
      <c r="Y1" s="1" t="s">
        <v>408</v>
      </c>
    </row>
    <row r="2" spans="1:25" x14ac:dyDescent="0.45">
      <c r="A2" s="1" t="s">
        <v>384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</row>
    <row r="3" spans="1:25" x14ac:dyDescent="0.45">
      <c r="A3" s="5" t="s">
        <v>268</v>
      </c>
      <c r="B3" s="5">
        <v>75345850.730866</v>
      </c>
      <c r="C3" s="5">
        <v>95965616.2612845</v>
      </c>
      <c r="D3" s="5">
        <v>112605508.90070499</v>
      </c>
      <c r="E3" s="5">
        <v>61915617.043654598</v>
      </c>
      <c r="F3" s="5">
        <v>43339211.627363399</v>
      </c>
      <c r="G3" s="5">
        <v>51517847.953360602</v>
      </c>
      <c r="H3" s="5">
        <v>50029380.772060104</v>
      </c>
      <c r="I3" s="5">
        <v>86457873.819209993</v>
      </c>
      <c r="J3" s="5">
        <v>66599271.856720597</v>
      </c>
      <c r="K3" s="5">
        <v>40885692.749117702</v>
      </c>
      <c r="L3" s="5">
        <v>30527231.223404799</v>
      </c>
      <c r="M3" s="5">
        <v>77540533.349484906</v>
      </c>
      <c r="N3" s="5">
        <v>52849893.491137899</v>
      </c>
      <c r="O3" s="5">
        <v>48976534.200910002</v>
      </c>
      <c r="P3" s="5">
        <v>33522336.5591597</v>
      </c>
      <c r="Q3" s="5">
        <v>53049330.852642797</v>
      </c>
      <c r="R3" s="5">
        <v>50486333.924070902</v>
      </c>
      <c r="S3" s="5">
        <v>56051817.513710603</v>
      </c>
      <c r="T3" s="5">
        <v>84116109.700296894</v>
      </c>
      <c r="U3" s="5">
        <v>50153267.510801703</v>
      </c>
      <c r="V3" s="5">
        <v>59904168.711342096</v>
      </c>
      <c r="W3" s="5">
        <v>52490045.022516102</v>
      </c>
      <c r="X3" s="5">
        <v>100171770.339747</v>
      </c>
      <c r="Y3" s="5">
        <v>48742557.751261503</v>
      </c>
    </row>
    <row r="4" spans="1:25" x14ac:dyDescent="0.45">
      <c r="A4" s="5" t="s">
        <v>36</v>
      </c>
      <c r="B4" s="5">
        <v>8383763.3458479298</v>
      </c>
      <c r="C4" s="5">
        <v>5724707.9623893304</v>
      </c>
      <c r="D4" s="5">
        <v>3695059.79196632</v>
      </c>
      <c r="E4" s="5">
        <v>6983852.7725216402</v>
      </c>
      <c r="F4" s="5">
        <v>12115428.8973675</v>
      </c>
      <c r="G4" s="5">
        <v>12659113.7665687</v>
      </c>
      <c r="H4" s="5">
        <v>19883181.175872002</v>
      </c>
      <c r="I4" s="5">
        <v>25374100.947886299</v>
      </c>
      <c r="J4" s="5">
        <v>14308708.9072599</v>
      </c>
      <c r="K4" s="5">
        <v>25849052.737084299</v>
      </c>
      <c r="L4" s="5">
        <v>28577960.191169702</v>
      </c>
      <c r="M4" s="5">
        <v>25635564.487869199</v>
      </c>
      <c r="N4" s="5">
        <v>8541618.6611038707</v>
      </c>
      <c r="O4" s="5">
        <v>3341474.6931849499</v>
      </c>
      <c r="P4" s="5">
        <v>2708660.5524059799</v>
      </c>
      <c r="Q4" s="5">
        <v>9016184.4443127494</v>
      </c>
      <c r="R4" s="5">
        <v>34161793.124871597</v>
      </c>
      <c r="S4" s="5">
        <v>9609234.0868422296</v>
      </c>
      <c r="T4" s="5">
        <v>26830433.3579599</v>
      </c>
      <c r="U4" s="5">
        <v>29445928.280573498</v>
      </c>
      <c r="V4" s="5">
        <v>43200434.801208802</v>
      </c>
      <c r="W4" s="5">
        <v>20920075.442821398</v>
      </c>
      <c r="X4" s="5">
        <v>28596401.542687099</v>
      </c>
      <c r="Y4" s="5">
        <v>4051970.8753255201</v>
      </c>
    </row>
    <row r="5" spans="1:25" x14ac:dyDescent="0.45">
      <c r="A5" s="5" t="s">
        <v>37</v>
      </c>
      <c r="B5" s="5">
        <v>35334575.493547499</v>
      </c>
      <c r="C5" s="5">
        <v>36321582.469314203</v>
      </c>
      <c r="D5" s="5">
        <v>36344844.968899898</v>
      </c>
      <c r="E5" s="5">
        <v>28297413.538245901</v>
      </c>
      <c r="F5" s="5">
        <v>18973697.654916301</v>
      </c>
      <c r="G5" s="5">
        <v>17880428.4690497</v>
      </c>
      <c r="H5" s="5">
        <v>20617511.0105533</v>
      </c>
      <c r="I5" s="5">
        <v>30364070.681552801</v>
      </c>
      <c r="J5" s="5">
        <v>23598030.9191138</v>
      </c>
      <c r="K5" s="5">
        <v>20674098.1003328</v>
      </c>
      <c r="L5" s="5">
        <v>16762962.286130499</v>
      </c>
      <c r="M5" s="5">
        <v>31361325.971753601</v>
      </c>
      <c r="N5" s="5">
        <v>27373147.863927901</v>
      </c>
      <c r="O5" s="5">
        <v>20179779.482656799</v>
      </c>
      <c r="P5" s="5">
        <v>19346842.591584601</v>
      </c>
      <c r="Q5" s="5">
        <v>29911349.939321902</v>
      </c>
      <c r="R5" s="5">
        <v>11868127.985095499</v>
      </c>
      <c r="S5" s="5">
        <v>22052744.059505999</v>
      </c>
      <c r="T5" s="5">
        <v>31506908.477357</v>
      </c>
      <c r="U5" s="5">
        <v>20748441.994557202</v>
      </c>
      <c r="V5" s="5">
        <v>24132656.349437799</v>
      </c>
      <c r="W5" s="5">
        <v>23968559.887555901</v>
      </c>
      <c r="X5" s="5">
        <v>27120257.404696502</v>
      </c>
      <c r="Y5" s="5">
        <v>26817212.871417399</v>
      </c>
    </row>
    <row r="6" spans="1:25" x14ac:dyDescent="0.45">
      <c r="A6" s="5" t="s">
        <v>38</v>
      </c>
      <c r="B6" s="5">
        <v>22240103.3582213</v>
      </c>
      <c r="C6" s="5">
        <v>14371637.394386901</v>
      </c>
      <c r="D6" s="5">
        <v>15953473.1058685</v>
      </c>
      <c r="E6" s="5">
        <v>20320043.1403604</v>
      </c>
      <c r="F6" s="5">
        <v>24199735.698990598</v>
      </c>
      <c r="G6" s="5">
        <v>11321001.406595999</v>
      </c>
      <c r="H6" s="5">
        <v>7758337.3365562102</v>
      </c>
      <c r="I6" s="5">
        <v>31392575.399015199</v>
      </c>
      <c r="J6" s="5">
        <v>9653852.4871366192</v>
      </c>
      <c r="K6" s="5">
        <v>27183715.230270799</v>
      </c>
      <c r="L6" s="5">
        <v>13631147.0040549</v>
      </c>
      <c r="M6" s="5">
        <v>12604638.360569101</v>
      </c>
      <c r="N6" s="5">
        <v>14363561.674943101</v>
      </c>
      <c r="O6" s="5">
        <v>11536349.164746599</v>
      </c>
      <c r="P6" s="5">
        <v>6079821.7003457202</v>
      </c>
      <c r="Q6" s="5">
        <v>16636573.6355871</v>
      </c>
      <c r="R6" s="5">
        <v>23166416.302883901</v>
      </c>
      <c r="S6" s="5">
        <v>20447297.479107</v>
      </c>
      <c r="T6" s="5">
        <v>14941099.2565645</v>
      </c>
      <c r="U6" s="5">
        <v>16941023.316720501</v>
      </c>
      <c r="V6" s="5">
        <v>13002592.174551001</v>
      </c>
      <c r="W6" s="5">
        <v>9243198.6792709902</v>
      </c>
      <c r="X6" s="5">
        <v>13830371.123634599</v>
      </c>
      <c r="Y6" s="5">
        <v>14558918.0531861</v>
      </c>
    </row>
    <row r="7" spans="1:25" x14ac:dyDescent="0.45">
      <c r="A7" s="5" t="s">
        <v>39</v>
      </c>
      <c r="B7" s="5">
        <v>28752544.6167849</v>
      </c>
      <c r="C7" s="5">
        <v>42668850.7057252</v>
      </c>
      <c r="D7" s="5">
        <v>30327462.762488201</v>
      </c>
      <c r="E7" s="5">
        <v>54879684.399627797</v>
      </c>
      <c r="F7" s="5">
        <v>43662951.771904103</v>
      </c>
      <c r="G7" s="5">
        <v>48626837.464085802</v>
      </c>
      <c r="H7" s="5">
        <v>36889659.825171597</v>
      </c>
      <c r="I7" s="5">
        <v>177430878.02428901</v>
      </c>
      <c r="J7" s="5">
        <v>35360216.425193101</v>
      </c>
      <c r="K7" s="5">
        <v>87452911.7591483</v>
      </c>
      <c r="L7" s="5">
        <v>59262588.216159701</v>
      </c>
      <c r="M7" s="5">
        <v>90477759.207083493</v>
      </c>
      <c r="N7" s="5">
        <v>124871812.638586</v>
      </c>
      <c r="O7" s="5">
        <v>61389700.171481699</v>
      </c>
      <c r="P7" s="5">
        <v>28812024.170425601</v>
      </c>
      <c r="Q7" s="5">
        <v>93541205.359110296</v>
      </c>
      <c r="R7" s="5">
        <v>46924881.966085799</v>
      </c>
      <c r="S7" s="5">
        <v>38538002.084274001</v>
      </c>
      <c r="T7" s="5">
        <v>31438254.070438001</v>
      </c>
      <c r="U7" s="5">
        <v>36345247.579809599</v>
      </c>
      <c r="V7" s="5">
        <v>54345938.591724202</v>
      </c>
      <c r="W7" s="5">
        <v>44999960.211597003</v>
      </c>
      <c r="X7" s="5">
        <v>232894167.769925</v>
      </c>
      <c r="Y7" s="5">
        <v>33628617.336753502</v>
      </c>
    </row>
    <row r="8" spans="1:25" x14ac:dyDescent="0.45">
      <c r="A8" s="5" t="s">
        <v>40</v>
      </c>
      <c r="B8" s="5">
        <v>25500472.8560348</v>
      </c>
      <c r="C8" s="5">
        <v>23377058.420962099</v>
      </c>
      <c r="D8" s="5">
        <v>20489042.212133799</v>
      </c>
      <c r="E8" s="5">
        <v>22601546.379236002</v>
      </c>
      <c r="F8" s="5">
        <v>20896065.705451101</v>
      </c>
      <c r="G8" s="5">
        <v>19824278.305764101</v>
      </c>
      <c r="H8" s="5">
        <v>18290221.696195301</v>
      </c>
      <c r="I8" s="5">
        <v>17163281.170955699</v>
      </c>
      <c r="J8" s="5">
        <v>17077734.1873773</v>
      </c>
      <c r="K8" s="5">
        <v>15427200.0785638</v>
      </c>
      <c r="L8" s="5">
        <v>18301908.3794576</v>
      </c>
      <c r="M8" s="5">
        <v>20798629.6051041</v>
      </c>
      <c r="N8" s="5">
        <v>18692012.656461202</v>
      </c>
      <c r="O8" s="5">
        <v>18462928.632025</v>
      </c>
      <c r="P8" s="5">
        <v>18519332.0938094</v>
      </c>
      <c r="Q8" s="5">
        <v>22815099.301512498</v>
      </c>
      <c r="R8" s="5">
        <v>16517832.1777425</v>
      </c>
      <c r="S8" s="5">
        <v>22606117.219689701</v>
      </c>
      <c r="T8" s="5">
        <v>23956026.996922199</v>
      </c>
      <c r="U8" s="5">
        <v>20758501.816831399</v>
      </c>
      <c r="V8" s="5">
        <v>22527398.253299799</v>
      </c>
      <c r="W8" s="5">
        <v>17638197.737114001</v>
      </c>
      <c r="X8" s="5">
        <v>4643799.0659681195</v>
      </c>
      <c r="Y8" s="5">
        <v>21576845.272015098</v>
      </c>
    </row>
    <row r="9" spans="1:25" x14ac:dyDescent="0.45">
      <c r="A9" s="5" t="s">
        <v>269</v>
      </c>
      <c r="B9" s="5">
        <v>7534566.20852248</v>
      </c>
      <c r="C9" s="5">
        <v>5552564.0728104301</v>
      </c>
      <c r="D9" s="5">
        <v>5566158.6577258697</v>
      </c>
      <c r="E9" s="5">
        <v>6431007.7443915997</v>
      </c>
      <c r="F9" s="5">
        <v>7243411.4540186003</v>
      </c>
      <c r="G9" s="5">
        <v>4570961.6792879198</v>
      </c>
      <c r="H9" s="5">
        <v>7085808.3501704698</v>
      </c>
      <c r="I9" s="5">
        <v>2700533.3758851602</v>
      </c>
      <c r="J9" s="5">
        <v>5618225.1194996098</v>
      </c>
      <c r="K9" s="5">
        <v>6323254.1780016897</v>
      </c>
      <c r="L9" s="5">
        <v>6380026.2575646397</v>
      </c>
      <c r="M9" s="5">
        <v>5336871.39109274</v>
      </c>
      <c r="N9" s="5">
        <v>4864010.7113510296</v>
      </c>
      <c r="O9" s="5">
        <v>5106671.1226845598</v>
      </c>
      <c r="P9" s="5">
        <v>7035133.3707763497</v>
      </c>
      <c r="Q9" s="5">
        <v>5387679.2672331799</v>
      </c>
      <c r="R9" s="5">
        <v>8006608.3860511901</v>
      </c>
      <c r="S9" s="5">
        <v>7174613.2887183698</v>
      </c>
      <c r="T9" s="5">
        <v>5997925.9755105497</v>
      </c>
      <c r="U9" s="5">
        <v>8352704.6687939903</v>
      </c>
      <c r="V9" s="5">
        <v>6504012.0208540903</v>
      </c>
      <c r="W9" s="5">
        <v>7373183.7989508603</v>
      </c>
      <c r="X9" s="5">
        <v>4309480.10757853</v>
      </c>
      <c r="Y9" s="5">
        <v>6481394.8099402301</v>
      </c>
    </row>
    <row r="10" spans="1:25" x14ac:dyDescent="0.45">
      <c r="A10" s="5" t="s">
        <v>41</v>
      </c>
      <c r="B10" s="5">
        <v>5839094.39439933</v>
      </c>
      <c r="C10" s="5">
        <v>3782274.85378952</v>
      </c>
      <c r="D10" s="5">
        <v>5654474.4725239296</v>
      </c>
      <c r="E10" s="5">
        <v>2571610.0179839199</v>
      </c>
      <c r="F10" s="5">
        <v>2702544.5408725501</v>
      </c>
      <c r="G10" s="5">
        <v>2144296.9046577401</v>
      </c>
      <c r="H10" s="5">
        <v>1861525.9818441099</v>
      </c>
      <c r="I10" s="5">
        <v>14056987.1156084</v>
      </c>
      <c r="J10" s="5">
        <v>3509217.5057687899</v>
      </c>
      <c r="K10" s="5">
        <v>3082989.7501709</v>
      </c>
      <c r="L10" s="5">
        <v>2427314.6307226401</v>
      </c>
      <c r="M10" s="5">
        <v>2808592.2159218001</v>
      </c>
      <c r="N10" s="5">
        <v>1342514.8640044699</v>
      </c>
      <c r="O10" s="5">
        <v>3530414.21224254</v>
      </c>
      <c r="P10" s="5">
        <v>1127669.5670882899</v>
      </c>
      <c r="Q10" s="5">
        <v>1803399.8955306001</v>
      </c>
      <c r="R10" s="5">
        <v>2173467.7739559398</v>
      </c>
      <c r="S10" s="5">
        <v>3721675.5570795098</v>
      </c>
      <c r="T10" s="5">
        <v>6997101.4288566597</v>
      </c>
      <c r="U10" s="5">
        <v>2348649.2020351598</v>
      </c>
      <c r="V10" s="5">
        <v>1783205.82598476</v>
      </c>
      <c r="W10" s="5">
        <v>1878283.4997351901</v>
      </c>
      <c r="X10" s="5">
        <v>4792460.1575963097</v>
      </c>
      <c r="Y10" s="5">
        <v>1835777.46945972</v>
      </c>
    </row>
    <row r="11" spans="1:25" x14ac:dyDescent="0.45">
      <c r="A11" s="5" t="s">
        <v>42</v>
      </c>
      <c r="B11" s="5">
        <v>18561002.464969002</v>
      </c>
      <c r="C11" s="5">
        <v>22425457.8615386</v>
      </c>
      <c r="D11" s="5">
        <v>28332985.019832201</v>
      </c>
      <c r="E11" s="5">
        <v>27818141.114626899</v>
      </c>
      <c r="F11" s="5">
        <v>24629051.629060701</v>
      </c>
      <c r="G11" s="5">
        <v>23665822.028781701</v>
      </c>
      <c r="H11" s="5">
        <v>28194519.2044704</v>
      </c>
      <c r="I11" s="5">
        <v>32836507.673675202</v>
      </c>
      <c r="J11" s="5">
        <v>27269596.733964801</v>
      </c>
      <c r="K11" s="5">
        <v>24094139.722488899</v>
      </c>
      <c r="L11" s="5">
        <v>25048224.6131626</v>
      </c>
      <c r="M11" s="5">
        <v>25045184.622878999</v>
      </c>
      <c r="N11" s="5">
        <v>27922303.627216499</v>
      </c>
      <c r="O11" s="5">
        <v>22016114.2959482</v>
      </c>
      <c r="P11" s="5">
        <v>22005057.564440001</v>
      </c>
      <c r="Q11" s="5">
        <v>34011462.100426503</v>
      </c>
      <c r="R11" s="5">
        <v>28245761.4887143</v>
      </c>
      <c r="S11" s="5">
        <v>18327127.972439799</v>
      </c>
      <c r="T11" s="5">
        <v>30025160.3845031</v>
      </c>
      <c r="U11" s="5">
        <v>29617138.310609799</v>
      </c>
      <c r="V11" s="5">
        <v>23622345.628669798</v>
      </c>
      <c r="W11" s="5">
        <v>33259213.689081099</v>
      </c>
      <c r="X11" s="5">
        <v>34494254.410614997</v>
      </c>
      <c r="Y11" s="5">
        <v>8871520.8924744502</v>
      </c>
    </row>
    <row r="12" spans="1:25" x14ac:dyDescent="0.45">
      <c r="A12" s="5" t="s">
        <v>43</v>
      </c>
      <c r="B12" s="5">
        <v>6910915.3755718097</v>
      </c>
      <c r="C12" s="5">
        <v>5555549.8383753197</v>
      </c>
      <c r="D12" s="5">
        <v>1540219.3968767701</v>
      </c>
      <c r="E12" s="5">
        <v>3028943.0990335401</v>
      </c>
      <c r="F12" s="5">
        <v>7179273.1244138302</v>
      </c>
      <c r="G12" s="5">
        <v>4638511.3562983498</v>
      </c>
      <c r="H12" s="5">
        <v>2277714.1348850601</v>
      </c>
      <c r="I12" s="5">
        <v>3643692.24311904</v>
      </c>
      <c r="J12" s="5">
        <v>8576256.1096518803</v>
      </c>
      <c r="K12" s="5">
        <v>4617909.0138325104</v>
      </c>
      <c r="L12" s="5">
        <v>4824092.8292988399</v>
      </c>
      <c r="M12" s="5">
        <v>3860440.2776873498</v>
      </c>
      <c r="N12" s="5">
        <v>3581920.6077038902</v>
      </c>
      <c r="O12" s="5">
        <v>3556262.7661210201</v>
      </c>
      <c r="P12" s="5">
        <v>3484130.5257746698</v>
      </c>
      <c r="Q12" s="5">
        <v>3328851.22852366</v>
      </c>
      <c r="R12" s="5">
        <v>4847758.4885832304</v>
      </c>
      <c r="S12" s="5">
        <v>4284787.1514746398</v>
      </c>
      <c r="T12" s="5">
        <v>8579426.7455923092</v>
      </c>
      <c r="U12" s="5">
        <v>6037325.4583235504</v>
      </c>
      <c r="V12" s="5">
        <v>4922948.8225779096</v>
      </c>
      <c r="W12" s="5">
        <v>4320559.3188170101</v>
      </c>
      <c r="X12" s="5">
        <v>3606678.9424799299</v>
      </c>
      <c r="Y12" s="5">
        <v>3990034.7399334898</v>
      </c>
    </row>
    <row r="13" spans="1:25" x14ac:dyDescent="0.45">
      <c r="A13" s="5" t="s">
        <v>44</v>
      </c>
      <c r="B13" s="5">
        <v>3018659.9679766502</v>
      </c>
      <c r="C13" s="5">
        <v>3222363.6773597202</v>
      </c>
      <c r="D13" s="5">
        <v>4031156.2393889199</v>
      </c>
      <c r="E13" s="5">
        <v>5689407.3866782598</v>
      </c>
      <c r="F13" s="5">
        <v>5055115.2561785802</v>
      </c>
      <c r="G13" s="5">
        <v>3831179.2250718698</v>
      </c>
      <c r="H13" s="5">
        <v>4971740.9527367996</v>
      </c>
      <c r="I13" s="5">
        <v>9198024.0414210204</v>
      </c>
      <c r="J13" s="5">
        <v>6407620.9186429102</v>
      </c>
      <c r="K13" s="5">
        <v>8192686.4418742498</v>
      </c>
      <c r="L13" s="5">
        <v>3940303.0171775599</v>
      </c>
      <c r="M13" s="5">
        <v>3998719.8348298701</v>
      </c>
      <c r="N13" s="5">
        <v>3562569.4951142902</v>
      </c>
      <c r="O13" s="5">
        <v>2161132.5012641102</v>
      </c>
      <c r="P13" s="5">
        <v>2736725.7400736301</v>
      </c>
      <c r="Q13" s="5">
        <v>3280125.0057653799</v>
      </c>
      <c r="R13" s="5">
        <v>8408455.3183139395</v>
      </c>
      <c r="S13" s="5">
        <v>3674626.4055164298</v>
      </c>
      <c r="T13" s="5">
        <v>4311299.4538042899</v>
      </c>
      <c r="U13" s="5">
        <v>4963088.6814942099</v>
      </c>
      <c r="V13" s="5">
        <v>3468416.10096741</v>
      </c>
      <c r="W13" s="5">
        <v>4827803.7626759401</v>
      </c>
      <c r="X13" s="5">
        <v>5731471.99580542</v>
      </c>
      <c r="Y13" s="5">
        <v>3494448.4990224601</v>
      </c>
    </row>
    <row r="14" spans="1:25" x14ac:dyDescent="0.45">
      <c r="A14" s="5" t="s">
        <v>45</v>
      </c>
      <c r="B14" s="5">
        <v>54077205.129528798</v>
      </c>
      <c r="C14" s="5">
        <v>16304830.5921707</v>
      </c>
      <c r="D14" s="5">
        <v>18611756.1093878</v>
      </c>
      <c r="E14" s="5">
        <v>19749369.8379732</v>
      </c>
      <c r="F14" s="5">
        <v>41538060.579282999</v>
      </c>
      <c r="G14" s="5">
        <v>15497995.1403536</v>
      </c>
      <c r="H14" s="5">
        <v>37876886.773075901</v>
      </c>
      <c r="I14" s="5">
        <v>87824754.337101296</v>
      </c>
      <c r="J14" s="5">
        <v>49870439.2120151</v>
      </c>
      <c r="K14" s="5">
        <v>23419936.572315499</v>
      </c>
      <c r="L14" s="5">
        <v>16084090.281747499</v>
      </c>
      <c r="M14" s="5">
        <v>32387592.218570799</v>
      </c>
      <c r="N14" s="5">
        <v>26835430.745629601</v>
      </c>
      <c r="O14" s="5">
        <v>33187754.697344702</v>
      </c>
      <c r="P14" s="5">
        <v>33172576.155074801</v>
      </c>
      <c r="Q14" s="5">
        <v>19835556.474820599</v>
      </c>
      <c r="R14" s="5">
        <v>31654623.007564999</v>
      </c>
      <c r="S14" s="5">
        <v>26182585.4106596</v>
      </c>
      <c r="T14" s="5">
        <v>12926526.7671398</v>
      </c>
      <c r="U14" s="5">
        <v>53646937.273337796</v>
      </c>
      <c r="V14" s="5">
        <v>19130175.473348901</v>
      </c>
      <c r="W14" s="5">
        <v>35799957.102978602</v>
      </c>
      <c r="X14" s="5">
        <v>24654578.613026299</v>
      </c>
      <c r="Y14" s="5">
        <v>18899604.576501101</v>
      </c>
    </row>
    <row r="15" spans="1:25" x14ac:dyDescent="0.45">
      <c r="A15" s="5" t="s">
        <v>46</v>
      </c>
      <c r="B15" s="5">
        <v>7638087.3089077203</v>
      </c>
      <c r="C15" s="5">
        <v>6748794.1544965403</v>
      </c>
      <c r="D15" s="5">
        <v>6888520.9803954205</v>
      </c>
      <c r="E15" s="5">
        <v>6374026.2113955198</v>
      </c>
      <c r="F15" s="5">
        <v>7550248.2597098704</v>
      </c>
      <c r="G15" s="5">
        <v>7680231.7777560102</v>
      </c>
      <c r="H15" s="5">
        <v>6446165.7066342803</v>
      </c>
      <c r="I15" s="5">
        <v>9313653.0918124709</v>
      </c>
      <c r="J15" s="5">
        <v>6434209.4795861803</v>
      </c>
      <c r="K15" s="5">
        <v>14282167.236741699</v>
      </c>
      <c r="L15" s="5">
        <v>8301549.1087209499</v>
      </c>
      <c r="M15" s="5">
        <v>7053646.8817431498</v>
      </c>
      <c r="N15" s="5">
        <v>15332969.728388799</v>
      </c>
      <c r="O15" s="5">
        <v>6480938.0214740196</v>
      </c>
      <c r="P15" s="5">
        <v>9125550.4042146392</v>
      </c>
      <c r="Q15" s="5">
        <v>6240546.0065518199</v>
      </c>
      <c r="R15" s="5">
        <v>10406571.5748342</v>
      </c>
      <c r="S15" s="5">
        <v>6486780.2007939396</v>
      </c>
      <c r="T15" s="5">
        <v>3817811.3057257398</v>
      </c>
      <c r="U15" s="5">
        <v>6895629.0134268804</v>
      </c>
      <c r="V15" s="5">
        <v>5161749.85793682</v>
      </c>
      <c r="W15" s="5">
        <v>10457243.9329716</v>
      </c>
      <c r="X15" s="5">
        <v>8030607.7262609098</v>
      </c>
      <c r="Y15" s="5">
        <v>7101041.07869031</v>
      </c>
    </row>
    <row r="16" spans="1:25" x14ac:dyDescent="0.45">
      <c r="A16" s="5" t="s">
        <v>270</v>
      </c>
      <c r="B16" s="5">
        <v>1753835248.2804899</v>
      </c>
      <c r="C16" s="5">
        <v>1722592847.5970099</v>
      </c>
      <c r="D16" s="5">
        <v>2032495852.67804</v>
      </c>
      <c r="E16" s="5">
        <v>2061248801.68483</v>
      </c>
      <c r="F16" s="5">
        <v>2253146475.0961399</v>
      </c>
      <c r="G16" s="5">
        <v>2093708256.2877901</v>
      </c>
      <c r="H16" s="5">
        <v>434656313.61014903</v>
      </c>
      <c r="I16" s="5">
        <v>749281547.668244</v>
      </c>
      <c r="J16" s="5">
        <v>678549232.40262198</v>
      </c>
      <c r="K16" s="5">
        <v>1108247701.5337</v>
      </c>
      <c r="L16" s="5">
        <v>1839710459.53332</v>
      </c>
      <c r="M16" s="5">
        <v>1464153711.5551701</v>
      </c>
      <c r="N16" s="5">
        <v>1880396598.71457</v>
      </c>
      <c r="O16" s="5">
        <v>1757436473.3833499</v>
      </c>
      <c r="P16" s="5">
        <v>1460769503.4540401</v>
      </c>
      <c r="Q16" s="5">
        <v>1954442279.6248901</v>
      </c>
      <c r="R16" s="5">
        <v>2127243047.49277</v>
      </c>
      <c r="S16" s="5">
        <v>2133892077.47278</v>
      </c>
      <c r="T16" s="5">
        <v>2058344858.9892001</v>
      </c>
      <c r="U16" s="5">
        <v>1920551246.8550501</v>
      </c>
      <c r="V16" s="5">
        <v>1768150939.19925</v>
      </c>
      <c r="W16" s="5">
        <v>1745362013.9869399</v>
      </c>
      <c r="X16" s="5">
        <v>1573029899.8383801</v>
      </c>
      <c r="Y16" s="5">
        <v>1849829299.17904</v>
      </c>
    </row>
    <row r="17" spans="1:25" x14ac:dyDescent="0.45">
      <c r="A17" s="5" t="s">
        <v>51</v>
      </c>
      <c r="B17" s="5">
        <v>497232822.60781902</v>
      </c>
      <c r="C17" s="5">
        <v>383263896.866211</v>
      </c>
      <c r="D17" s="5">
        <v>444324389.092273</v>
      </c>
      <c r="E17" s="5">
        <v>484118726.18784201</v>
      </c>
      <c r="F17" s="5">
        <v>438994223.84005398</v>
      </c>
      <c r="G17" s="5">
        <v>460194761.29399401</v>
      </c>
      <c r="H17" s="5">
        <v>460900684.23060101</v>
      </c>
      <c r="I17" s="5">
        <v>248045203.54047701</v>
      </c>
      <c r="J17" s="5">
        <v>385971793.53836399</v>
      </c>
      <c r="K17" s="5">
        <v>601015718.59507203</v>
      </c>
      <c r="L17" s="5">
        <v>478064133.92284697</v>
      </c>
      <c r="M17" s="5">
        <v>414020781.030738</v>
      </c>
      <c r="N17" s="5">
        <v>543824731.83668303</v>
      </c>
      <c r="O17" s="5">
        <v>402923152.70511901</v>
      </c>
      <c r="P17" s="5">
        <v>410510567.97929698</v>
      </c>
      <c r="Q17" s="5">
        <v>411671360.58025199</v>
      </c>
      <c r="R17" s="5">
        <v>526605824.69692802</v>
      </c>
      <c r="S17" s="5">
        <v>448033442.87182599</v>
      </c>
      <c r="T17" s="5">
        <v>506089309.59480602</v>
      </c>
      <c r="U17" s="5">
        <v>525318796.29129899</v>
      </c>
      <c r="V17" s="5">
        <v>547319320.12648201</v>
      </c>
      <c r="W17" s="5">
        <v>549409384.68359804</v>
      </c>
      <c r="X17" s="5">
        <v>272006541.92773497</v>
      </c>
      <c r="Y17" s="5">
        <v>479241431.19165599</v>
      </c>
    </row>
    <row r="18" spans="1:25" x14ac:dyDescent="0.45">
      <c r="A18" s="5" t="s">
        <v>271</v>
      </c>
      <c r="B18" s="5">
        <v>118813784.256881</v>
      </c>
      <c r="C18" s="5">
        <v>77267063.830506399</v>
      </c>
      <c r="D18" s="5">
        <v>71369730.641427293</v>
      </c>
      <c r="E18" s="5">
        <v>76477052.082824796</v>
      </c>
      <c r="F18" s="5">
        <v>105360012.222873</v>
      </c>
      <c r="G18" s="5">
        <v>78239290.938123897</v>
      </c>
      <c r="H18" s="5">
        <v>102551324.325866</v>
      </c>
      <c r="I18" s="5">
        <v>453888863.05071801</v>
      </c>
      <c r="J18" s="5">
        <v>181719527.42540899</v>
      </c>
      <c r="K18" s="5">
        <v>79613199.181408897</v>
      </c>
      <c r="L18" s="5">
        <v>120119849.57600699</v>
      </c>
      <c r="M18" s="5">
        <v>107962167.78804</v>
      </c>
      <c r="N18" s="5">
        <v>29497844.368012901</v>
      </c>
      <c r="O18" s="5">
        <v>98321456.578861102</v>
      </c>
      <c r="P18" s="5">
        <v>67130557.704639003</v>
      </c>
      <c r="Q18" s="5">
        <v>35237490.098310597</v>
      </c>
      <c r="R18" s="5">
        <v>49192049.685323998</v>
      </c>
      <c r="S18" s="5">
        <v>65545185.495175697</v>
      </c>
      <c r="T18" s="5">
        <v>91953739.720066398</v>
      </c>
      <c r="U18" s="5">
        <v>173211350.16466299</v>
      </c>
      <c r="V18" s="5">
        <v>277543015.68375599</v>
      </c>
      <c r="W18" s="5">
        <v>126820179.981484</v>
      </c>
      <c r="X18" s="5">
        <v>154923691.372448</v>
      </c>
      <c r="Y18" s="5">
        <v>110499733.64951199</v>
      </c>
    </row>
    <row r="19" spans="1:25" x14ac:dyDescent="0.45">
      <c r="A19" s="5" t="s">
        <v>272</v>
      </c>
      <c r="B19" s="5">
        <v>118756787.970072</v>
      </c>
      <c r="C19" s="5">
        <v>77267063.830506399</v>
      </c>
      <c r="D19" s="5">
        <v>71369730.641427293</v>
      </c>
      <c r="E19" s="5">
        <v>76477052.082824796</v>
      </c>
      <c r="F19" s="5">
        <v>105360012.222873</v>
      </c>
      <c r="G19" s="5">
        <v>78239290.938123897</v>
      </c>
      <c r="H19" s="5">
        <v>103184851.881798</v>
      </c>
      <c r="I19" s="5">
        <v>453888863.05071801</v>
      </c>
      <c r="J19" s="5">
        <v>178945283.83639601</v>
      </c>
      <c r="K19" s="5">
        <v>79660854.310309395</v>
      </c>
      <c r="L19" s="5">
        <v>120119849.57600699</v>
      </c>
      <c r="M19" s="5">
        <v>107962167.78804</v>
      </c>
      <c r="N19" s="5">
        <v>29497844.368012901</v>
      </c>
      <c r="O19" s="5">
        <v>98321456.578861102</v>
      </c>
      <c r="P19" s="5">
        <v>68922102.521097004</v>
      </c>
      <c r="Q19" s="5">
        <v>34398272.697971798</v>
      </c>
      <c r="R19" s="5">
        <v>53501221.922472201</v>
      </c>
      <c r="S19" s="5">
        <v>65545185.495175697</v>
      </c>
      <c r="T19" s="5">
        <v>91923276.239266306</v>
      </c>
      <c r="U19" s="5">
        <v>173211350.16466299</v>
      </c>
      <c r="V19" s="5">
        <v>90476576.601411298</v>
      </c>
      <c r="W19" s="5">
        <v>126438648.291052</v>
      </c>
      <c r="X19" s="5">
        <v>58160265.583743103</v>
      </c>
      <c r="Y19" s="5">
        <v>110964861.47471701</v>
      </c>
    </row>
    <row r="20" spans="1:25" x14ac:dyDescent="0.45">
      <c r="A20" s="5" t="s">
        <v>52</v>
      </c>
      <c r="B20" s="5">
        <v>29291549.633044802</v>
      </c>
      <c r="C20" s="5">
        <v>34392960.430629</v>
      </c>
      <c r="D20" s="5">
        <v>35395386.541677304</v>
      </c>
      <c r="E20" s="5">
        <v>34284550.869236998</v>
      </c>
      <c r="F20" s="5">
        <v>29969576.843715198</v>
      </c>
      <c r="G20" s="5">
        <v>30269119.428496499</v>
      </c>
      <c r="H20" s="5">
        <v>30798672.675822999</v>
      </c>
      <c r="I20" s="5">
        <v>30280779.8291145</v>
      </c>
      <c r="J20" s="5">
        <v>29705917.9240545</v>
      </c>
      <c r="K20" s="5">
        <v>26251134.0413507</v>
      </c>
      <c r="L20" s="5">
        <v>27773255.0739391</v>
      </c>
      <c r="M20" s="5">
        <v>31114656.538210701</v>
      </c>
      <c r="N20" s="5">
        <v>32410397.727083798</v>
      </c>
      <c r="O20" s="5">
        <v>29042474.099635102</v>
      </c>
      <c r="P20" s="5">
        <v>29380770.881221201</v>
      </c>
      <c r="Q20" s="5">
        <v>34845791.549758904</v>
      </c>
      <c r="R20" s="5">
        <v>33651206.9959016</v>
      </c>
      <c r="S20" s="5">
        <v>36287150.901217699</v>
      </c>
      <c r="T20" s="5">
        <v>35391731.585553199</v>
      </c>
      <c r="U20" s="5">
        <v>34905205.986654997</v>
      </c>
      <c r="V20" s="5">
        <v>34540999.847527802</v>
      </c>
      <c r="W20" s="5">
        <v>31659852.3064963</v>
      </c>
      <c r="X20" s="5">
        <v>28537676.664080199</v>
      </c>
      <c r="Y20" s="5">
        <v>33885912.3728057</v>
      </c>
    </row>
    <row r="21" spans="1:25" x14ac:dyDescent="0.45">
      <c r="A21" s="5" t="s">
        <v>53</v>
      </c>
      <c r="B21" s="5">
        <v>208971850.55688399</v>
      </c>
      <c r="C21" s="5">
        <v>573305798.71502304</v>
      </c>
      <c r="D21" s="5">
        <v>610103817.07426298</v>
      </c>
      <c r="E21" s="5">
        <v>339207265.78545803</v>
      </c>
      <c r="F21" s="5">
        <v>289822729.068771</v>
      </c>
      <c r="G21" s="5">
        <v>217285338.67532799</v>
      </c>
      <c r="H21" s="5">
        <v>96431852.425490007</v>
      </c>
      <c r="I21" s="5">
        <v>273275718.19775403</v>
      </c>
      <c r="J21" s="5">
        <v>313779705.30437499</v>
      </c>
      <c r="K21" s="5">
        <v>178016676.11508599</v>
      </c>
      <c r="L21" s="5">
        <v>542532655.47147906</v>
      </c>
      <c r="M21" s="5">
        <v>475938905.42061502</v>
      </c>
      <c r="N21" s="5">
        <v>317970296.43999702</v>
      </c>
      <c r="O21" s="5">
        <v>322766971.56266803</v>
      </c>
      <c r="P21" s="5">
        <v>196918959.79522899</v>
      </c>
      <c r="Q21" s="5">
        <v>365815534.831173</v>
      </c>
      <c r="R21" s="5">
        <v>217338641.84302899</v>
      </c>
      <c r="S21" s="5">
        <v>316863314.213377</v>
      </c>
      <c r="T21" s="5">
        <v>414167091.36173201</v>
      </c>
      <c r="U21" s="5">
        <v>229506309.08291599</v>
      </c>
      <c r="V21" s="5">
        <v>349120457.64239299</v>
      </c>
      <c r="W21" s="5">
        <v>265266619.26144299</v>
      </c>
      <c r="X21" s="5">
        <v>212092801.635187</v>
      </c>
      <c r="Y21" s="5">
        <v>202525205.47077301</v>
      </c>
    </row>
    <row r="22" spans="1:25" x14ac:dyDescent="0.45">
      <c r="A22" s="5" t="s">
        <v>54</v>
      </c>
      <c r="B22" s="5">
        <v>12812469.9537708</v>
      </c>
      <c r="C22" s="5">
        <v>34479328.647046797</v>
      </c>
      <c r="D22" s="5">
        <v>41380934.050835997</v>
      </c>
      <c r="E22" s="5">
        <v>40074931.815759897</v>
      </c>
      <c r="F22" s="5">
        <v>36337837.659179203</v>
      </c>
      <c r="G22" s="5">
        <v>34398254.305095904</v>
      </c>
      <c r="H22" s="5">
        <v>21078232.0804324</v>
      </c>
      <c r="I22" s="5">
        <v>23086606.199097399</v>
      </c>
      <c r="J22" s="5">
        <v>37229221.309582897</v>
      </c>
      <c r="K22" s="5">
        <v>33243138.6059204</v>
      </c>
      <c r="L22" s="5">
        <v>33885790.508761302</v>
      </c>
      <c r="M22" s="5">
        <v>35077433.565844603</v>
      </c>
      <c r="N22" s="5">
        <v>38067027.213145003</v>
      </c>
      <c r="O22" s="5">
        <v>31739051.281439401</v>
      </c>
      <c r="P22" s="5">
        <v>32686226.855557598</v>
      </c>
      <c r="Q22" s="5">
        <v>40231537.304709204</v>
      </c>
      <c r="R22" s="5">
        <v>28362757.464696299</v>
      </c>
      <c r="S22" s="5">
        <v>35924038.992638998</v>
      </c>
      <c r="T22" s="5">
        <v>42388650.879502401</v>
      </c>
      <c r="U22" s="5">
        <v>34047857.701719001</v>
      </c>
      <c r="V22" s="5">
        <v>37377730.546470597</v>
      </c>
      <c r="W22" s="5">
        <v>40587613.216056399</v>
      </c>
      <c r="X22" s="5">
        <v>34981636.262085102</v>
      </c>
      <c r="Y22" s="5">
        <v>42240179.767261498</v>
      </c>
    </row>
    <row r="23" spans="1:25" x14ac:dyDescent="0.45">
      <c r="A23" s="5" t="s">
        <v>55</v>
      </c>
      <c r="B23" s="5">
        <v>268278793.735048</v>
      </c>
      <c r="C23" s="5">
        <v>403259656.77763402</v>
      </c>
      <c r="D23" s="5">
        <v>467698229.73109698</v>
      </c>
      <c r="E23" s="5">
        <v>263048028.257368</v>
      </c>
      <c r="F23" s="5">
        <v>232375197.64079201</v>
      </c>
      <c r="G23" s="5">
        <v>224622806.79288599</v>
      </c>
      <c r="H23" s="5">
        <v>157578077.93091401</v>
      </c>
      <c r="I23" s="5">
        <v>265748279.73157001</v>
      </c>
      <c r="J23" s="5">
        <v>240709591.39519799</v>
      </c>
      <c r="K23" s="5">
        <v>302743584.01353103</v>
      </c>
      <c r="L23" s="5">
        <v>499673723.74562401</v>
      </c>
      <c r="M23" s="5">
        <v>331695447.309672</v>
      </c>
      <c r="N23" s="5">
        <v>174500223.37841299</v>
      </c>
      <c r="O23" s="5">
        <v>205079381.88245699</v>
      </c>
      <c r="P23" s="5">
        <v>112401016.837209</v>
      </c>
      <c r="Q23" s="5">
        <v>210130771.68900201</v>
      </c>
      <c r="R23" s="5">
        <v>94346503.361306801</v>
      </c>
      <c r="S23" s="5">
        <v>179971718.876708</v>
      </c>
      <c r="T23" s="5">
        <v>490329198.87700498</v>
      </c>
      <c r="U23" s="5">
        <v>187737431.669218</v>
      </c>
      <c r="V23" s="5">
        <v>91502146.731268793</v>
      </c>
      <c r="W23" s="5">
        <v>196011083.22728801</v>
      </c>
      <c r="X23" s="5">
        <v>536603168.85842502</v>
      </c>
      <c r="Y23" s="5">
        <v>200084537.71373901</v>
      </c>
    </row>
    <row r="24" spans="1:25" x14ac:dyDescent="0.45">
      <c r="A24" s="5" t="s">
        <v>56</v>
      </c>
      <c r="B24" s="5">
        <v>1766169.52528022</v>
      </c>
      <c r="C24" s="5">
        <v>970760.03673426202</v>
      </c>
      <c r="D24" s="5">
        <v>1133111.76527965</v>
      </c>
      <c r="E24" s="5">
        <v>1748898.86823509</v>
      </c>
      <c r="F24" s="5">
        <v>1213953.6704540499</v>
      </c>
      <c r="G24" s="5">
        <v>1351879.9368112199</v>
      </c>
      <c r="H24" s="5">
        <v>3652867.9105481501</v>
      </c>
      <c r="I24" s="5">
        <v>2143536.61406133</v>
      </c>
      <c r="J24" s="5">
        <v>2226227.0817447798</v>
      </c>
      <c r="K24" s="5">
        <v>869942.21916558396</v>
      </c>
      <c r="L24" s="5">
        <v>925489.67449375603</v>
      </c>
      <c r="M24" s="5">
        <v>1495365.41757713</v>
      </c>
      <c r="N24" s="5">
        <v>1161738.5218515799</v>
      </c>
      <c r="O24" s="5">
        <v>1553533.64851517</v>
      </c>
      <c r="P24" s="5">
        <v>2426943.0583382999</v>
      </c>
      <c r="Q24" s="5">
        <v>900443.33417343302</v>
      </c>
      <c r="R24" s="5">
        <v>2629255.9311618502</v>
      </c>
      <c r="S24" s="5">
        <v>3239850.12663987</v>
      </c>
      <c r="T24" s="5">
        <v>3401834.83989977</v>
      </c>
      <c r="U24" s="5">
        <v>3258142.0862015099</v>
      </c>
      <c r="V24" s="5">
        <v>2270873.6525688199</v>
      </c>
      <c r="W24" s="5">
        <v>1197187.18663569</v>
      </c>
      <c r="X24" s="5">
        <v>1889925.8818764701</v>
      </c>
      <c r="Y24" s="5">
        <v>948983.12197307602</v>
      </c>
    </row>
    <row r="25" spans="1:25" x14ac:dyDescent="0.45">
      <c r="A25" s="5" t="s">
        <v>57</v>
      </c>
      <c r="B25" s="5">
        <v>21415066.1165612</v>
      </c>
      <c r="C25" s="5">
        <v>25422037.439426798</v>
      </c>
      <c r="D25" s="5">
        <v>41397413.042630203</v>
      </c>
      <c r="E25" s="5">
        <v>28449974.6682254</v>
      </c>
      <c r="F25" s="5">
        <v>36309813.4994203</v>
      </c>
      <c r="G25" s="5">
        <v>24599422.166453999</v>
      </c>
      <c r="H25" s="5">
        <v>12009511.105141001</v>
      </c>
      <c r="I25" s="5">
        <v>31814365.672103502</v>
      </c>
      <c r="J25" s="5">
        <v>25904609.718773998</v>
      </c>
      <c r="K25" s="5">
        <v>33243138.6059204</v>
      </c>
      <c r="L25" s="5">
        <v>33855236.781245403</v>
      </c>
      <c r="M25" s="5">
        <v>35069406.208141498</v>
      </c>
      <c r="N25" s="5">
        <v>27131311.560159899</v>
      </c>
      <c r="O25" s="5">
        <v>31731957.242646299</v>
      </c>
      <c r="P25" s="5">
        <v>32708418.306858301</v>
      </c>
      <c r="Q25" s="5">
        <v>40209400.642902099</v>
      </c>
      <c r="R25" s="5">
        <v>9552620.5291379597</v>
      </c>
      <c r="S25" s="5">
        <v>41126514.038419597</v>
      </c>
      <c r="T25" s="5">
        <v>42352498.704265699</v>
      </c>
      <c r="U25" s="5">
        <v>23778346.782086801</v>
      </c>
      <c r="V25" s="5">
        <v>31360327.8865715</v>
      </c>
      <c r="W25" s="5">
        <v>40560221.217548303</v>
      </c>
      <c r="X25" s="5">
        <v>39528578.212188803</v>
      </c>
      <c r="Y25" s="5">
        <v>23837346.305388801</v>
      </c>
    </row>
    <row r="26" spans="1:25" x14ac:dyDescent="0.45">
      <c r="A26" s="5" t="s">
        <v>58</v>
      </c>
      <c r="B26" s="5">
        <v>19665050.2434453</v>
      </c>
      <c r="C26" s="5">
        <v>24079433.370450001</v>
      </c>
      <c r="D26" s="5">
        <v>28417066.1508081</v>
      </c>
      <c r="E26" s="5">
        <v>25763465.5125755</v>
      </c>
      <c r="F26" s="5">
        <v>18259543.788780801</v>
      </c>
      <c r="G26" s="5">
        <v>22073996.025225699</v>
      </c>
      <c r="H26" s="5">
        <v>13225195.5703308</v>
      </c>
      <c r="I26" s="5">
        <v>31105602.158422999</v>
      </c>
      <c r="J26" s="5">
        <v>24469965.479049001</v>
      </c>
      <c r="K26" s="5">
        <v>19131981.0589616</v>
      </c>
      <c r="L26" s="5">
        <v>22259267.5391526</v>
      </c>
      <c r="M26" s="5">
        <v>23802064.3339753</v>
      </c>
      <c r="N26" s="5">
        <v>27322142.980057999</v>
      </c>
      <c r="O26" s="5">
        <v>21789878.1427604</v>
      </c>
      <c r="P26" s="5">
        <v>9900973.7710953001</v>
      </c>
      <c r="Q26" s="5">
        <v>28931843.520084701</v>
      </c>
      <c r="R26" s="5">
        <v>25933622.2051115</v>
      </c>
      <c r="S26" s="5">
        <v>29294689.412613399</v>
      </c>
      <c r="T26" s="5">
        <v>27618806.1449879</v>
      </c>
      <c r="U26" s="5">
        <v>24536501.435433399</v>
      </c>
      <c r="V26" s="5">
        <v>25321921.403693002</v>
      </c>
      <c r="W26" s="5">
        <v>28736797.577801101</v>
      </c>
      <c r="X26" s="5">
        <v>26691780.924102999</v>
      </c>
      <c r="Y26" s="5">
        <v>6542869.5149851702</v>
      </c>
    </row>
    <row r="27" spans="1:25" x14ac:dyDescent="0.45">
      <c r="A27" s="5" t="s">
        <v>273</v>
      </c>
      <c r="B27" s="5">
        <v>30981514.856093701</v>
      </c>
      <c r="C27" s="5">
        <v>31232049.601390701</v>
      </c>
      <c r="D27" s="5">
        <v>36693758.456748098</v>
      </c>
      <c r="E27" s="5">
        <v>23833682.977819201</v>
      </c>
      <c r="F27" s="5">
        <v>42822069.492822297</v>
      </c>
      <c r="G27" s="5">
        <v>40785224.0102413</v>
      </c>
      <c r="H27" s="5">
        <v>41941463.156524703</v>
      </c>
      <c r="I27" s="5">
        <v>74820632.662764296</v>
      </c>
      <c r="J27" s="5">
        <v>42964443.8482062</v>
      </c>
      <c r="K27" s="5">
        <v>14707666.6635995</v>
      </c>
      <c r="L27" s="5">
        <v>44153935.2752003</v>
      </c>
      <c r="M27" s="5">
        <v>24802550.7040364</v>
      </c>
      <c r="N27" s="5">
        <v>29761579.2042045</v>
      </c>
      <c r="O27" s="5">
        <v>63376278.017904997</v>
      </c>
      <c r="P27" s="5">
        <v>61718929.755139798</v>
      </c>
      <c r="Q27" s="5">
        <v>79162278.484623298</v>
      </c>
      <c r="R27" s="5">
        <v>54037382.698878199</v>
      </c>
      <c r="S27" s="5">
        <v>54626131.9286955</v>
      </c>
      <c r="T27" s="5">
        <v>53130843.561926603</v>
      </c>
      <c r="U27" s="5">
        <v>92102902.653521493</v>
      </c>
      <c r="V27" s="5">
        <v>43132278.808856301</v>
      </c>
      <c r="W27" s="5">
        <v>28751782.184014101</v>
      </c>
      <c r="X27" s="5">
        <v>63604358.091474801</v>
      </c>
      <c r="Y27" s="5">
        <v>48896794.106905498</v>
      </c>
    </row>
    <row r="28" spans="1:25" x14ac:dyDescent="0.45">
      <c r="A28" s="5" t="s">
        <v>59</v>
      </c>
      <c r="B28" s="5">
        <v>334878.47257704701</v>
      </c>
      <c r="C28" s="5">
        <v>226173.09412937699</v>
      </c>
      <c r="D28" s="5">
        <v>1347779.66622595</v>
      </c>
      <c r="E28" s="5">
        <v>567022.816825188</v>
      </c>
      <c r="F28" s="5">
        <v>309187.89636074699</v>
      </c>
      <c r="G28" s="5">
        <v>538821.53163847001</v>
      </c>
      <c r="H28" s="5">
        <v>208909838.12117299</v>
      </c>
      <c r="I28" s="5">
        <v>7896964.59748937</v>
      </c>
      <c r="J28" s="5">
        <v>3983956.0057601202</v>
      </c>
      <c r="K28" s="5">
        <v>2771080.7467269199</v>
      </c>
      <c r="L28" s="5">
        <v>2403425.41652598</v>
      </c>
      <c r="M28" s="5">
        <v>475945.27180941601</v>
      </c>
      <c r="N28" s="5">
        <v>74106173.388376802</v>
      </c>
      <c r="O28" s="5">
        <v>72451793.197723404</v>
      </c>
      <c r="P28" s="5">
        <v>97626358.260069802</v>
      </c>
      <c r="Q28" s="5">
        <v>269243.07561052102</v>
      </c>
      <c r="R28" s="5">
        <v>2200293.6390099898</v>
      </c>
      <c r="S28" s="5">
        <v>618652.991820405</v>
      </c>
      <c r="T28" s="5">
        <v>1459462.4031452299</v>
      </c>
      <c r="U28" s="5">
        <v>1682017.32764351</v>
      </c>
      <c r="V28" s="5">
        <v>1573129.92527043</v>
      </c>
      <c r="W28" s="5">
        <v>1256562.9546932301</v>
      </c>
      <c r="X28" s="5">
        <v>68767011.225811899</v>
      </c>
      <c r="Y28" s="5">
        <v>903959.36000628804</v>
      </c>
    </row>
    <row r="29" spans="1:25" x14ac:dyDescent="0.45">
      <c r="A29" s="5" t="s">
        <v>60</v>
      </c>
      <c r="B29" s="5">
        <v>689409.41011527996</v>
      </c>
      <c r="C29" s="5">
        <v>1507565.2278425901</v>
      </c>
      <c r="D29" s="5">
        <v>1814555.5671105599</v>
      </c>
      <c r="E29" s="5">
        <v>813819.32566794194</v>
      </c>
      <c r="F29" s="5">
        <v>1704033.8596365501</v>
      </c>
      <c r="G29" s="5">
        <v>1687757.20375685</v>
      </c>
      <c r="H29" s="5">
        <v>24239625.0118002</v>
      </c>
      <c r="I29" s="5">
        <v>74042146.701349303</v>
      </c>
      <c r="J29" s="5">
        <v>4184036.4039336098</v>
      </c>
      <c r="K29" s="5">
        <v>10809476.1782782</v>
      </c>
      <c r="L29" s="5">
        <v>1906464.78830366</v>
      </c>
      <c r="M29" s="5">
        <v>1544336.7111526299</v>
      </c>
      <c r="N29" s="5">
        <v>23565428.0390638</v>
      </c>
      <c r="O29" s="5">
        <v>34432547.926903598</v>
      </c>
      <c r="P29" s="5">
        <v>2799225.8250794401</v>
      </c>
      <c r="Q29" s="5">
        <v>731265.94616216305</v>
      </c>
      <c r="R29" s="5">
        <v>1868805.71612163</v>
      </c>
      <c r="S29" s="5">
        <v>1443591.66227721</v>
      </c>
      <c r="T29" s="5">
        <v>2319191.8227540902</v>
      </c>
      <c r="U29" s="5">
        <v>4091003.3298075302</v>
      </c>
      <c r="V29" s="5">
        <v>4406167.3263503797</v>
      </c>
      <c r="W29" s="5">
        <v>1306583.4618844299</v>
      </c>
      <c r="X29" s="5">
        <v>60786966.549309798</v>
      </c>
      <c r="Y29" s="5">
        <v>2415030.9015299701</v>
      </c>
    </row>
    <row r="30" spans="1:25" x14ac:dyDescent="0.45">
      <c r="A30" s="5" t="s">
        <v>61</v>
      </c>
      <c r="B30" s="5">
        <v>66097329.361507997</v>
      </c>
      <c r="C30" s="5">
        <v>53239016.608230598</v>
      </c>
      <c r="D30" s="5">
        <v>59869365.557039298</v>
      </c>
      <c r="E30" s="5">
        <v>53856188.441284902</v>
      </c>
      <c r="F30" s="5">
        <v>53926463.208229601</v>
      </c>
      <c r="G30" s="5">
        <v>42016716.377906501</v>
      </c>
      <c r="H30" s="5">
        <v>40361496.609134398</v>
      </c>
      <c r="I30" s="5">
        <v>8966023.4058541991</v>
      </c>
      <c r="J30" s="5">
        <v>61780028.323651798</v>
      </c>
      <c r="K30" s="5">
        <v>40636131.413272299</v>
      </c>
      <c r="L30" s="5">
        <v>47317961.3814115</v>
      </c>
      <c r="M30" s="5">
        <v>49880393.172455996</v>
      </c>
      <c r="N30" s="5">
        <v>61526115.4831236</v>
      </c>
      <c r="O30" s="5">
        <v>108695389.851382</v>
      </c>
      <c r="P30" s="5">
        <v>82559285.719410405</v>
      </c>
      <c r="Q30" s="5">
        <v>62314574.556265399</v>
      </c>
      <c r="R30" s="5">
        <v>63880484.842022203</v>
      </c>
      <c r="S30" s="5">
        <v>57409851.833157197</v>
      </c>
      <c r="T30" s="5">
        <v>85410759.748505399</v>
      </c>
      <c r="U30" s="5">
        <v>70510520.085617006</v>
      </c>
      <c r="V30" s="5">
        <v>68014405.901957393</v>
      </c>
      <c r="W30" s="5">
        <v>64045883.377205603</v>
      </c>
      <c r="X30" s="5">
        <v>43477958.038361497</v>
      </c>
      <c r="Y30" s="5">
        <v>53607223.912956797</v>
      </c>
    </row>
    <row r="31" spans="1:25" x14ac:dyDescent="0.45">
      <c r="A31" s="5" t="s">
        <v>62</v>
      </c>
      <c r="B31" s="5">
        <v>32158106.0119</v>
      </c>
      <c r="C31" s="5">
        <v>30360194.671729598</v>
      </c>
      <c r="D31" s="5">
        <v>30244019.076182</v>
      </c>
      <c r="E31" s="5">
        <v>30135318.720586602</v>
      </c>
      <c r="F31" s="5">
        <v>28735880.469726998</v>
      </c>
      <c r="G31" s="5">
        <v>8340109.4586584298</v>
      </c>
      <c r="H31" s="5">
        <v>39162808.974857301</v>
      </c>
      <c r="I31" s="5">
        <v>14099050.311925899</v>
      </c>
      <c r="J31" s="5">
        <v>37257007.759213701</v>
      </c>
      <c r="K31" s="5">
        <v>58424585.520713203</v>
      </c>
      <c r="L31" s="5">
        <v>41556512.864925303</v>
      </c>
      <c r="M31" s="5">
        <v>41793147.3670936</v>
      </c>
      <c r="N31" s="5">
        <v>42837377.448803701</v>
      </c>
      <c r="O31" s="5">
        <v>37151897.975127898</v>
      </c>
      <c r="P31" s="5">
        <v>40421329.153887503</v>
      </c>
      <c r="Q31" s="5">
        <v>51681696.589272797</v>
      </c>
      <c r="R31" s="5">
        <v>8841858.44573416</v>
      </c>
      <c r="S31" s="5">
        <v>32307689.243952699</v>
      </c>
      <c r="T31" s="5">
        <v>35391214.616841897</v>
      </c>
      <c r="U31" s="5">
        <v>21960743.696057301</v>
      </c>
      <c r="V31" s="5">
        <v>30639968.674877301</v>
      </c>
      <c r="W31" s="5">
        <v>44406994.298580401</v>
      </c>
      <c r="X31" s="5">
        <v>54899617.049534701</v>
      </c>
      <c r="Y31" s="5">
        <v>14185009.505501</v>
      </c>
    </row>
    <row r="32" spans="1:25" x14ac:dyDescent="0.45">
      <c r="A32" s="5" t="s">
        <v>63</v>
      </c>
      <c r="B32" s="5">
        <v>1910170.7316417501</v>
      </c>
      <c r="C32" s="5">
        <v>5248177.8975829296</v>
      </c>
      <c r="D32" s="5">
        <v>4910379.5896121096</v>
      </c>
      <c r="E32" s="5">
        <v>2877579.2338429298</v>
      </c>
      <c r="F32" s="5">
        <v>1679099.88655662</v>
      </c>
      <c r="G32" s="5">
        <v>3092417.99222962</v>
      </c>
      <c r="H32" s="5">
        <v>3524902.1911648</v>
      </c>
      <c r="I32" s="5">
        <v>5710127.5948092099</v>
      </c>
      <c r="J32" s="5">
        <v>2402813.5317178802</v>
      </c>
      <c r="K32" s="5">
        <v>18454155.248176198</v>
      </c>
      <c r="L32" s="5">
        <v>4512859.3629049901</v>
      </c>
      <c r="M32" s="5">
        <v>11172027.580097901</v>
      </c>
      <c r="N32" s="5">
        <v>4131161.9829215999</v>
      </c>
      <c r="O32" s="5">
        <v>4649112.8143656198</v>
      </c>
      <c r="P32" s="5">
        <v>4052766.9117804202</v>
      </c>
      <c r="Q32" s="5">
        <v>7427539.2856813604</v>
      </c>
      <c r="R32" s="5">
        <v>182771.83535859</v>
      </c>
      <c r="S32" s="5">
        <v>8528455.7861970495</v>
      </c>
      <c r="T32" s="5">
        <v>195426.331005121</v>
      </c>
      <c r="U32" s="5">
        <v>300265.10231894098</v>
      </c>
      <c r="V32" s="5">
        <v>291316.42565882002</v>
      </c>
      <c r="W32" s="5">
        <v>3894399.93382979</v>
      </c>
      <c r="X32" s="5">
        <v>8795489.4618717507</v>
      </c>
      <c r="Y32" s="5">
        <v>4690668.4670371898</v>
      </c>
    </row>
    <row r="33" spans="1:25" x14ac:dyDescent="0.45">
      <c r="A33" s="5" t="s">
        <v>64</v>
      </c>
      <c r="B33" s="5">
        <v>57520713.596543603</v>
      </c>
      <c r="C33" s="5">
        <v>53215172.729506902</v>
      </c>
      <c r="D33" s="5">
        <v>61428051.8783793</v>
      </c>
      <c r="E33" s="5">
        <v>63321346.502553999</v>
      </c>
      <c r="F33" s="5">
        <v>63410014.461920001</v>
      </c>
      <c r="G33" s="5">
        <v>61487808.210845299</v>
      </c>
      <c r="H33" s="5">
        <v>56546541.451531298</v>
      </c>
      <c r="I33" s="5">
        <v>45089550.284998402</v>
      </c>
      <c r="J33" s="5">
        <v>46794136.406222597</v>
      </c>
      <c r="K33" s="5">
        <v>71781185.408150703</v>
      </c>
      <c r="L33" s="5">
        <v>72473960.766930804</v>
      </c>
      <c r="M33" s="5">
        <v>73346005.431113198</v>
      </c>
      <c r="N33" s="5">
        <v>9222177.3827876095</v>
      </c>
      <c r="O33" s="5">
        <v>43197615.085890099</v>
      </c>
      <c r="P33" s="5">
        <v>10217101.738086101</v>
      </c>
      <c r="Q33" s="5">
        <v>24667526.268322598</v>
      </c>
      <c r="R33" s="5">
        <v>75204270.861449093</v>
      </c>
      <c r="S33" s="5">
        <v>71263743.200120196</v>
      </c>
      <c r="T33" s="5">
        <v>68337485.552708</v>
      </c>
      <c r="U33" s="5">
        <v>66910056.730746798</v>
      </c>
      <c r="V33" s="5">
        <v>61568256.327256501</v>
      </c>
      <c r="W33" s="5">
        <v>21775476.4817346</v>
      </c>
      <c r="X33" s="5">
        <v>29439039.2393439</v>
      </c>
      <c r="Y33" s="5">
        <v>11608581.316893</v>
      </c>
    </row>
    <row r="34" spans="1:25" x14ac:dyDescent="0.45">
      <c r="A34" s="5" t="s">
        <v>65</v>
      </c>
      <c r="B34" s="5">
        <v>2901210.5989479101</v>
      </c>
      <c r="C34" s="5">
        <v>5736012.8676709402</v>
      </c>
      <c r="D34" s="5">
        <v>3755526.64250017</v>
      </c>
      <c r="E34" s="5">
        <v>2194115.2381321099</v>
      </c>
      <c r="F34" s="5">
        <v>2841938.7601834801</v>
      </c>
      <c r="G34" s="5">
        <v>2107028.6408426198</v>
      </c>
      <c r="H34" s="5">
        <v>2144155.82827221</v>
      </c>
      <c r="I34" s="5">
        <v>3118711.6401550602</v>
      </c>
      <c r="J34" s="5">
        <v>3852462.3814876499</v>
      </c>
      <c r="K34" s="5">
        <v>3647409.0285400301</v>
      </c>
      <c r="L34" s="5">
        <v>2779919.9095352502</v>
      </c>
      <c r="M34" s="5">
        <v>3265788.3643378098</v>
      </c>
      <c r="N34" s="5">
        <v>2149966.1900720699</v>
      </c>
      <c r="O34" s="5">
        <v>2649990.42345428</v>
      </c>
      <c r="P34" s="5">
        <v>1895722.92696591</v>
      </c>
      <c r="Q34" s="5">
        <v>1982805.2083959901</v>
      </c>
      <c r="R34" s="5">
        <v>4969984.8895294098</v>
      </c>
      <c r="S34" s="5">
        <v>2799240.2689378201</v>
      </c>
      <c r="T34" s="5">
        <v>4228721.3549883496</v>
      </c>
      <c r="U34" s="5">
        <v>3176788.00651561</v>
      </c>
      <c r="V34" s="5">
        <v>1996913.1621504501</v>
      </c>
      <c r="W34" s="5">
        <v>2156425.5994571</v>
      </c>
      <c r="X34" s="5">
        <v>4453166.7427845905</v>
      </c>
      <c r="Y34" s="5">
        <v>2329678.9262344702</v>
      </c>
    </row>
    <row r="35" spans="1:25" x14ac:dyDescent="0.45">
      <c r="A35" s="5" t="s">
        <v>66</v>
      </c>
      <c r="B35" s="5">
        <v>725379.04688313405</v>
      </c>
      <c r="C35" s="5">
        <v>1704804.04325962</v>
      </c>
      <c r="D35" s="5">
        <v>1012549.92416747</v>
      </c>
      <c r="E35" s="5">
        <v>617103.49249810795</v>
      </c>
      <c r="F35" s="5">
        <v>721664.31554219103</v>
      </c>
      <c r="G35" s="5">
        <v>1691696.0272520899</v>
      </c>
      <c r="H35" s="5">
        <v>876503.50167029095</v>
      </c>
      <c r="I35" s="5">
        <v>1626778.6837286099</v>
      </c>
      <c r="J35" s="5">
        <v>447624.26424804103</v>
      </c>
      <c r="K35" s="5">
        <v>822901.95751353295</v>
      </c>
      <c r="L35" s="5">
        <v>1008453.39411251</v>
      </c>
      <c r="M35" s="5">
        <v>924890.91289710498</v>
      </c>
      <c r="N35" s="5">
        <v>3175348.2257622899</v>
      </c>
      <c r="O35" s="5">
        <v>2172865.6658713799</v>
      </c>
      <c r="P35" s="5">
        <v>2724181.0767511199</v>
      </c>
      <c r="Q35" s="5">
        <v>1140061.9695059699</v>
      </c>
      <c r="R35" s="5">
        <v>814481.57092386601</v>
      </c>
      <c r="S35" s="5">
        <v>1230691.1400055699</v>
      </c>
      <c r="T35" s="5">
        <v>1102478.3332169801</v>
      </c>
      <c r="U35" s="5">
        <v>699516.20589439198</v>
      </c>
      <c r="V35" s="5">
        <v>1063688.28020242</v>
      </c>
      <c r="W35" s="5">
        <v>915393.17791260697</v>
      </c>
      <c r="X35" s="5">
        <v>2376005.5817413302</v>
      </c>
      <c r="Y35" s="5">
        <v>1394320.40221656</v>
      </c>
    </row>
    <row r="36" spans="1:25" x14ac:dyDescent="0.45">
      <c r="A36" s="5" t="s">
        <v>67</v>
      </c>
      <c r="B36" s="5">
        <v>2041529.0574394499</v>
      </c>
      <c r="C36" s="5">
        <v>327943.28555814398</v>
      </c>
      <c r="D36" s="5">
        <v>2888119.0624818201</v>
      </c>
      <c r="E36" s="5">
        <v>1232877.0972112601</v>
      </c>
      <c r="F36" s="5">
        <v>1677533.3073841501</v>
      </c>
      <c r="G36" s="5">
        <v>733724.84643157397</v>
      </c>
      <c r="H36" s="5">
        <v>680830.56238192902</v>
      </c>
      <c r="I36" s="5">
        <v>1118663.11345728</v>
      </c>
      <c r="J36" s="5">
        <v>4598518.4326520804</v>
      </c>
      <c r="K36" s="5">
        <v>1816749.18935725</v>
      </c>
      <c r="L36" s="5">
        <v>1533627.4253294801</v>
      </c>
      <c r="M36" s="5">
        <v>715897.83571103995</v>
      </c>
      <c r="N36" s="5">
        <v>97558.0388298053</v>
      </c>
      <c r="O36" s="5">
        <v>76383.321535168405</v>
      </c>
      <c r="P36" s="5">
        <v>162001.73638864199</v>
      </c>
      <c r="Q36" s="5">
        <v>372346.52396163798</v>
      </c>
      <c r="R36" s="5">
        <v>1054602.9319094301</v>
      </c>
      <c r="S36" s="5">
        <v>1337468.94851713</v>
      </c>
      <c r="T36" s="5">
        <v>1216741.90630285</v>
      </c>
      <c r="U36" s="5">
        <v>487337.52681598498</v>
      </c>
      <c r="V36" s="5">
        <v>255558.29915581399</v>
      </c>
      <c r="W36" s="5">
        <v>483061.23132964497</v>
      </c>
      <c r="X36" s="5">
        <v>401101.43550133199</v>
      </c>
      <c r="Y36" s="5">
        <v>489897.13745565002</v>
      </c>
    </row>
    <row r="37" spans="1:25" x14ac:dyDescent="0.45">
      <c r="A37" s="5" t="s">
        <v>68</v>
      </c>
      <c r="B37" s="5">
        <v>293342375.71030402</v>
      </c>
      <c r="C37" s="5">
        <v>265061045.101208</v>
      </c>
      <c r="D37" s="5">
        <v>312130416.01379502</v>
      </c>
      <c r="E37" s="5">
        <v>313813937.24974602</v>
      </c>
      <c r="F37" s="5">
        <v>308204072.12074202</v>
      </c>
      <c r="G37" s="5">
        <v>306887497.10029399</v>
      </c>
      <c r="H37" s="5">
        <v>278441210.45422602</v>
      </c>
      <c r="I37" s="5">
        <v>161013864.930305</v>
      </c>
      <c r="J37" s="5">
        <v>216367505.61405799</v>
      </c>
      <c r="K37" s="5">
        <v>337858309.62412</v>
      </c>
      <c r="L37" s="5">
        <v>341834916.12341398</v>
      </c>
      <c r="M37" s="5">
        <v>352897107.71500599</v>
      </c>
      <c r="N37" s="5">
        <v>21419356.7782926</v>
      </c>
      <c r="O37" s="5">
        <v>196951320.52863199</v>
      </c>
      <c r="P37" s="5">
        <v>15670901.954882201</v>
      </c>
      <c r="Q37" s="5">
        <v>106386473.936499</v>
      </c>
      <c r="R37" s="5">
        <v>328159082.59645802</v>
      </c>
      <c r="S37" s="5">
        <v>330018635.18402803</v>
      </c>
      <c r="T37" s="5">
        <v>314953064.35792297</v>
      </c>
      <c r="U37" s="5">
        <v>305429155.90333998</v>
      </c>
      <c r="V37" s="5">
        <v>283328330.09967101</v>
      </c>
      <c r="W37" s="5">
        <v>32943980.668257002</v>
      </c>
      <c r="X37" s="5">
        <v>86134410.529138893</v>
      </c>
      <c r="Y37" s="5">
        <v>34342374.693928003</v>
      </c>
    </row>
    <row r="38" spans="1:25" x14ac:dyDescent="0.45">
      <c r="A38" s="5" t="s">
        <v>373</v>
      </c>
      <c r="B38" s="5">
        <v>37159042.374290504</v>
      </c>
      <c r="C38" s="5">
        <v>97944862.069568694</v>
      </c>
      <c r="D38" s="5">
        <v>49236799.147445098</v>
      </c>
      <c r="E38" s="5">
        <v>44195847.393281199</v>
      </c>
      <c r="F38" s="5">
        <v>49159720.295849703</v>
      </c>
      <c r="G38" s="5">
        <v>68798710.1970644</v>
      </c>
      <c r="H38" s="5">
        <v>69221717.614495099</v>
      </c>
      <c r="I38" s="5">
        <v>52432562.371240199</v>
      </c>
      <c r="J38" s="5">
        <v>36176057.905993097</v>
      </c>
      <c r="K38" s="5">
        <v>157365778.85244</v>
      </c>
      <c r="L38" s="5">
        <v>76042311.361110806</v>
      </c>
      <c r="M38" s="5">
        <v>90831522.045466796</v>
      </c>
      <c r="N38" s="5">
        <v>138823247.12863201</v>
      </c>
      <c r="O38" s="5">
        <v>81787101.198053598</v>
      </c>
      <c r="P38" s="5">
        <v>104079726.848812</v>
      </c>
      <c r="Q38" s="5">
        <v>93902364.168285906</v>
      </c>
      <c r="R38" s="5">
        <v>37460074.522212699</v>
      </c>
      <c r="S38" s="5">
        <v>94037322.233350903</v>
      </c>
      <c r="T38" s="5">
        <v>49162129.434619501</v>
      </c>
      <c r="U38" s="5">
        <v>50056406.408660598</v>
      </c>
      <c r="V38" s="5">
        <v>51672498.4124415</v>
      </c>
      <c r="W38" s="5">
        <v>36214090.814046502</v>
      </c>
      <c r="X38" s="5">
        <v>80077011.826123998</v>
      </c>
      <c r="Y38" s="5">
        <v>74219436.851828396</v>
      </c>
    </row>
    <row r="39" spans="1:25" x14ac:dyDescent="0.45">
      <c r="A39" s="5" t="s">
        <v>69</v>
      </c>
      <c r="B39" s="5">
        <v>15281308.3393276</v>
      </c>
      <c r="C39" s="5">
        <v>16924315.053881198</v>
      </c>
      <c r="D39" s="5">
        <v>19666667.147004999</v>
      </c>
      <c r="E39" s="5">
        <v>19907251.062805101</v>
      </c>
      <c r="F39" s="5">
        <v>16942508.5851858</v>
      </c>
      <c r="G39" s="5">
        <v>23191562.540008299</v>
      </c>
      <c r="H39" s="5">
        <v>18018563.335620899</v>
      </c>
      <c r="I39" s="5">
        <v>8848538.9153389707</v>
      </c>
      <c r="J39" s="5">
        <v>14174014.806121901</v>
      </c>
      <c r="K39" s="5">
        <v>26202247.505629301</v>
      </c>
      <c r="L39" s="5">
        <v>22831312.0741923</v>
      </c>
      <c r="M39" s="5">
        <v>26086275.372845698</v>
      </c>
      <c r="N39" s="5">
        <v>20030601.2878103</v>
      </c>
      <c r="O39" s="5">
        <v>12531274.4654484</v>
      </c>
      <c r="P39" s="5">
        <v>20292931.631621599</v>
      </c>
      <c r="Q39" s="5">
        <v>22862402.4187015</v>
      </c>
      <c r="R39" s="5">
        <v>22671726.2669308</v>
      </c>
      <c r="S39" s="5">
        <v>22172908.603843201</v>
      </c>
      <c r="T39" s="5">
        <v>24906790.639212899</v>
      </c>
      <c r="U39" s="5">
        <v>20535482.644607201</v>
      </c>
      <c r="V39" s="5">
        <v>20064071.5656537</v>
      </c>
      <c r="W39" s="5">
        <v>18511712.9532535</v>
      </c>
      <c r="X39" s="5">
        <v>1587028.3730822799</v>
      </c>
      <c r="Y39" s="5">
        <v>169588.49766409601</v>
      </c>
    </row>
    <row r="40" spans="1:25" x14ac:dyDescent="0.45">
      <c r="A40" s="5" t="s">
        <v>70</v>
      </c>
      <c r="B40" s="5">
        <v>1356404.37772779</v>
      </c>
      <c r="C40" s="5">
        <v>2266804.8125481298</v>
      </c>
      <c r="D40" s="5">
        <v>2043838.43578721</v>
      </c>
      <c r="E40" s="5">
        <v>1529652.6116413199</v>
      </c>
      <c r="F40" s="5">
        <v>1616183.7180224201</v>
      </c>
      <c r="G40" s="5">
        <v>1883282.64431883</v>
      </c>
      <c r="H40" s="5">
        <v>1539584.37198927</v>
      </c>
      <c r="I40" s="5">
        <v>22247470.644761201</v>
      </c>
      <c r="J40" s="5">
        <v>1819406.49314765</v>
      </c>
      <c r="K40" s="5">
        <v>3608152.7933052401</v>
      </c>
      <c r="L40" s="5">
        <v>1577433.6239916401</v>
      </c>
      <c r="M40" s="5">
        <v>2919527.2910953802</v>
      </c>
      <c r="N40" s="5">
        <v>1543575.1146957199</v>
      </c>
      <c r="O40" s="5">
        <v>4551947.3858771203</v>
      </c>
      <c r="P40" s="5">
        <v>1054204.4661111301</v>
      </c>
      <c r="Q40" s="5">
        <v>1971895.9800917001</v>
      </c>
      <c r="R40" s="5">
        <v>2259858.1318224301</v>
      </c>
      <c r="S40" s="5">
        <v>1094278.4615233899</v>
      </c>
      <c r="T40" s="5">
        <v>2218522.5804885002</v>
      </c>
      <c r="U40" s="5">
        <v>5026329.5172667103</v>
      </c>
      <c r="V40" s="5">
        <v>3540815.74648403</v>
      </c>
      <c r="W40" s="5">
        <v>1615368.79608278</v>
      </c>
      <c r="X40" s="5">
        <v>4004903.4877889198</v>
      </c>
      <c r="Y40" s="5">
        <v>2274654.8592033498</v>
      </c>
    </row>
    <row r="41" spans="1:25" x14ac:dyDescent="0.45">
      <c r="A41" s="5" t="s">
        <v>71</v>
      </c>
      <c r="B41" s="5">
        <v>2337385.0187862101</v>
      </c>
      <c r="C41" s="5">
        <v>1250970.3931060501</v>
      </c>
      <c r="D41" s="5">
        <v>3253891.5910352101</v>
      </c>
      <c r="E41" s="5">
        <v>1612556.0855443</v>
      </c>
      <c r="F41" s="5">
        <v>1359856.95482448</v>
      </c>
      <c r="G41" s="5">
        <v>1195174.6946083501</v>
      </c>
      <c r="H41" s="5">
        <v>1457967.61089309</v>
      </c>
      <c r="I41" s="5">
        <v>1909028.52991318</v>
      </c>
      <c r="J41" s="5">
        <v>1493960.5602603101</v>
      </c>
      <c r="K41" s="5">
        <v>2281494.9812197299</v>
      </c>
      <c r="L41" s="5">
        <v>1696183.30192024</v>
      </c>
      <c r="M41" s="5">
        <v>1218503.0748739101</v>
      </c>
      <c r="N41" s="5">
        <v>1920093.5250395201</v>
      </c>
      <c r="O41" s="5">
        <v>1027939.2833348199</v>
      </c>
      <c r="P41" s="5">
        <v>1676705.0888938</v>
      </c>
      <c r="Q41" s="5">
        <v>1569995.50768412</v>
      </c>
      <c r="R41" s="5">
        <v>2309247.2556981202</v>
      </c>
      <c r="S41" s="5">
        <v>2023721.8120285701</v>
      </c>
      <c r="T41" s="5">
        <v>2078676.1006444599</v>
      </c>
      <c r="U41" s="5">
        <v>2256867.0553506701</v>
      </c>
      <c r="V41" s="5">
        <v>1586857.8824396399</v>
      </c>
      <c r="W41" s="5">
        <v>1545897.20288316</v>
      </c>
      <c r="X41" s="5">
        <v>4108467.6433508201</v>
      </c>
      <c r="Y41" s="5">
        <v>1789225.6438585301</v>
      </c>
    </row>
    <row r="42" spans="1:25" x14ac:dyDescent="0.45">
      <c r="A42" s="5" t="s">
        <v>72</v>
      </c>
      <c r="B42" s="5">
        <v>19881998.728196099</v>
      </c>
      <c r="C42" s="5">
        <v>12930745.1288293</v>
      </c>
      <c r="D42" s="5">
        <v>14523714.3629911</v>
      </c>
      <c r="E42" s="5">
        <v>8464040.2185145691</v>
      </c>
      <c r="F42" s="5">
        <v>17874205.508593202</v>
      </c>
      <c r="G42" s="5">
        <v>4916629.8244288703</v>
      </c>
      <c r="H42" s="5">
        <v>10568163.872708401</v>
      </c>
      <c r="I42" s="5">
        <v>4675758.9093551598</v>
      </c>
      <c r="J42" s="5">
        <v>7454357.7627105303</v>
      </c>
      <c r="K42" s="5">
        <v>18808777.117219001</v>
      </c>
      <c r="L42" s="5">
        <v>7471159.5939943204</v>
      </c>
      <c r="M42" s="5">
        <v>9746815.3156618606</v>
      </c>
      <c r="N42" s="5">
        <v>12944465.7317314</v>
      </c>
      <c r="O42" s="5">
        <v>16400225.0814874</v>
      </c>
      <c r="P42" s="5">
        <v>20587219.424329199</v>
      </c>
      <c r="Q42" s="5">
        <v>11737076.477007199</v>
      </c>
      <c r="R42" s="5">
        <v>22746005.098394498</v>
      </c>
      <c r="S42" s="5">
        <v>13032083.8661115</v>
      </c>
      <c r="T42" s="5">
        <v>13669630.5456216</v>
      </c>
      <c r="U42" s="5">
        <v>18731221.850310899</v>
      </c>
      <c r="V42" s="5">
        <v>20581647.713912498</v>
      </c>
      <c r="W42" s="5">
        <v>18762576.8060981</v>
      </c>
      <c r="X42" s="5">
        <v>7585306.2162661999</v>
      </c>
      <c r="Y42" s="5">
        <v>22756401.493406199</v>
      </c>
    </row>
    <row r="43" spans="1:25" x14ac:dyDescent="0.45">
      <c r="A43" s="5" t="s">
        <v>73</v>
      </c>
      <c r="B43" s="5">
        <v>30818376.528545901</v>
      </c>
      <c r="C43" s="5">
        <v>36287961.443423197</v>
      </c>
      <c r="D43" s="5">
        <v>33233989.622960899</v>
      </c>
      <c r="E43" s="5">
        <v>31257297.044675998</v>
      </c>
      <c r="F43" s="5">
        <v>44213235.741444901</v>
      </c>
      <c r="G43" s="5">
        <v>38466671.892183103</v>
      </c>
      <c r="H43" s="5">
        <v>33932168.756655999</v>
      </c>
      <c r="I43" s="5">
        <v>27903435.509780701</v>
      </c>
      <c r="J43" s="5">
        <v>32786805.2547401</v>
      </c>
      <c r="K43" s="5">
        <v>19948103.917080902</v>
      </c>
      <c r="L43" s="5">
        <v>49295624.817414902</v>
      </c>
      <c r="M43" s="5">
        <v>25951292.100239702</v>
      </c>
      <c r="N43" s="5">
        <v>44346561.707377501</v>
      </c>
      <c r="O43" s="5">
        <v>39514943.179635197</v>
      </c>
      <c r="P43" s="5">
        <v>63126165.660594702</v>
      </c>
      <c r="Q43" s="5">
        <v>41193410.897446699</v>
      </c>
      <c r="R43" s="5">
        <v>88420977.005252302</v>
      </c>
      <c r="S43" s="5">
        <v>28799348.443840198</v>
      </c>
      <c r="T43" s="5">
        <v>18386938.4399997</v>
      </c>
      <c r="U43" s="5">
        <v>33634863.613054901</v>
      </c>
      <c r="V43" s="5">
        <v>34828661.184224702</v>
      </c>
      <c r="W43" s="5">
        <v>50862112.394019999</v>
      </c>
      <c r="X43" s="5">
        <v>41711505.347778901</v>
      </c>
      <c r="Y43" s="5">
        <v>18430463.578768998</v>
      </c>
    </row>
    <row r="44" spans="1:25" x14ac:dyDescent="0.45">
      <c r="A44" s="5" t="s">
        <v>74</v>
      </c>
      <c r="B44" s="5">
        <v>30684261.3614951</v>
      </c>
      <c r="C44" s="5">
        <v>20103844.375891499</v>
      </c>
      <c r="D44" s="5">
        <v>26202994.1732472</v>
      </c>
      <c r="E44" s="5">
        <v>35775752.972667597</v>
      </c>
      <c r="F44" s="5">
        <v>37018824.017147698</v>
      </c>
      <c r="G44" s="5">
        <v>29989138.3759683</v>
      </c>
      <c r="H44" s="5">
        <v>34407513.482558802</v>
      </c>
      <c r="I44" s="5">
        <v>7046304.8584941896</v>
      </c>
      <c r="J44" s="5">
        <v>33095169.8058482</v>
      </c>
      <c r="K44" s="5">
        <v>11219833.592421699</v>
      </c>
      <c r="L44" s="5">
        <v>28587754.045955501</v>
      </c>
      <c r="M44" s="5">
        <v>24487137.356878899</v>
      </c>
      <c r="N44" s="5">
        <v>31450085.230580799</v>
      </c>
      <c r="O44" s="5">
        <v>22237063.895219401</v>
      </c>
      <c r="P44" s="5">
        <v>28519034.697003901</v>
      </c>
      <c r="Q44" s="5">
        <v>18218010.986081298</v>
      </c>
      <c r="R44" s="5">
        <v>36210385.731927499</v>
      </c>
      <c r="S44" s="5">
        <v>22971790.400420599</v>
      </c>
      <c r="T44" s="5">
        <v>29016812.935424399</v>
      </c>
      <c r="U44" s="5">
        <v>30981808.579825599</v>
      </c>
      <c r="V44" s="5">
        <v>9392921.8577158991</v>
      </c>
      <c r="W44" s="5">
        <v>35360790.331442803</v>
      </c>
      <c r="X44" s="5">
        <v>66474078.337384298</v>
      </c>
      <c r="Y44" s="5">
        <v>36428662.685347401</v>
      </c>
    </row>
    <row r="45" spans="1:25" x14ac:dyDescent="0.45">
      <c r="A45" s="5" t="s">
        <v>75</v>
      </c>
      <c r="B45" s="5">
        <v>38471283.213633098</v>
      </c>
      <c r="C45" s="5">
        <v>26565588.8773573</v>
      </c>
      <c r="D45" s="5">
        <v>34703991.011995599</v>
      </c>
      <c r="E45" s="5">
        <v>44143076.061458699</v>
      </c>
      <c r="F45" s="5">
        <v>43405344.200943999</v>
      </c>
      <c r="G45" s="5">
        <v>32842468.721919999</v>
      </c>
      <c r="H45" s="5">
        <v>36242089.343838498</v>
      </c>
      <c r="I45" s="5">
        <v>41634320.394635998</v>
      </c>
      <c r="J45" s="5">
        <v>42270945.387730502</v>
      </c>
      <c r="K45" s="5">
        <v>55117122.222386397</v>
      </c>
      <c r="L45" s="5">
        <v>42478715.521041602</v>
      </c>
      <c r="M45" s="5">
        <v>32933004.813636299</v>
      </c>
      <c r="N45" s="5">
        <v>27895538.789299801</v>
      </c>
      <c r="O45" s="5">
        <v>32775887.680020101</v>
      </c>
      <c r="P45" s="5">
        <v>48471993.040644303</v>
      </c>
      <c r="Q45" s="5">
        <v>30472429.219353501</v>
      </c>
      <c r="R45" s="5">
        <v>65634244.703552201</v>
      </c>
      <c r="S45" s="5">
        <v>38990171.101666003</v>
      </c>
      <c r="T45" s="5">
        <v>48427197.717800498</v>
      </c>
      <c r="U45" s="5">
        <v>44686290.134555496</v>
      </c>
      <c r="V45" s="5">
        <v>33350265.839923799</v>
      </c>
      <c r="W45" s="5">
        <v>40514553.319099098</v>
      </c>
      <c r="X45" s="5">
        <v>37362085.644812301</v>
      </c>
      <c r="Y45" s="5">
        <v>47015231.077339903</v>
      </c>
    </row>
    <row r="46" spans="1:25" x14ac:dyDescent="0.45">
      <c r="A46" s="5" t="s">
        <v>76</v>
      </c>
      <c r="B46" s="5">
        <v>346883725.85656101</v>
      </c>
      <c r="C46" s="5">
        <v>258240509.61265701</v>
      </c>
      <c r="D46" s="5">
        <v>254825219.04899001</v>
      </c>
      <c r="E46" s="5">
        <v>282150801.950984</v>
      </c>
      <c r="F46" s="5">
        <v>270398840.07969099</v>
      </c>
      <c r="G46" s="5">
        <v>224741087.18669999</v>
      </c>
      <c r="H46" s="5">
        <v>433659888.114039</v>
      </c>
      <c r="I46" s="5">
        <v>422500648.013924</v>
      </c>
      <c r="J46" s="5">
        <v>364066116.09177101</v>
      </c>
      <c r="K46" s="5">
        <v>624530020.51094103</v>
      </c>
      <c r="L46" s="5">
        <v>388590665.76243198</v>
      </c>
      <c r="M46" s="5">
        <v>342907311.11312598</v>
      </c>
      <c r="N46" s="5">
        <v>302647967.52027798</v>
      </c>
      <c r="O46" s="5">
        <v>275948108.18845999</v>
      </c>
      <c r="P46" s="5">
        <v>436116808.89994299</v>
      </c>
      <c r="Q46" s="5">
        <v>378541564.66246802</v>
      </c>
      <c r="R46" s="5">
        <v>532125131.10257</v>
      </c>
      <c r="S46" s="5">
        <v>337315149.13926399</v>
      </c>
      <c r="T46" s="5">
        <v>329485809.24515498</v>
      </c>
      <c r="U46" s="5">
        <v>395452796.815521</v>
      </c>
      <c r="V46" s="5">
        <v>315975108.18139201</v>
      </c>
      <c r="W46" s="5">
        <v>395922117.79364997</v>
      </c>
      <c r="X46" s="5">
        <v>372738473.450854</v>
      </c>
      <c r="Y46" s="5">
        <v>504872443.54679</v>
      </c>
    </row>
    <row r="47" spans="1:25" x14ac:dyDescent="0.45">
      <c r="A47" s="5" t="s">
        <v>274</v>
      </c>
      <c r="B47" s="5">
        <v>36069576.059000403</v>
      </c>
      <c r="C47" s="5">
        <v>45165333.396073699</v>
      </c>
      <c r="D47" s="5">
        <v>50109742.707367897</v>
      </c>
      <c r="E47" s="5">
        <v>44015923.350928001</v>
      </c>
      <c r="F47" s="5">
        <v>40707995.137067601</v>
      </c>
      <c r="G47" s="5">
        <v>28142986.4400068</v>
      </c>
      <c r="H47" s="5">
        <v>36561083.954529896</v>
      </c>
      <c r="I47" s="5">
        <v>11052425.724757301</v>
      </c>
      <c r="J47" s="5">
        <v>35268995.032718599</v>
      </c>
      <c r="K47" s="5">
        <v>53147032.237152703</v>
      </c>
      <c r="L47" s="5">
        <v>33559512.852501199</v>
      </c>
      <c r="M47" s="5">
        <v>62477178.341357</v>
      </c>
      <c r="N47" s="5">
        <v>53488996.100788303</v>
      </c>
      <c r="O47" s="5">
        <v>36107063.789432697</v>
      </c>
      <c r="P47" s="5">
        <v>40937144.984462</v>
      </c>
      <c r="Q47" s="5">
        <v>34214080.850607403</v>
      </c>
      <c r="R47" s="5">
        <v>22850236.9713884</v>
      </c>
      <c r="S47" s="5">
        <v>38350459.979994699</v>
      </c>
      <c r="T47" s="5">
        <v>41275759.643224597</v>
      </c>
      <c r="U47" s="5">
        <v>42953113.483417898</v>
      </c>
      <c r="V47" s="5">
        <v>35893537.831464902</v>
      </c>
      <c r="W47" s="5">
        <v>33568341.313792698</v>
      </c>
      <c r="X47" s="5">
        <v>69133847.724545702</v>
      </c>
      <c r="Y47" s="5">
        <v>34602329.564849898</v>
      </c>
    </row>
    <row r="48" spans="1:25" x14ac:dyDescent="0.45">
      <c r="A48" s="5" t="s">
        <v>77</v>
      </c>
      <c r="B48" s="5">
        <v>97464966.329753399</v>
      </c>
      <c r="C48" s="5">
        <v>75590939.4962513</v>
      </c>
      <c r="D48" s="5">
        <v>62067449.549510702</v>
      </c>
      <c r="E48" s="5">
        <v>156883937.78721699</v>
      </c>
      <c r="F48" s="5">
        <v>191794969.52536601</v>
      </c>
      <c r="G48" s="5">
        <v>104478585.576969</v>
      </c>
      <c r="H48" s="5">
        <v>112794271.854727</v>
      </c>
      <c r="I48" s="5">
        <v>218977862.24164599</v>
      </c>
      <c r="J48" s="5">
        <v>128769653.824772</v>
      </c>
      <c r="K48" s="5">
        <v>45783448.755064398</v>
      </c>
      <c r="L48" s="5">
        <v>205674905.916989</v>
      </c>
      <c r="M48" s="5">
        <v>231294926.79138699</v>
      </c>
      <c r="N48" s="5">
        <v>131428263.24998701</v>
      </c>
      <c r="O48" s="5">
        <v>52100595.608268797</v>
      </c>
      <c r="P48" s="5">
        <v>87724712.929958194</v>
      </c>
      <c r="Q48" s="5">
        <v>121586884.954432</v>
      </c>
      <c r="R48" s="5">
        <v>43393663.434472904</v>
      </c>
      <c r="S48" s="5">
        <v>155193950.64021701</v>
      </c>
      <c r="T48" s="5">
        <v>238134648.84470499</v>
      </c>
      <c r="U48" s="5">
        <v>49097847.484120198</v>
      </c>
      <c r="V48" s="5">
        <v>69047779.018178597</v>
      </c>
      <c r="W48" s="5">
        <v>131501939.652998</v>
      </c>
      <c r="X48" s="5">
        <v>1125795480.0392201</v>
      </c>
      <c r="Y48" s="5">
        <v>89964443.090655401</v>
      </c>
    </row>
    <row r="49" spans="1:25" x14ac:dyDescent="0.45">
      <c r="A49" s="5" t="s">
        <v>275</v>
      </c>
      <c r="B49" s="5">
        <v>51937276.689418197</v>
      </c>
      <c r="C49" s="5">
        <v>36640314.956805401</v>
      </c>
      <c r="D49" s="5">
        <v>37432997.882814802</v>
      </c>
      <c r="E49" s="5">
        <v>80162723.485176399</v>
      </c>
      <c r="F49" s="5">
        <v>72787878.569873795</v>
      </c>
      <c r="G49" s="5">
        <v>55032216.807226099</v>
      </c>
      <c r="H49" s="5">
        <v>51047641.926791899</v>
      </c>
      <c r="I49" s="5">
        <v>55458337.390135899</v>
      </c>
      <c r="J49" s="5">
        <v>67960749.266641393</v>
      </c>
      <c r="K49" s="5">
        <v>59306789.063423</v>
      </c>
      <c r="L49" s="5">
        <v>61349746.503995001</v>
      </c>
      <c r="M49" s="5">
        <v>44876225.322471</v>
      </c>
      <c r="N49" s="5">
        <v>70089242.758965999</v>
      </c>
      <c r="O49" s="5">
        <v>67963327.778530404</v>
      </c>
      <c r="P49" s="5">
        <v>77637591.284789503</v>
      </c>
      <c r="Q49" s="5">
        <v>28800631.7466636</v>
      </c>
      <c r="R49" s="5">
        <v>41878485.469576403</v>
      </c>
      <c r="S49" s="5">
        <v>44762935.978373498</v>
      </c>
      <c r="T49" s="5">
        <v>39073254.914222397</v>
      </c>
      <c r="U49" s="5">
        <v>43412817.532235399</v>
      </c>
      <c r="V49" s="5">
        <v>43196429.268215202</v>
      </c>
      <c r="W49" s="5">
        <v>74568867.847675994</v>
      </c>
      <c r="X49" s="5">
        <v>230413413.14984399</v>
      </c>
      <c r="Y49" s="5">
        <v>77872631.796343997</v>
      </c>
    </row>
    <row r="50" spans="1:25" x14ac:dyDescent="0.45">
      <c r="A50" s="5" t="s">
        <v>78</v>
      </c>
      <c r="B50" s="5">
        <v>36540738.787317201</v>
      </c>
      <c r="C50" s="5">
        <v>52508529.324158899</v>
      </c>
      <c r="D50" s="5">
        <v>23873510.7879816</v>
      </c>
      <c r="E50" s="5">
        <v>32761503.027299199</v>
      </c>
      <c r="F50" s="5">
        <v>27780399.058882602</v>
      </c>
      <c r="G50" s="5">
        <v>35402917.915555201</v>
      </c>
      <c r="H50" s="5">
        <v>29510838.353067901</v>
      </c>
      <c r="I50" s="5">
        <v>19446831.6254705</v>
      </c>
      <c r="J50" s="5">
        <v>20308459.6351377</v>
      </c>
      <c r="K50" s="5">
        <v>16763576.240389699</v>
      </c>
      <c r="L50" s="5">
        <v>26702525.499021798</v>
      </c>
      <c r="M50" s="5">
        <v>47010448.119979799</v>
      </c>
      <c r="N50" s="5">
        <v>38407682.1571915</v>
      </c>
      <c r="O50" s="5">
        <v>31290757.921833999</v>
      </c>
      <c r="P50" s="5">
        <v>39378487.631218903</v>
      </c>
      <c r="Q50" s="5">
        <v>25953035.702871699</v>
      </c>
      <c r="R50" s="5">
        <v>20028562.044647101</v>
      </c>
      <c r="S50" s="5">
        <v>31468458.326134302</v>
      </c>
      <c r="T50" s="5">
        <v>21752933.184158999</v>
      </c>
      <c r="U50" s="5">
        <v>23993317.057027299</v>
      </c>
      <c r="V50" s="5">
        <v>32340922.072477199</v>
      </c>
      <c r="W50" s="5">
        <v>29588473.091389898</v>
      </c>
      <c r="X50" s="5">
        <v>109664984.736719</v>
      </c>
      <c r="Y50" s="5">
        <v>32593716.2278849</v>
      </c>
    </row>
    <row r="51" spans="1:25" x14ac:dyDescent="0.45">
      <c r="A51" s="5" t="s">
        <v>276</v>
      </c>
      <c r="B51" s="5">
        <v>814064181.886608</v>
      </c>
      <c r="C51" s="5">
        <v>718180934.49414897</v>
      </c>
      <c r="D51" s="5">
        <v>1026076256.0886199</v>
      </c>
      <c r="E51" s="5">
        <v>473316424.47171497</v>
      </c>
      <c r="F51" s="5">
        <v>372562166.84847498</v>
      </c>
      <c r="G51" s="5">
        <v>449726417.74815798</v>
      </c>
      <c r="H51" s="5">
        <v>231771968.95105001</v>
      </c>
      <c r="I51" s="5">
        <v>252142568.04750201</v>
      </c>
      <c r="J51" s="5">
        <v>356029745.830607</v>
      </c>
      <c r="K51" s="5">
        <v>197394850.15748</v>
      </c>
      <c r="L51" s="5">
        <v>419653602.35182399</v>
      </c>
      <c r="M51" s="5">
        <v>622205859.537727</v>
      </c>
      <c r="N51" s="5">
        <v>573509588.35435903</v>
      </c>
      <c r="O51" s="5">
        <v>294695594.83552498</v>
      </c>
      <c r="P51" s="5">
        <v>350508147.860865</v>
      </c>
      <c r="Q51" s="5">
        <v>593265588.28064096</v>
      </c>
      <c r="R51" s="5">
        <v>432156490.87156099</v>
      </c>
      <c r="S51" s="5">
        <v>560308747.70538604</v>
      </c>
      <c r="T51" s="5">
        <v>538424267.96092403</v>
      </c>
      <c r="U51" s="5">
        <v>292494922.916933</v>
      </c>
      <c r="V51" s="5">
        <v>413984752.27380902</v>
      </c>
      <c r="W51" s="5">
        <v>437117501.08742499</v>
      </c>
      <c r="X51" s="5">
        <v>456832064.71261299</v>
      </c>
      <c r="Y51" s="5">
        <v>564053607.46167803</v>
      </c>
    </row>
    <row r="52" spans="1:25" x14ac:dyDescent="0.45">
      <c r="A52" s="5" t="s">
        <v>277</v>
      </c>
      <c r="B52" s="5">
        <v>947678.73921796901</v>
      </c>
      <c r="C52" s="5">
        <v>1594696.1591706499</v>
      </c>
      <c r="D52" s="5">
        <v>592885.61857608706</v>
      </c>
      <c r="E52" s="5">
        <v>909880.99415909895</v>
      </c>
      <c r="F52" s="5">
        <v>847663.41733492899</v>
      </c>
      <c r="G52" s="5">
        <v>1193670.01195921</v>
      </c>
      <c r="H52" s="5">
        <v>376148.61377433699</v>
      </c>
      <c r="I52" s="5">
        <v>456120.88821305201</v>
      </c>
      <c r="J52" s="5">
        <v>531049.65940841299</v>
      </c>
      <c r="K52" s="5">
        <v>1206388.63697807</v>
      </c>
      <c r="L52" s="5">
        <v>1138973.3801178201</v>
      </c>
      <c r="M52" s="5">
        <v>363536.98297465499</v>
      </c>
      <c r="N52" s="5">
        <v>98091.449618654398</v>
      </c>
      <c r="O52" s="5">
        <v>620633.43421481003</v>
      </c>
      <c r="P52" s="5">
        <v>765130.25271680404</v>
      </c>
      <c r="Q52" s="5">
        <v>89742.199289234195</v>
      </c>
      <c r="R52" s="5">
        <v>345640.74664546101</v>
      </c>
      <c r="S52" s="5">
        <v>342772.61284515099</v>
      </c>
      <c r="T52" s="5">
        <v>629932.77546248795</v>
      </c>
      <c r="U52" s="5">
        <v>320346.16773398197</v>
      </c>
      <c r="V52" s="5">
        <v>238915.978176359</v>
      </c>
      <c r="W52" s="5">
        <v>675353.11506143096</v>
      </c>
      <c r="X52" s="5">
        <v>3733337.4665907598</v>
      </c>
      <c r="Y52" s="5">
        <v>603502.91163110198</v>
      </c>
    </row>
    <row r="53" spans="1:25" x14ac:dyDescent="0.45">
      <c r="A53" s="5" t="s">
        <v>278</v>
      </c>
      <c r="B53" s="5">
        <v>13611922.309676901</v>
      </c>
      <c r="C53" s="5">
        <v>25744441.548199199</v>
      </c>
      <c r="D53" s="5">
        <v>16420591.7564077</v>
      </c>
      <c r="E53" s="5">
        <v>11401246.2167887</v>
      </c>
      <c r="F53" s="5">
        <v>10090079.7130682</v>
      </c>
      <c r="G53" s="5">
        <v>27067031.345320199</v>
      </c>
      <c r="H53" s="5">
        <v>12193556.1552277</v>
      </c>
      <c r="I53" s="5">
        <v>166994219.81990299</v>
      </c>
      <c r="J53" s="5">
        <v>8039008.11119965</v>
      </c>
      <c r="K53" s="5">
        <v>5902381.0131401801</v>
      </c>
      <c r="L53" s="5">
        <v>22783304.400598601</v>
      </c>
      <c r="M53" s="5">
        <v>39705133.198342197</v>
      </c>
      <c r="N53" s="5">
        <v>5105583.1560674701</v>
      </c>
      <c r="O53" s="5">
        <v>19865146.856409699</v>
      </c>
      <c r="P53" s="5">
        <v>11373718.995526301</v>
      </c>
      <c r="Q53" s="5">
        <v>25009968.476885699</v>
      </c>
      <c r="R53" s="5">
        <v>13744075.0415729</v>
      </c>
      <c r="S53" s="5">
        <v>19945526.489489</v>
      </c>
      <c r="T53" s="5">
        <v>14490994.139000401</v>
      </c>
      <c r="U53" s="5">
        <v>11274408.7247645</v>
      </c>
      <c r="V53" s="5">
        <v>11964173.003237501</v>
      </c>
      <c r="W53" s="5">
        <v>11414805.220784299</v>
      </c>
      <c r="X53" s="5">
        <v>16223533.07877</v>
      </c>
      <c r="Y53" s="5">
        <v>10097765.8417325</v>
      </c>
    </row>
    <row r="54" spans="1:25" x14ac:dyDescent="0.45">
      <c r="A54" s="5" t="s">
        <v>279</v>
      </c>
      <c r="B54" s="5">
        <v>387968732.69322002</v>
      </c>
      <c r="C54" s="5">
        <v>301593726.33443499</v>
      </c>
      <c r="D54" s="5">
        <v>418959553.03988099</v>
      </c>
      <c r="E54" s="5">
        <v>398410731.22098702</v>
      </c>
      <c r="F54" s="5">
        <v>359163777.30523503</v>
      </c>
      <c r="G54" s="5">
        <v>382154524.80357701</v>
      </c>
      <c r="H54" s="5">
        <v>278378282.94308901</v>
      </c>
      <c r="I54" s="5">
        <v>202852002.313164</v>
      </c>
      <c r="J54" s="5">
        <v>310415133.41453701</v>
      </c>
      <c r="K54" s="5">
        <v>374316473.867926</v>
      </c>
      <c r="L54" s="5">
        <v>366047768.26755297</v>
      </c>
      <c r="M54" s="5">
        <v>331754462.38029599</v>
      </c>
      <c r="N54" s="5">
        <v>351420247.372805</v>
      </c>
      <c r="O54" s="5">
        <v>312393561.25916702</v>
      </c>
      <c r="P54" s="5">
        <v>333388012.63109398</v>
      </c>
      <c r="Q54" s="5">
        <v>200169916.902284</v>
      </c>
      <c r="R54" s="5">
        <v>378840972.72163099</v>
      </c>
      <c r="S54" s="5">
        <v>260895553.384175</v>
      </c>
      <c r="T54" s="5">
        <v>289559333.73698699</v>
      </c>
      <c r="U54" s="5">
        <v>321462926.50973803</v>
      </c>
      <c r="V54" s="5">
        <v>259938853.931115</v>
      </c>
      <c r="W54" s="5">
        <v>372116257.57894999</v>
      </c>
      <c r="X54" s="5">
        <v>479597444.46562999</v>
      </c>
      <c r="Y54" s="5">
        <v>334515816.09372002</v>
      </c>
    </row>
    <row r="55" spans="1:25" x14ac:dyDescent="0.45">
      <c r="A55" s="5" t="s">
        <v>79</v>
      </c>
      <c r="B55" s="5">
        <v>7887945.1092735203</v>
      </c>
      <c r="C55" s="5">
        <v>5505135.8325883104</v>
      </c>
      <c r="D55" s="5">
        <v>7867221.2569649499</v>
      </c>
      <c r="E55" s="5">
        <v>8343257.8519163299</v>
      </c>
      <c r="F55" s="5">
        <v>4298129.5906470995</v>
      </c>
      <c r="G55" s="5">
        <v>6943136.3588525802</v>
      </c>
      <c r="H55" s="5">
        <v>8267196.4996874304</v>
      </c>
      <c r="I55" s="5">
        <v>15823811.796253899</v>
      </c>
      <c r="J55" s="5">
        <v>8325889.5916815205</v>
      </c>
      <c r="K55" s="5">
        <v>17741730.9199677</v>
      </c>
      <c r="L55" s="5">
        <v>8151372.1986767603</v>
      </c>
      <c r="M55" s="5">
        <v>13510653.6570882</v>
      </c>
      <c r="N55" s="5">
        <v>9163685.6369449701</v>
      </c>
      <c r="O55" s="5">
        <v>5441518.4295903901</v>
      </c>
      <c r="P55" s="5">
        <v>5923307.6058162097</v>
      </c>
      <c r="Q55" s="5">
        <v>7199181.0775345303</v>
      </c>
      <c r="R55" s="5">
        <v>8812970.4216303304</v>
      </c>
      <c r="S55" s="5">
        <v>9729525.7274280097</v>
      </c>
      <c r="T55" s="5">
        <v>8106558.6113615604</v>
      </c>
      <c r="U55" s="5">
        <v>6960630.2698011799</v>
      </c>
      <c r="V55" s="5">
        <v>6822646.6274800403</v>
      </c>
      <c r="W55" s="5">
        <v>9115766.9450032897</v>
      </c>
      <c r="X55" s="5">
        <v>176829348.68492201</v>
      </c>
      <c r="Y55" s="5">
        <v>6856177.5213832101</v>
      </c>
    </row>
    <row r="56" spans="1:25" x14ac:dyDescent="0.45">
      <c r="A56" s="5" t="s">
        <v>280</v>
      </c>
      <c r="B56" s="5">
        <v>28937393.559222002</v>
      </c>
      <c r="C56" s="5">
        <v>30655230.556457698</v>
      </c>
      <c r="D56" s="5">
        <v>26361498.296354</v>
      </c>
      <c r="E56" s="5">
        <v>24268200.5468463</v>
      </c>
      <c r="F56" s="5">
        <v>25041822.622255199</v>
      </c>
      <c r="G56" s="5">
        <v>27327524.025603801</v>
      </c>
      <c r="H56" s="5">
        <v>30991161.0108632</v>
      </c>
      <c r="I56" s="5">
        <v>16775962.8264881</v>
      </c>
      <c r="J56" s="5">
        <v>41274982.186327301</v>
      </c>
      <c r="K56" s="5">
        <v>32671573.070278399</v>
      </c>
      <c r="L56" s="5">
        <v>25183891.340173502</v>
      </c>
      <c r="M56" s="5">
        <v>23446266.764309801</v>
      </c>
      <c r="N56" s="5">
        <v>209686136.100761</v>
      </c>
      <c r="O56" s="5">
        <v>159226726.28881499</v>
      </c>
      <c r="P56" s="5">
        <v>188118602.151887</v>
      </c>
      <c r="Q56" s="5">
        <v>22935296.9326014</v>
      </c>
      <c r="R56" s="5">
        <v>26488214.186613299</v>
      </c>
      <c r="S56" s="5">
        <v>24928278.840276401</v>
      </c>
      <c r="T56" s="5">
        <v>24284148.4905705</v>
      </c>
      <c r="U56" s="5">
        <v>22337064.802572802</v>
      </c>
      <c r="V56" s="5">
        <v>24047427.3038144</v>
      </c>
      <c r="W56" s="5">
        <v>24662601.626445901</v>
      </c>
      <c r="X56" s="5">
        <v>26682078.717165601</v>
      </c>
      <c r="Y56" s="5">
        <v>23125038.6945915</v>
      </c>
    </row>
    <row r="57" spans="1:25" x14ac:dyDescent="0.45">
      <c r="A57" s="5" t="s">
        <v>80</v>
      </c>
      <c r="B57" s="5">
        <v>54474758.936060399</v>
      </c>
      <c r="C57" s="5">
        <v>41683649.504776098</v>
      </c>
      <c r="D57" s="5">
        <v>44484470.363464698</v>
      </c>
      <c r="E57" s="5">
        <v>54643777.533310503</v>
      </c>
      <c r="F57" s="5">
        <v>45532044.153336398</v>
      </c>
      <c r="G57" s="5">
        <v>43098427.8115004</v>
      </c>
      <c r="H57" s="5">
        <v>49215936.6319611</v>
      </c>
      <c r="I57" s="5">
        <v>36252428.763235196</v>
      </c>
      <c r="J57" s="5">
        <v>40205508.353811704</v>
      </c>
      <c r="K57" s="5">
        <v>108725570.995217</v>
      </c>
      <c r="L57" s="5">
        <v>61424772.042924702</v>
      </c>
      <c r="M57" s="5">
        <v>53485886.093328297</v>
      </c>
      <c r="N57" s="5">
        <v>41478840.178006403</v>
      </c>
      <c r="O57" s="5">
        <v>30024645.604104601</v>
      </c>
      <c r="P57" s="5">
        <v>36301062.790914997</v>
      </c>
      <c r="Q57" s="5">
        <v>45280301.507944003</v>
      </c>
      <c r="R57" s="5">
        <v>51686413.120737903</v>
      </c>
      <c r="S57" s="5">
        <v>48856287.468681403</v>
      </c>
      <c r="T57" s="5">
        <v>56482670.0298234</v>
      </c>
      <c r="U57" s="5">
        <v>49726980.4972478</v>
      </c>
      <c r="V57" s="5">
        <v>64493588.2088691</v>
      </c>
      <c r="W57" s="5">
        <v>73449211.667014301</v>
      </c>
      <c r="X57" s="5">
        <v>25125731.269500401</v>
      </c>
      <c r="Y57" s="5">
        <v>75905932.900353894</v>
      </c>
    </row>
    <row r="58" spans="1:25" x14ac:dyDescent="0.45">
      <c r="A58" s="5" t="s">
        <v>281</v>
      </c>
      <c r="B58" s="5">
        <v>7856641.0999620697</v>
      </c>
      <c r="C58" s="5">
        <v>10064020.756440399</v>
      </c>
      <c r="D58" s="5">
        <v>9821782.1354747191</v>
      </c>
      <c r="E58" s="5">
        <v>6682761.4787563104</v>
      </c>
      <c r="F58" s="5">
        <v>8863273.6377096307</v>
      </c>
      <c r="G58" s="5">
        <v>7290440.0253561102</v>
      </c>
      <c r="H58" s="5">
        <v>6671187.7095367098</v>
      </c>
      <c r="I58" s="5">
        <v>499399162.76363403</v>
      </c>
      <c r="J58" s="5">
        <v>18669816.675081201</v>
      </c>
      <c r="K58" s="5">
        <v>8572017.8323938102</v>
      </c>
      <c r="L58" s="5">
        <v>30213956.8729393</v>
      </c>
      <c r="M58" s="5">
        <v>4870566.1529606897</v>
      </c>
      <c r="N58" s="5">
        <v>7896233.1502948198</v>
      </c>
      <c r="O58" s="5">
        <v>12197608.622919301</v>
      </c>
      <c r="P58" s="5">
        <v>9073868.2385795992</v>
      </c>
      <c r="Q58" s="5">
        <v>6625376.0906664999</v>
      </c>
      <c r="R58" s="5">
        <v>10627879.3365754</v>
      </c>
      <c r="S58" s="5">
        <v>8392222.2979826704</v>
      </c>
      <c r="T58" s="5">
        <v>6870853.5003761696</v>
      </c>
      <c r="U58" s="5">
        <v>3898283.1900152802</v>
      </c>
      <c r="V58" s="5">
        <v>7131490.2112055896</v>
      </c>
      <c r="W58" s="5">
        <v>6492123.64511743</v>
      </c>
      <c r="X58" s="5">
        <v>59823986.056018703</v>
      </c>
      <c r="Y58" s="5">
        <v>5853359.6691483399</v>
      </c>
    </row>
    <row r="59" spans="1:25" x14ac:dyDescent="0.45">
      <c r="A59" s="5" t="s">
        <v>81</v>
      </c>
      <c r="B59" s="5">
        <v>19841039.288121901</v>
      </c>
      <c r="C59" s="5">
        <v>33277153.833333001</v>
      </c>
      <c r="D59" s="5">
        <v>20767802.0515095</v>
      </c>
      <c r="E59" s="5">
        <v>19324299.547400199</v>
      </c>
      <c r="F59" s="5">
        <v>19233877.858121999</v>
      </c>
      <c r="G59" s="5">
        <v>31951225.4864133</v>
      </c>
      <c r="H59" s="5">
        <v>24221353.546560299</v>
      </c>
      <c r="I59" s="5">
        <v>34187439.4415465</v>
      </c>
      <c r="J59" s="5">
        <v>17858153.931279302</v>
      </c>
      <c r="K59" s="5">
        <v>5352806.9500797903</v>
      </c>
      <c r="L59" s="5">
        <v>6248207.6502678804</v>
      </c>
      <c r="M59" s="5">
        <v>10364539.0703358</v>
      </c>
      <c r="N59" s="5">
        <v>54431409.9633485</v>
      </c>
      <c r="O59" s="5">
        <v>48256846.1049788</v>
      </c>
      <c r="P59" s="5">
        <v>50115335.148918003</v>
      </c>
      <c r="Q59" s="5">
        <v>34723498.126039699</v>
      </c>
      <c r="R59" s="5">
        <v>6748999.13600899</v>
      </c>
      <c r="S59" s="5">
        <v>11366330.5211793</v>
      </c>
      <c r="T59" s="5">
        <v>6329609.3675555699</v>
      </c>
      <c r="U59" s="5">
        <v>25313902.6143528</v>
      </c>
      <c r="V59" s="5">
        <v>36676147.095481098</v>
      </c>
      <c r="W59" s="5">
        <v>33334242.709235098</v>
      </c>
      <c r="X59" s="5">
        <v>26475649.038741</v>
      </c>
      <c r="Y59" s="5">
        <v>30459754.014416698</v>
      </c>
    </row>
    <row r="60" spans="1:25" x14ac:dyDescent="0.45">
      <c r="A60" s="5" t="s">
        <v>82</v>
      </c>
      <c r="B60" s="5">
        <v>5262902.7153907605</v>
      </c>
      <c r="C60" s="5">
        <v>34277459.077613302</v>
      </c>
      <c r="D60" s="5">
        <v>21938490.889163502</v>
      </c>
      <c r="E60" s="5">
        <v>13509973.248741601</v>
      </c>
      <c r="F60" s="5">
        <v>7494565.0288237203</v>
      </c>
      <c r="G60" s="5">
        <v>32550137.539036602</v>
      </c>
      <c r="H60" s="5">
        <v>28101767.1201251</v>
      </c>
      <c r="I60" s="5">
        <v>10602282.175810199</v>
      </c>
      <c r="J60" s="5">
        <v>4597733.3551858999</v>
      </c>
      <c r="K60" s="5">
        <v>17390889.7731557</v>
      </c>
      <c r="L60" s="5">
        <v>18016298.524632201</v>
      </c>
      <c r="M60" s="5">
        <v>43259593.977309696</v>
      </c>
      <c r="N60" s="5">
        <v>40331505.6398656</v>
      </c>
      <c r="O60" s="5">
        <v>42075593.089079998</v>
      </c>
      <c r="P60" s="5">
        <v>25634408.185104501</v>
      </c>
      <c r="Q60" s="5">
        <v>45231255.227908097</v>
      </c>
      <c r="R60" s="5">
        <v>16888477.311121602</v>
      </c>
      <c r="S60" s="5">
        <v>31392967.808674801</v>
      </c>
      <c r="T60" s="5">
        <v>11556128.0354886</v>
      </c>
      <c r="U60" s="5">
        <v>23782947.801193699</v>
      </c>
      <c r="V60" s="5">
        <v>35828605.062895603</v>
      </c>
      <c r="W60" s="5">
        <v>21543409.8953829</v>
      </c>
      <c r="X60" s="5">
        <v>26499952.660358999</v>
      </c>
      <c r="Y60" s="5">
        <v>18177315.620137699</v>
      </c>
    </row>
    <row r="61" spans="1:25" x14ac:dyDescent="0.45">
      <c r="A61" s="5" t="s">
        <v>83</v>
      </c>
      <c r="B61" s="5">
        <v>17227114.160704698</v>
      </c>
      <c r="C61" s="5">
        <v>38776648.068980798</v>
      </c>
      <c r="D61" s="5">
        <v>36808253.452685103</v>
      </c>
      <c r="E61" s="5">
        <v>25460614.327335101</v>
      </c>
      <c r="F61" s="5">
        <v>27356227.761644099</v>
      </c>
      <c r="G61" s="5">
        <v>23089943.296848301</v>
      </c>
      <c r="H61" s="5">
        <v>23136941.141011499</v>
      </c>
      <c r="I61" s="5">
        <v>7314440.9991933098</v>
      </c>
      <c r="J61" s="5">
        <v>25867016.343835101</v>
      </c>
      <c r="K61" s="5">
        <v>19532323.490297601</v>
      </c>
      <c r="L61" s="5">
        <v>32815828.475446001</v>
      </c>
      <c r="M61" s="5">
        <v>38269310.944615804</v>
      </c>
      <c r="N61" s="5">
        <v>29228650.301477298</v>
      </c>
      <c r="O61" s="5">
        <v>14178416.0688744</v>
      </c>
      <c r="P61" s="5">
        <v>25418651.504168801</v>
      </c>
      <c r="Q61" s="5">
        <v>36585375.104883999</v>
      </c>
      <c r="R61" s="5">
        <v>8899072.0404503699</v>
      </c>
      <c r="S61" s="5">
        <v>31153266.0532277</v>
      </c>
      <c r="T61" s="5">
        <v>41948439.898470402</v>
      </c>
      <c r="U61" s="5">
        <v>8281142.6180313602</v>
      </c>
      <c r="V61" s="5">
        <v>32488148.907795701</v>
      </c>
      <c r="W61" s="5">
        <v>29307116.7523029</v>
      </c>
      <c r="X61" s="5">
        <v>25492999.285643801</v>
      </c>
      <c r="Y61" s="5">
        <v>12350274.0539781</v>
      </c>
    </row>
    <row r="62" spans="1:25" x14ac:dyDescent="0.45">
      <c r="A62" s="5" t="s">
        <v>84</v>
      </c>
      <c r="B62" s="5">
        <v>37980566.108376399</v>
      </c>
      <c r="C62" s="5">
        <v>89258129.8118072</v>
      </c>
      <c r="D62" s="5">
        <v>80499656.859260499</v>
      </c>
      <c r="E62" s="5">
        <v>61209089.892901197</v>
      </c>
      <c r="F62" s="5">
        <v>7416274.4037790904</v>
      </c>
      <c r="G62" s="5">
        <v>38694023.317243896</v>
      </c>
      <c r="H62" s="5">
        <v>32691190.1516832</v>
      </c>
      <c r="I62" s="5">
        <v>151247584.959227</v>
      </c>
      <c r="J62" s="5">
        <v>38738303.302514002</v>
      </c>
      <c r="K62" s="5">
        <v>46189708.449962899</v>
      </c>
      <c r="L62" s="5">
        <v>17725823.0821779</v>
      </c>
      <c r="M62" s="5">
        <v>112895532.168734</v>
      </c>
      <c r="N62" s="5">
        <v>39009028.006308101</v>
      </c>
      <c r="O62" s="5">
        <v>30922024.416298099</v>
      </c>
      <c r="P62" s="5">
        <v>27864007.987191599</v>
      </c>
      <c r="Q62" s="5">
        <v>98151025.376763001</v>
      </c>
      <c r="R62" s="5">
        <v>62557339.971091799</v>
      </c>
      <c r="S62" s="5">
        <v>69857960.440270603</v>
      </c>
      <c r="T62" s="5">
        <v>3833193.1319934102</v>
      </c>
      <c r="U62" s="5">
        <v>19721166.652157102</v>
      </c>
      <c r="V62" s="5">
        <v>35447193.390091799</v>
      </c>
      <c r="W62" s="5">
        <v>26776615.8146533</v>
      </c>
      <c r="X62" s="5">
        <v>597797994.979599</v>
      </c>
      <c r="Y62" s="5">
        <v>4920369.5943578798</v>
      </c>
    </row>
    <row r="63" spans="1:25" x14ac:dyDescent="0.45">
      <c r="A63" s="5" t="s">
        <v>85</v>
      </c>
      <c r="B63" s="5">
        <v>17064178.8630086</v>
      </c>
      <c r="C63" s="5">
        <v>48325083.766518503</v>
      </c>
      <c r="D63" s="5">
        <v>60013150.603736997</v>
      </c>
      <c r="E63" s="5">
        <v>31358656.649962701</v>
      </c>
      <c r="F63" s="5">
        <v>24839350.652734701</v>
      </c>
      <c r="G63" s="5">
        <v>28373631.295508798</v>
      </c>
      <c r="H63" s="5">
        <v>11270560.2195064</v>
      </c>
      <c r="I63" s="5">
        <v>24324827.562113401</v>
      </c>
      <c r="J63" s="5">
        <v>30735994.270205501</v>
      </c>
      <c r="K63" s="5">
        <v>23300860.5422532</v>
      </c>
      <c r="L63" s="5">
        <v>44931699.027210802</v>
      </c>
      <c r="M63" s="5">
        <v>49798880.462673001</v>
      </c>
      <c r="N63" s="5">
        <v>21441011.1539164</v>
      </c>
      <c r="O63" s="5">
        <v>27692843.282695699</v>
      </c>
      <c r="P63" s="5">
        <v>16603172.935444999</v>
      </c>
      <c r="Q63" s="5">
        <v>35517360.899986103</v>
      </c>
      <c r="R63" s="5">
        <v>24360966.522269901</v>
      </c>
      <c r="S63" s="5">
        <v>33182957.0241214</v>
      </c>
      <c r="T63" s="5">
        <v>59469111.7355875</v>
      </c>
      <c r="U63" s="5">
        <v>27027179.3391429</v>
      </c>
      <c r="V63" s="5">
        <v>32794888.145672102</v>
      </c>
      <c r="W63" s="5">
        <v>19077832.809250399</v>
      </c>
      <c r="X63" s="5">
        <v>50629697.211312398</v>
      </c>
      <c r="Y63" s="5">
        <v>29228104.564119</v>
      </c>
    </row>
    <row r="64" spans="1:25" x14ac:dyDescent="0.45">
      <c r="A64" s="5" t="s">
        <v>86</v>
      </c>
      <c r="B64" s="5">
        <v>36884576.632171899</v>
      </c>
      <c r="C64" s="5">
        <v>31805849.2822823</v>
      </c>
      <c r="D64" s="5">
        <v>59625323.777469903</v>
      </c>
      <c r="E64" s="5">
        <v>42553214.4257465</v>
      </c>
      <c r="F64" s="5">
        <v>39902985.626782499</v>
      </c>
      <c r="G64" s="5">
        <v>33820404.402256101</v>
      </c>
      <c r="H64" s="5">
        <v>41592268.997665703</v>
      </c>
      <c r="I64" s="5">
        <v>135058020.172968</v>
      </c>
      <c r="J64" s="5">
        <v>77425623.762736797</v>
      </c>
      <c r="K64" s="5">
        <v>25382448.342842799</v>
      </c>
      <c r="L64" s="5">
        <v>57799928.4938896</v>
      </c>
      <c r="M64" s="5">
        <v>27227907.970582899</v>
      </c>
      <c r="N64" s="5">
        <v>58898532.526474804</v>
      </c>
      <c r="O64" s="5">
        <v>83587807.318709895</v>
      </c>
      <c r="P64" s="5">
        <v>94984105.150950894</v>
      </c>
      <c r="Q64" s="5">
        <v>33050579.059150402</v>
      </c>
      <c r="R64" s="5">
        <v>46696457.4011079</v>
      </c>
      <c r="S64" s="5">
        <v>58776206.145489603</v>
      </c>
      <c r="T64" s="5">
        <v>72319691.398665607</v>
      </c>
      <c r="U64" s="5">
        <v>46084786.328613698</v>
      </c>
      <c r="V64" s="5">
        <v>70755675.933106706</v>
      </c>
      <c r="W64" s="5">
        <v>51922919.815573297</v>
      </c>
      <c r="X64" s="5">
        <v>100400968.714499</v>
      </c>
      <c r="Y64" s="5">
        <v>62705480.913340203</v>
      </c>
    </row>
    <row r="65" spans="1:25" x14ac:dyDescent="0.45">
      <c r="A65" s="5" t="s">
        <v>282</v>
      </c>
      <c r="B65" s="5">
        <v>65961750.739041299</v>
      </c>
      <c r="C65" s="5">
        <v>33109793.2812186</v>
      </c>
      <c r="D65" s="5">
        <v>61172560.914348803</v>
      </c>
      <c r="E65" s="5">
        <v>57141316.808120802</v>
      </c>
      <c r="F65" s="5">
        <v>25505062.717403799</v>
      </c>
      <c r="G65" s="5">
        <v>39353014.877638198</v>
      </c>
      <c r="H65" s="5">
        <v>56033145.824232303</v>
      </c>
      <c r="I65" s="5">
        <v>91282360.128673896</v>
      </c>
      <c r="J65" s="5">
        <v>22579159.430144802</v>
      </c>
      <c r="K65" s="5">
        <v>76936792.682861596</v>
      </c>
      <c r="L65" s="5">
        <v>31658878.791135501</v>
      </c>
      <c r="M65" s="5">
        <v>32140463.388089899</v>
      </c>
      <c r="N65" s="5">
        <v>39091930.685550801</v>
      </c>
      <c r="O65" s="5">
        <v>118603364.25236601</v>
      </c>
      <c r="P65" s="5">
        <v>140048867.14348099</v>
      </c>
      <c r="Q65" s="5">
        <v>9254398.7613899205</v>
      </c>
      <c r="R65" s="5">
        <v>52611139.354537301</v>
      </c>
      <c r="S65" s="5">
        <v>86636080.976089701</v>
      </c>
      <c r="T65" s="5">
        <v>21507799.2776151</v>
      </c>
      <c r="U65" s="5">
        <v>74301859.6770778</v>
      </c>
      <c r="V65" s="5">
        <v>68475874.114025697</v>
      </c>
      <c r="W65" s="5">
        <v>72095908.368745506</v>
      </c>
      <c r="X65" s="5">
        <v>104611886.64763799</v>
      </c>
      <c r="Y65" s="5">
        <v>61658227.639862202</v>
      </c>
    </row>
    <row r="66" spans="1:25" x14ac:dyDescent="0.45">
      <c r="A66" s="5" t="s">
        <v>87</v>
      </c>
      <c r="B66" s="5">
        <v>786629711.13840604</v>
      </c>
      <c r="C66" s="5">
        <v>574816915.596609</v>
      </c>
      <c r="D66" s="5">
        <v>689794372.06054497</v>
      </c>
      <c r="E66" s="5">
        <v>727693061.81429696</v>
      </c>
      <c r="F66" s="5">
        <v>831780195.35480201</v>
      </c>
      <c r="G66" s="5">
        <v>718090318.47083294</v>
      </c>
      <c r="H66" s="5">
        <v>789282208.887586</v>
      </c>
      <c r="I66" s="5">
        <v>855938781.63506997</v>
      </c>
      <c r="J66" s="5">
        <v>841525948.67498899</v>
      </c>
      <c r="K66" s="5">
        <v>597201675.54854298</v>
      </c>
      <c r="L66" s="5">
        <v>872245140.12962997</v>
      </c>
      <c r="M66" s="5">
        <v>714608724.65515399</v>
      </c>
      <c r="N66" s="5">
        <v>675857770.89492595</v>
      </c>
      <c r="O66" s="5">
        <v>597896118.64356506</v>
      </c>
      <c r="P66" s="5">
        <v>714480959.91036701</v>
      </c>
      <c r="Q66" s="5">
        <v>632623500.68707895</v>
      </c>
      <c r="R66" s="5">
        <v>989269050.36996806</v>
      </c>
      <c r="S66" s="5">
        <v>838871414.42981803</v>
      </c>
      <c r="T66" s="5">
        <v>965153119.71930695</v>
      </c>
      <c r="U66" s="5">
        <v>889804477.29730904</v>
      </c>
      <c r="V66" s="5">
        <v>663524527.52279103</v>
      </c>
      <c r="W66" s="5">
        <v>971535258.98066795</v>
      </c>
      <c r="X66" s="5">
        <v>945271706.48527503</v>
      </c>
      <c r="Y66" s="5">
        <v>955712541.53089797</v>
      </c>
    </row>
    <row r="67" spans="1:25" x14ac:dyDescent="0.45">
      <c r="A67" s="5" t="s">
        <v>88</v>
      </c>
      <c r="B67" s="5">
        <v>72300796.313485906</v>
      </c>
      <c r="C67" s="5">
        <v>69940155.408752993</v>
      </c>
      <c r="D67" s="5">
        <v>70669631.309311301</v>
      </c>
      <c r="E67" s="5">
        <v>18999189.955992699</v>
      </c>
      <c r="F67" s="5">
        <v>6673207.4722288102</v>
      </c>
      <c r="G67" s="5">
        <v>7945460.5244650804</v>
      </c>
      <c r="H67" s="5">
        <v>5825017.8297349904</v>
      </c>
      <c r="I67" s="5">
        <v>25011403.218855899</v>
      </c>
      <c r="J67" s="5">
        <v>15910279.583362799</v>
      </c>
      <c r="K67" s="5">
        <v>46788229.185685202</v>
      </c>
      <c r="L67" s="5">
        <v>7796993.7540637599</v>
      </c>
      <c r="M67" s="5">
        <v>5498017.3252313295</v>
      </c>
      <c r="N67" s="5">
        <v>36823316.247581199</v>
      </c>
      <c r="O67" s="5">
        <v>21655333.911960199</v>
      </c>
      <c r="P67" s="5">
        <v>24034635.274548899</v>
      </c>
      <c r="Q67" s="5">
        <v>6783728.48438951</v>
      </c>
      <c r="R67" s="5">
        <v>7816989.1649958696</v>
      </c>
      <c r="S67" s="5">
        <v>5970566.9069830403</v>
      </c>
      <c r="T67" s="5">
        <v>8028820.24740062</v>
      </c>
      <c r="U67" s="5">
        <v>21938175.393980499</v>
      </c>
      <c r="V67" s="5">
        <v>9140319.3263149392</v>
      </c>
      <c r="W67" s="5">
        <v>5790216.0857307799</v>
      </c>
      <c r="X67" s="5">
        <v>22396562.429322001</v>
      </c>
      <c r="Y67" s="5">
        <v>22342876.935184099</v>
      </c>
    </row>
    <row r="68" spans="1:25" x14ac:dyDescent="0.45">
      <c r="A68" s="5" t="s">
        <v>89</v>
      </c>
      <c r="B68" s="5">
        <v>2639342.8973042001</v>
      </c>
      <c r="C68" s="5">
        <v>2982877.4684772301</v>
      </c>
      <c r="D68" s="5">
        <v>2323913.0112563502</v>
      </c>
      <c r="E68" s="5">
        <v>8935877.4963858891</v>
      </c>
      <c r="F68" s="5">
        <v>7629633.49334192</v>
      </c>
      <c r="G68" s="5">
        <v>5831389.6016460396</v>
      </c>
      <c r="H68" s="5">
        <v>4094003.2578380099</v>
      </c>
      <c r="I68" s="5">
        <v>1453848.40124751</v>
      </c>
      <c r="J68" s="5">
        <v>3684809.5092800399</v>
      </c>
      <c r="K68" s="5">
        <v>2476160.1933919098</v>
      </c>
      <c r="L68" s="5">
        <v>4240905.9799752496</v>
      </c>
      <c r="M68" s="5">
        <v>5025321.1307774</v>
      </c>
      <c r="N68" s="5">
        <v>9549139.9185268097</v>
      </c>
      <c r="O68" s="5">
        <v>2974657.4594395799</v>
      </c>
      <c r="P68" s="5">
        <v>6364904.3542130198</v>
      </c>
      <c r="Q68" s="5">
        <v>6331754.1362632401</v>
      </c>
      <c r="R68" s="5">
        <v>7916139.0019081002</v>
      </c>
      <c r="S68" s="5">
        <v>6617265.7239243304</v>
      </c>
      <c r="T68" s="5">
        <v>6580416.4831097499</v>
      </c>
      <c r="U68" s="5">
        <v>5063719.24944288</v>
      </c>
      <c r="V68" s="5">
        <v>9969911.5322009996</v>
      </c>
      <c r="W68" s="5">
        <v>4101972.7504955502</v>
      </c>
      <c r="X68" s="5">
        <v>2754468.2559858798</v>
      </c>
      <c r="Y68" s="5">
        <v>6785078.9410044895</v>
      </c>
    </row>
    <row r="69" spans="1:25" x14ac:dyDescent="0.45">
      <c r="A69" s="5" t="s">
        <v>283</v>
      </c>
      <c r="B69" s="5">
        <v>65873108.680822603</v>
      </c>
      <c r="C69" s="5">
        <v>244856402.93563399</v>
      </c>
      <c r="D69" s="5">
        <v>166585487.32469499</v>
      </c>
      <c r="E69" s="5">
        <v>92661051.024431005</v>
      </c>
      <c r="F69" s="5">
        <v>70226499.602753401</v>
      </c>
      <c r="G69" s="5">
        <v>142928251.837859</v>
      </c>
      <c r="H69" s="5">
        <v>150561324.69797799</v>
      </c>
      <c r="I69" s="5">
        <v>188052024.18139401</v>
      </c>
      <c r="J69" s="5">
        <v>106155371.87943</v>
      </c>
      <c r="K69" s="5">
        <v>185146300.305426</v>
      </c>
      <c r="L69" s="5">
        <v>91092673.272835404</v>
      </c>
      <c r="M69" s="5">
        <v>234340360.53400701</v>
      </c>
      <c r="N69" s="5">
        <v>456486830.96472102</v>
      </c>
      <c r="O69" s="5">
        <v>523123917.00344801</v>
      </c>
      <c r="P69" s="5">
        <v>216461846.97337899</v>
      </c>
      <c r="Q69" s="5">
        <v>378950831.20073998</v>
      </c>
      <c r="R69" s="5">
        <v>102447560.648072</v>
      </c>
      <c r="S69" s="5">
        <v>230708725.47137299</v>
      </c>
      <c r="T69" s="5">
        <v>111070847.26508801</v>
      </c>
      <c r="U69" s="5">
        <v>223711271.760075</v>
      </c>
      <c r="V69" s="5">
        <v>464771680.52628899</v>
      </c>
      <c r="W69" s="5">
        <v>185616910.87413901</v>
      </c>
      <c r="X69" s="5">
        <v>276753628.27002603</v>
      </c>
      <c r="Y69" s="5">
        <v>122615641.173833</v>
      </c>
    </row>
    <row r="70" spans="1:25" x14ac:dyDescent="0.45">
      <c r="A70" s="5" t="s">
        <v>90</v>
      </c>
      <c r="B70" s="5">
        <v>69495529.239730701</v>
      </c>
      <c r="C70" s="5">
        <v>58143822.485641703</v>
      </c>
      <c r="D70" s="5">
        <v>60508583.545051299</v>
      </c>
      <c r="E70" s="5">
        <v>79252472.114671603</v>
      </c>
      <c r="F70" s="5">
        <v>94360280.272682801</v>
      </c>
      <c r="G70" s="5">
        <v>69266531.644511297</v>
      </c>
      <c r="H70" s="5">
        <v>81178272.509319097</v>
      </c>
      <c r="I70" s="5">
        <v>127270302.801615</v>
      </c>
      <c r="J70" s="5">
        <v>95859143.296377599</v>
      </c>
      <c r="K70" s="5">
        <v>110280249.998133</v>
      </c>
      <c r="L70" s="5">
        <v>33299366.970409401</v>
      </c>
      <c r="M70" s="5">
        <v>88332249.853648201</v>
      </c>
      <c r="N70" s="5">
        <v>53313603.047368698</v>
      </c>
      <c r="O70" s="5">
        <v>61200582.483765498</v>
      </c>
      <c r="P70" s="5">
        <v>58188250.1478002</v>
      </c>
      <c r="Q70" s="5">
        <v>58222857.353337899</v>
      </c>
      <c r="R70" s="5">
        <v>82939639.313052297</v>
      </c>
      <c r="S70" s="5">
        <v>75360593.485149696</v>
      </c>
      <c r="T70" s="5">
        <v>103095070.048987</v>
      </c>
      <c r="U70" s="5">
        <v>106956272.71202099</v>
      </c>
      <c r="V70" s="5">
        <v>67387396.867631897</v>
      </c>
      <c r="W70" s="5">
        <v>76347046.379192397</v>
      </c>
      <c r="X70" s="5">
        <v>134348602.03304699</v>
      </c>
      <c r="Y70" s="5">
        <v>29003562.625550099</v>
      </c>
    </row>
    <row r="71" spans="1:25" x14ac:dyDescent="0.45">
      <c r="A71" s="5" t="s">
        <v>284</v>
      </c>
      <c r="B71" s="5">
        <v>49406514.586765803</v>
      </c>
      <c r="C71" s="5">
        <v>37110199.265976198</v>
      </c>
      <c r="D71" s="5">
        <v>40975272.113760702</v>
      </c>
      <c r="E71" s="5">
        <v>42779528.871453702</v>
      </c>
      <c r="F71" s="5">
        <v>46526679.7270317</v>
      </c>
      <c r="G71" s="5">
        <v>44592418.797225296</v>
      </c>
      <c r="H71" s="5">
        <v>40062805.343073703</v>
      </c>
      <c r="I71" s="5">
        <v>37645443.707201898</v>
      </c>
      <c r="J71" s="5">
        <v>41370909.382069297</v>
      </c>
      <c r="K71" s="5">
        <v>33529981.5276764</v>
      </c>
      <c r="L71" s="5">
        <v>41707415.294713803</v>
      </c>
      <c r="M71" s="5">
        <v>37124680.147368401</v>
      </c>
      <c r="N71" s="5">
        <v>35301413.389200903</v>
      </c>
      <c r="O71" s="5">
        <v>29312281.439200301</v>
      </c>
      <c r="P71" s="5">
        <v>40179997.5786478</v>
      </c>
      <c r="Q71" s="5">
        <v>31155354.6892973</v>
      </c>
      <c r="R71" s="5">
        <v>41562962.770161599</v>
      </c>
      <c r="S71" s="5">
        <v>42921709.136792898</v>
      </c>
      <c r="T71" s="5">
        <v>53569089.666339003</v>
      </c>
      <c r="U71" s="5">
        <v>44814007.557147197</v>
      </c>
      <c r="V71" s="5">
        <v>40587836.774343401</v>
      </c>
      <c r="W71" s="5">
        <v>40141883.398695298</v>
      </c>
      <c r="X71" s="5">
        <v>40631909.505008303</v>
      </c>
      <c r="Y71" s="5">
        <v>48318866.041083798</v>
      </c>
    </row>
    <row r="72" spans="1:25" x14ac:dyDescent="0.45">
      <c r="A72" s="5" t="s">
        <v>285</v>
      </c>
      <c r="B72" s="5">
        <v>61679075.9393254</v>
      </c>
      <c r="C72" s="5">
        <v>61952044.875257</v>
      </c>
      <c r="D72" s="5">
        <v>58990374.960465796</v>
      </c>
      <c r="E72" s="5">
        <v>78221414.574880794</v>
      </c>
      <c r="F72" s="5">
        <v>44220292.475484803</v>
      </c>
      <c r="G72" s="5">
        <v>49218674.043984003</v>
      </c>
      <c r="H72" s="5">
        <v>56650873.413725697</v>
      </c>
      <c r="I72" s="5">
        <v>35324746.973815799</v>
      </c>
      <c r="J72" s="5">
        <v>41102615.3585651</v>
      </c>
      <c r="K72" s="5">
        <v>53965386.559924804</v>
      </c>
      <c r="L72" s="5">
        <v>28883093.786025699</v>
      </c>
      <c r="M72" s="5">
        <v>58518609.139015697</v>
      </c>
      <c r="N72" s="5">
        <v>75828856.760695294</v>
      </c>
      <c r="O72" s="5">
        <v>49254023.507075101</v>
      </c>
      <c r="P72" s="5">
        <v>9789517.9799929094</v>
      </c>
      <c r="Q72" s="5">
        <v>81644022.790533096</v>
      </c>
      <c r="R72" s="5">
        <v>94562887.146360293</v>
      </c>
      <c r="S72" s="5">
        <v>90363024.669651493</v>
      </c>
      <c r="T72" s="5">
        <v>52412586.0347398</v>
      </c>
      <c r="U72" s="5">
        <v>64524340.790741801</v>
      </c>
      <c r="V72" s="5">
        <v>79559360.221627906</v>
      </c>
      <c r="W72" s="5">
        <v>65471494.139601797</v>
      </c>
      <c r="X72" s="5">
        <v>237320762.41631699</v>
      </c>
      <c r="Y72" s="5">
        <v>64051890.442637198</v>
      </c>
    </row>
    <row r="73" spans="1:25" x14ac:dyDescent="0.45">
      <c r="A73" s="5" t="s">
        <v>286</v>
      </c>
      <c r="B73" s="5">
        <v>6664747.1779255299</v>
      </c>
      <c r="C73" s="5">
        <v>10710342.2446611</v>
      </c>
      <c r="D73" s="5">
        <v>8884683.0259148497</v>
      </c>
      <c r="E73" s="5">
        <v>6489188.8125453098</v>
      </c>
      <c r="F73" s="5">
        <v>9454431.92516643</v>
      </c>
      <c r="G73" s="5">
        <v>10316372.5880893</v>
      </c>
      <c r="H73" s="5">
        <v>9030870.8546040691</v>
      </c>
      <c r="I73" s="5">
        <v>49516898.929958798</v>
      </c>
      <c r="J73" s="5">
        <v>17312263.303389899</v>
      </c>
      <c r="K73" s="5">
        <v>6559799.3139284104</v>
      </c>
      <c r="L73" s="5">
        <v>9898467.98092857</v>
      </c>
      <c r="M73" s="5">
        <v>7815873.7877091803</v>
      </c>
      <c r="N73" s="5">
        <v>10916638.1644729</v>
      </c>
      <c r="O73" s="5">
        <v>13772448.4572051</v>
      </c>
      <c r="P73" s="5">
        <v>8266497.1851507099</v>
      </c>
      <c r="Q73" s="5">
        <v>9667570.3730565291</v>
      </c>
      <c r="R73" s="5">
        <v>11720255.1037577</v>
      </c>
      <c r="S73" s="5">
        <v>9106717.3034877107</v>
      </c>
      <c r="T73" s="5">
        <v>10544172.8531825</v>
      </c>
      <c r="U73" s="5">
        <v>12521700.035861799</v>
      </c>
      <c r="V73" s="5">
        <v>14696085.389579499</v>
      </c>
      <c r="W73" s="5">
        <v>9405784.06164217</v>
      </c>
      <c r="X73" s="5">
        <v>49187465.171255603</v>
      </c>
      <c r="Y73" s="5">
        <v>6944674.5214981101</v>
      </c>
    </row>
    <row r="74" spans="1:25" x14ac:dyDescent="0.45">
      <c r="A74" s="5" t="s">
        <v>91</v>
      </c>
      <c r="B74" s="5">
        <v>23165174.506542299</v>
      </c>
      <c r="C74" s="5">
        <v>25216183.832159299</v>
      </c>
      <c r="D74" s="5">
        <v>24006588.6076313</v>
      </c>
      <c r="E74" s="5">
        <v>16473672.177216301</v>
      </c>
      <c r="F74" s="5">
        <v>19917795.1574688</v>
      </c>
      <c r="G74" s="5">
        <v>15159893.948409799</v>
      </c>
      <c r="H74" s="5">
        <v>29572686.8372606</v>
      </c>
      <c r="I74" s="5">
        <v>39165903.192864299</v>
      </c>
      <c r="J74" s="5">
        <v>26249573.030589599</v>
      </c>
      <c r="K74" s="5">
        <v>16030868.947857801</v>
      </c>
      <c r="L74" s="5">
        <v>32699128.874744002</v>
      </c>
      <c r="M74" s="5">
        <v>23500047.010574199</v>
      </c>
      <c r="N74" s="5">
        <v>26398803.1667905</v>
      </c>
      <c r="O74" s="5">
        <v>43645481.575033396</v>
      </c>
      <c r="P74" s="5">
        <v>47490600.317376502</v>
      </c>
      <c r="Q74" s="5">
        <v>19071580.6614304</v>
      </c>
      <c r="R74" s="5">
        <v>24360528.757107701</v>
      </c>
      <c r="S74" s="5">
        <v>23629458.892340802</v>
      </c>
      <c r="T74" s="5">
        <v>31630378.839966498</v>
      </c>
      <c r="U74" s="5">
        <v>46402953.734584197</v>
      </c>
      <c r="V74" s="5">
        <v>35119671.181810401</v>
      </c>
      <c r="W74" s="5">
        <v>34138687.714966901</v>
      </c>
      <c r="X74" s="5">
        <v>46236041.467570297</v>
      </c>
      <c r="Y74" s="5">
        <v>33551770.4833894</v>
      </c>
    </row>
    <row r="75" spans="1:25" x14ac:dyDescent="0.45">
      <c r="A75" s="5" t="s">
        <v>92</v>
      </c>
      <c r="B75" s="5">
        <v>13404007.365887601</v>
      </c>
      <c r="C75" s="5">
        <v>13924055.807189601</v>
      </c>
      <c r="D75" s="5">
        <v>7834973.4377237596</v>
      </c>
      <c r="E75" s="5">
        <v>6838053.49434336</v>
      </c>
      <c r="F75" s="5">
        <v>15703994.6320443</v>
      </c>
      <c r="G75" s="5">
        <v>8707586.4524016399</v>
      </c>
      <c r="H75" s="5">
        <v>9064524.1276726406</v>
      </c>
      <c r="I75" s="5">
        <v>13595096.944940001</v>
      </c>
      <c r="J75" s="5">
        <v>5563588.3834571401</v>
      </c>
      <c r="K75" s="5">
        <v>8243209.4319896996</v>
      </c>
      <c r="L75" s="5">
        <v>15415021.7690323</v>
      </c>
      <c r="M75" s="5">
        <v>7054705.0687803999</v>
      </c>
      <c r="N75" s="5">
        <v>10934980.1696166</v>
      </c>
      <c r="O75" s="5">
        <v>18246012.832499102</v>
      </c>
      <c r="P75" s="5">
        <v>10316203.094061101</v>
      </c>
      <c r="Q75" s="5">
        <v>13960908.271201599</v>
      </c>
      <c r="R75" s="5">
        <v>6000154.2889964599</v>
      </c>
      <c r="S75" s="5">
        <v>11585540.739420099</v>
      </c>
      <c r="T75" s="5">
        <v>14934008.7974621</v>
      </c>
      <c r="U75" s="5">
        <v>15114756.5639273</v>
      </c>
      <c r="V75" s="5">
        <v>14798142.4065414</v>
      </c>
      <c r="W75" s="5">
        <v>9004616.0734063908</v>
      </c>
      <c r="X75" s="5">
        <v>9540326.4783353601</v>
      </c>
      <c r="Y75" s="5">
        <v>10433685.3231501</v>
      </c>
    </row>
    <row r="76" spans="1:25" x14ac:dyDescent="0.45">
      <c r="A76" s="5" t="s">
        <v>93</v>
      </c>
      <c r="B76" s="5">
        <v>2273931278.50209</v>
      </c>
      <c r="C76" s="5">
        <v>1457263963.5294499</v>
      </c>
      <c r="D76" s="5">
        <v>1911215841.6710801</v>
      </c>
      <c r="E76" s="5">
        <v>2025136959.66959</v>
      </c>
      <c r="F76" s="5">
        <v>1667999003.26104</v>
      </c>
      <c r="G76" s="5">
        <v>1909826481.9391699</v>
      </c>
      <c r="H76" s="5">
        <v>1914934946.1135099</v>
      </c>
      <c r="I76" s="5">
        <v>2230992174.09582</v>
      </c>
      <c r="J76" s="5">
        <v>2008509313.4395499</v>
      </c>
      <c r="K76" s="5">
        <v>3715748583.69032</v>
      </c>
      <c r="L76" s="5">
        <v>1845767866.59904</v>
      </c>
      <c r="M76" s="5">
        <v>1994272855.1352501</v>
      </c>
      <c r="N76" s="5">
        <v>84421949.960254505</v>
      </c>
      <c r="O76" s="5">
        <v>157840917.75259799</v>
      </c>
      <c r="P76" s="5">
        <v>110366504.110441</v>
      </c>
      <c r="Q76" s="5">
        <v>1804667411.9268701</v>
      </c>
      <c r="R76" s="5">
        <v>3575334676.7747998</v>
      </c>
      <c r="S76" s="5">
        <v>2527539735.5062399</v>
      </c>
      <c r="T76" s="5">
        <v>2592721817.5991302</v>
      </c>
      <c r="U76" s="5">
        <v>2343811340.3487802</v>
      </c>
      <c r="V76" s="5">
        <v>1680896669.7049201</v>
      </c>
      <c r="W76" s="5">
        <v>2193662455.96064</v>
      </c>
      <c r="X76" s="5">
        <v>2236364610.6201401</v>
      </c>
      <c r="Y76" s="5">
        <v>1817902169.35028</v>
      </c>
    </row>
    <row r="77" spans="1:25" x14ac:dyDescent="0.45">
      <c r="A77" s="5" t="s">
        <v>94</v>
      </c>
      <c r="B77" s="5">
        <v>410398762.21323699</v>
      </c>
      <c r="C77" s="5">
        <v>449617378.369582</v>
      </c>
      <c r="D77" s="5">
        <v>584376098.20916998</v>
      </c>
      <c r="E77" s="5">
        <v>514050939.60863298</v>
      </c>
      <c r="F77" s="5">
        <v>208345890.38973901</v>
      </c>
      <c r="G77" s="5">
        <v>321622526.848903</v>
      </c>
      <c r="H77" s="5">
        <v>423494664.86486298</v>
      </c>
      <c r="I77" s="5">
        <v>175742120.00805601</v>
      </c>
      <c r="J77" s="5">
        <v>463189796.32146698</v>
      </c>
      <c r="K77" s="5">
        <v>437812013.75084698</v>
      </c>
      <c r="L77" s="5">
        <v>326622032.40712398</v>
      </c>
      <c r="M77" s="5">
        <v>489397049.84502703</v>
      </c>
      <c r="N77" s="5">
        <v>408370108.205127</v>
      </c>
      <c r="O77" s="5">
        <v>465802336.89180201</v>
      </c>
      <c r="P77" s="5">
        <v>238664923.28744501</v>
      </c>
      <c r="Q77" s="5">
        <v>334497742.85113001</v>
      </c>
      <c r="R77" s="5">
        <v>350516543.56759399</v>
      </c>
      <c r="S77" s="5">
        <v>559203710.65669096</v>
      </c>
      <c r="T77" s="5">
        <v>360501265.85706502</v>
      </c>
      <c r="U77" s="5">
        <v>428900624.76450902</v>
      </c>
      <c r="V77" s="5">
        <v>352043634.46128303</v>
      </c>
      <c r="W77" s="5">
        <v>360979840.25514901</v>
      </c>
      <c r="X77" s="5">
        <v>438483687.32617998</v>
      </c>
      <c r="Y77" s="5">
        <v>394680756.70506001</v>
      </c>
    </row>
    <row r="78" spans="1:25" x14ac:dyDescent="0.45">
      <c r="A78" s="5" t="s">
        <v>95</v>
      </c>
      <c r="B78" s="5">
        <v>5467049.4890706297</v>
      </c>
      <c r="C78" s="5">
        <v>10605049.761060899</v>
      </c>
      <c r="D78" s="5">
        <v>10867372.005759999</v>
      </c>
      <c r="E78" s="5">
        <v>1571808.6051038499</v>
      </c>
      <c r="F78" s="5">
        <v>1304488.9658655699</v>
      </c>
      <c r="G78" s="5">
        <v>19669925.2092732</v>
      </c>
      <c r="H78" s="5">
        <v>804679.65487007203</v>
      </c>
      <c r="I78" s="5">
        <v>17844612.239472099</v>
      </c>
      <c r="J78" s="5">
        <v>962179.39539476403</v>
      </c>
      <c r="K78" s="5">
        <v>26460813.235941201</v>
      </c>
      <c r="L78" s="5">
        <v>883546.60323906096</v>
      </c>
      <c r="M78" s="5">
        <v>4375519.3267330099</v>
      </c>
      <c r="N78" s="5">
        <v>9104409.9562917091</v>
      </c>
      <c r="O78" s="5">
        <v>1932170.5091091399</v>
      </c>
      <c r="P78" s="5">
        <v>4252942.1518147998</v>
      </c>
      <c r="Q78" s="5">
        <v>804426.55209731997</v>
      </c>
      <c r="R78" s="5">
        <v>1442193.3569578901</v>
      </c>
      <c r="S78" s="5">
        <v>1433494.24708444</v>
      </c>
      <c r="T78" s="5">
        <v>1127367.11003504</v>
      </c>
      <c r="U78" s="5">
        <v>997701.51677913405</v>
      </c>
      <c r="V78" s="5">
        <v>986934.48055074096</v>
      </c>
      <c r="W78" s="5">
        <v>1702567.48587734</v>
      </c>
      <c r="X78" s="5">
        <v>17721247.750460301</v>
      </c>
      <c r="Y78" s="5">
        <v>3485786.1386631099</v>
      </c>
    </row>
    <row r="79" spans="1:25" x14ac:dyDescent="0.45">
      <c r="A79" s="5" t="s">
        <v>96</v>
      </c>
      <c r="B79" s="5">
        <v>85956025.006910294</v>
      </c>
      <c r="C79" s="5">
        <v>99971170.237525806</v>
      </c>
      <c r="D79" s="5">
        <v>130203688.502032</v>
      </c>
      <c r="E79" s="5">
        <v>66445528.997263402</v>
      </c>
      <c r="F79" s="5">
        <v>103675013.10730401</v>
      </c>
      <c r="G79" s="5">
        <v>71880522.885965094</v>
      </c>
      <c r="H79" s="5">
        <v>89664996.1215211</v>
      </c>
      <c r="I79" s="5">
        <v>28474637.253944799</v>
      </c>
      <c r="J79" s="5">
        <v>113795013.492053</v>
      </c>
      <c r="K79" s="5">
        <v>40395195.160674997</v>
      </c>
      <c r="L79" s="5">
        <v>86583863.832217798</v>
      </c>
      <c r="M79" s="5">
        <v>95490500.067392603</v>
      </c>
      <c r="N79" s="5">
        <v>56101497.006515399</v>
      </c>
      <c r="O79" s="5">
        <v>48630157.668907501</v>
      </c>
      <c r="P79" s="5">
        <v>50520909.196122199</v>
      </c>
      <c r="Q79" s="5">
        <v>68324484.444983795</v>
      </c>
      <c r="R79" s="5">
        <v>45970288.5769023</v>
      </c>
      <c r="S79" s="5">
        <v>114108766.424558</v>
      </c>
      <c r="T79" s="5">
        <v>131675808.93243</v>
      </c>
      <c r="U79" s="5">
        <v>97410169.977829501</v>
      </c>
      <c r="V79" s="5">
        <v>84853531.555748403</v>
      </c>
      <c r="W79" s="5">
        <v>66788189.846555598</v>
      </c>
      <c r="X79" s="5">
        <v>30560433.714767601</v>
      </c>
      <c r="Y79" s="5">
        <v>48451511.707822599</v>
      </c>
    </row>
    <row r="80" spans="1:25" x14ac:dyDescent="0.45">
      <c r="A80" s="5" t="s">
        <v>97</v>
      </c>
      <c r="B80" s="5">
        <v>18733822.987638399</v>
      </c>
      <c r="C80" s="5">
        <v>20981115.307020199</v>
      </c>
      <c r="D80" s="5">
        <v>27199211.8325071</v>
      </c>
      <c r="E80" s="5">
        <v>25451122.446651101</v>
      </c>
      <c r="F80" s="5">
        <v>22224733.545668699</v>
      </c>
      <c r="G80" s="5">
        <v>19873351.179277498</v>
      </c>
      <c r="H80" s="5">
        <v>13907922.080275999</v>
      </c>
      <c r="I80" s="5">
        <v>10929374.747773901</v>
      </c>
      <c r="J80" s="5">
        <v>22826072.5904117</v>
      </c>
      <c r="K80" s="5">
        <v>17493952.106068</v>
      </c>
      <c r="L80" s="5">
        <v>20098286.945348799</v>
      </c>
      <c r="M80" s="5">
        <v>20735597.111370999</v>
      </c>
      <c r="N80" s="5">
        <v>20958016.255827598</v>
      </c>
      <c r="O80" s="5">
        <v>20738472.5638282</v>
      </c>
      <c r="P80" s="5">
        <v>14953093.274622099</v>
      </c>
      <c r="Q80" s="5">
        <v>23761922.286656901</v>
      </c>
      <c r="R80" s="5">
        <v>24386270.9069543</v>
      </c>
      <c r="S80" s="5">
        <v>25758911.420464601</v>
      </c>
      <c r="T80" s="5">
        <v>26879374.954815499</v>
      </c>
      <c r="U80" s="5">
        <v>26591002.270122901</v>
      </c>
      <c r="V80" s="5">
        <v>27000425.077237699</v>
      </c>
      <c r="W80" s="5">
        <v>24009891.277690001</v>
      </c>
      <c r="X80" s="5">
        <v>20645468.6127734</v>
      </c>
      <c r="Y80" s="5">
        <v>19802908.7299558</v>
      </c>
    </row>
    <row r="81" spans="1:25" x14ac:dyDescent="0.45">
      <c r="A81" s="5" t="s">
        <v>287</v>
      </c>
      <c r="B81" s="5">
        <v>38527639.587489702</v>
      </c>
      <c r="C81" s="5">
        <v>47287411.637023799</v>
      </c>
      <c r="D81" s="5">
        <v>72328519.084152594</v>
      </c>
      <c r="E81" s="5">
        <v>139928866.03051201</v>
      </c>
      <c r="F81" s="5">
        <v>199478145.23391399</v>
      </c>
      <c r="G81" s="5">
        <v>187569038.230685</v>
      </c>
      <c r="H81" s="5">
        <v>106651488.77928901</v>
      </c>
      <c r="I81" s="5">
        <v>591335914.26497102</v>
      </c>
      <c r="J81" s="5">
        <v>22079926.955356698</v>
      </c>
      <c r="K81" s="5">
        <v>540775033.98288798</v>
      </c>
      <c r="L81" s="5">
        <v>56797393.525101699</v>
      </c>
      <c r="M81" s="5">
        <v>104013842.607656</v>
      </c>
      <c r="N81" s="5">
        <v>65125215.523683198</v>
      </c>
      <c r="O81" s="5">
        <v>173655618.60090101</v>
      </c>
      <c r="P81" s="5">
        <v>276904941.831801</v>
      </c>
      <c r="Q81" s="5">
        <v>51273962.237687699</v>
      </c>
      <c r="R81" s="5">
        <v>196243959.917559</v>
      </c>
      <c r="S81" s="5">
        <v>34407945.571403399</v>
      </c>
      <c r="T81" s="5">
        <v>35596202.2659427</v>
      </c>
      <c r="U81" s="5">
        <v>285662801.48966801</v>
      </c>
      <c r="V81" s="5">
        <v>26052902.3003993</v>
      </c>
      <c r="W81" s="5">
        <v>162190816.05430299</v>
      </c>
      <c r="X81" s="5">
        <v>282074327.754673</v>
      </c>
      <c r="Y81" s="5">
        <v>36087223.891976699</v>
      </c>
    </row>
    <row r="82" spans="1:25" x14ac:dyDescent="0.45">
      <c r="A82" s="5" t="s">
        <v>98</v>
      </c>
      <c r="B82" s="5">
        <v>1523919.3963850201</v>
      </c>
      <c r="C82" s="5">
        <v>3276894.5337520898</v>
      </c>
      <c r="D82" s="5">
        <v>1873366.94429097</v>
      </c>
      <c r="E82" s="5">
        <v>1515114.9177942199</v>
      </c>
      <c r="F82" s="5">
        <v>773769.36406927695</v>
      </c>
      <c r="G82" s="5">
        <v>1956830.5272363401</v>
      </c>
      <c r="H82" s="5">
        <v>2537661.7159706699</v>
      </c>
      <c r="I82" s="5">
        <v>1316592.9467175701</v>
      </c>
      <c r="J82" s="5">
        <v>1178848.6068214299</v>
      </c>
      <c r="K82" s="5">
        <v>600407.43533572799</v>
      </c>
      <c r="L82" s="5">
        <v>1065402.97122543</v>
      </c>
      <c r="M82" s="5">
        <v>2263802.59296634</v>
      </c>
      <c r="N82" s="5">
        <v>2836803.8378053298</v>
      </c>
      <c r="O82" s="5">
        <v>2411373.31569312</v>
      </c>
      <c r="P82" s="5">
        <v>1787976.00228548</v>
      </c>
      <c r="Q82" s="5">
        <v>1881159.3546070999</v>
      </c>
      <c r="R82" s="5">
        <v>1070870.67552218</v>
      </c>
      <c r="S82" s="5">
        <v>1632955.3392998499</v>
      </c>
      <c r="T82" s="5">
        <v>878819.45328112994</v>
      </c>
      <c r="U82" s="5">
        <v>1138905.65787493</v>
      </c>
      <c r="V82" s="5">
        <v>1644877.03507559</v>
      </c>
      <c r="W82" s="5">
        <v>2083270.29603312</v>
      </c>
      <c r="X82" s="5">
        <v>1246008.7150673999</v>
      </c>
      <c r="Y82" s="5">
        <v>1107468.9978203899</v>
      </c>
    </row>
    <row r="83" spans="1:25" x14ac:dyDescent="0.45">
      <c r="A83" s="5" t="s">
        <v>99</v>
      </c>
      <c r="B83" s="5">
        <v>122750506.48329</v>
      </c>
      <c r="C83" s="5">
        <v>87147198.903473407</v>
      </c>
      <c r="D83" s="5">
        <v>100098600.60476901</v>
      </c>
      <c r="E83" s="5">
        <v>121819917.026583</v>
      </c>
      <c r="F83" s="5">
        <v>119479418.46539401</v>
      </c>
      <c r="G83" s="5">
        <v>105866912.690477</v>
      </c>
      <c r="H83" s="5">
        <v>109963879.924081</v>
      </c>
      <c r="I83" s="5">
        <v>378850157.65645999</v>
      </c>
      <c r="J83" s="5">
        <v>117262489.89257599</v>
      </c>
      <c r="K83" s="5">
        <v>168716730.56085399</v>
      </c>
      <c r="L83" s="5">
        <v>112157844.393913</v>
      </c>
      <c r="M83" s="5">
        <v>125581566.56080399</v>
      </c>
      <c r="N83" s="5">
        <v>100051373.817297</v>
      </c>
      <c r="O83" s="5">
        <v>87635996.894673601</v>
      </c>
      <c r="P83" s="5">
        <v>92155083.7012918</v>
      </c>
      <c r="Q83" s="5">
        <v>91087316.425340205</v>
      </c>
      <c r="R83" s="5">
        <v>189833723.51661801</v>
      </c>
      <c r="S83" s="5">
        <v>115898743.953464</v>
      </c>
      <c r="T83" s="5">
        <v>138796052.10624701</v>
      </c>
      <c r="U83" s="5">
        <v>118621411.917771</v>
      </c>
      <c r="V83" s="5">
        <v>108498104.598175</v>
      </c>
      <c r="W83" s="5">
        <v>139103380.787348</v>
      </c>
      <c r="X83" s="5">
        <v>553388700.87680304</v>
      </c>
      <c r="Y83" s="5">
        <v>133909276.448769</v>
      </c>
    </row>
    <row r="84" spans="1:25" x14ac:dyDescent="0.45">
      <c r="A84" s="5" t="s">
        <v>100</v>
      </c>
      <c r="B84" s="5">
        <v>92801156.543241605</v>
      </c>
      <c r="C84" s="5">
        <v>104769833.35303099</v>
      </c>
      <c r="D84" s="5">
        <v>113385883.969814</v>
      </c>
      <c r="E84" s="5">
        <v>133719010.527154</v>
      </c>
      <c r="F84" s="5">
        <v>44764880.883227602</v>
      </c>
      <c r="G84" s="5">
        <v>72041849.558878496</v>
      </c>
      <c r="H84" s="5">
        <v>54232971.3316001</v>
      </c>
      <c r="I84" s="5">
        <v>91479327.012140304</v>
      </c>
      <c r="J84" s="5">
        <v>82025778.764899597</v>
      </c>
      <c r="K84" s="5">
        <v>66134760.583627</v>
      </c>
      <c r="L84" s="5">
        <v>18236937.775079899</v>
      </c>
      <c r="M84" s="5">
        <v>84104900.931096405</v>
      </c>
      <c r="N84" s="5">
        <v>154111598.18984199</v>
      </c>
      <c r="O84" s="5">
        <v>95437753.109510601</v>
      </c>
      <c r="P84" s="5">
        <v>66226116.330886401</v>
      </c>
      <c r="Q84" s="5">
        <v>111308036.414755</v>
      </c>
      <c r="R84" s="5">
        <v>83147853.3511585</v>
      </c>
      <c r="S84" s="5">
        <v>74679634.352718204</v>
      </c>
      <c r="T84" s="5">
        <v>82806641.739243299</v>
      </c>
      <c r="U84" s="5">
        <v>141767259.67431301</v>
      </c>
      <c r="V84" s="5">
        <v>108299770.590488</v>
      </c>
      <c r="W84" s="5">
        <v>100266584.022246</v>
      </c>
      <c r="X84" s="5">
        <v>89167491.508837104</v>
      </c>
      <c r="Y84" s="5">
        <v>71758145.081050605</v>
      </c>
    </row>
    <row r="85" spans="1:25" x14ac:dyDescent="0.45">
      <c r="A85" s="5" t="s">
        <v>435</v>
      </c>
      <c r="B85" s="5">
        <v>79107250.291050494</v>
      </c>
      <c r="C85" s="5">
        <v>115347528.703601</v>
      </c>
      <c r="D85" s="5">
        <v>210448560.80559701</v>
      </c>
      <c r="E85" s="5">
        <v>95008427.584666595</v>
      </c>
      <c r="F85" s="5">
        <v>143954576.54498199</v>
      </c>
      <c r="G85" s="5">
        <v>92007670.640441701</v>
      </c>
      <c r="H85" s="5">
        <v>56506100.780163899</v>
      </c>
      <c r="I85" s="5">
        <v>88614997.701842204</v>
      </c>
      <c r="J85" s="5">
        <v>79868066.759954199</v>
      </c>
      <c r="K85" s="5">
        <v>246524726.32971501</v>
      </c>
      <c r="L85" s="5">
        <v>244104094.61377099</v>
      </c>
      <c r="M85" s="5">
        <v>116395021.87644</v>
      </c>
      <c r="N85" s="5">
        <v>45647790.563068002</v>
      </c>
      <c r="O85" s="5">
        <v>87022510.785054103</v>
      </c>
      <c r="P85" s="5">
        <v>21003884.202804402</v>
      </c>
      <c r="Q85" s="5">
        <v>39944089.523049504</v>
      </c>
      <c r="R85" s="5">
        <v>42329519.698886603</v>
      </c>
      <c r="S85" s="5">
        <v>38733468.594340503</v>
      </c>
      <c r="T85" s="5">
        <v>231343892.36664599</v>
      </c>
      <c r="U85" s="5">
        <v>51922651.332871802</v>
      </c>
      <c r="V85" s="5">
        <v>56282423.874110103</v>
      </c>
      <c r="W85" s="5">
        <v>68932562.989898905</v>
      </c>
      <c r="X85" s="5">
        <v>485889742.57856399</v>
      </c>
      <c r="Y85" s="5">
        <v>74198836.129620895</v>
      </c>
    </row>
    <row r="86" spans="1:25" x14ac:dyDescent="0.45">
      <c r="A86" s="5" t="s">
        <v>101</v>
      </c>
      <c r="B86" s="5">
        <v>14974874.0710898</v>
      </c>
      <c r="C86" s="5">
        <v>51089417.949429996</v>
      </c>
      <c r="D86" s="5">
        <v>41180717.8965813</v>
      </c>
      <c r="E86" s="5">
        <v>95140295.341183707</v>
      </c>
      <c r="F86" s="5">
        <v>678702328.36877298</v>
      </c>
      <c r="G86" s="5">
        <v>112466168.361017</v>
      </c>
      <c r="H86" s="5">
        <v>10531572.6434092</v>
      </c>
      <c r="I86" s="5">
        <v>41464462.6785625</v>
      </c>
      <c r="J86" s="5">
        <v>8686899.9626873899</v>
      </c>
      <c r="K86" s="5">
        <v>1221936129.61356</v>
      </c>
      <c r="L86" s="5">
        <v>158653551.79434699</v>
      </c>
      <c r="M86" s="5">
        <v>34967639.977218501</v>
      </c>
      <c r="N86" s="5">
        <v>33165227.074701399</v>
      </c>
      <c r="O86" s="5">
        <v>17875534.368939199</v>
      </c>
      <c r="P86" s="5">
        <v>70067861.111868307</v>
      </c>
      <c r="Q86" s="5">
        <v>348775117.285909</v>
      </c>
      <c r="R86" s="5">
        <v>256126008.05453601</v>
      </c>
      <c r="S86" s="5">
        <v>99693528.607279301</v>
      </c>
      <c r="T86" s="5">
        <v>101407868.819337</v>
      </c>
      <c r="U86" s="5">
        <v>942027175.71144903</v>
      </c>
      <c r="V86" s="5">
        <v>24746483.229683001</v>
      </c>
      <c r="W86" s="5">
        <v>15207006.8267716</v>
      </c>
      <c r="X86" s="5">
        <v>36100967.771447703</v>
      </c>
      <c r="Y86" s="5">
        <v>13773317.264247101</v>
      </c>
    </row>
    <row r="87" spans="1:25" x14ac:dyDescent="0.45">
      <c r="A87" s="5" t="s">
        <v>102</v>
      </c>
      <c r="B87" s="5">
        <v>122355107.465794</v>
      </c>
      <c r="C87" s="5">
        <v>344090438.315611</v>
      </c>
      <c r="D87" s="5">
        <v>350662113.29480898</v>
      </c>
      <c r="E87" s="5">
        <v>10113905.9745903</v>
      </c>
      <c r="F87" s="5">
        <v>13390720.036095999</v>
      </c>
      <c r="G87" s="5">
        <v>13361924.334617199</v>
      </c>
      <c r="H87" s="5">
        <v>19160884.123306599</v>
      </c>
      <c r="I87" s="5">
        <v>33705152.311774001</v>
      </c>
      <c r="J87" s="5">
        <v>15623676.3088778</v>
      </c>
      <c r="K87" s="5">
        <v>19562957.8394816</v>
      </c>
      <c r="L87" s="5">
        <v>758487276.21192503</v>
      </c>
      <c r="M87" s="5">
        <v>728886242.695912</v>
      </c>
      <c r="N87" s="5">
        <v>29803526.7645774</v>
      </c>
      <c r="O87" s="5">
        <v>20946684.993824001</v>
      </c>
      <c r="P87" s="5">
        <v>48552116.406903498</v>
      </c>
      <c r="Q87" s="5">
        <v>23904528.272045098</v>
      </c>
      <c r="R87" s="5">
        <v>18236647.6003066</v>
      </c>
      <c r="S87" s="5">
        <v>24176846.674640998</v>
      </c>
      <c r="T87" s="5">
        <v>873070142.01258802</v>
      </c>
      <c r="U87" s="5">
        <v>1136269477.3020501</v>
      </c>
      <c r="V87" s="5">
        <v>979589235.562451</v>
      </c>
      <c r="W87" s="5">
        <v>55397074.184231304</v>
      </c>
      <c r="X87" s="5">
        <v>45921208.739255801</v>
      </c>
      <c r="Y87" s="5">
        <v>31837823.551284701</v>
      </c>
    </row>
    <row r="88" spans="1:25" x14ac:dyDescent="0.45">
      <c r="A88" s="5" t="s">
        <v>103</v>
      </c>
      <c r="B88" s="5">
        <v>29028299.306534801</v>
      </c>
      <c r="C88" s="5">
        <v>30904461.249755301</v>
      </c>
      <c r="D88" s="5">
        <v>18648276.1169983</v>
      </c>
      <c r="E88" s="5">
        <v>399233705.32352698</v>
      </c>
      <c r="F88" s="5">
        <v>471333800.39876801</v>
      </c>
      <c r="G88" s="5">
        <v>316493075.308258</v>
      </c>
      <c r="H88" s="5">
        <v>378066685.356067</v>
      </c>
      <c r="I88" s="5">
        <v>238123255.83640301</v>
      </c>
      <c r="J88" s="5">
        <v>447908120.18772298</v>
      </c>
      <c r="K88" s="5">
        <v>1087675405.7644</v>
      </c>
      <c r="L88" s="5">
        <v>46928019.984229498</v>
      </c>
      <c r="M88" s="5">
        <v>38305786.248981804</v>
      </c>
      <c r="N88" s="5">
        <v>324609849.12279701</v>
      </c>
      <c r="O88" s="5">
        <v>252221706.08099899</v>
      </c>
      <c r="P88" s="5">
        <v>343870504.80551499</v>
      </c>
      <c r="Q88" s="5">
        <v>250079353.51739401</v>
      </c>
      <c r="R88" s="5">
        <v>770584576.60938096</v>
      </c>
      <c r="S88" s="5">
        <v>365224026.024342</v>
      </c>
      <c r="T88" s="5">
        <v>52112177.186783299</v>
      </c>
      <c r="U88" s="5">
        <v>49584420.847140603</v>
      </c>
      <c r="V88" s="5">
        <v>41057102.515399598</v>
      </c>
      <c r="W88" s="5">
        <v>678754120.77790201</v>
      </c>
      <c r="X88" s="5">
        <v>344587925.58174402</v>
      </c>
      <c r="Y88" s="5">
        <v>493045268.71262097</v>
      </c>
    </row>
    <row r="89" spans="1:25" x14ac:dyDescent="0.45">
      <c r="A89" s="5" t="s">
        <v>104</v>
      </c>
      <c r="B89" s="5">
        <v>2285715.0411327002</v>
      </c>
      <c r="C89" s="5">
        <v>1680337.4628121001</v>
      </c>
      <c r="D89" s="5">
        <v>1799110.5143430601</v>
      </c>
      <c r="E89" s="5">
        <v>1247742.88128691</v>
      </c>
      <c r="F89" s="5">
        <v>3006237.5422635302</v>
      </c>
      <c r="G89" s="5">
        <v>1374620.5798541401</v>
      </c>
      <c r="H89" s="5">
        <v>1594653.8568726401</v>
      </c>
      <c r="I89" s="5">
        <v>890149.48825172801</v>
      </c>
      <c r="J89" s="5">
        <v>1910163.4731048699</v>
      </c>
      <c r="K89" s="5">
        <v>3383588.81595498</v>
      </c>
      <c r="L89" s="5">
        <v>2683768.8604809102</v>
      </c>
      <c r="M89" s="5">
        <v>1394723.6030399899</v>
      </c>
      <c r="N89" s="5">
        <v>2156455.6815506699</v>
      </c>
      <c r="O89" s="5">
        <v>231088254.07281601</v>
      </c>
      <c r="P89" s="5">
        <v>3621187.4227611502</v>
      </c>
      <c r="Q89" s="5">
        <v>1782748.22332028</v>
      </c>
      <c r="R89" s="5">
        <v>2220340.96481039</v>
      </c>
      <c r="S89" s="5">
        <v>1897134.6836021401</v>
      </c>
      <c r="T89" s="5">
        <v>2292769.1843710998</v>
      </c>
      <c r="U89" s="5">
        <v>3278997.19377359</v>
      </c>
      <c r="V89" s="5">
        <v>2102471.6777037499</v>
      </c>
      <c r="W89" s="5">
        <v>2941833.7855088799</v>
      </c>
      <c r="X89" s="5">
        <v>7997686.2383701103</v>
      </c>
      <c r="Y89" s="5">
        <v>2734597.0564449402</v>
      </c>
    </row>
    <row r="90" spans="1:25" x14ac:dyDescent="0.45">
      <c r="A90" s="5" t="s">
        <v>105</v>
      </c>
      <c r="B90" s="5">
        <v>26382759.606724501</v>
      </c>
      <c r="C90" s="5">
        <v>41449629.319021501</v>
      </c>
      <c r="D90" s="5">
        <v>26988584.754262101</v>
      </c>
      <c r="E90" s="5">
        <v>30216571.232702099</v>
      </c>
      <c r="F90" s="5">
        <v>25605246.956969202</v>
      </c>
      <c r="G90" s="5">
        <v>27461997.059692401</v>
      </c>
      <c r="H90" s="5">
        <v>45940520.241121598</v>
      </c>
      <c r="I90" s="5">
        <v>97479382.860544905</v>
      </c>
      <c r="J90" s="5">
        <v>40758893.528351903</v>
      </c>
      <c r="K90" s="5">
        <v>84901890.242464796</v>
      </c>
      <c r="L90" s="5">
        <v>43575409.954750903</v>
      </c>
      <c r="M90" s="5">
        <v>57763325.740076199</v>
      </c>
      <c r="N90" s="5">
        <v>23703312.515369799</v>
      </c>
      <c r="O90" s="5">
        <v>45519618.818578698</v>
      </c>
      <c r="P90" s="5">
        <v>37041309.029233597</v>
      </c>
      <c r="Q90" s="5">
        <v>34962317.990543202</v>
      </c>
      <c r="R90" s="5">
        <v>75380202.789395303</v>
      </c>
      <c r="S90" s="5">
        <v>48216763.951904602</v>
      </c>
      <c r="T90" s="5">
        <v>32276732.762532901</v>
      </c>
      <c r="U90" s="5">
        <v>57796627.688276999</v>
      </c>
      <c r="V90" s="5">
        <v>48517212.1169568</v>
      </c>
      <c r="W90" s="5">
        <v>52604903.815087698</v>
      </c>
      <c r="X90" s="5">
        <v>181589200.18011501</v>
      </c>
      <c r="Y90" s="5">
        <v>40648872.287958004</v>
      </c>
    </row>
    <row r="91" spans="1:25" x14ac:dyDescent="0.45">
      <c r="A91" s="5" t="s">
        <v>106</v>
      </c>
      <c r="B91" s="5">
        <v>3788692.1175577599</v>
      </c>
      <c r="C91" s="5">
        <v>8445984.4952726699</v>
      </c>
      <c r="D91" s="5">
        <v>8188410.8466958003</v>
      </c>
      <c r="E91" s="5">
        <v>2596874.2823732002</v>
      </c>
      <c r="F91" s="5">
        <v>1448867.24720049</v>
      </c>
      <c r="G91" s="5">
        <v>15385924.949191401</v>
      </c>
      <c r="H91" s="5">
        <v>15550591.234798601</v>
      </c>
      <c r="I91" s="5">
        <v>5492295.9035352599</v>
      </c>
      <c r="J91" s="5">
        <v>3591041.4016439798</v>
      </c>
      <c r="K91" s="5">
        <v>2343949.9597283402</v>
      </c>
      <c r="L91" s="5">
        <v>1829040.9442403901</v>
      </c>
      <c r="M91" s="5">
        <v>6489502.7134390296</v>
      </c>
      <c r="N91" s="5">
        <v>15150184.267996199</v>
      </c>
      <c r="O91" s="5">
        <v>16094649.3538101</v>
      </c>
      <c r="P91" s="5">
        <v>6909300.0662309099</v>
      </c>
      <c r="Q91" s="5">
        <v>9567339.3173675109</v>
      </c>
      <c r="R91" s="5">
        <v>2914474.0633105901</v>
      </c>
      <c r="S91" s="5">
        <v>9574430.2549462598</v>
      </c>
      <c r="T91" s="5">
        <v>2900600.6011600401</v>
      </c>
      <c r="U91" s="5">
        <v>13613196.772270299</v>
      </c>
      <c r="V91" s="5">
        <v>15631427.209476599</v>
      </c>
      <c r="W91" s="5">
        <v>12465720.285814701</v>
      </c>
      <c r="X91" s="5">
        <v>4093546.36533943</v>
      </c>
      <c r="Y91" s="5">
        <v>9995128.4676518906</v>
      </c>
    </row>
    <row r="92" spans="1:25" x14ac:dyDescent="0.45">
      <c r="A92" s="5" t="s">
        <v>107</v>
      </c>
      <c r="B92" s="5">
        <v>49052.110684140302</v>
      </c>
      <c r="C92" s="5">
        <v>1242274.8740465201</v>
      </c>
      <c r="D92" s="5">
        <v>54854.368872413397</v>
      </c>
      <c r="E92" s="5">
        <v>47730.134023973696</v>
      </c>
      <c r="F92" s="5">
        <v>46800.464679250799</v>
      </c>
      <c r="G92" s="5">
        <v>496099.73778515903</v>
      </c>
      <c r="H92" s="5">
        <v>758980.28640525602</v>
      </c>
      <c r="I92" s="5">
        <v>84210.546672787197</v>
      </c>
      <c r="J92" s="5">
        <v>41326.265052778501</v>
      </c>
      <c r="K92" s="5">
        <v>577231.35048506805</v>
      </c>
      <c r="L92" s="5">
        <v>59491.454245833404</v>
      </c>
      <c r="M92" s="5">
        <v>260899.962930779</v>
      </c>
      <c r="N92" s="5">
        <v>2553412.0688631302</v>
      </c>
      <c r="O92" s="5">
        <v>3245110.68254381</v>
      </c>
      <c r="P92" s="5">
        <v>705422.52927831304</v>
      </c>
      <c r="Q92" s="5">
        <v>1313919.0221370601</v>
      </c>
      <c r="R92" s="5">
        <v>41608.3638722287</v>
      </c>
      <c r="S92" s="5">
        <v>840246.32733203296</v>
      </c>
      <c r="T92" s="5">
        <v>149192.89715643899</v>
      </c>
      <c r="U92" s="5">
        <v>1275933.9665225099</v>
      </c>
      <c r="V92" s="5">
        <v>1970196.9745912801</v>
      </c>
      <c r="W92" s="5">
        <v>526918.47732814203</v>
      </c>
      <c r="X92" s="5">
        <v>461870.01719051303</v>
      </c>
      <c r="Y92" s="5">
        <v>558928.27220709797</v>
      </c>
    </row>
    <row r="93" spans="1:25" x14ac:dyDescent="0.45">
      <c r="A93" s="5" t="s">
        <v>108</v>
      </c>
      <c r="B93" s="5">
        <v>25585907.5997856</v>
      </c>
      <c r="C93" s="5">
        <v>20718267.443584099</v>
      </c>
      <c r="D93" s="5">
        <v>24934794.4091691</v>
      </c>
      <c r="E93" s="5">
        <v>21641239.844296802</v>
      </c>
      <c r="F93" s="5">
        <v>23984667.646466501</v>
      </c>
      <c r="G93" s="5">
        <v>22602746.768890999</v>
      </c>
      <c r="H93" s="5">
        <v>24454870.965128399</v>
      </c>
      <c r="I93" s="5">
        <v>26684555.797248099</v>
      </c>
      <c r="J93" s="5">
        <v>23217666.140170399</v>
      </c>
      <c r="K93" s="5">
        <v>18357694.454425599</v>
      </c>
      <c r="L93" s="5">
        <v>10332493.579235001</v>
      </c>
      <c r="M93" s="5">
        <v>27610975.0655501</v>
      </c>
      <c r="N93" s="5">
        <v>7939690.1652079597</v>
      </c>
      <c r="O93" s="5">
        <v>8815387.6933631208</v>
      </c>
      <c r="P93" s="5">
        <v>11614326.702684101</v>
      </c>
      <c r="Q93" s="5">
        <v>7177475.6076865001</v>
      </c>
      <c r="R93" s="5">
        <v>22123900.775373898</v>
      </c>
      <c r="S93" s="5">
        <v>28390637.896176301</v>
      </c>
      <c r="T93" s="5">
        <v>27165481.091635499</v>
      </c>
      <c r="U93" s="5">
        <v>29315410.5712937</v>
      </c>
      <c r="V93" s="5">
        <v>26414345.6808904</v>
      </c>
      <c r="W93" s="5">
        <v>26101944.702699199</v>
      </c>
      <c r="X93" s="5">
        <v>46637170.952535599</v>
      </c>
      <c r="Y93" s="5">
        <v>30219778.0957116</v>
      </c>
    </row>
    <row r="94" spans="1:25" x14ac:dyDescent="0.45">
      <c r="A94" s="5" t="s">
        <v>109</v>
      </c>
      <c r="B94" s="5">
        <v>1205706.75450234</v>
      </c>
      <c r="C94" s="5">
        <v>394143.38867333398</v>
      </c>
      <c r="D94" s="5">
        <v>337373.69357662398</v>
      </c>
      <c r="E94" s="5">
        <v>490252.61721030599</v>
      </c>
      <c r="F94" s="5">
        <v>939171.21400349902</v>
      </c>
      <c r="G94" s="5">
        <v>495042.24542986602</v>
      </c>
      <c r="H94" s="5">
        <v>511897.14842902002</v>
      </c>
      <c r="I94" s="5">
        <v>754433.71317460702</v>
      </c>
      <c r="J94" s="5">
        <v>649040.320961121</v>
      </c>
      <c r="K94" s="5">
        <v>665441.57490626397</v>
      </c>
      <c r="L94" s="5">
        <v>527733.29834849201</v>
      </c>
      <c r="M94" s="5">
        <v>286766.968322984</v>
      </c>
      <c r="N94" s="5">
        <v>240612.74747672401</v>
      </c>
      <c r="O94" s="5">
        <v>682094.15286612499</v>
      </c>
      <c r="P94" s="5">
        <v>1220051.6034345201</v>
      </c>
      <c r="Q94" s="5">
        <v>158139.89627960001</v>
      </c>
      <c r="R94" s="5">
        <v>1381683.2955896601</v>
      </c>
      <c r="S94" s="5">
        <v>506384.31029961299</v>
      </c>
      <c r="T94" s="5">
        <v>369962.85413404898</v>
      </c>
      <c r="U94" s="5">
        <v>609045.66505889699</v>
      </c>
      <c r="V94" s="5">
        <v>143710.30178325099</v>
      </c>
      <c r="W94" s="5">
        <v>1182157.50084213</v>
      </c>
      <c r="X94" s="5">
        <v>381966.259188784</v>
      </c>
      <c r="Y94" s="5">
        <v>940867.48818523099</v>
      </c>
    </row>
    <row r="95" spans="1:25" x14ac:dyDescent="0.45">
      <c r="A95" s="5" t="s">
        <v>110</v>
      </c>
      <c r="B95" s="5">
        <v>23705362.531489301</v>
      </c>
      <c r="C95" s="5">
        <v>29035286.341635</v>
      </c>
      <c r="D95" s="5">
        <v>19460933.1085274</v>
      </c>
      <c r="E95" s="5">
        <v>37975586.677673496</v>
      </c>
      <c r="F95" s="5">
        <v>37986860.520889901</v>
      </c>
      <c r="G95" s="5">
        <v>13561369.1400504</v>
      </c>
      <c r="H95" s="5">
        <v>28662546.860423401</v>
      </c>
      <c r="I95" s="5">
        <v>32962646.518095601</v>
      </c>
      <c r="J95" s="5">
        <v>28180632.460816</v>
      </c>
      <c r="K95" s="5">
        <v>22610517.4099163</v>
      </c>
      <c r="L95" s="5">
        <v>31107553.678760201</v>
      </c>
      <c r="M95" s="5">
        <v>32384519.479057498</v>
      </c>
      <c r="N95" s="5">
        <v>31420725.114176098</v>
      </c>
      <c r="O95" s="5">
        <v>9759390.4299575891</v>
      </c>
      <c r="P95" s="5">
        <v>30363684.245851401</v>
      </c>
      <c r="Q95" s="5">
        <v>45235832.301721402</v>
      </c>
      <c r="R95" s="5">
        <v>6913705.9394763904</v>
      </c>
      <c r="S95" s="5">
        <v>44739697.702110603</v>
      </c>
      <c r="T95" s="5">
        <v>19244338.721733999</v>
      </c>
      <c r="U95" s="5">
        <v>35763803.553108104</v>
      </c>
      <c r="V95" s="5">
        <v>38412444.9254198</v>
      </c>
      <c r="W95" s="5">
        <v>40215365.256843798</v>
      </c>
      <c r="X95" s="5">
        <v>69538836.644035205</v>
      </c>
      <c r="Y95" s="5">
        <v>12261653.763679599</v>
      </c>
    </row>
    <row r="96" spans="1:25" x14ac:dyDescent="0.45">
      <c r="A96" s="5" t="s">
        <v>368</v>
      </c>
      <c r="B96" s="5">
        <v>20497406.032534499</v>
      </c>
      <c r="C96" s="5">
        <v>22233500.4859652</v>
      </c>
      <c r="D96" s="5">
        <v>10632221.5825029</v>
      </c>
      <c r="E96" s="5">
        <v>25597559.8715427</v>
      </c>
      <c r="F96" s="5">
        <v>23484559.589975901</v>
      </c>
      <c r="G96" s="5">
        <v>22964061.139694098</v>
      </c>
      <c r="H96" s="5">
        <v>35468437.453663401</v>
      </c>
      <c r="I96" s="5">
        <v>35698388.878414601</v>
      </c>
      <c r="J96" s="5">
        <v>30330890.247103099</v>
      </c>
      <c r="K96" s="5">
        <v>50184378.268601</v>
      </c>
      <c r="L96" s="5">
        <v>24576561.602704801</v>
      </c>
      <c r="M96" s="5">
        <v>23232652.053429</v>
      </c>
      <c r="N96" s="5">
        <v>16008092.1064907</v>
      </c>
      <c r="O96" s="5">
        <v>42811090.148209803</v>
      </c>
      <c r="P96" s="5">
        <v>26204011.1651727</v>
      </c>
      <c r="Q96" s="5">
        <v>13233437.5020607</v>
      </c>
      <c r="R96" s="5">
        <v>34303276.853438899</v>
      </c>
      <c r="S96" s="5">
        <v>30993885.8822948</v>
      </c>
      <c r="T96" s="5">
        <v>26317218.036764499</v>
      </c>
      <c r="U96" s="5">
        <v>38508796.913174599</v>
      </c>
      <c r="V96" s="5">
        <v>28112928.520666301</v>
      </c>
      <c r="W96" s="5">
        <v>37780110.3968606</v>
      </c>
      <c r="X96" s="5">
        <v>26432585.377848901</v>
      </c>
      <c r="Y96" s="5">
        <v>29775577.185224298</v>
      </c>
    </row>
    <row r="97" spans="1:25" x14ac:dyDescent="0.45">
      <c r="A97" s="5" t="s">
        <v>111</v>
      </c>
      <c r="B97" s="5">
        <v>40454221.925804697</v>
      </c>
      <c r="C97" s="5">
        <v>85678256.116708294</v>
      </c>
      <c r="D97" s="5">
        <v>48119585.830599502</v>
      </c>
      <c r="E97" s="5">
        <v>26046196.4871682</v>
      </c>
      <c r="F97" s="5">
        <v>24631914.138104498</v>
      </c>
      <c r="G97" s="5">
        <v>39234424.148361899</v>
      </c>
      <c r="H97" s="5">
        <v>58156003.335466899</v>
      </c>
      <c r="I97" s="5">
        <v>19211453.516961399</v>
      </c>
      <c r="J97" s="5">
        <v>30799131.5267451</v>
      </c>
      <c r="K97" s="5">
        <v>10065610.3456065</v>
      </c>
      <c r="L97" s="5">
        <v>17534598.282451101</v>
      </c>
      <c r="M97" s="5">
        <v>42228709.116676301</v>
      </c>
      <c r="N97" s="5">
        <v>60606699.117177702</v>
      </c>
      <c r="O97" s="5">
        <v>123344113.33179501</v>
      </c>
      <c r="P97" s="5">
        <v>70603275.111723393</v>
      </c>
      <c r="Q97" s="5">
        <v>65263528.493133202</v>
      </c>
      <c r="R97" s="5">
        <v>23318823.7663959</v>
      </c>
      <c r="S97" s="5">
        <v>47642653.089829803</v>
      </c>
      <c r="T97" s="5">
        <v>33116478.423249699</v>
      </c>
      <c r="U97" s="5">
        <v>72850504.116378397</v>
      </c>
      <c r="V97" s="5">
        <v>112175337.06197301</v>
      </c>
      <c r="W97" s="5">
        <v>64297719.625163302</v>
      </c>
      <c r="X97" s="5">
        <v>39775611.770606503</v>
      </c>
      <c r="Y97" s="5">
        <v>54447947.249156602</v>
      </c>
    </row>
    <row r="98" spans="1:25" x14ac:dyDescent="0.45">
      <c r="A98" s="5" t="s">
        <v>288</v>
      </c>
      <c r="B98" s="5">
        <v>436311975.786928</v>
      </c>
      <c r="C98" s="5">
        <v>815793044.42286694</v>
      </c>
      <c r="D98" s="5">
        <v>484210882.85442001</v>
      </c>
      <c r="E98" s="5">
        <v>852068439.62747598</v>
      </c>
      <c r="F98" s="5">
        <v>602095523.80638599</v>
      </c>
      <c r="G98" s="5">
        <v>819678432.31291199</v>
      </c>
      <c r="H98" s="5">
        <v>352215063.18519998</v>
      </c>
      <c r="I98" s="5">
        <v>465421239.31785202</v>
      </c>
      <c r="J98" s="5">
        <v>806813755.37272799</v>
      </c>
      <c r="K98" s="5">
        <v>1194458950.93241</v>
      </c>
      <c r="L98" s="5">
        <v>806118048.02441299</v>
      </c>
      <c r="M98" s="5">
        <v>1627870420.89676</v>
      </c>
      <c r="N98" s="5">
        <v>955659312.43521798</v>
      </c>
      <c r="O98" s="5">
        <v>1012262369.01464</v>
      </c>
      <c r="P98" s="5">
        <v>748868246.96617901</v>
      </c>
      <c r="Q98" s="5">
        <v>1794329257.88925</v>
      </c>
      <c r="R98" s="5">
        <v>1357991381.3970399</v>
      </c>
      <c r="S98" s="5">
        <v>1944314458.80604</v>
      </c>
      <c r="T98" s="5">
        <v>616181912.95973694</v>
      </c>
      <c r="U98" s="5">
        <v>761591745.460096</v>
      </c>
      <c r="V98" s="5">
        <v>616393317.81106997</v>
      </c>
      <c r="W98" s="5">
        <v>767419558.28231597</v>
      </c>
      <c r="X98" s="5">
        <v>896359320.55029595</v>
      </c>
      <c r="Y98" s="5">
        <v>885789150.96352899</v>
      </c>
    </row>
    <row r="99" spans="1:25" x14ac:dyDescent="0.45">
      <c r="A99" s="5" t="s">
        <v>112</v>
      </c>
      <c r="B99" s="5">
        <v>9299641.7692829594</v>
      </c>
      <c r="C99" s="5">
        <v>17828159.1284055</v>
      </c>
      <c r="D99" s="5">
        <v>10384944.619405299</v>
      </c>
      <c r="E99" s="5">
        <v>12849576.2379255</v>
      </c>
      <c r="F99" s="5">
        <v>15761817.349819399</v>
      </c>
      <c r="G99" s="5">
        <v>20404177.7560343</v>
      </c>
      <c r="H99" s="5">
        <v>21639499.506627899</v>
      </c>
      <c r="I99" s="5">
        <v>45208476.641446702</v>
      </c>
      <c r="J99" s="5">
        <v>9972422.7402701695</v>
      </c>
      <c r="K99" s="5">
        <v>31942633.729500402</v>
      </c>
      <c r="L99" s="5">
        <v>13761364.439142199</v>
      </c>
      <c r="M99" s="5">
        <v>24576463.401572101</v>
      </c>
      <c r="N99" s="5">
        <v>118805078.83885901</v>
      </c>
      <c r="O99" s="5">
        <v>26849907.074438699</v>
      </c>
      <c r="P99" s="5">
        <v>40168273.550297096</v>
      </c>
      <c r="Q99" s="5">
        <v>14762777.2489329</v>
      </c>
      <c r="R99" s="5">
        <v>12891859.749954499</v>
      </c>
      <c r="S99" s="5">
        <v>12224507.1916239</v>
      </c>
      <c r="T99" s="5">
        <v>12812716.8988555</v>
      </c>
      <c r="U99" s="5">
        <v>29683966.405230202</v>
      </c>
      <c r="V99" s="5">
        <v>33996596.2329579</v>
      </c>
      <c r="W99" s="5">
        <v>22145860.764319699</v>
      </c>
      <c r="X99" s="5">
        <v>27325272.2128403</v>
      </c>
      <c r="Y99" s="5">
        <v>19902165.527579401</v>
      </c>
    </row>
    <row r="100" spans="1:25" x14ac:dyDescent="0.45">
      <c r="A100" s="5" t="s">
        <v>113</v>
      </c>
      <c r="B100" s="5">
        <v>6418762.4983693203</v>
      </c>
      <c r="C100" s="5">
        <v>12113115.6108617</v>
      </c>
      <c r="D100" s="5">
        <v>6597712.8396255402</v>
      </c>
      <c r="E100" s="5">
        <v>4475410.2040676596</v>
      </c>
      <c r="F100" s="5">
        <v>6337351.8689288301</v>
      </c>
      <c r="G100" s="5">
        <v>9596455.1201408207</v>
      </c>
      <c r="H100" s="5">
        <v>5208794.9079002803</v>
      </c>
      <c r="I100" s="5">
        <v>5298667.2457223898</v>
      </c>
      <c r="J100" s="5">
        <v>5184635.3833392998</v>
      </c>
      <c r="K100" s="5">
        <v>1940030.0353445399</v>
      </c>
      <c r="L100" s="5">
        <v>1951495.8312068</v>
      </c>
      <c r="M100" s="5">
        <v>3644166.49024656</v>
      </c>
      <c r="N100" s="5">
        <v>13016795.245422101</v>
      </c>
      <c r="O100" s="5">
        <v>22571073.163979098</v>
      </c>
      <c r="P100" s="5">
        <v>15363635.7247515</v>
      </c>
      <c r="Q100" s="5">
        <v>3660462.9786385498</v>
      </c>
      <c r="R100" s="5">
        <v>2917480.8728425298</v>
      </c>
      <c r="S100" s="5">
        <v>5493967.1352055501</v>
      </c>
      <c r="T100" s="5">
        <v>5761769.5551946303</v>
      </c>
      <c r="U100" s="5">
        <v>4705445.93730783</v>
      </c>
      <c r="V100" s="5">
        <v>10113319.601871699</v>
      </c>
      <c r="W100" s="5">
        <v>8474375.8177183401</v>
      </c>
      <c r="X100" s="5">
        <v>2730261.49176133</v>
      </c>
      <c r="Y100" s="5">
        <v>12731020.8797097</v>
      </c>
    </row>
    <row r="101" spans="1:25" x14ac:dyDescent="0.45">
      <c r="A101" s="5" t="s">
        <v>114</v>
      </c>
      <c r="B101" s="5">
        <v>134196225.391022</v>
      </c>
      <c r="C101" s="5">
        <v>83030585.516431496</v>
      </c>
      <c r="D101" s="5">
        <v>144537265.44825199</v>
      </c>
      <c r="E101" s="5">
        <v>120974817.79901101</v>
      </c>
      <c r="F101" s="5">
        <v>110194392.184624</v>
      </c>
      <c r="G101" s="5">
        <v>123852172.59091599</v>
      </c>
      <c r="H101" s="5">
        <v>74535026.202396199</v>
      </c>
      <c r="I101" s="5">
        <v>235658444.62035099</v>
      </c>
      <c r="J101" s="5">
        <v>172142335.778873</v>
      </c>
      <c r="K101" s="5">
        <v>155042686.21457699</v>
      </c>
      <c r="L101" s="5">
        <v>130002245.915989</v>
      </c>
      <c r="M101" s="5">
        <v>181723144.37954</v>
      </c>
      <c r="N101" s="5">
        <v>97243318.355477706</v>
      </c>
      <c r="O101" s="5">
        <v>88002172.465365499</v>
      </c>
      <c r="P101" s="5">
        <v>71245447.136014104</v>
      </c>
      <c r="Q101" s="5">
        <v>138114427.45748299</v>
      </c>
      <c r="R101" s="5">
        <v>183102564.130229</v>
      </c>
      <c r="S101" s="5">
        <v>107196150.911192</v>
      </c>
      <c r="T101" s="5">
        <v>94312315.512649104</v>
      </c>
      <c r="U101" s="5">
        <v>76845091.9368774</v>
      </c>
      <c r="V101" s="5">
        <v>86983309.765948102</v>
      </c>
      <c r="W101" s="5">
        <v>107061760.128612</v>
      </c>
      <c r="X101" s="5">
        <v>126616202.33033</v>
      </c>
      <c r="Y101" s="5">
        <v>78902091.611197993</v>
      </c>
    </row>
    <row r="102" spans="1:25" x14ac:dyDescent="0.45">
      <c r="A102" s="5" t="s">
        <v>351</v>
      </c>
      <c r="B102" s="5">
        <v>224895235.16710499</v>
      </c>
      <c r="C102" s="5">
        <v>196481457.25608301</v>
      </c>
      <c r="D102" s="5">
        <v>213417401.26374599</v>
      </c>
      <c r="E102" s="5">
        <v>77147015.078442499</v>
      </c>
      <c r="F102" s="5">
        <v>121503674.71062399</v>
      </c>
      <c r="G102" s="5">
        <v>94471363.632460296</v>
      </c>
      <c r="H102" s="5">
        <v>202460450.02144399</v>
      </c>
      <c r="I102" s="5">
        <v>346356643.87257802</v>
      </c>
      <c r="J102" s="5">
        <v>189101626.557174</v>
      </c>
      <c r="K102" s="5">
        <v>213737463.83918101</v>
      </c>
      <c r="L102" s="5">
        <v>299148108.46672899</v>
      </c>
      <c r="M102" s="5">
        <v>269175586.71267802</v>
      </c>
      <c r="N102" s="5">
        <v>289603389.61424297</v>
      </c>
      <c r="O102" s="5">
        <v>187660457.82897401</v>
      </c>
      <c r="P102" s="5">
        <v>254723108.784953</v>
      </c>
      <c r="Q102" s="5">
        <v>103059386.078668</v>
      </c>
      <c r="R102" s="5">
        <v>149132616.81156701</v>
      </c>
      <c r="S102" s="5">
        <v>147159787.15571699</v>
      </c>
      <c r="T102" s="5">
        <v>60238982.839937903</v>
      </c>
      <c r="U102" s="5">
        <v>51904109.567239001</v>
      </c>
      <c r="V102" s="5">
        <v>28955433.944042102</v>
      </c>
      <c r="W102" s="5">
        <v>194065402.39021301</v>
      </c>
      <c r="X102" s="5">
        <v>134843191.35451099</v>
      </c>
      <c r="Y102" s="5">
        <v>14474447.513101799</v>
      </c>
    </row>
    <row r="103" spans="1:25" x14ac:dyDescent="0.45">
      <c r="A103" s="5" t="s">
        <v>289</v>
      </c>
      <c r="B103" s="5">
        <v>39752251.364083402</v>
      </c>
      <c r="C103" s="5">
        <v>47566842.341463901</v>
      </c>
      <c r="D103" s="5">
        <v>27551306.668241698</v>
      </c>
      <c r="E103" s="5">
        <v>38583204.6981989</v>
      </c>
      <c r="F103" s="5">
        <v>43164748.2100356</v>
      </c>
      <c r="G103" s="5">
        <v>32094708.797551699</v>
      </c>
      <c r="H103" s="5">
        <v>69511722.015686706</v>
      </c>
      <c r="I103" s="5">
        <v>6334289.8589498196</v>
      </c>
      <c r="J103" s="5">
        <v>76720435.111889496</v>
      </c>
      <c r="K103" s="5">
        <v>45600881.498236597</v>
      </c>
      <c r="L103" s="5">
        <v>64155722.1812336</v>
      </c>
      <c r="M103" s="5">
        <v>59756156.542521797</v>
      </c>
      <c r="N103" s="5">
        <v>17579452.309742399</v>
      </c>
      <c r="O103" s="5">
        <v>82283348.142222598</v>
      </c>
      <c r="P103" s="5">
        <v>49727263.543170802</v>
      </c>
      <c r="Q103" s="5">
        <v>11065936.0880465</v>
      </c>
      <c r="R103" s="5">
        <v>45686712.655563302</v>
      </c>
      <c r="S103" s="5">
        <v>42588660.646888599</v>
      </c>
      <c r="T103" s="5">
        <v>41553519.254277602</v>
      </c>
      <c r="U103" s="5">
        <v>88754942.165201396</v>
      </c>
      <c r="V103" s="5">
        <v>53738981.2330475</v>
      </c>
      <c r="W103" s="5">
        <v>46528421.835774101</v>
      </c>
      <c r="X103" s="5">
        <v>58082237.527580298</v>
      </c>
      <c r="Y103" s="5">
        <v>41932986.9765248</v>
      </c>
    </row>
    <row r="104" spans="1:25" x14ac:dyDescent="0.45">
      <c r="A104" s="5" t="s">
        <v>438</v>
      </c>
      <c r="B104" s="5">
        <v>187051558.917447</v>
      </c>
      <c r="C104" s="5">
        <v>1515266880.4154501</v>
      </c>
      <c r="D104" s="5">
        <v>2691751383.1387801</v>
      </c>
      <c r="E104" s="5">
        <v>1370227922.5850501</v>
      </c>
      <c r="F104" s="5">
        <v>845103367.03894901</v>
      </c>
      <c r="G104" s="5">
        <v>1476703360.3822801</v>
      </c>
      <c r="H104" s="5">
        <v>2205497970.3493299</v>
      </c>
      <c r="I104" s="5">
        <v>6701753777.1187601</v>
      </c>
      <c r="J104" s="5">
        <v>2936018493.42241</v>
      </c>
      <c r="K104" s="5">
        <v>147556990.161899</v>
      </c>
      <c r="L104" s="5">
        <v>2629031179.77946</v>
      </c>
      <c r="M104" s="5">
        <v>1744860130.2212901</v>
      </c>
      <c r="N104" s="5">
        <v>2593924622.1939502</v>
      </c>
      <c r="O104" s="5">
        <v>2800605513.70155</v>
      </c>
      <c r="P104" s="5">
        <v>2982150554.0817399</v>
      </c>
      <c r="Q104" s="5">
        <v>1912875045.5678699</v>
      </c>
      <c r="R104" s="5">
        <v>452898340.67804497</v>
      </c>
      <c r="S104" s="5">
        <v>3276430472.90412</v>
      </c>
      <c r="T104" s="5">
        <v>346243813.14264399</v>
      </c>
      <c r="U104" s="5">
        <v>219959714.24070999</v>
      </c>
      <c r="V104" s="5">
        <v>264843143.39647201</v>
      </c>
      <c r="W104" s="5">
        <v>264966296.338936</v>
      </c>
      <c r="X104" s="5">
        <v>3658772937.8090601</v>
      </c>
      <c r="Y104" s="5">
        <v>358529761.858899</v>
      </c>
    </row>
    <row r="105" spans="1:25" x14ac:dyDescent="0.45">
      <c r="A105" s="5" t="s">
        <v>115</v>
      </c>
      <c r="B105" s="5">
        <v>30165502.230822898</v>
      </c>
      <c r="C105" s="5">
        <v>48985415.564163499</v>
      </c>
      <c r="D105" s="5">
        <v>64184957.585930899</v>
      </c>
      <c r="E105" s="5">
        <v>56881365.581625499</v>
      </c>
      <c r="F105" s="5">
        <v>97720236.294015795</v>
      </c>
      <c r="G105" s="5">
        <v>62722212.355601497</v>
      </c>
      <c r="H105" s="5">
        <v>41769648.2857152</v>
      </c>
      <c r="I105" s="5">
        <v>337949906.40893501</v>
      </c>
      <c r="J105" s="5">
        <v>94292857.9551934</v>
      </c>
      <c r="K105" s="5">
        <v>52150406.067462102</v>
      </c>
      <c r="L105" s="5">
        <v>76399783.143487602</v>
      </c>
      <c r="M105" s="5">
        <v>44312722.254862197</v>
      </c>
      <c r="N105" s="5">
        <v>79199076.387386993</v>
      </c>
      <c r="O105" s="5">
        <v>75290869.437805504</v>
      </c>
      <c r="P105" s="5">
        <v>34863162.235087201</v>
      </c>
      <c r="Q105" s="5">
        <v>46872887.781011902</v>
      </c>
      <c r="R105" s="5">
        <v>49172549.164793402</v>
      </c>
      <c r="S105" s="5">
        <v>38796223.638159499</v>
      </c>
      <c r="T105" s="5">
        <v>84801825.174881294</v>
      </c>
      <c r="U105" s="5">
        <v>99872750.818078801</v>
      </c>
      <c r="V105" s="5">
        <v>75805948.2975595</v>
      </c>
      <c r="W105" s="5">
        <v>26352188.323649101</v>
      </c>
      <c r="X105" s="5">
        <v>142249592.21183199</v>
      </c>
      <c r="Y105" s="5">
        <v>32769860.8581242</v>
      </c>
    </row>
    <row r="106" spans="1:25" x14ac:dyDescent="0.45">
      <c r="A106" s="5" t="s">
        <v>374</v>
      </c>
      <c r="B106" s="5">
        <v>26899768.892090902</v>
      </c>
      <c r="C106" s="5">
        <v>89210188.898777798</v>
      </c>
      <c r="D106" s="5">
        <v>73354497.152584195</v>
      </c>
      <c r="E106" s="5">
        <v>38114306.704362698</v>
      </c>
      <c r="F106" s="5">
        <v>56859912.525573097</v>
      </c>
      <c r="G106" s="5">
        <v>57049363.205602199</v>
      </c>
      <c r="H106" s="5">
        <v>54768203.351768903</v>
      </c>
      <c r="I106" s="5">
        <v>433151720.905536</v>
      </c>
      <c r="J106" s="5">
        <v>70709590.602269202</v>
      </c>
      <c r="K106" s="5">
        <v>155772677.36123499</v>
      </c>
      <c r="L106" s="5">
        <v>45393282.236923598</v>
      </c>
      <c r="M106" s="5">
        <v>85242432.3620231</v>
      </c>
      <c r="N106" s="5">
        <v>189107573.10385799</v>
      </c>
      <c r="O106" s="5">
        <v>168307278.74213701</v>
      </c>
      <c r="P106" s="5">
        <v>132653503.78138199</v>
      </c>
      <c r="Q106" s="5">
        <v>129774484.763172</v>
      </c>
      <c r="R106" s="5">
        <v>55714954.808815002</v>
      </c>
      <c r="S106" s="5">
        <v>58540940.603177398</v>
      </c>
      <c r="T106" s="5">
        <v>46804840.516477503</v>
      </c>
      <c r="U106" s="5">
        <v>72558775.4468638</v>
      </c>
      <c r="V106" s="5">
        <v>98906898.626752198</v>
      </c>
      <c r="W106" s="5">
        <v>56939099.049799003</v>
      </c>
      <c r="X106" s="5">
        <v>221673819.20947099</v>
      </c>
      <c r="Y106" s="5">
        <v>39526187.186221898</v>
      </c>
    </row>
    <row r="107" spans="1:25" x14ac:dyDescent="0.45">
      <c r="A107" s="5" t="s">
        <v>116</v>
      </c>
      <c r="B107" s="5">
        <v>14103365.1967989</v>
      </c>
      <c r="C107" s="5">
        <v>9139796.6896889899</v>
      </c>
      <c r="D107" s="5">
        <v>12442880.3298919</v>
      </c>
      <c r="E107" s="5">
        <v>9522634.6309255008</v>
      </c>
      <c r="F107" s="5">
        <v>13154133.3882348</v>
      </c>
      <c r="G107" s="5">
        <v>2886047.7151734801</v>
      </c>
      <c r="H107" s="5">
        <v>8961020.0795134604</v>
      </c>
      <c r="I107" s="5">
        <v>2343165.1581918299</v>
      </c>
      <c r="J107" s="5">
        <v>11544865.7315915</v>
      </c>
      <c r="K107" s="5">
        <v>14417566.454902301</v>
      </c>
      <c r="L107" s="5">
        <v>8288906.3419010602</v>
      </c>
      <c r="M107" s="5">
        <v>6925622.9017668897</v>
      </c>
      <c r="N107" s="5">
        <v>10191463.924862901</v>
      </c>
      <c r="O107" s="5">
        <v>8034112.4004921997</v>
      </c>
      <c r="P107" s="5">
        <v>8583617.3897351492</v>
      </c>
      <c r="Q107" s="5">
        <v>6929945.4517520899</v>
      </c>
      <c r="R107" s="5">
        <v>10792405.5131716</v>
      </c>
      <c r="S107" s="5">
        <v>11821566.2727786</v>
      </c>
      <c r="T107" s="5">
        <v>9956325.3403736092</v>
      </c>
      <c r="U107" s="5">
        <v>13395126.979700699</v>
      </c>
      <c r="V107" s="5">
        <v>10287038.921188099</v>
      </c>
      <c r="W107" s="5">
        <v>13993672.684250301</v>
      </c>
      <c r="X107" s="5">
        <v>11074903.028266501</v>
      </c>
      <c r="Y107" s="5">
        <v>9963203.6477308795</v>
      </c>
    </row>
    <row r="108" spans="1:25" x14ac:dyDescent="0.45">
      <c r="A108" s="5" t="s">
        <v>117</v>
      </c>
      <c r="B108" s="5">
        <v>631727956.18437004</v>
      </c>
      <c r="C108" s="5">
        <v>1626406899.08974</v>
      </c>
      <c r="D108" s="5">
        <v>1463781355.5395601</v>
      </c>
      <c r="E108" s="5">
        <v>503551327.33189702</v>
      </c>
      <c r="F108" s="5">
        <v>133154155.849024</v>
      </c>
      <c r="G108" s="5">
        <v>418368408.933658</v>
      </c>
      <c r="H108" s="5">
        <v>262260137.64129499</v>
      </c>
      <c r="I108" s="5">
        <v>308949812.95580101</v>
      </c>
      <c r="J108" s="5">
        <v>289092546.85188901</v>
      </c>
      <c r="K108" s="5">
        <v>109385803.126734</v>
      </c>
      <c r="L108" s="5">
        <v>259938282.27386701</v>
      </c>
      <c r="M108" s="5">
        <v>937414020.24586105</v>
      </c>
      <c r="N108" s="5">
        <v>799997642.45778501</v>
      </c>
      <c r="O108" s="5">
        <v>456634824.03798401</v>
      </c>
      <c r="P108" s="5">
        <v>162039164.43361199</v>
      </c>
      <c r="Q108" s="5">
        <v>1076028105.9093001</v>
      </c>
      <c r="R108" s="5">
        <v>286597499.14250499</v>
      </c>
      <c r="S108" s="5">
        <v>735351063.08543301</v>
      </c>
      <c r="T108" s="5">
        <v>446435633.62095797</v>
      </c>
      <c r="U108" s="5">
        <v>206746864.866061</v>
      </c>
      <c r="V108" s="5">
        <v>624480587.00917006</v>
      </c>
      <c r="W108" s="5">
        <v>359162303.55924702</v>
      </c>
      <c r="X108" s="5">
        <v>871472510.30868399</v>
      </c>
      <c r="Y108" s="5">
        <v>203879712.90739799</v>
      </c>
    </row>
    <row r="109" spans="1:25" x14ac:dyDescent="0.45">
      <c r="A109" s="5" t="s">
        <v>118</v>
      </c>
      <c r="B109" s="5">
        <v>11498455.260539301</v>
      </c>
      <c r="C109" s="5">
        <v>18063755.953988899</v>
      </c>
      <c r="D109" s="5">
        <v>13251564.907524999</v>
      </c>
      <c r="E109" s="5">
        <v>7687325.4991361704</v>
      </c>
      <c r="F109" s="5">
        <v>8159858.8274041601</v>
      </c>
      <c r="G109" s="5">
        <v>10369397.1287349</v>
      </c>
      <c r="H109" s="5">
        <v>7220979.4582283599</v>
      </c>
      <c r="I109" s="5">
        <v>14434543.436476</v>
      </c>
      <c r="J109" s="5">
        <v>6614542.1289719203</v>
      </c>
      <c r="K109" s="5">
        <v>8244876.7385107996</v>
      </c>
      <c r="L109" s="5">
        <v>8310440.8079351801</v>
      </c>
      <c r="M109" s="5">
        <v>9964073.9760832302</v>
      </c>
      <c r="N109" s="5">
        <v>12646849.7492474</v>
      </c>
      <c r="O109" s="5">
        <v>9882321.9536822997</v>
      </c>
      <c r="P109" s="5">
        <v>12336834.397218799</v>
      </c>
      <c r="Q109" s="5">
        <v>8787527.29758141</v>
      </c>
      <c r="R109" s="5">
        <v>8944823.8580288105</v>
      </c>
      <c r="S109" s="5">
        <v>10613968.406868599</v>
      </c>
      <c r="T109" s="5">
        <v>7657743.2880175496</v>
      </c>
      <c r="U109" s="5">
        <v>7645117.7641048301</v>
      </c>
      <c r="V109" s="5">
        <v>11767916.452277601</v>
      </c>
      <c r="W109" s="5">
        <v>10494267.046298699</v>
      </c>
      <c r="X109" s="5">
        <v>4519325.8993883803</v>
      </c>
      <c r="Y109" s="5">
        <v>8271355.5456380202</v>
      </c>
    </row>
    <row r="110" spans="1:25" x14ac:dyDescent="0.45">
      <c r="A110" s="5" t="s">
        <v>119</v>
      </c>
      <c r="B110" s="5">
        <v>21014594.526540998</v>
      </c>
      <c r="C110" s="5">
        <v>16661432.866822399</v>
      </c>
      <c r="D110" s="5">
        <v>18710484.027486201</v>
      </c>
      <c r="E110" s="5">
        <v>21411682.937663101</v>
      </c>
      <c r="F110" s="5">
        <v>17586099.5205734</v>
      </c>
      <c r="G110" s="5">
        <v>7785338.0188199002</v>
      </c>
      <c r="H110" s="5">
        <v>19176507.4469372</v>
      </c>
      <c r="I110" s="5">
        <v>3193647.7384375501</v>
      </c>
      <c r="J110" s="5">
        <v>16071355.5661211</v>
      </c>
      <c r="K110" s="5">
        <v>10702037.013055701</v>
      </c>
      <c r="L110" s="5">
        <v>14112424.933139401</v>
      </c>
      <c r="M110" s="5">
        <v>5868101.5491004903</v>
      </c>
      <c r="N110" s="5">
        <v>23821426.325782999</v>
      </c>
      <c r="O110" s="5">
        <v>15403271.078619899</v>
      </c>
      <c r="P110" s="5">
        <v>21576148.66336</v>
      </c>
      <c r="Q110" s="5">
        <v>15113517.418284699</v>
      </c>
      <c r="R110" s="5">
        <v>5601523.4881211501</v>
      </c>
      <c r="S110" s="5">
        <v>11527670.7474172</v>
      </c>
      <c r="T110" s="5">
        <v>22681253.1818422</v>
      </c>
      <c r="U110" s="5">
        <v>12709433.1976522</v>
      </c>
      <c r="V110" s="5">
        <v>21221688.211203199</v>
      </c>
      <c r="W110" s="5">
        <v>12769522.693406399</v>
      </c>
      <c r="X110" s="5">
        <v>4770018.2747352002</v>
      </c>
      <c r="Y110" s="5">
        <v>20867693.971161399</v>
      </c>
    </row>
    <row r="111" spans="1:25" x14ac:dyDescent="0.45">
      <c r="A111" s="5" t="s">
        <v>120</v>
      </c>
      <c r="B111" s="5">
        <v>35235629.967603602</v>
      </c>
      <c r="C111" s="5">
        <v>34941289.437463999</v>
      </c>
      <c r="D111" s="5">
        <v>31000680.821174499</v>
      </c>
      <c r="E111" s="5">
        <v>34720700.074644499</v>
      </c>
      <c r="F111" s="5">
        <v>29396841.347098202</v>
      </c>
      <c r="G111" s="5">
        <v>33441072.084619898</v>
      </c>
      <c r="H111" s="5">
        <v>31940586.604459401</v>
      </c>
      <c r="I111" s="5">
        <v>14115905.538664401</v>
      </c>
      <c r="J111" s="5">
        <v>24426326.919952601</v>
      </c>
      <c r="K111" s="5">
        <v>29772795.177372798</v>
      </c>
      <c r="L111" s="5">
        <v>40110906.679632597</v>
      </c>
      <c r="M111" s="5">
        <v>42762426.498927198</v>
      </c>
      <c r="N111" s="5">
        <v>24569301.835496798</v>
      </c>
      <c r="O111" s="5">
        <v>30675074.515165102</v>
      </c>
      <c r="P111" s="5">
        <v>31395168.897546802</v>
      </c>
      <c r="Q111" s="5">
        <v>29859226.192855299</v>
      </c>
      <c r="R111" s="5">
        <v>30139773.621511199</v>
      </c>
      <c r="S111" s="5">
        <v>35639731.621818498</v>
      </c>
      <c r="T111" s="5">
        <v>36156937.128966101</v>
      </c>
      <c r="U111" s="5">
        <v>36643330.403856099</v>
      </c>
      <c r="V111" s="5">
        <v>28978234.0531202</v>
      </c>
      <c r="W111" s="5">
        <v>24245413.002316002</v>
      </c>
      <c r="X111" s="5">
        <v>21089959.6962975</v>
      </c>
      <c r="Y111" s="5">
        <v>36776649.645189904</v>
      </c>
    </row>
    <row r="112" spans="1:25" x14ac:dyDescent="0.45">
      <c r="A112" s="5" t="s">
        <v>121</v>
      </c>
      <c r="B112" s="5">
        <v>3281100.22432577</v>
      </c>
      <c r="C112" s="5">
        <v>507097.54510601598</v>
      </c>
      <c r="D112" s="5">
        <v>5105039.1531683896</v>
      </c>
      <c r="E112" s="5">
        <v>4324829.4029494701</v>
      </c>
      <c r="F112" s="5">
        <v>13131572.8470465</v>
      </c>
      <c r="G112" s="5">
        <v>7356977.4609611603</v>
      </c>
      <c r="H112" s="5">
        <v>3904976.0323243998</v>
      </c>
      <c r="I112" s="5">
        <v>7652705.4146282598</v>
      </c>
      <c r="J112" s="5">
        <v>5466834.27645755</v>
      </c>
      <c r="K112" s="5">
        <v>18666566.932257101</v>
      </c>
      <c r="L112" s="5">
        <v>15897162.268498899</v>
      </c>
      <c r="M112" s="5">
        <v>3743187.38580616</v>
      </c>
      <c r="N112" s="5">
        <v>4826414.4769834299</v>
      </c>
      <c r="O112" s="5">
        <v>3956756.0606252002</v>
      </c>
      <c r="P112" s="5">
        <v>3733934.2270647599</v>
      </c>
      <c r="Q112" s="5">
        <v>7393052.0057249302</v>
      </c>
      <c r="R112" s="5">
        <v>8646119.7106424104</v>
      </c>
      <c r="S112" s="5">
        <v>4571537.5185535802</v>
      </c>
      <c r="T112" s="5">
        <v>3910569.0669222502</v>
      </c>
      <c r="U112" s="5">
        <v>3745385.8425276801</v>
      </c>
      <c r="V112" s="5">
        <v>4035292.2499761698</v>
      </c>
      <c r="W112" s="5">
        <v>4765777.2727580899</v>
      </c>
      <c r="X112" s="5">
        <v>2519998.6450687801</v>
      </c>
      <c r="Y112" s="5">
        <v>5025849.5596877597</v>
      </c>
    </row>
    <row r="113" spans="1:25" x14ac:dyDescent="0.45">
      <c r="A113" s="5" t="s">
        <v>122</v>
      </c>
      <c r="B113" s="5">
        <v>7969994.8119786801</v>
      </c>
      <c r="C113" s="5">
        <v>9357267.2371112797</v>
      </c>
      <c r="D113" s="5">
        <v>7734829.4097638996</v>
      </c>
      <c r="E113" s="5">
        <v>4684094.8353814203</v>
      </c>
      <c r="F113" s="5">
        <v>6153733.1255960502</v>
      </c>
      <c r="G113" s="5">
        <v>9097835.2387459893</v>
      </c>
      <c r="H113" s="5">
        <v>4884767.2700370997</v>
      </c>
      <c r="I113" s="5">
        <v>3787329.54630931</v>
      </c>
      <c r="J113" s="5">
        <v>3533603.6855398598</v>
      </c>
      <c r="K113" s="5">
        <v>594758.30728555704</v>
      </c>
      <c r="L113" s="5">
        <v>5520547.8194236299</v>
      </c>
      <c r="M113" s="5">
        <v>3686374.12677396</v>
      </c>
      <c r="N113" s="5">
        <v>8558189.3189146109</v>
      </c>
      <c r="O113" s="5">
        <v>851904.030057539</v>
      </c>
      <c r="P113" s="5">
        <v>568347.00574280298</v>
      </c>
      <c r="Q113" s="5">
        <v>5123265.0506249201</v>
      </c>
      <c r="R113" s="5">
        <v>3191639.2032899498</v>
      </c>
      <c r="S113" s="5">
        <v>7755396.8135697199</v>
      </c>
      <c r="T113" s="5">
        <v>7948312.4462707099</v>
      </c>
      <c r="U113" s="5">
        <v>3879261.5176099101</v>
      </c>
      <c r="V113" s="5">
        <v>6304370.00008382</v>
      </c>
      <c r="W113" s="5">
        <v>5751687.9405716797</v>
      </c>
      <c r="X113" s="5">
        <v>7150663.0469617201</v>
      </c>
      <c r="Y113" s="5">
        <v>8585456.4607779607</v>
      </c>
    </row>
    <row r="114" spans="1:25" x14ac:dyDescent="0.45">
      <c r="A114" s="5" t="s">
        <v>123</v>
      </c>
      <c r="B114" s="5">
        <v>7095127.5439562798</v>
      </c>
      <c r="C114" s="5">
        <v>6107334.4316970501</v>
      </c>
      <c r="D114" s="5">
        <v>6519238.5404818701</v>
      </c>
      <c r="E114" s="5">
        <v>8516293.8872360196</v>
      </c>
      <c r="F114" s="5">
        <v>5872375.9292231398</v>
      </c>
      <c r="G114" s="5">
        <v>7005623.1824716805</v>
      </c>
      <c r="H114" s="5">
        <v>72576712.648170903</v>
      </c>
      <c r="I114" s="5">
        <v>49731350.327322997</v>
      </c>
      <c r="J114" s="5">
        <v>61340720.032026</v>
      </c>
      <c r="K114" s="5">
        <v>74020011.492785603</v>
      </c>
      <c r="L114" s="5">
        <v>47551776.125216097</v>
      </c>
      <c r="M114" s="5">
        <v>98887887.319615901</v>
      </c>
      <c r="N114" s="5">
        <v>74652133.447943002</v>
      </c>
      <c r="O114" s="5">
        <v>24218513.096401099</v>
      </c>
      <c r="P114" s="5">
        <v>27648151.946521498</v>
      </c>
      <c r="Q114" s="5">
        <v>11059020.298349001</v>
      </c>
      <c r="R114" s="5">
        <v>5284705.2633091398</v>
      </c>
      <c r="S114" s="5">
        <v>7023713.8194010798</v>
      </c>
      <c r="T114" s="5">
        <v>19077042.7400163</v>
      </c>
      <c r="U114" s="5">
        <v>10261727.3398335</v>
      </c>
      <c r="V114" s="5">
        <v>9653969.7822388299</v>
      </c>
      <c r="W114" s="5">
        <v>73714566.359612897</v>
      </c>
      <c r="X114" s="5">
        <v>60621980.995545797</v>
      </c>
      <c r="Y114" s="5">
        <v>78390820.716796696</v>
      </c>
    </row>
    <row r="115" spans="1:25" x14ac:dyDescent="0.45">
      <c r="A115" s="5" t="s">
        <v>434</v>
      </c>
      <c r="B115" s="5">
        <v>11222771.6002813</v>
      </c>
      <c r="C115" s="5">
        <v>56000874.6184908</v>
      </c>
      <c r="D115" s="5">
        <v>45045470.061291099</v>
      </c>
      <c r="E115" s="5">
        <v>27373704.228146799</v>
      </c>
      <c r="F115" s="5">
        <v>18634952.320512801</v>
      </c>
      <c r="G115" s="5">
        <v>27658867.272604499</v>
      </c>
      <c r="H115" s="5">
        <v>10916183.345577501</v>
      </c>
      <c r="I115" s="5">
        <v>12181510.4835047</v>
      </c>
      <c r="J115" s="5">
        <v>26384446.232909501</v>
      </c>
      <c r="K115" s="5">
        <v>17970060.630536001</v>
      </c>
      <c r="L115" s="5">
        <v>20780139.346427102</v>
      </c>
      <c r="M115" s="5">
        <v>37348960.3640389</v>
      </c>
      <c r="N115" s="5">
        <v>33177384.232498199</v>
      </c>
      <c r="O115" s="5">
        <v>29499545.2441696</v>
      </c>
      <c r="P115" s="5">
        <v>20553128.8825415</v>
      </c>
      <c r="Q115" s="5">
        <v>40846588.854305297</v>
      </c>
      <c r="R115" s="5">
        <v>22529351.412358701</v>
      </c>
      <c r="S115" s="5">
        <v>19497259.831912301</v>
      </c>
      <c r="T115" s="5">
        <v>40814598.02651</v>
      </c>
      <c r="U115" s="5">
        <v>23759063.193296898</v>
      </c>
      <c r="V115" s="5">
        <v>35138172.896098197</v>
      </c>
      <c r="W115" s="5">
        <v>25882730.457765501</v>
      </c>
      <c r="X115" s="5">
        <v>9193461.5920003597</v>
      </c>
      <c r="Y115" s="5">
        <v>30891296.845918801</v>
      </c>
    </row>
    <row r="116" spans="1:25" x14ac:dyDescent="0.45">
      <c r="A116" s="5" t="s">
        <v>124</v>
      </c>
      <c r="B116" s="5">
        <v>129068551.321182</v>
      </c>
      <c r="C116" s="5">
        <v>87886743.685917303</v>
      </c>
      <c r="D116" s="5">
        <v>109597079.310277</v>
      </c>
      <c r="E116" s="5">
        <v>140817856.45921499</v>
      </c>
      <c r="F116" s="5">
        <v>109066428.073779</v>
      </c>
      <c r="G116" s="5">
        <v>92980511.254266694</v>
      </c>
      <c r="H116" s="5">
        <v>156252136.75512299</v>
      </c>
      <c r="I116" s="5">
        <v>34111584.2020391</v>
      </c>
      <c r="J116" s="5">
        <v>125482885.938997</v>
      </c>
      <c r="K116" s="5">
        <v>60428396.788605303</v>
      </c>
      <c r="L116" s="5">
        <v>81045153.836157903</v>
      </c>
      <c r="M116" s="5">
        <v>106399485.78174999</v>
      </c>
      <c r="N116" s="5">
        <v>93337400.480532393</v>
      </c>
      <c r="O116" s="5">
        <v>77725502.777487397</v>
      </c>
      <c r="P116" s="5">
        <v>121606457.905913</v>
      </c>
      <c r="Q116" s="5">
        <v>51043226.9108871</v>
      </c>
      <c r="R116" s="5">
        <v>125068103.751828</v>
      </c>
      <c r="S116" s="5">
        <v>89671826.785989299</v>
      </c>
      <c r="T116" s="5">
        <v>170315922.791293</v>
      </c>
      <c r="U116" s="5">
        <v>181251776.35143</v>
      </c>
      <c r="V116" s="5">
        <v>170896336.12219301</v>
      </c>
      <c r="W116" s="5">
        <v>109563572.023524</v>
      </c>
      <c r="X116" s="5">
        <v>55521538.516889699</v>
      </c>
      <c r="Y116" s="5">
        <v>120675222.423087</v>
      </c>
    </row>
    <row r="117" spans="1:25" x14ac:dyDescent="0.45">
      <c r="A117" s="5" t="s">
        <v>357</v>
      </c>
      <c r="B117" s="5">
        <v>37339363.947604202</v>
      </c>
      <c r="C117" s="5">
        <v>26487414.4372756</v>
      </c>
      <c r="D117" s="5">
        <v>36383712.527579397</v>
      </c>
      <c r="E117" s="5">
        <v>182959270.26921299</v>
      </c>
      <c r="F117" s="5">
        <v>503443401.05376601</v>
      </c>
      <c r="G117" s="5">
        <v>205380366.489638</v>
      </c>
      <c r="H117" s="5">
        <v>244900607.47908199</v>
      </c>
      <c r="I117" s="5">
        <v>68420724.472064093</v>
      </c>
      <c r="J117" s="5">
        <v>388608856.732234</v>
      </c>
      <c r="K117" s="5">
        <v>599935414.28696299</v>
      </c>
      <c r="L117" s="5">
        <v>111594888.320841</v>
      </c>
      <c r="M117" s="5">
        <v>14378700.0994562</v>
      </c>
      <c r="N117" s="5">
        <v>97388879.142001003</v>
      </c>
      <c r="O117" s="5">
        <v>330347024.85457402</v>
      </c>
      <c r="P117" s="5">
        <v>735355564.10392499</v>
      </c>
      <c r="Q117" s="5">
        <v>122338809.640203</v>
      </c>
      <c r="R117" s="5">
        <v>874786029.24198198</v>
      </c>
      <c r="S117" s="5">
        <v>220920054.11088201</v>
      </c>
      <c r="T117" s="5">
        <v>100970395.05945399</v>
      </c>
      <c r="U117" s="5">
        <v>108336591.64435799</v>
      </c>
      <c r="V117" s="5">
        <v>24715122.539662998</v>
      </c>
      <c r="W117" s="5">
        <v>1004949514.7595299</v>
      </c>
      <c r="X117" s="5">
        <v>202312843.65443099</v>
      </c>
      <c r="Y117" s="5">
        <v>519285390.94913799</v>
      </c>
    </row>
    <row r="118" spans="1:25" x14ac:dyDescent="0.45">
      <c r="A118" s="5" t="s">
        <v>125</v>
      </c>
      <c r="B118" s="5">
        <v>14157255.961522801</v>
      </c>
      <c r="C118" s="5">
        <v>12098945.205040799</v>
      </c>
      <c r="D118" s="5">
        <v>19743745.416559201</v>
      </c>
      <c r="E118" s="5">
        <v>15418290.0259021</v>
      </c>
      <c r="F118" s="5">
        <v>17486146.4876533</v>
      </c>
      <c r="G118" s="5">
        <v>11621687.9287482</v>
      </c>
      <c r="H118" s="5">
        <v>6883680.35473538</v>
      </c>
      <c r="I118" s="5">
        <v>31398542.313527498</v>
      </c>
      <c r="J118" s="5">
        <v>28465324.7706028</v>
      </c>
      <c r="K118" s="5">
        <v>22193162.452382501</v>
      </c>
      <c r="L118" s="5">
        <v>22915425.801334798</v>
      </c>
      <c r="M118" s="5">
        <v>9836911.3243910708</v>
      </c>
      <c r="N118" s="5">
        <v>6457196.9131728904</v>
      </c>
      <c r="O118" s="5">
        <v>22468586.864123601</v>
      </c>
      <c r="P118" s="5">
        <v>7735996.4955960801</v>
      </c>
      <c r="Q118" s="5">
        <v>10134025.428158401</v>
      </c>
      <c r="R118" s="5">
        <v>23145476.447403301</v>
      </c>
      <c r="S118" s="5">
        <v>13428947.621585799</v>
      </c>
      <c r="T118" s="5">
        <v>16679931.493639899</v>
      </c>
      <c r="U118" s="5">
        <v>10793927.6013132</v>
      </c>
      <c r="V118" s="5">
        <v>8867059.5563778207</v>
      </c>
      <c r="W118" s="5">
        <v>12044817.7149608</v>
      </c>
      <c r="X118" s="5">
        <v>70788550.618041903</v>
      </c>
      <c r="Y118" s="5">
        <v>11665408.250934999</v>
      </c>
    </row>
    <row r="119" spans="1:25" x14ac:dyDescent="0.45">
      <c r="A119" s="5" t="s">
        <v>126</v>
      </c>
      <c r="B119" s="5">
        <v>5238747024.3722</v>
      </c>
      <c r="C119" s="5">
        <v>8067302296.4660301</v>
      </c>
      <c r="D119" s="5">
        <v>7019931215.7519999</v>
      </c>
      <c r="E119" s="5">
        <v>595623264.62607598</v>
      </c>
      <c r="F119" s="5">
        <v>908376818.54210806</v>
      </c>
      <c r="G119" s="5">
        <v>477478103.02135402</v>
      </c>
      <c r="H119" s="5">
        <v>417760975.636127</v>
      </c>
      <c r="I119" s="5">
        <v>25785648159.966499</v>
      </c>
      <c r="J119" s="5">
        <v>2052675207.4621601</v>
      </c>
      <c r="K119" s="5">
        <v>1832749622.14644</v>
      </c>
      <c r="L119" s="5">
        <v>3211262975.9831901</v>
      </c>
      <c r="M119" s="5">
        <v>1107961310.1201601</v>
      </c>
      <c r="N119" s="5">
        <v>257631498.391137</v>
      </c>
      <c r="O119" s="5">
        <v>9279490991.8282795</v>
      </c>
      <c r="P119" s="5">
        <v>235889983.686225</v>
      </c>
      <c r="Q119" s="5">
        <v>14590012897.8291</v>
      </c>
      <c r="R119" s="5">
        <v>3006972670.0798402</v>
      </c>
      <c r="S119" s="5">
        <v>15721402676.7889</v>
      </c>
      <c r="T119" s="5">
        <v>586235939.69014502</v>
      </c>
      <c r="U119" s="5">
        <v>278490853.66944301</v>
      </c>
      <c r="V119" s="5">
        <v>93353656.194163799</v>
      </c>
      <c r="W119" s="5">
        <v>615271340.89634097</v>
      </c>
      <c r="X119" s="5">
        <v>2485813188.3221598</v>
      </c>
      <c r="Y119" s="5">
        <v>434726171.85606998</v>
      </c>
    </row>
    <row r="120" spans="1:25" x14ac:dyDescent="0.45">
      <c r="A120" s="5" t="s">
        <v>127</v>
      </c>
      <c r="B120" s="5">
        <v>89591179.909276396</v>
      </c>
      <c r="C120" s="5">
        <v>198973988.91422701</v>
      </c>
      <c r="D120" s="5">
        <v>125048315.584758</v>
      </c>
      <c r="E120" s="5">
        <v>52187797.040416703</v>
      </c>
      <c r="F120" s="5">
        <v>50742319.443897203</v>
      </c>
      <c r="G120" s="5">
        <v>84479561.254423603</v>
      </c>
      <c r="H120" s="5">
        <v>116685875.618191</v>
      </c>
      <c r="I120" s="5">
        <v>46531729.798984997</v>
      </c>
      <c r="J120" s="5">
        <v>47166729.948019601</v>
      </c>
      <c r="K120" s="5">
        <v>41667173.7416462</v>
      </c>
      <c r="L120" s="5">
        <v>25761144.228914101</v>
      </c>
      <c r="M120" s="5">
        <v>365596496.94816297</v>
      </c>
      <c r="N120" s="5">
        <v>126929389.91350301</v>
      </c>
      <c r="O120" s="5">
        <v>359702739.85188001</v>
      </c>
      <c r="P120" s="5">
        <v>65442557.395414501</v>
      </c>
      <c r="Q120" s="5">
        <v>292172837.82059097</v>
      </c>
      <c r="R120" s="5">
        <v>41935567.567578197</v>
      </c>
      <c r="S120" s="5">
        <v>189806760.483769</v>
      </c>
      <c r="T120" s="5">
        <v>53185996.219848402</v>
      </c>
      <c r="U120" s="5">
        <v>185514520.59082201</v>
      </c>
      <c r="V120" s="5">
        <v>288202398.64195597</v>
      </c>
      <c r="W120" s="5">
        <v>104939276.501627</v>
      </c>
      <c r="X120" s="5">
        <v>301437852.18618399</v>
      </c>
      <c r="Y120" s="5">
        <v>52929319.018262498</v>
      </c>
    </row>
    <row r="121" spans="1:25" x14ac:dyDescent="0.45">
      <c r="A121" s="5" t="s">
        <v>369</v>
      </c>
      <c r="B121" s="5">
        <v>295561164.31976199</v>
      </c>
      <c r="C121" s="5">
        <v>141555063.26015899</v>
      </c>
      <c r="D121" s="5">
        <v>48175059.743766502</v>
      </c>
      <c r="E121" s="5">
        <v>70739865.692690194</v>
      </c>
      <c r="F121" s="5">
        <v>133544508.33299001</v>
      </c>
      <c r="G121" s="5">
        <v>51007873.943259902</v>
      </c>
      <c r="H121" s="5">
        <v>49381034.955426797</v>
      </c>
      <c r="I121" s="5">
        <v>150524179.32552099</v>
      </c>
      <c r="J121" s="5">
        <v>46801784.993076302</v>
      </c>
      <c r="K121" s="5">
        <v>131779671.444979</v>
      </c>
      <c r="L121" s="5">
        <v>48754840.477978997</v>
      </c>
      <c r="M121" s="5">
        <v>41517950.442316703</v>
      </c>
      <c r="N121" s="5">
        <v>4724858.8170086397</v>
      </c>
      <c r="O121" s="5">
        <v>188235945.25595599</v>
      </c>
      <c r="P121" s="5">
        <v>108288211.642197</v>
      </c>
      <c r="Q121" s="5">
        <v>80499966.86789</v>
      </c>
      <c r="R121" s="5">
        <v>166754370.93567801</v>
      </c>
      <c r="S121" s="5">
        <v>60270772.0997587</v>
      </c>
      <c r="T121" s="5">
        <v>390164148.14298999</v>
      </c>
      <c r="U121" s="5">
        <v>620170825.84641898</v>
      </c>
      <c r="V121" s="5">
        <v>800050200.44407201</v>
      </c>
      <c r="W121" s="5">
        <v>519869934.37479901</v>
      </c>
      <c r="X121" s="5">
        <v>246646769.897701</v>
      </c>
      <c r="Y121" s="5">
        <v>412343340.05434901</v>
      </c>
    </row>
    <row r="122" spans="1:25" x14ac:dyDescent="0.45">
      <c r="A122" s="5" t="s">
        <v>290</v>
      </c>
      <c r="B122" s="5">
        <v>38338711.518509597</v>
      </c>
      <c r="C122" s="5">
        <v>20580561.903488498</v>
      </c>
      <c r="D122" s="5">
        <v>40440675.335512199</v>
      </c>
      <c r="E122" s="5">
        <v>23353886.437626701</v>
      </c>
      <c r="F122" s="5">
        <v>39005257.396017902</v>
      </c>
      <c r="G122" s="5">
        <v>29984305.8785992</v>
      </c>
      <c r="H122" s="5">
        <v>32393528.782622501</v>
      </c>
      <c r="I122" s="5">
        <v>30430866.2931883</v>
      </c>
      <c r="J122" s="5">
        <v>44381571.3844833</v>
      </c>
      <c r="K122" s="5">
        <v>8755735.2721186709</v>
      </c>
      <c r="L122" s="5">
        <v>36572054.0040887</v>
      </c>
      <c r="M122" s="5">
        <v>29943373.023814298</v>
      </c>
      <c r="N122" s="5">
        <v>27742541.362002902</v>
      </c>
      <c r="O122" s="5">
        <v>23455866.151578698</v>
      </c>
      <c r="P122" s="5">
        <v>19465330.938999798</v>
      </c>
      <c r="Q122" s="5">
        <v>10742974.3689448</v>
      </c>
      <c r="R122" s="5">
        <v>9863844.0982628409</v>
      </c>
      <c r="S122" s="5">
        <v>26321533.215482902</v>
      </c>
      <c r="T122" s="5">
        <v>34106080.897278801</v>
      </c>
      <c r="U122" s="5">
        <v>31381647.347993899</v>
      </c>
      <c r="V122" s="5">
        <v>21890803.339366101</v>
      </c>
      <c r="W122" s="5">
        <v>28993009.896863598</v>
      </c>
      <c r="X122" s="5">
        <v>43238116.217008799</v>
      </c>
      <c r="Y122" s="5">
        <v>22374746.0576648</v>
      </c>
    </row>
    <row r="123" spans="1:25" x14ac:dyDescent="0.45">
      <c r="A123" s="5" t="s">
        <v>128</v>
      </c>
      <c r="B123" s="5">
        <v>22596361.241983902</v>
      </c>
      <c r="C123" s="5">
        <v>18421291.254103702</v>
      </c>
      <c r="D123" s="5">
        <v>34570268.017425299</v>
      </c>
      <c r="E123" s="5">
        <v>26644178.316611402</v>
      </c>
      <c r="F123" s="5">
        <v>24644542.482009001</v>
      </c>
      <c r="G123" s="5">
        <v>21031861.000117902</v>
      </c>
      <c r="H123" s="5">
        <v>28319275.406722799</v>
      </c>
      <c r="I123" s="5">
        <v>110591809.193359</v>
      </c>
      <c r="J123" s="5">
        <v>53850022.956313901</v>
      </c>
      <c r="K123" s="5">
        <v>24802747.995944198</v>
      </c>
      <c r="L123" s="5">
        <v>39555686.695481002</v>
      </c>
      <c r="M123" s="5">
        <v>20741478.020894799</v>
      </c>
      <c r="N123" s="5">
        <v>37796549.876831099</v>
      </c>
      <c r="O123" s="5">
        <v>58891512.506936803</v>
      </c>
      <c r="P123" s="5">
        <v>63629687.331901401</v>
      </c>
      <c r="Q123" s="5">
        <v>21215304.540268902</v>
      </c>
      <c r="R123" s="5">
        <v>35163028.616720296</v>
      </c>
      <c r="S123" s="5">
        <v>40221197.593254998</v>
      </c>
      <c r="T123" s="5">
        <v>48030933.874944799</v>
      </c>
      <c r="U123" s="5">
        <v>32890708.783848099</v>
      </c>
      <c r="V123" s="5">
        <v>49204179.327441201</v>
      </c>
      <c r="W123" s="5">
        <v>39960486.228814602</v>
      </c>
      <c r="X123" s="5">
        <v>73171337.706157804</v>
      </c>
      <c r="Y123" s="5">
        <v>45753743.810600102</v>
      </c>
    </row>
    <row r="124" spans="1:25" x14ac:dyDescent="0.45">
      <c r="A124" s="5" t="s">
        <v>129</v>
      </c>
      <c r="B124" s="5">
        <v>256477394.025617</v>
      </c>
      <c r="C124" s="5">
        <v>185049796.097808</v>
      </c>
      <c r="D124" s="5">
        <v>201377865.655256</v>
      </c>
      <c r="E124" s="5">
        <v>228903742.00370699</v>
      </c>
      <c r="F124" s="5">
        <v>187261473.703116</v>
      </c>
      <c r="G124" s="5">
        <v>252324256.271808</v>
      </c>
      <c r="H124" s="5">
        <v>157289505.11244801</v>
      </c>
      <c r="I124" s="5">
        <v>172933690.84438199</v>
      </c>
      <c r="J124" s="5">
        <v>278709344.86290199</v>
      </c>
      <c r="K124" s="5">
        <v>398452150.79675698</v>
      </c>
      <c r="L124" s="5">
        <v>152843573.34227201</v>
      </c>
      <c r="M124" s="5">
        <v>209102427.685689</v>
      </c>
      <c r="N124" s="5">
        <v>195918644.464598</v>
      </c>
      <c r="O124" s="5">
        <v>277853753.67388099</v>
      </c>
      <c r="P124" s="5">
        <v>350778613.65591598</v>
      </c>
      <c r="Q124" s="5">
        <v>266916343.368498</v>
      </c>
      <c r="R124" s="5">
        <v>1238449967.1092899</v>
      </c>
      <c r="S124" s="5">
        <v>237091990.35925201</v>
      </c>
      <c r="T124" s="5">
        <v>303192372.05225003</v>
      </c>
      <c r="U124" s="5">
        <v>245564942.749814</v>
      </c>
      <c r="V124" s="5">
        <v>230359117.623602</v>
      </c>
      <c r="W124" s="5">
        <v>383378174.60385901</v>
      </c>
      <c r="X124" s="5">
        <v>363311686.76738</v>
      </c>
      <c r="Y124" s="5">
        <v>170311662.903193</v>
      </c>
    </row>
    <row r="125" spans="1:25" x14ac:dyDescent="0.45">
      <c r="A125" s="5" t="s">
        <v>130</v>
      </c>
      <c r="B125" s="5">
        <v>688783052.54435694</v>
      </c>
      <c r="C125" s="5">
        <v>423515827.828839</v>
      </c>
      <c r="D125" s="5">
        <v>463224349.30398899</v>
      </c>
      <c r="E125" s="5">
        <v>1187487767.6205399</v>
      </c>
      <c r="F125" s="5">
        <v>1265130542.68433</v>
      </c>
      <c r="G125" s="5">
        <v>763542389.766289</v>
      </c>
      <c r="H125" s="5">
        <v>586020698.54249299</v>
      </c>
      <c r="I125" s="5">
        <v>955347022.12281501</v>
      </c>
      <c r="J125" s="5">
        <v>661798948.91659606</v>
      </c>
      <c r="K125" s="5">
        <v>396133014.74602598</v>
      </c>
      <c r="L125" s="5">
        <v>992907276.43184698</v>
      </c>
      <c r="M125" s="5">
        <v>971264480.08024204</v>
      </c>
      <c r="N125" s="5">
        <v>577723482.05377698</v>
      </c>
      <c r="O125" s="5">
        <v>303655223.25485599</v>
      </c>
      <c r="P125" s="5">
        <v>388662743.85734999</v>
      </c>
      <c r="Q125" s="5">
        <v>752350917.52828896</v>
      </c>
      <c r="R125" s="5">
        <v>616725614.58907998</v>
      </c>
      <c r="S125" s="5">
        <v>776653840.52976298</v>
      </c>
      <c r="T125" s="5">
        <v>1228840698.52563</v>
      </c>
      <c r="U125" s="5">
        <v>384977230.03123999</v>
      </c>
      <c r="V125" s="5">
        <v>479598123.19543397</v>
      </c>
      <c r="W125" s="5">
        <v>798939762.94855905</v>
      </c>
      <c r="X125" s="5">
        <v>5823717000.5795002</v>
      </c>
      <c r="Y125" s="5">
        <v>509599684.37108201</v>
      </c>
    </row>
    <row r="126" spans="1:25" x14ac:dyDescent="0.45">
      <c r="A126" s="5" t="s">
        <v>131</v>
      </c>
      <c r="B126" s="5">
        <v>572900548.140926</v>
      </c>
      <c r="C126" s="5">
        <v>599498040.98943102</v>
      </c>
      <c r="D126" s="5">
        <v>514870411.59143001</v>
      </c>
      <c r="E126" s="5">
        <v>542915603.33540905</v>
      </c>
      <c r="F126" s="5">
        <v>648064355.32569206</v>
      </c>
      <c r="G126" s="5">
        <v>820850026.30092704</v>
      </c>
      <c r="H126" s="5">
        <v>619569324.44403303</v>
      </c>
      <c r="I126" s="5">
        <v>1273279741.579</v>
      </c>
      <c r="J126" s="5">
        <v>405142501.308303</v>
      </c>
      <c r="K126" s="5">
        <v>165570546.33779001</v>
      </c>
      <c r="L126" s="5">
        <v>487519652.12452298</v>
      </c>
      <c r="M126" s="5">
        <v>344472125.72955799</v>
      </c>
      <c r="N126" s="5">
        <v>525259290.13297701</v>
      </c>
      <c r="O126" s="5">
        <v>595473702.98633802</v>
      </c>
      <c r="P126" s="5">
        <v>549899616.53654802</v>
      </c>
      <c r="Q126" s="5">
        <v>365792133.83428597</v>
      </c>
      <c r="R126" s="5">
        <v>271955873.87009299</v>
      </c>
      <c r="S126" s="5">
        <v>560483363.42668903</v>
      </c>
      <c r="T126" s="5">
        <v>602782659.49240804</v>
      </c>
      <c r="U126" s="5">
        <v>563841401.77095306</v>
      </c>
      <c r="V126" s="5">
        <v>553076112.18334901</v>
      </c>
      <c r="W126" s="5">
        <v>620240249.72780704</v>
      </c>
      <c r="X126" s="5">
        <v>349030658.38551599</v>
      </c>
      <c r="Y126" s="5">
        <v>745522661.06212902</v>
      </c>
    </row>
    <row r="127" spans="1:25" x14ac:dyDescent="0.45">
      <c r="A127" s="5" t="s">
        <v>375</v>
      </c>
      <c r="B127" s="5">
        <v>47342385.243031502</v>
      </c>
      <c r="C127" s="5">
        <v>25338213.163157798</v>
      </c>
      <c r="D127" s="5">
        <v>19663937.2560849</v>
      </c>
      <c r="E127" s="5">
        <v>43164754.350737199</v>
      </c>
      <c r="F127" s="5">
        <v>30318358.735732399</v>
      </c>
      <c r="G127" s="5">
        <v>30334293.165100101</v>
      </c>
      <c r="H127" s="5">
        <v>28768743.673026901</v>
      </c>
      <c r="I127" s="5">
        <v>47013983.444481596</v>
      </c>
      <c r="J127" s="5">
        <v>31808766.103233501</v>
      </c>
      <c r="K127" s="5">
        <v>40856433.847437099</v>
      </c>
      <c r="L127" s="5">
        <v>22978249.552131299</v>
      </c>
      <c r="M127" s="5">
        <v>28448087.6324131</v>
      </c>
      <c r="N127" s="5">
        <v>26711117.3993669</v>
      </c>
      <c r="O127" s="5">
        <v>23398216.424784999</v>
      </c>
      <c r="P127" s="5">
        <v>30553439.635260701</v>
      </c>
      <c r="Q127" s="5">
        <v>28033039.020802502</v>
      </c>
      <c r="R127" s="5">
        <v>26085339.179583602</v>
      </c>
      <c r="S127" s="5">
        <v>30498656.9981994</v>
      </c>
      <c r="T127" s="5">
        <v>34212130.146452896</v>
      </c>
      <c r="U127" s="5">
        <v>16710173.552059799</v>
      </c>
      <c r="V127" s="5">
        <v>29069490.669303101</v>
      </c>
      <c r="W127" s="5">
        <v>37424779.949604303</v>
      </c>
      <c r="X127" s="5">
        <v>99319286.837889999</v>
      </c>
      <c r="Y127" s="5">
        <v>40984427.661292396</v>
      </c>
    </row>
    <row r="128" spans="1:25" x14ac:dyDescent="0.45">
      <c r="A128" s="5" t="s">
        <v>132</v>
      </c>
      <c r="B128" s="5">
        <v>17052665.074355599</v>
      </c>
      <c r="C128" s="5">
        <v>6651236.9039436802</v>
      </c>
      <c r="D128" s="5">
        <v>17884776.582837202</v>
      </c>
      <c r="E128" s="5">
        <v>12125876.646126101</v>
      </c>
      <c r="F128" s="5">
        <v>8669145.0939606801</v>
      </c>
      <c r="G128" s="5">
        <v>8551756.7862143796</v>
      </c>
      <c r="H128" s="5">
        <v>6360680.9664506102</v>
      </c>
      <c r="I128" s="5">
        <v>8648208.8988231998</v>
      </c>
      <c r="J128" s="5">
        <v>10811101.4264476</v>
      </c>
      <c r="K128" s="5">
        <v>4418599.0898687597</v>
      </c>
      <c r="L128" s="5">
        <v>6726783.0328314202</v>
      </c>
      <c r="M128" s="5">
        <v>9514564.4834449496</v>
      </c>
      <c r="N128" s="5">
        <v>1869165.30562318</v>
      </c>
      <c r="O128" s="5">
        <v>2199195.10393797</v>
      </c>
      <c r="P128" s="5">
        <v>1579719.6767328801</v>
      </c>
      <c r="Q128" s="5">
        <v>2237518.89308056</v>
      </c>
      <c r="R128" s="5">
        <v>10277648.856321801</v>
      </c>
      <c r="S128" s="5">
        <v>3455892.6166002201</v>
      </c>
      <c r="T128" s="5">
        <v>5056815.3933963003</v>
      </c>
      <c r="U128" s="5">
        <v>2692024.7478246298</v>
      </c>
      <c r="V128" s="5">
        <v>1673998.3593614299</v>
      </c>
      <c r="W128" s="5">
        <v>8177841.9249861296</v>
      </c>
      <c r="X128" s="5">
        <v>62590840.817097299</v>
      </c>
      <c r="Y128" s="5">
        <v>10759623.0953291</v>
      </c>
    </row>
    <row r="129" spans="1:25" x14ac:dyDescent="0.45">
      <c r="A129" s="5" t="s">
        <v>133</v>
      </c>
      <c r="B129" s="5">
        <v>73940208.889541894</v>
      </c>
      <c r="C129" s="5">
        <v>30898216.517012801</v>
      </c>
      <c r="D129" s="5">
        <v>82222085.5704595</v>
      </c>
      <c r="E129" s="5">
        <v>57755211.316114701</v>
      </c>
      <c r="F129" s="5">
        <v>36938736.378397398</v>
      </c>
      <c r="G129" s="5">
        <v>40608189.236602597</v>
      </c>
      <c r="H129" s="5">
        <v>32289967.843955599</v>
      </c>
      <c r="I129" s="5">
        <v>49540612.0136071</v>
      </c>
      <c r="J129" s="5">
        <v>46939085.8587716</v>
      </c>
      <c r="K129" s="5">
        <v>23311606.191239599</v>
      </c>
      <c r="L129" s="5">
        <v>31360060.089939501</v>
      </c>
      <c r="M129" s="5">
        <v>46292018.130322397</v>
      </c>
      <c r="N129" s="5">
        <v>29447639.245398499</v>
      </c>
      <c r="O129" s="5">
        <v>11239788.1436667</v>
      </c>
      <c r="P129" s="5">
        <v>7605463.7334813401</v>
      </c>
      <c r="Q129" s="5">
        <v>12122975.5541395</v>
      </c>
      <c r="R129" s="5">
        <v>46223085.518877201</v>
      </c>
      <c r="S129" s="5">
        <v>17430922.345239699</v>
      </c>
      <c r="T129" s="5">
        <v>24268926.6439703</v>
      </c>
      <c r="U129" s="5">
        <v>13811445.239982501</v>
      </c>
      <c r="V129" s="5">
        <v>8365418.5042152796</v>
      </c>
      <c r="W129" s="5">
        <v>39067778.407832801</v>
      </c>
      <c r="X129" s="5">
        <v>247511688.50434101</v>
      </c>
      <c r="Y129" s="5">
        <v>54911941.670634203</v>
      </c>
    </row>
    <row r="130" spans="1:25" x14ac:dyDescent="0.45">
      <c r="A130" s="5" t="s">
        <v>140</v>
      </c>
      <c r="B130" s="5">
        <v>352885292.930094</v>
      </c>
      <c r="C130" s="5">
        <v>243324614.45856699</v>
      </c>
      <c r="D130" s="5">
        <v>509087116.245538</v>
      </c>
      <c r="E130" s="5">
        <v>42747960.370261699</v>
      </c>
      <c r="F130" s="5">
        <v>35784881.942754</v>
      </c>
      <c r="G130" s="5">
        <v>217324614.566798</v>
      </c>
      <c r="H130" s="5">
        <v>20405559.015999001</v>
      </c>
      <c r="I130" s="5">
        <v>2324034870.6174102</v>
      </c>
      <c r="J130" s="5">
        <v>44881292.174303003</v>
      </c>
      <c r="K130" s="5">
        <v>1750884139.86813</v>
      </c>
      <c r="L130" s="5">
        <v>938995386.61677396</v>
      </c>
      <c r="M130" s="5">
        <v>677014559.39933503</v>
      </c>
      <c r="N130" s="5">
        <v>125460861.117954</v>
      </c>
      <c r="O130" s="5">
        <v>12616493.1965329</v>
      </c>
      <c r="P130" s="5">
        <v>23475303.214882899</v>
      </c>
      <c r="Q130" s="5">
        <v>32088469.834052298</v>
      </c>
      <c r="R130" s="5">
        <v>54013984.383683898</v>
      </c>
      <c r="S130" s="5">
        <v>102682310.617044</v>
      </c>
      <c r="T130" s="5">
        <v>12254156.2276897</v>
      </c>
      <c r="U130" s="5">
        <v>21502186.451354198</v>
      </c>
      <c r="V130" s="5">
        <v>26737970.407251202</v>
      </c>
      <c r="W130" s="5">
        <v>23590563.297667298</v>
      </c>
      <c r="X130" s="5">
        <v>296988782.30767</v>
      </c>
      <c r="Y130" s="5">
        <v>7290277.9740111204</v>
      </c>
    </row>
    <row r="131" spans="1:25" x14ac:dyDescent="0.45">
      <c r="A131" s="5" t="s">
        <v>417</v>
      </c>
      <c r="B131" s="5">
        <v>99098035.133398697</v>
      </c>
      <c r="C131" s="5">
        <v>140376031.010618</v>
      </c>
      <c r="D131" s="5">
        <v>111147984.527301</v>
      </c>
      <c r="E131" s="5">
        <v>130631539.869654</v>
      </c>
      <c r="F131" s="5">
        <v>101801921.30065</v>
      </c>
      <c r="G131" s="5">
        <v>233178197.138657</v>
      </c>
      <c r="H131" s="5">
        <v>196641513.55434</v>
      </c>
      <c r="I131" s="5">
        <v>45587952.384895101</v>
      </c>
      <c r="J131" s="5">
        <v>122314719.609559</v>
      </c>
      <c r="K131" s="5">
        <v>201266559.90507701</v>
      </c>
      <c r="L131" s="5">
        <v>129964090.906224</v>
      </c>
      <c r="M131" s="5">
        <v>120528784.72448801</v>
      </c>
      <c r="N131" s="5">
        <v>242685497.18397999</v>
      </c>
      <c r="O131" s="5">
        <v>280230061.34156799</v>
      </c>
      <c r="P131" s="5">
        <v>196016406.822864</v>
      </c>
      <c r="Q131" s="5">
        <v>116432624.984495</v>
      </c>
      <c r="R131" s="5">
        <v>52041331.604247302</v>
      </c>
      <c r="S131" s="5">
        <v>130777466.51773401</v>
      </c>
      <c r="T131" s="5">
        <v>87406202.449925706</v>
      </c>
      <c r="U131" s="5">
        <v>209996957.926965</v>
      </c>
      <c r="V131" s="5">
        <v>265517205.06721401</v>
      </c>
      <c r="W131" s="5">
        <v>174538222.71783599</v>
      </c>
      <c r="X131" s="5">
        <v>103905623.657572</v>
      </c>
      <c r="Y131" s="5">
        <v>193091687.132507</v>
      </c>
    </row>
    <row r="132" spans="1:25" x14ac:dyDescent="0.45">
      <c r="A132" s="5" t="s">
        <v>418</v>
      </c>
      <c r="B132" s="5">
        <v>3651426.5079483101</v>
      </c>
      <c r="C132" s="5">
        <v>14371101.6014845</v>
      </c>
      <c r="D132" s="5">
        <v>12875593.615860101</v>
      </c>
      <c r="E132" s="5">
        <v>6714777.6209054897</v>
      </c>
      <c r="F132" s="5">
        <v>9085013.0688547697</v>
      </c>
      <c r="G132" s="5">
        <v>9438646.2584901303</v>
      </c>
      <c r="H132" s="5">
        <v>10211050.150782</v>
      </c>
      <c r="I132" s="5">
        <v>82930825.430932596</v>
      </c>
      <c r="J132" s="5">
        <v>9955869.0840974506</v>
      </c>
      <c r="K132" s="5">
        <v>30793122.695121299</v>
      </c>
      <c r="L132" s="5">
        <v>9934526.1955456696</v>
      </c>
      <c r="M132" s="5">
        <v>20340111.876613501</v>
      </c>
      <c r="N132" s="5">
        <v>42201253.271251</v>
      </c>
      <c r="O132" s="5">
        <v>25939501.252133001</v>
      </c>
      <c r="P132" s="5">
        <v>19603334.520889699</v>
      </c>
      <c r="Q132" s="5">
        <v>27275989.408071801</v>
      </c>
      <c r="R132" s="5">
        <v>8503135.0915374607</v>
      </c>
      <c r="S132" s="5">
        <v>10604743.142067101</v>
      </c>
      <c r="T132" s="5">
        <v>6982284.6306037903</v>
      </c>
      <c r="U132" s="5">
        <v>10143857.5710693</v>
      </c>
      <c r="V132" s="5">
        <v>15164826.819551401</v>
      </c>
      <c r="W132" s="5">
        <v>7762908.1623307103</v>
      </c>
      <c r="X132" s="5">
        <v>47668848.551077597</v>
      </c>
      <c r="Y132" s="5">
        <v>6374225.4464195203</v>
      </c>
    </row>
    <row r="133" spans="1:25" x14ac:dyDescent="0.45">
      <c r="A133" s="5" t="s">
        <v>141</v>
      </c>
      <c r="B133" s="5">
        <v>22736243.640152998</v>
      </c>
      <c r="C133" s="5">
        <v>24560227.328954998</v>
      </c>
      <c r="D133" s="5">
        <v>14393868.8306731</v>
      </c>
      <c r="E133" s="5">
        <v>13268074.322351901</v>
      </c>
      <c r="F133" s="5">
        <v>13839915.3557657</v>
      </c>
      <c r="G133" s="5">
        <v>13494663.982416499</v>
      </c>
      <c r="H133" s="5">
        <v>12587940.2997836</v>
      </c>
      <c r="I133" s="5">
        <v>14224263.3804555</v>
      </c>
      <c r="J133" s="5">
        <v>11711630.1779308</v>
      </c>
      <c r="K133" s="5">
        <v>28610098.1073476</v>
      </c>
      <c r="L133" s="5">
        <v>14310944.5513076</v>
      </c>
      <c r="M133" s="5">
        <v>15656036.083764501</v>
      </c>
      <c r="N133" s="5">
        <v>16859145.793031901</v>
      </c>
      <c r="O133" s="5">
        <v>23936557.865901601</v>
      </c>
      <c r="P133" s="5">
        <v>22260943.233238202</v>
      </c>
      <c r="Q133" s="5">
        <v>24061198.572143301</v>
      </c>
      <c r="R133" s="5">
        <v>16772314.1791749</v>
      </c>
      <c r="S133" s="5">
        <v>19517712.049968001</v>
      </c>
      <c r="T133" s="5">
        <v>22133930.005064201</v>
      </c>
      <c r="U133" s="5">
        <v>28277108.730959199</v>
      </c>
      <c r="V133" s="5">
        <v>34150510.785696097</v>
      </c>
      <c r="W133" s="5">
        <v>26364581.314472601</v>
      </c>
      <c r="X133" s="5">
        <v>13666234.897907199</v>
      </c>
      <c r="Y133" s="5">
        <v>25361747.479432698</v>
      </c>
    </row>
    <row r="134" spans="1:25" x14ac:dyDescent="0.45">
      <c r="A134" s="5" t="s">
        <v>142</v>
      </c>
      <c r="B134" s="5">
        <v>822831.23376082</v>
      </c>
      <c r="C134" s="5">
        <v>928288.11719956598</v>
      </c>
      <c r="D134" s="5">
        <v>1089552.75991931</v>
      </c>
      <c r="E134" s="5">
        <v>773100.38976389798</v>
      </c>
      <c r="F134" s="5">
        <v>637082.922469054</v>
      </c>
      <c r="G134" s="5">
        <v>8977635.7773640398</v>
      </c>
      <c r="H134" s="5">
        <v>570763.29684200895</v>
      </c>
      <c r="I134" s="5">
        <v>446266.77443766501</v>
      </c>
      <c r="J134" s="5">
        <v>832759.27319766302</v>
      </c>
      <c r="K134" s="5">
        <v>328766.18629686499</v>
      </c>
      <c r="L134" s="5">
        <v>934523.70247273694</v>
      </c>
      <c r="M134" s="5">
        <v>679018.07722297695</v>
      </c>
      <c r="N134" s="5">
        <v>707357.16560361197</v>
      </c>
      <c r="O134" s="5">
        <v>604580.84015262395</v>
      </c>
      <c r="P134" s="5">
        <v>342509.11814098799</v>
      </c>
      <c r="Q134" s="5">
        <v>559634.85628698801</v>
      </c>
      <c r="R134" s="5">
        <v>432340.70824560203</v>
      </c>
      <c r="S134" s="5">
        <v>764984.98266308603</v>
      </c>
      <c r="T134" s="5">
        <v>1154126.9057392699</v>
      </c>
      <c r="U134" s="5">
        <v>654803.97090476996</v>
      </c>
      <c r="V134" s="5">
        <v>607895.82120091305</v>
      </c>
      <c r="W134" s="5">
        <v>493050.74717726599</v>
      </c>
      <c r="X134" s="5">
        <v>515111.39374693198</v>
      </c>
      <c r="Y134" s="5">
        <v>596857.37618939194</v>
      </c>
    </row>
    <row r="135" spans="1:25" x14ac:dyDescent="0.45">
      <c r="A135" s="5" t="s">
        <v>143</v>
      </c>
      <c r="B135" s="5">
        <v>563972774.383986</v>
      </c>
      <c r="C135" s="5">
        <v>274758336.30135298</v>
      </c>
      <c r="D135" s="5">
        <v>405591281.09263402</v>
      </c>
      <c r="E135" s="5">
        <v>533878782.10492003</v>
      </c>
      <c r="F135" s="5">
        <v>621147043.07551396</v>
      </c>
      <c r="G135" s="5">
        <v>383898825.78765601</v>
      </c>
      <c r="H135" s="5">
        <v>718118619.01076198</v>
      </c>
      <c r="I135" s="5">
        <v>971346109.85345995</v>
      </c>
      <c r="J135" s="5">
        <v>753399228.99687505</v>
      </c>
      <c r="K135" s="5">
        <v>1086705330.2762401</v>
      </c>
      <c r="L135" s="5">
        <v>485704803.631504</v>
      </c>
      <c r="M135" s="5">
        <v>398713083.11229098</v>
      </c>
      <c r="N135" s="5">
        <v>320755978.129839</v>
      </c>
      <c r="O135" s="5">
        <v>324051306.80780399</v>
      </c>
      <c r="P135" s="5">
        <v>306793897.70089</v>
      </c>
      <c r="Q135" s="5">
        <v>334146701.668957</v>
      </c>
      <c r="R135" s="5">
        <v>996188710.032354</v>
      </c>
      <c r="S135" s="5">
        <v>513568817.38941902</v>
      </c>
      <c r="T135" s="5">
        <v>609228199.78293002</v>
      </c>
      <c r="U135" s="5">
        <v>569210407.44093394</v>
      </c>
      <c r="V135" s="5">
        <v>348287454.52475399</v>
      </c>
      <c r="W135" s="5">
        <v>579852686.52534294</v>
      </c>
      <c r="X135" s="5">
        <v>674296739.65254498</v>
      </c>
      <c r="Y135" s="5">
        <v>409034270.06040001</v>
      </c>
    </row>
    <row r="136" spans="1:25" x14ac:dyDescent="0.45">
      <c r="A136" s="5" t="s">
        <v>295</v>
      </c>
      <c r="B136" s="5">
        <v>10705168.4760659</v>
      </c>
      <c r="C136" s="5">
        <v>13814865.9028387</v>
      </c>
      <c r="D136" s="5">
        <v>15512753.5041734</v>
      </c>
      <c r="E136" s="5">
        <v>5157702.1932512699</v>
      </c>
      <c r="F136" s="5">
        <v>7068625.4070445597</v>
      </c>
      <c r="G136" s="5">
        <v>6463092.2655680403</v>
      </c>
      <c r="H136" s="5">
        <v>8913766.6114677805</v>
      </c>
      <c r="I136" s="5">
        <v>14862456.057673199</v>
      </c>
      <c r="J136" s="5">
        <v>11617809.3441552</v>
      </c>
      <c r="K136" s="5">
        <v>1754726.2437634</v>
      </c>
      <c r="L136" s="5">
        <v>12211101.4085782</v>
      </c>
      <c r="M136" s="5">
        <v>6455006.4913368197</v>
      </c>
      <c r="N136" s="5">
        <v>11980070.5722731</v>
      </c>
      <c r="O136" s="5">
        <v>36860092.1026977</v>
      </c>
      <c r="P136" s="5">
        <v>28020261.361487601</v>
      </c>
      <c r="Q136" s="5">
        <v>11599592.079423601</v>
      </c>
      <c r="R136" s="5">
        <v>8943187.2142200805</v>
      </c>
      <c r="S136" s="5">
        <v>10677098.0585934</v>
      </c>
      <c r="T136" s="5">
        <v>16090026.808521001</v>
      </c>
      <c r="U136" s="5">
        <v>14382284.7970453</v>
      </c>
      <c r="V136" s="5">
        <v>13685886.1494096</v>
      </c>
      <c r="W136" s="5">
        <v>9160846.1024739407</v>
      </c>
      <c r="X136" s="5">
        <v>40232270.028068297</v>
      </c>
      <c r="Y136" s="5">
        <v>10639327.8285542</v>
      </c>
    </row>
    <row r="137" spans="1:25" x14ac:dyDescent="0.45">
      <c r="A137" s="5" t="s">
        <v>382</v>
      </c>
      <c r="B137" s="5">
        <v>21883718.341834299</v>
      </c>
      <c r="C137" s="5">
        <v>10891662.392170001</v>
      </c>
      <c r="D137" s="5">
        <v>10376562.0606909</v>
      </c>
      <c r="E137" s="5">
        <v>11912114.422312999</v>
      </c>
      <c r="F137" s="5">
        <v>15006798.6110096</v>
      </c>
      <c r="G137" s="5">
        <v>9890704.6793970391</v>
      </c>
      <c r="H137" s="5">
        <v>23597354.971396901</v>
      </c>
      <c r="I137" s="5">
        <v>73142400.489822298</v>
      </c>
      <c r="J137" s="5">
        <v>24011709.756106898</v>
      </c>
      <c r="K137" s="5">
        <v>5613983.86495627</v>
      </c>
      <c r="L137" s="5">
        <v>12516956.9218888</v>
      </c>
      <c r="M137" s="5">
        <v>4991735.7418332603</v>
      </c>
      <c r="N137" s="5">
        <v>6085419.0733747398</v>
      </c>
      <c r="O137" s="5">
        <v>19639608.986221399</v>
      </c>
      <c r="P137" s="5">
        <v>21200686.058452699</v>
      </c>
      <c r="Q137" s="5">
        <v>7299218.0064872298</v>
      </c>
      <c r="R137" s="5">
        <v>9271692.3254160509</v>
      </c>
      <c r="S137" s="5">
        <v>8777733.1161430608</v>
      </c>
      <c r="T137" s="5">
        <v>22502399.321678899</v>
      </c>
      <c r="U137" s="5">
        <v>48688040.623436697</v>
      </c>
      <c r="V137" s="5">
        <v>20522954.222675599</v>
      </c>
      <c r="W137" s="5">
        <v>17511381.884822901</v>
      </c>
      <c r="X137" s="5">
        <v>7501240.2665676698</v>
      </c>
      <c r="Y137" s="5">
        <v>11743381.4769731</v>
      </c>
    </row>
    <row r="138" spans="1:25" x14ac:dyDescent="0.45">
      <c r="A138" s="5" t="s">
        <v>296</v>
      </c>
      <c r="B138" s="5">
        <v>1678017.20783796</v>
      </c>
      <c r="C138" s="5">
        <v>129775370.366373</v>
      </c>
      <c r="D138" s="5">
        <v>11646327.601542</v>
      </c>
      <c r="E138" s="5">
        <v>2672989.2960120998</v>
      </c>
      <c r="F138" s="5">
        <v>846061.47223787801</v>
      </c>
      <c r="G138" s="5">
        <v>46602826.1632898</v>
      </c>
      <c r="H138" s="5">
        <v>58100961.260083601</v>
      </c>
      <c r="I138" s="5">
        <v>315199.66014186898</v>
      </c>
      <c r="J138" s="5">
        <v>1843972.9851738799</v>
      </c>
      <c r="K138" s="5">
        <v>1970086.67793574</v>
      </c>
      <c r="L138" s="5">
        <v>2362718.4425925598</v>
      </c>
      <c r="M138" s="5">
        <v>127628412.635693</v>
      </c>
      <c r="N138" s="5">
        <v>95036267.195663497</v>
      </c>
      <c r="O138" s="5">
        <v>55944616.5780674</v>
      </c>
      <c r="P138" s="5">
        <v>12137370.498501001</v>
      </c>
      <c r="Q138" s="5">
        <v>234896428.238666</v>
      </c>
      <c r="R138" s="5">
        <v>1039156.6109228</v>
      </c>
      <c r="S138" s="5">
        <v>36184997.582300499</v>
      </c>
      <c r="T138" s="5">
        <v>3538301.7623364599</v>
      </c>
      <c r="U138" s="5">
        <v>24490572.162699901</v>
      </c>
      <c r="V138" s="5">
        <v>47065569.4831357</v>
      </c>
      <c r="W138" s="5">
        <v>15126900.064441301</v>
      </c>
      <c r="X138" s="5">
        <v>262878.51002977102</v>
      </c>
      <c r="Y138" s="5">
        <v>9304492.1770033706</v>
      </c>
    </row>
    <row r="139" spans="1:25" x14ac:dyDescent="0.45">
      <c r="A139" s="5" t="s">
        <v>144</v>
      </c>
      <c r="B139" s="5">
        <v>28868641.980753399</v>
      </c>
      <c r="C139" s="5">
        <v>34390105.946778402</v>
      </c>
      <c r="D139" s="5">
        <v>28301624.849452302</v>
      </c>
      <c r="E139" s="5">
        <v>27373748.571954999</v>
      </c>
      <c r="F139" s="5">
        <v>26351426.466715701</v>
      </c>
      <c r="G139" s="5">
        <v>30310422.522622898</v>
      </c>
      <c r="H139" s="5">
        <v>30427413.6843987</v>
      </c>
      <c r="I139" s="5">
        <v>30299463.471740801</v>
      </c>
      <c r="J139" s="5">
        <v>29705352.551348198</v>
      </c>
      <c r="K139" s="5">
        <v>26251134.0413507</v>
      </c>
      <c r="L139" s="5">
        <v>27746682.192047901</v>
      </c>
      <c r="M139" s="5">
        <v>31106103.3388457</v>
      </c>
      <c r="N139" s="5">
        <v>23841081.935638599</v>
      </c>
      <c r="O139" s="5">
        <v>29125138.1853774</v>
      </c>
      <c r="P139" s="5">
        <v>29354457.785712302</v>
      </c>
      <c r="Q139" s="5">
        <v>34813117.280148603</v>
      </c>
      <c r="R139" s="5">
        <v>27551070.704559501</v>
      </c>
      <c r="S139" s="5">
        <v>27852648.153642099</v>
      </c>
      <c r="T139" s="5">
        <v>28498240.7501394</v>
      </c>
      <c r="U139" s="5">
        <v>34986926.077781901</v>
      </c>
      <c r="V139" s="5">
        <v>34536679.3877756</v>
      </c>
      <c r="W139" s="5">
        <v>31799639.799024001</v>
      </c>
      <c r="X139" s="5">
        <v>28544050.176762599</v>
      </c>
      <c r="Y139" s="5">
        <v>33882969.149301499</v>
      </c>
    </row>
    <row r="140" spans="1:25" x14ac:dyDescent="0.45">
      <c r="A140" s="5" t="s">
        <v>145</v>
      </c>
      <c r="B140" s="5">
        <v>118840716.557235</v>
      </c>
      <c r="C140" s="5">
        <v>130539973.308926</v>
      </c>
      <c r="D140" s="5">
        <v>97436720.534614295</v>
      </c>
      <c r="E140" s="5">
        <v>94579608.423080504</v>
      </c>
      <c r="F140" s="5">
        <v>145576117.86860999</v>
      </c>
      <c r="G140" s="5">
        <v>58910747.999785103</v>
      </c>
      <c r="H140" s="5">
        <v>285749335.42331803</v>
      </c>
      <c r="I140" s="5">
        <v>365272319.38226497</v>
      </c>
      <c r="J140" s="5">
        <v>329262043.55458599</v>
      </c>
      <c r="K140" s="5">
        <v>96405829.121834204</v>
      </c>
      <c r="L140" s="5">
        <v>83407756.666849196</v>
      </c>
      <c r="M140" s="5">
        <v>119795299.258926</v>
      </c>
      <c r="N140" s="5">
        <v>245610619.67609</v>
      </c>
      <c r="O140" s="5">
        <v>215449621.77443799</v>
      </c>
      <c r="P140" s="5">
        <v>180546717.215159</v>
      </c>
      <c r="Q140" s="5">
        <v>124220723.137008</v>
      </c>
      <c r="R140" s="5">
        <v>202870352.57228401</v>
      </c>
      <c r="S140" s="5">
        <v>151703403.30447099</v>
      </c>
      <c r="T140" s="5">
        <v>77606307.323508605</v>
      </c>
      <c r="U140" s="5">
        <v>191559701.357474</v>
      </c>
      <c r="V140" s="5">
        <v>140464727.294168</v>
      </c>
      <c r="W140" s="5">
        <v>114207144.311611</v>
      </c>
      <c r="X140" s="5">
        <v>119094066.613297</v>
      </c>
      <c r="Y140" s="5">
        <v>80334424.361516297</v>
      </c>
    </row>
    <row r="141" spans="1:25" x14ac:dyDescent="0.45">
      <c r="A141" s="5" t="s">
        <v>146</v>
      </c>
      <c r="B141" s="5">
        <v>6491509.4719912298</v>
      </c>
      <c r="C141" s="5">
        <v>5603574.9773984998</v>
      </c>
      <c r="D141" s="5">
        <v>6768607.5995824402</v>
      </c>
      <c r="E141" s="5">
        <v>5481073.9894190896</v>
      </c>
      <c r="F141" s="5">
        <v>2426260.2394092302</v>
      </c>
      <c r="G141" s="5">
        <v>11421670.214942001</v>
      </c>
      <c r="H141" s="5">
        <v>5523734.3933278099</v>
      </c>
      <c r="I141" s="5">
        <v>7679927.8799987296</v>
      </c>
      <c r="J141" s="5">
        <v>6856134.6661606301</v>
      </c>
      <c r="K141" s="5">
        <v>10335703.2545285</v>
      </c>
      <c r="L141" s="5">
        <v>4133920.0780935502</v>
      </c>
      <c r="M141" s="5">
        <v>7411105.8358843699</v>
      </c>
      <c r="N141" s="5">
        <v>6350920.7662885301</v>
      </c>
      <c r="O141" s="5">
        <v>5306876.1548369601</v>
      </c>
      <c r="P141" s="5">
        <v>6690212.8197833197</v>
      </c>
      <c r="Q141" s="5">
        <v>4871707.85261478</v>
      </c>
      <c r="R141" s="5">
        <v>6099298.7467978597</v>
      </c>
      <c r="S141" s="5">
        <v>8267882.6088602999</v>
      </c>
      <c r="T141" s="5">
        <v>6076647.3220108403</v>
      </c>
      <c r="U141" s="5">
        <v>7076869.5797462398</v>
      </c>
      <c r="V141" s="5">
        <v>6991405.5280925501</v>
      </c>
      <c r="W141" s="5">
        <v>6108078.4972352497</v>
      </c>
      <c r="X141" s="5">
        <v>16635324.7684674</v>
      </c>
      <c r="Y141" s="5">
        <v>5292806.7538139699</v>
      </c>
    </row>
    <row r="142" spans="1:25" x14ac:dyDescent="0.45">
      <c r="A142" s="5" t="s">
        <v>420</v>
      </c>
      <c r="B142" s="5">
        <v>6627740.04763145</v>
      </c>
      <c r="C142" s="5">
        <v>13195362.680424601</v>
      </c>
      <c r="D142" s="5">
        <v>9681753.9757252205</v>
      </c>
      <c r="E142" s="5">
        <v>8667036.1700085793</v>
      </c>
      <c r="F142" s="5">
        <v>6668670.0809650002</v>
      </c>
      <c r="G142" s="5">
        <v>9396601.3885436505</v>
      </c>
      <c r="H142" s="5">
        <v>2312101.91509492</v>
      </c>
      <c r="I142" s="5">
        <v>101938173.929149</v>
      </c>
      <c r="J142" s="5">
        <v>8531887.1520527992</v>
      </c>
      <c r="K142" s="5">
        <v>122315992.37484799</v>
      </c>
      <c r="L142" s="5">
        <v>6921005.7907715105</v>
      </c>
      <c r="M142" s="5">
        <v>2957948.38256709</v>
      </c>
      <c r="N142" s="5">
        <v>13190255.378641101</v>
      </c>
      <c r="O142" s="5">
        <v>12623560.3930762</v>
      </c>
      <c r="P142" s="5">
        <v>13303009.946518101</v>
      </c>
      <c r="Q142" s="5">
        <v>10931186.006582201</v>
      </c>
      <c r="R142" s="5">
        <v>5495028.0848669596</v>
      </c>
      <c r="S142" s="5">
        <v>7964020.4019047599</v>
      </c>
      <c r="T142" s="5">
        <v>9753293.4207446706</v>
      </c>
      <c r="U142" s="5">
        <v>3386469.92791432</v>
      </c>
      <c r="V142" s="5">
        <v>14137169.438929699</v>
      </c>
      <c r="W142" s="5">
        <v>80412966.1981062</v>
      </c>
      <c r="X142" s="5">
        <v>60505189.371210501</v>
      </c>
      <c r="Y142" s="5">
        <v>105841622.92278001</v>
      </c>
    </row>
    <row r="143" spans="1:25" x14ac:dyDescent="0.45">
      <c r="A143" s="5" t="s">
        <v>298</v>
      </c>
      <c r="B143" s="5">
        <v>70367015.654218301</v>
      </c>
      <c r="C143" s="5">
        <v>13378849.0507733</v>
      </c>
      <c r="D143" s="5">
        <v>31976430.9327797</v>
      </c>
      <c r="E143" s="5">
        <v>32964311.3025386</v>
      </c>
      <c r="F143" s="5">
        <v>68767360.783430398</v>
      </c>
      <c r="G143" s="5">
        <v>20583381.1447367</v>
      </c>
      <c r="H143" s="5">
        <v>27768439.828659602</v>
      </c>
      <c r="I143" s="5">
        <v>969872141.64631999</v>
      </c>
      <c r="J143" s="5">
        <v>76881635.170230493</v>
      </c>
      <c r="K143" s="5">
        <v>193483586.281396</v>
      </c>
      <c r="L143" s="5">
        <v>54081749.121740296</v>
      </c>
      <c r="M143" s="5">
        <v>30059893.343353398</v>
      </c>
      <c r="N143" s="5">
        <v>8892833.2909677308</v>
      </c>
      <c r="O143" s="5">
        <v>21193354.429879598</v>
      </c>
      <c r="P143" s="5">
        <v>19952706.7181678</v>
      </c>
      <c r="Q143" s="5">
        <v>13449804.3992109</v>
      </c>
      <c r="R143" s="5">
        <v>37310352.217709497</v>
      </c>
      <c r="S143" s="5">
        <v>21026383.1350406</v>
      </c>
      <c r="T143" s="5">
        <v>57785007.547415197</v>
      </c>
      <c r="U143" s="5">
        <v>79289849.867262706</v>
      </c>
      <c r="V143" s="5">
        <v>23165401.289356198</v>
      </c>
      <c r="W143" s="5">
        <v>48539049.7515698</v>
      </c>
      <c r="X143" s="5">
        <v>100403629.62026601</v>
      </c>
      <c r="Y143" s="5">
        <v>24661437.054733202</v>
      </c>
    </row>
    <row r="144" spans="1:25" x14ac:dyDescent="0.45">
      <c r="A144" s="5" t="s">
        <v>155</v>
      </c>
      <c r="B144" s="5">
        <v>111385336.257972</v>
      </c>
      <c r="C144" s="5">
        <v>115956640.24201</v>
      </c>
      <c r="D144" s="5">
        <v>85150807.758019596</v>
      </c>
      <c r="E144" s="5">
        <v>112805896.259369</v>
      </c>
      <c r="F144" s="5">
        <v>114791720.808651</v>
      </c>
      <c r="G144" s="5">
        <v>92544986.208505496</v>
      </c>
      <c r="H144" s="5">
        <v>149754245.78094199</v>
      </c>
      <c r="I144" s="5">
        <v>388082723.61628997</v>
      </c>
      <c r="J144" s="5">
        <v>150086201.00674999</v>
      </c>
      <c r="K144" s="5">
        <v>209759349.725041</v>
      </c>
      <c r="L144" s="5">
        <v>142424240.369822</v>
      </c>
      <c r="M144" s="5">
        <v>146852267.036338</v>
      </c>
      <c r="N144" s="5">
        <v>61442372.714818798</v>
      </c>
      <c r="O144" s="5">
        <v>139299503.80837199</v>
      </c>
      <c r="P144" s="5">
        <v>116095197.545407</v>
      </c>
      <c r="Q144" s="5">
        <v>89797065.504074201</v>
      </c>
      <c r="R144" s="5">
        <v>223818773.10325801</v>
      </c>
      <c r="S144" s="5">
        <v>135280373.49764699</v>
      </c>
      <c r="T144" s="5">
        <v>114354147.726483</v>
      </c>
      <c r="U144" s="5">
        <v>173931614.909399</v>
      </c>
      <c r="V144" s="5">
        <v>138498310.86944899</v>
      </c>
      <c r="W144" s="5">
        <v>170048705.82894599</v>
      </c>
      <c r="X144" s="5">
        <v>518229077.95553797</v>
      </c>
      <c r="Y144" s="5">
        <v>127502935.85333601</v>
      </c>
    </row>
    <row r="145" spans="1:25" x14ac:dyDescent="0.45">
      <c r="A145" s="5" t="s">
        <v>300</v>
      </c>
      <c r="B145" s="5">
        <v>3809423.1259321999</v>
      </c>
      <c r="C145" s="5">
        <v>2780454.8825531998</v>
      </c>
      <c r="D145" s="5">
        <v>3210586.1436117301</v>
      </c>
      <c r="E145" s="5">
        <v>190294036.87788999</v>
      </c>
      <c r="F145" s="5">
        <v>123080526.933696</v>
      </c>
      <c r="G145" s="5">
        <v>3208353.6357055702</v>
      </c>
      <c r="H145" s="5">
        <v>147813132.83189601</v>
      </c>
      <c r="I145" s="5">
        <v>10902662.3513826</v>
      </c>
      <c r="J145" s="5">
        <v>234979375.96636999</v>
      </c>
      <c r="K145" s="5">
        <v>4821618.6123129698</v>
      </c>
      <c r="L145" s="5">
        <v>5237006.6203792701</v>
      </c>
      <c r="M145" s="5">
        <v>3368873.2043213402</v>
      </c>
      <c r="N145" s="5">
        <v>75559441.408052906</v>
      </c>
      <c r="O145" s="5">
        <v>104680949.742182</v>
      </c>
      <c r="P145" s="5">
        <v>29967736.686545402</v>
      </c>
      <c r="Q145" s="5">
        <v>89718337.595692903</v>
      </c>
      <c r="R145" s="5">
        <v>174613761.518549</v>
      </c>
      <c r="S145" s="5">
        <v>160510760.63377199</v>
      </c>
      <c r="T145" s="5">
        <v>161401529.41004899</v>
      </c>
      <c r="U145" s="5">
        <v>162597987.13019499</v>
      </c>
      <c r="V145" s="5">
        <v>53201345.563851103</v>
      </c>
      <c r="W145" s="5">
        <v>147792894.86549401</v>
      </c>
      <c r="X145" s="5">
        <v>315110355.34034997</v>
      </c>
      <c r="Y145" s="5">
        <v>92859179.677634105</v>
      </c>
    </row>
    <row r="146" spans="1:25" x14ac:dyDescent="0.45">
      <c r="A146" s="5" t="s">
        <v>421</v>
      </c>
      <c r="B146" s="5">
        <v>6919349.0062267203</v>
      </c>
      <c r="C146" s="5">
        <v>3656927.2776865</v>
      </c>
      <c r="D146" s="5">
        <v>6436702.6003649402</v>
      </c>
      <c r="E146" s="5">
        <v>222174.53980788399</v>
      </c>
      <c r="F146" s="5">
        <v>354510.24255611002</v>
      </c>
      <c r="G146" s="5">
        <v>382598.478720101</v>
      </c>
      <c r="H146" s="5">
        <v>5616999.8084549103</v>
      </c>
      <c r="I146" s="5">
        <v>10136457.357891999</v>
      </c>
      <c r="J146" s="5">
        <v>11107690.900197599</v>
      </c>
      <c r="K146" s="5">
        <v>231060.465116509</v>
      </c>
      <c r="L146" s="5">
        <v>7131709.5638113096</v>
      </c>
      <c r="M146" s="5">
        <v>3956202.8962089098</v>
      </c>
      <c r="N146" s="5">
        <v>8077749.3306494802</v>
      </c>
      <c r="O146" s="5">
        <v>5503369.2381302603</v>
      </c>
      <c r="P146" s="5">
        <v>5797595.6676907903</v>
      </c>
      <c r="Q146" s="5">
        <v>205741.30265812701</v>
      </c>
      <c r="R146" s="5">
        <v>193935.88625802301</v>
      </c>
      <c r="S146" s="5">
        <v>2359399.7458651899</v>
      </c>
      <c r="T146" s="5">
        <v>6877973.0511318399</v>
      </c>
      <c r="U146" s="5">
        <v>1128450.75660462</v>
      </c>
      <c r="V146" s="5">
        <v>6465986.94941804</v>
      </c>
      <c r="W146" s="5">
        <v>7084868.2276572296</v>
      </c>
      <c r="X146" s="5">
        <v>7253721.2718449403</v>
      </c>
      <c r="Y146" s="5">
        <v>8113379.9084849497</v>
      </c>
    </row>
    <row r="147" spans="1:25" x14ac:dyDescent="0.45">
      <c r="A147" s="5" t="s">
        <v>157</v>
      </c>
      <c r="B147" s="5">
        <v>365209.22512598999</v>
      </c>
      <c r="C147" s="5">
        <v>609442.47205493599</v>
      </c>
      <c r="D147" s="5">
        <v>898518.337935791</v>
      </c>
      <c r="E147" s="5">
        <v>1136797.68712862</v>
      </c>
      <c r="F147" s="5">
        <v>1364448.68569619</v>
      </c>
      <c r="G147" s="5">
        <v>1003405.97677048</v>
      </c>
      <c r="H147" s="5">
        <v>1132460.8545641699</v>
      </c>
      <c r="I147" s="5">
        <v>5344862.5877796104</v>
      </c>
      <c r="J147" s="5">
        <v>1116623.46383354</v>
      </c>
      <c r="K147" s="5">
        <v>8421298.2894819602</v>
      </c>
      <c r="L147" s="5">
        <v>1097356.0646586099</v>
      </c>
      <c r="M147" s="5">
        <v>1135829.6432010999</v>
      </c>
      <c r="N147" s="5">
        <v>6678124.5601538597</v>
      </c>
      <c r="O147" s="5">
        <v>5029444.3844832899</v>
      </c>
      <c r="P147" s="5">
        <v>924153.11957957398</v>
      </c>
      <c r="Q147" s="5">
        <v>977266.12829022796</v>
      </c>
      <c r="R147" s="5">
        <v>2204860.0751227401</v>
      </c>
      <c r="S147" s="5">
        <v>2046401.78518109</v>
      </c>
      <c r="T147" s="5">
        <v>330758.708853252</v>
      </c>
      <c r="U147" s="5">
        <v>1389692.6549893799</v>
      </c>
      <c r="V147" s="5">
        <v>1494690.43059435</v>
      </c>
      <c r="W147" s="5">
        <v>618717.7980217</v>
      </c>
      <c r="X147" s="5">
        <v>2551244.5068129702</v>
      </c>
      <c r="Y147" s="5">
        <v>718646.78744297905</v>
      </c>
    </row>
    <row r="148" spans="1:25" x14ac:dyDescent="0.45">
      <c r="A148" s="5" t="s">
        <v>301</v>
      </c>
      <c r="B148" s="5">
        <v>2451990618.03687</v>
      </c>
      <c r="C148" s="5">
        <v>1894325909.5174699</v>
      </c>
      <c r="D148" s="5">
        <v>1875309362.0452399</v>
      </c>
      <c r="E148" s="5">
        <v>1723433587.1475101</v>
      </c>
      <c r="F148" s="5">
        <v>2057848405.3525901</v>
      </c>
      <c r="G148" s="5">
        <v>1764872189.9246399</v>
      </c>
      <c r="H148" s="5">
        <v>2287392792.3871198</v>
      </c>
      <c r="I148" s="5">
        <v>4600991152.2298803</v>
      </c>
      <c r="J148" s="5">
        <v>3000086973.9067302</v>
      </c>
      <c r="K148" s="5">
        <v>2310397155.3317199</v>
      </c>
      <c r="L148" s="5">
        <v>2729842426.65411</v>
      </c>
      <c r="M148" s="5">
        <v>2025714305.46138</v>
      </c>
      <c r="N148" s="5">
        <v>960920524.85677397</v>
      </c>
      <c r="O148" s="5">
        <v>1762567788.7558401</v>
      </c>
      <c r="P148" s="5">
        <v>1409543698.3234401</v>
      </c>
      <c r="Q148" s="5">
        <v>1291442850.2642701</v>
      </c>
      <c r="R148" s="5">
        <v>2055286919.65851</v>
      </c>
      <c r="S148" s="5">
        <v>2027229903.7987399</v>
      </c>
      <c r="T148" s="5">
        <v>2288663970.23278</v>
      </c>
      <c r="U148" s="5">
        <v>2791571129.0799899</v>
      </c>
      <c r="V148" s="5">
        <v>1723084294.57739</v>
      </c>
      <c r="W148" s="5">
        <v>993450977.35400796</v>
      </c>
      <c r="X148" s="5">
        <v>3563394258.9503798</v>
      </c>
      <c r="Y148" s="5">
        <v>1728854602.17135</v>
      </c>
    </row>
    <row r="149" spans="1:25" x14ac:dyDescent="0.45">
      <c r="A149" s="5" t="s">
        <v>302</v>
      </c>
      <c r="B149" s="5">
        <v>94578588.339965895</v>
      </c>
      <c r="C149" s="5">
        <v>53802926.7375113</v>
      </c>
      <c r="D149" s="5">
        <v>85631895.708868399</v>
      </c>
      <c r="E149" s="5">
        <v>171913212.81560701</v>
      </c>
      <c r="F149" s="5">
        <v>159857193.71643299</v>
      </c>
      <c r="G149" s="5">
        <v>125956105.979488</v>
      </c>
      <c r="H149" s="5">
        <v>138340889.494122</v>
      </c>
      <c r="I149" s="5">
        <v>123157544.03667501</v>
      </c>
      <c r="J149" s="5">
        <v>90967673.499359399</v>
      </c>
      <c r="K149" s="5">
        <v>238415048.56484801</v>
      </c>
      <c r="L149" s="5">
        <v>89527559.691554099</v>
      </c>
      <c r="M149" s="5">
        <v>47895018.220411301</v>
      </c>
      <c r="N149" s="5">
        <v>29602689.823694199</v>
      </c>
      <c r="O149" s="5">
        <v>22350109.521690499</v>
      </c>
      <c r="P149" s="5">
        <v>28053100.606192</v>
      </c>
      <c r="Q149" s="5">
        <v>65502279.693009898</v>
      </c>
      <c r="R149" s="5">
        <v>237693399.898386</v>
      </c>
      <c r="S149" s="5">
        <v>172928548.55035099</v>
      </c>
      <c r="T149" s="5">
        <v>55377962.997670099</v>
      </c>
      <c r="U149" s="5">
        <v>54291064.181815401</v>
      </c>
      <c r="V149" s="5">
        <v>17658173.197411198</v>
      </c>
      <c r="W149" s="5">
        <v>91855307.730006203</v>
      </c>
      <c r="X149" s="5">
        <v>292538514.17513001</v>
      </c>
      <c r="Y149" s="5">
        <v>25736614.295739599</v>
      </c>
    </row>
    <row r="150" spans="1:25" x14ac:dyDescent="0.45">
      <c r="A150" s="5" t="s">
        <v>158</v>
      </c>
      <c r="B150" s="5">
        <v>143653445.67126301</v>
      </c>
      <c r="C150" s="5">
        <v>374677393.22797</v>
      </c>
      <c r="D150" s="5">
        <v>116845150.90026499</v>
      </c>
      <c r="E150" s="5">
        <v>123816917.36600199</v>
      </c>
      <c r="F150" s="5">
        <v>1108206426.4821</v>
      </c>
      <c r="G150" s="5">
        <v>1082417072.09497</v>
      </c>
      <c r="H150" s="5">
        <v>537204854.72363806</v>
      </c>
      <c r="I150" s="5">
        <v>421703668.62183601</v>
      </c>
      <c r="J150" s="5">
        <v>183574206.05712801</v>
      </c>
      <c r="K150" s="5">
        <v>77148814.628401101</v>
      </c>
      <c r="L150" s="5">
        <v>185760175.56955001</v>
      </c>
      <c r="M150" s="5">
        <v>384989896.84358698</v>
      </c>
      <c r="N150" s="5">
        <v>432590069.10554898</v>
      </c>
      <c r="O150" s="5">
        <v>430873778.50981402</v>
      </c>
      <c r="P150" s="5">
        <v>325343654.41052097</v>
      </c>
      <c r="Q150" s="5">
        <v>501127817.093548</v>
      </c>
      <c r="R150" s="5">
        <v>900954857.54124904</v>
      </c>
      <c r="S150" s="5">
        <v>801700616.75952601</v>
      </c>
      <c r="T150" s="5">
        <v>149917000.74838901</v>
      </c>
      <c r="U150" s="5">
        <v>295109901.25659001</v>
      </c>
      <c r="V150" s="5">
        <v>310403339.63001198</v>
      </c>
      <c r="W150" s="5">
        <v>796282006.26871395</v>
      </c>
      <c r="X150" s="5">
        <v>102257289.76386701</v>
      </c>
      <c r="Y150" s="5">
        <v>635962700.02630496</v>
      </c>
    </row>
    <row r="151" spans="1:25" x14ac:dyDescent="0.45">
      <c r="A151" s="5" t="s">
        <v>159</v>
      </c>
      <c r="B151" s="5">
        <v>29169400.828855701</v>
      </c>
      <c r="C151" s="5">
        <v>30177600.8956782</v>
      </c>
      <c r="D151" s="5">
        <v>37692661.7582701</v>
      </c>
      <c r="E151" s="5">
        <v>63824507.826416299</v>
      </c>
      <c r="F151" s="5">
        <v>46277492.465689003</v>
      </c>
      <c r="G151" s="5">
        <v>94453164.566613898</v>
      </c>
      <c r="H151" s="5">
        <v>79387541.212408096</v>
      </c>
      <c r="I151" s="5">
        <v>883911974.336887</v>
      </c>
      <c r="J151" s="5">
        <v>47203332.714318797</v>
      </c>
      <c r="K151" s="5">
        <v>105470139.215535</v>
      </c>
      <c r="L151" s="5">
        <v>49464715.0842098</v>
      </c>
      <c r="M151" s="5">
        <v>58259791.385156803</v>
      </c>
      <c r="N151" s="5">
        <v>76137095.847542003</v>
      </c>
      <c r="O151" s="5">
        <v>113921038.74304</v>
      </c>
      <c r="P151" s="5">
        <v>78289220.705428407</v>
      </c>
      <c r="Q151" s="5">
        <v>76742743.531216696</v>
      </c>
      <c r="R151" s="5">
        <v>29876417.421340801</v>
      </c>
      <c r="S151" s="5">
        <v>61676441.316948302</v>
      </c>
      <c r="T151" s="5">
        <v>14554728.059767099</v>
      </c>
      <c r="U151" s="5">
        <v>19213248.262128301</v>
      </c>
      <c r="V151" s="5">
        <v>27903031.0717628</v>
      </c>
      <c r="W151" s="5">
        <v>57654111.1136868</v>
      </c>
      <c r="X151" s="5">
        <v>566567445.57707405</v>
      </c>
      <c r="Y151" s="5">
        <v>66115856.040672101</v>
      </c>
    </row>
    <row r="152" spans="1:25" x14ac:dyDescent="0.45">
      <c r="A152" s="5" t="s">
        <v>160</v>
      </c>
      <c r="B152" s="5">
        <v>4172327.0472266502</v>
      </c>
      <c r="C152" s="5">
        <v>15068831.969387701</v>
      </c>
      <c r="D152" s="5">
        <v>13746510.891649</v>
      </c>
      <c r="E152" s="5">
        <v>2566672.3720950601</v>
      </c>
      <c r="F152" s="5">
        <v>9297593.4186210297</v>
      </c>
      <c r="G152" s="5">
        <v>3077903.05849603</v>
      </c>
      <c r="H152" s="5">
        <v>3907285.51155979</v>
      </c>
      <c r="I152" s="5">
        <v>353166586.72839302</v>
      </c>
      <c r="J152" s="5">
        <v>9932533.9762620796</v>
      </c>
      <c r="K152" s="5">
        <v>561497521.06348097</v>
      </c>
      <c r="L152" s="5">
        <v>16317220.6068724</v>
      </c>
      <c r="M152" s="5">
        <v>15165938.3211309</v>
      </c>
      <c r="N152" s="5">
        <v>24116333.896161899</v>
      </c>
      <c r="O152" s="5">
        <v>24080572.3093188</v>
      </c>
      <c r="P152" s="5">
        <v>4930845.02722596</v>
      </c>
      <c r="Q152" s="5">
        <v>40927029.868926503</v>
      </c>
      <c r="R152" s="5">
        <v>15008114.8393162</v>
      </c>
      <c r="S152" s="5">
        <v>16320006.3143549</v>
      </c>
      <c r="T152" s="5">
        <v>7323916.4823440602</v>
      </c>
      <c r="U152" s="5">
        <v>9324301.8435953092</v>
      </c>
      <c r="V152" s="5">
        <v>12268041.2370867</v>
      </c>
      <c r="W152" s="5">
        <v>439825690.81707698</v>
      </c>
      <c r="X152" s="5">
        <v>30658888.747025698</v>
      </c>
      <c r="Y152" s="5">
        <v>531017783.161246</v>
      </c>
    </row>
    <row r="153" spans="1:25" x14ac:dyDescent="0.45">
      <c r="A153" s="5" t="s">
        <v>161</v>
      </c>
      <c r="B153" s="5">
        <v>23791579.168723401</v>
      </c>
      <c r="C153" s="5">
        <v>21709413.0859752</v>
      </c>
      <c r="D153" s="5">
        <v>22124575.0001048</v>
      </c>
      <c r="E153" s="5">
        <v>11280272.1119073</v>
      </c>
      <c r="F153" s="5">
        <v>15017185.831617501</v>
      </c>
      <c r="G153" s="5">
        <v>16467892.2965264</v>
      </c>
      <c r="H153" s="5">
        <v>24045092.518744498</v>
      </c>
      <c r="I153" s="5">
        <v>55201336.152349301</v>
      </c>
      <c r="J153" s="5">
        <v>18556175.3404391</v>
      </c>
      <c r="K153" s="5">
        <v>29550555.366621699</v>
      </c>
      <c r="L153" s="5">
        <v>20282083.294110499</v>
      </c>
      <c r="M153" s="5">
        <v>33787917.317005999</v>
      </c>
      <c r="N153" s="5">
        <v>24140188.722697102</v>
      </c>
      <c r="O153" s="5">
        <v>18893903.982939601</v>
      </c>
      <c r="P153" s="5">
        <v>18455001.9958192</v>
      </c>
      <c r="Q153" s="5">
        <v>29125458.798840001</v>
      </c>
      <c r="R153" s="5">
        <v>36819446.930212699</v>
      </c>
      <c r="S153" s="5">
        <v>28628023.605455801</v>
      </c>
      <c r="T153" s="5">
        <v>21959032.750698</v>
      </c>
      <c r="U153" s="5">
        <v>47130733.256821901</v>
      </c>
      <c r="V153" s="5">
        <v>41910756.720942602</v>
      </c>
      <c r="W153" s="5">
        <v>50315497.083458297</v>
      </c>
      <c r="X153" s="5">
        <v>126186399.138854</v>
      </c>
      <c r="Y153" s="5">
        <v>44872499.7267529</v>
      </c>
    </row>
    <row r="154" spans="1:25" x14ac:dyDescent="0.45">
      <c r="A154" s="5" t="s">
        <v>162</v>
      </c>
      <c r="B154" s="5">
        <v>97690414.275743499</v>
      </c>
      <c r="C154" s="5">
        <v>76168502.024618506</v>
      </c>
      <c r="D154" s="5">
        <v>160445882.601585</v>
      </c>
      <c r="E154" s="5">
        <v>89270423.180948406</v>
      </c>
      <c r="F154" s="5">
        <v>72240626.997402996</v>
      </c>
      <c r="G154" s="5">
        <v>97708631.4261612</v>
      </c>
      <c r="H154" s="5">
        <v>346000748.65098298</v>
      </c>
      <c r="I154" s="5">
        <v>2250836104.9179502</v>
      </c>
      <c r="J154" s="5">
        <v>556516037.63009202</v>
      </c>
      <c r="K154" s="5">
        <v>1486452722.37672</v>
      </c>
      <c r="L154" s="5">
        <v>1880711743.22925</v>
      </c>
      <c r="M154" s="5">
        <v>1206823314.2383201</v>
      </c>
      <c r="N154" s="5">
        <v>56242995.050843</v>
      </c>
      <c r="O154" s="5">
        <v>225076072.48459199</v>
      </c>
      <c r="P154" s="5">
        <v>121861428.238066</v>
      </c>
      <c r="Q154" s="5">
        <v>68773166.122052103</v>
      </c>
      <c r="R154" s="5">
        <v>109927608.08922</v>
      </c>
      <c r="S154" s="5">
        <v>337236746.92815298</v>
      </c>
      <c r="T154" s="5">
        <v>28484886.580816701</v>
      </c>
      <c r="U154" s="5">
        <v>29408377.262931801</v>
      </c>
      <c r="V154" s="5">
        <v>7593693.31811391</v>
      </c>
      <c r="W154" s="5">
        <v>34555731.8141964</v>
      </c>
      <c r="X154" s="5">
        <v>408854108.23367703</v>
      </c>
      <c r="Y154" s="5">
        <v>24252507.253065199</v>
      </c>
    </row>
    <row r="155" spans="1:25" x14ac:dyDescent="0.45">
      <c r="A155" s="5" t="s">
        <v>163</v>
      </c>
      <c r="B155" s="5">
        <v>8368795.7435516603</v>
      </c>
      <c r="C155" s="5">
        <v>10093216.5548917</v>
      </c>
      <c r="D155" s="5">
        <v>5407254.2591290604</v>
      </c>
      <c r="E155" s="5">
        <v>10950922.2128218</v>
      </c>
      <c r="F155" s="5">
        <v>12439201.0343512</v>
      </c>
      <c r="G155" s="5">
        <v>13271504.504594</v>
      </c>
      <c r="H155" s="5">
        <v>11531938.284267001</v>
      </c>
      <c r="I155" s="5">
        <v>4225201.0045399005</v>
      </c>
      <c r="J155" s="5">
        <v>7959895.0851014899</v>
      </c>
      <c r="K155" s="5">
        <v>3896738.6327172099</v>
      </c>
      <c r="L155" s="5">
        <v>12912025.1830339</v>
      </c>
      <c r="M155" s="5">
        <v>10880541.4582808</v>
      </c>
      <c r="N155" s="5">
        <v>9904352.97664221</v>
      </c>
      <c r="O155" s="5">
        <v>7114591.5787006002</v>
      </c>
      <c r="P155" s="5">
        <v>6765162.3127646102</v>
      </c>
      <c r="Q155" s="5">
        <v>11013303.662230499</v>
      </c>
      <c r="R155" s="5">
        <v>6395694.9724395499</v>
      </c>
      <c r="S155" s="5">
        <v>12319311.119025899</v>
      </c>
      <c r="T155" s="5">
        <v>14657980.692975501</v>
      </c>
      <c r="U155" s="5">
        <v>7452923.6085952502</v>
      </c>
      <c r="V155" s="5">
        <v>9280782.9431039393</v>
      </c>
      <c r="W155" s="5">
        <v>9687540.8864301201</v>
      </c>
      <c r="X155" s="5">
        <v>13583182.6083668</v>
      </c>
      <c r="Y155" s="5">
        <v>8188270.5146647301</v>
      </c>
    </row>
    <row r="156" spans="1:25" x14ac:dyDescent="0.45">
      <c r="A156" s="5" t="s">
        <v>164</v>
      </c>
      <c r="B156" s="5">
        <v>30407282.618069101</v>
      </c>
      <c r="C156" s="5">
        <v>55716042.020910203</v>
      </c>
      <c r="D156" s="5">
        <v>35618394.913225599</v>
      </c>
      <c r="E156" s="5">
        <v>23524541.631284401</v>
      </c>
      <c r="F156" s="5">
        <v>22267062.1829211</v>
      </c>
      <c r="G156" s="5">
        <v>32395829.7953071</v>
      </c>
      <c r="H156" s="5">
        <v>21668802.145936001</v>
      </c>
      <c r="I156" s="5">
        <v>5634533.2848068597</v>
      </c>
      <c r="J156" s="5">
        <v>21370567.065714799</v>
      </c>
      <c r="K156" s="5">
        <v>8618065.2728543896</v>
      </c>
      <c r="L156" s="5">
        <v>14082911.752382999</v>
      </c>
      <c r="M156" s="5">
        <v>20296812.173290901</v>
      </c>
      <c r="N156" s="5">
        <v>42971265.497865401</v>
      </c>
      <c r="O156" s="5">
        <v>96904455.040275604</v>
      </c>
      <c r="P156" s="5">
        <v>52634604.859099798</v>
      </c>
      <c r="Q156" s="5">
        <v>39299418.375505701</v>
      </c>
      <c r="R156" s="5">
        <v>14155481.824445499</v>
      </c>
      <c r="S156" s="5">
        <v>28151347.113702599</v>
      </c>
      <c r="T156" s="5">
        <v>24752415.103830799</v>
      </c>
      <c r="U156" s="5">
        <v>38556696.658779301</v>
      </c>
      <c r="V156" s="5">
        <v>52005529.655014597</v>
      </c>
      <c r="W156" s="5">
        <v>36563067.129654497</v>
      </c>
      <c r="X156" s="5">
        <v>15566583.003115401</v>
      </c>
      <c r="Y156" s="5">
        <v>35976799.3768925</v>
      </c>
    </row>
    <row r="157" spans="1:25" x14ac:dyDescent="0.45">
      <c r="A157" s="5" t="s">
        <v>303</v>
      </c>
      <c r="B157" s="5">
        <v>32886200.2968277</v>
      </c>
      <c r="C157" s="5">
        <v>140927542.65369499</v>
      </c>
      <c r="D157" s="5">
        <v>50800679.317159802</v>
      </c>
      <c r="E157" s="5">
        <v>113877929.13604701</v>
      </c>
      <c r="F157" s="5">
        <v>31257763.119198099</v>
      </c>
      <c r="G157" s="5">
        <v>206341122.270863</v>
      </c>
      <c r="H157" s="5">
        <v>20111864.473609701</v>
      </c>
      <c r="I157" s="5">
        <v>1484422132.8132</v>
      </c>
      <c r="J157" s="5">
        <v>17624515.915739801</v>
      </c>
      <c r="K157" s="5">
        <v>2859890614.6259599</v>
      </c>
      <c r="L157" s="5">
        <v>88915318.344445094</v>
      </c>
      <c r="M157" s="5">
        <v>200274024.113731</v>
      </c>
      <c r="N157" s="5">
        <v>198329321.43146199</v>
      </c>
      <c r="O157" s="5">
        <v>326423973.77891499</v>
      </c>
      <c r="P157" s="5">
        <v>52045399.058920197</v>
      </c>
      <c r="Q157" s="5">
        <v>189288011.58672899</v>
      </c>
      <c r="R157" s="5">
        <v>71884140.686262503</v>
      </c>
      <c r="S157" s="5">
        <v>129105621.17337701</v>
      </c>
      <c r="T157" s="5">
        <v>49687463.237017699</v>
      </c>
      <c r="U157" s="5">
        <v>34744884.377998002</v>
      </c>
      <c r="V157" s="5">
        <v>22380567.579616498</v>
      </c>
      <c r="W157" s="5">
        <v>61979572.591660403</v>
      </c>
      <c r="X157" s="5">
        <v>746237623.27300596</v>
      </c>
      <c r="Y157" s="5">
        <v>14739767.468935199</v>
      </c>
    </row>
    <row r="158" spans="1:25" x14ac:dyDescent="0.45">
      <c r="A158" s="5" t="s">
        <v>422</v>
      </c>
      <c r="B158" s="5">
        <v>4095532.7867823602</v>
      </c>
      <c r="C158" s="5">
        <v>19006533.750686999</v>
      </c>
      <c r="D158" s="5">
        <v>12283764.560276801</v>
      </c>
      <c r="E158" s="5">
        <v>8759992.9321022406</v>
      </c>
      <c r="F158" s="5">
        <v>5565457.6235826202</v>
      </c>
      <c r="G158" s="5">
        <v>11546891.846594401</v>
      </c>
      <c r="H158" s="5">
        <v>19311057.209111001</v>
      </c>
      <c r="I158" s="5">
        <v>14682668.570252599</v>
      </c>
      <c r="J158" s="5">
        <v>7410438.6384140104</v>
      </c>
      <c r="K158" s="5">
        <v>8859363.4922087006</v>
      </c>
      <c r="L158" s="5">
        <v>6864898.9650800796</v>
      </c>
      <c r="M158" s="5">
        <v>5927468.1142358696</v>
      </c>
      <c r="N158" s="5">
        <v>19422744.572251201</v>
      </c>
      <c r="O158" s="5">
        <v>20232905.187661499</v>
      </c>
      <c r="P158" s="5">
        <v>13020647.6152294</v>
      </c>
      <c r="Q158" s="5">
        <v>15165895.351131</v>
      </c>
      <c r="R158" s="5">
        <v>8281091.1964535499</v>
      </c>
      <c r="S158" s="5">
        <v>13953536.252717201</v>
      </c>
      <c r="T158" s="5">
        <v>4862493.0840678001</v>
      </c>
      <c r="U158" s="5">
        <v>7746392.6739130802</v>
      </c>
      <c r="V158" s="5">
        <v>11471178.816630101</v>
      </c>
      <c r="W158" s="5">
        <v>6783147.6719338698</v>
      </c>
      <c r="X158" s="5">
        <v>11202523.3611132</v>
      </c>
      <c r="Y158" s="5">
        <v>13067645.8161391</v>
      </c>
    </row>
    <row r="159" spans="1:25" x14ac:dyDescent="0.45">
      <c r="A159" s="5" t="s">
        <v>433</v>
      </c>
      <c r="B159" s="5">
        <v>320824.79851559701</v>
      </c>
      <c r="C159" s="5">
        <v>322449.45024360297</v>
      </c>
      <c r="D159" s="5">
        <v>403108.902938844</v>
      </c>
      <c r="E159" s="5">
        <v>342449.434193769</v>
      </c>
      <c r="F159" s="5">
        <v>337323.22087243898</v>
      </c>
      <c r="G159" s="5">
        <v>454001.70806927601</v>
      </c>
      <c r="H159" s="5">
        <v>415229.334763386</v>
      </c>
      <c r="I159" s="5">
        <v>3520774.04408364</v>
      </c>
      <c r="J159" s="5">
        <v>1237385.2939128401</v>
      </c>
      <c r="K159" s="5">
        <v>989783999.31022203</v>
      </c>
      <c r="L159" s="5">
        <v>395631.90349250397</v>
      </c>
      <c r="M159" s="5">
        <v>274909.363545259</v>
      </c>
      <c r="N159" s="5">
        <v>3704903.85008475</v>
      </c>
      <c r="O159" s="5">
        <v>1555265.10506959</v>
      </c>
      <c r="P159" s="5">
        <v>1731415.96893066</v>
      </c>
      <c r="Q159" s="5">
        <v>434946.74966677802</v>
      </c>
      <c r="R159" s="5">
        <v>2004631.2450343</v>
      </c>
      <c r="S159" s="5">
        <v>505712.03725386597</v>
      </c>
      <c r="T159" s="5">
        <v>284730.66877283499</v>
      </c>
      <c r="U159" s="5">
        <v>427139.41505609301</v>
      </c>
      <c r="V159" s="5">
        <v>751479.55166394997</v>
      </c>
      <c r="W159" s="5">
        <v>126454.634746789</v>
      </c>
      <c r="X159" s="5">
        <v>187998.059226079</v>
      </c>
      <c r="Y159" s="5">
        <v>88782.325844744206</v>
      </c>
    </row>
    <row r="160" spans="1:25" x14ac:dyDescent="0.45">
      <c r="A160" s="5" t="s">
        <v>352</v>
      </c>
      <c r="B160" s="5">
        <v>97682741.980752602</v>
      </c>
      <c r="C160" s="5">
        <v>144318014.99936199</v>
      </c>
      <c r="D160" s="5">
        <v>103996614.99546599</v>
      </c>
      <c r="E160" s="5">
        <v>128832302.87337799</v>
      </c>
      <c r="F160" s="5">
        <v>161806992.887925</v>
      </c>
      <c r="G160" s="5">
        <v>162490849.43734199</v>
      </c>
      <c r="H160" s="5">
        <v>82698692.549549103</v>
      </c>
      <c r="I160" s="5">
        <v>33635605.707956001</v>
      </c>
      <c r="J160" s="5">
        <v>142900547.31426901</v>
      </c>
      <c r="K160" s="5">
        <v>262780833.48532799</v>
      </c>
      <c r="L160" s="5">
        <v>182190040.56049499</v>
      </c>
      <c r="M160" s="5">
        <v>118863639.880055</v>
      </c>
      <c r="N160" s="5">
        <v>55600602.733478703</v>
      </c>
      <c r="O160" s="5">
        <v>172536386.03585899</v>
      </c>
      <c r="P160" s="5">
        <v>107052630.062004</v>
      </c>
      <c r="Q160" s="5">
        <v>113889274.44581901</v>
      </c>
      <c r="R160" s="5">
        <v>160239424.39552599</v>
      </c>
      <c r="S160" s="5">
        <v>170325725.35767001</v>
      </c>
      <c r="T160" s="5">
        <v>127658019.40283801</v>
      </c>
      <c r="U160" s="5">
        <v>111326333.479913</v>
      </c>
      <c r="V160" s="5">
        <v>98087388.601819903</v>
      </c>
      <c r="W160" s="5">
        <v>122077693.079623</v>
      </c>
      <c r="X160" s="5">
        <v>33788063.076142997</v>
      </c>
      <c r="Y160" s="5">
        <v>91322576.048699707</v>
      </c>
    </row>
    <row r="161" spans="1:25" x14ac:dyDescent="0.45">
      <c r="A161" s="5" t="s">
        <v>370</v>
      </c>
      <c r="B161" s="5">
        <v>8111690.3233710602</v>
      </c>
      <c r="C161" s="5">
        <v>21157506.428015798</v>
      </c>
      <c r="D161" s="5">
        <v>15477150.716851201</v>
      </c>
      <c r="E161" s="5">
        <v>17914517.537662201</v>
      </c>
      <c r="F161" s="5">
        <v>17822408.690489698</v>
      </c>
      <c r="G161" s="5">
        <v>21883031.974864401</v>
      </c>
      <c r="H161" s="5">
        <v>13040277.652202301</v>
      </c>
      <c r="I161" s="5">
        <v>14286191.3020628</v>
      </c>
      <c r="J161" s="5">
        <v>15062396.7733173</v>
      </c>
      <c r="K161" s="5">
        <v>26726062.472732399</v>
      </c>
      <c r="L161" s="5">
        <v>19737069.810501501</v>
      </c>
      <c r="M161" s="5">
        <v>16501921.136943201</v>
      </c>
      <c r="N161" s="5">
        <v>28354314.5532998</v>
      </c>
      <c r="O161" s="5">
        <v>21041550.958324801</v>
      </c>
      <c r="P161" s="5">
        <v>37842207.308837801</v>
      </c>
      <c r="Q161" s="5">
        <v>25348166.943673901</v>
      </c>
      <c r="R161" s="5">
        <v>9314426.5524307601</v>
      </c>
      <c r="S161" s="5">
        <v>18019559.627218898</v>
      </c>
      <c r="T161" s="5">
        <v>10242655.8932206</v>
      </c>
      <c r="U161" s="5">
        <v>11720728.2350103</v>
      </c>
      <c r="V161" s="5">
        <v>15917734.6719092</v>
      </c>
      <c r="W161" s="5">
        <v>13976326.6569447</v>
      </c>
      <c r="X161" s="5">
        <v>13683034.864075201</v>
      </c>
      <c r="Y161" s="5">
        <v>16222561.022260699</v>
      </c>
    </row>
    <row r="162" spans="1:25" x14ac:dyDescent="0.45">
      <c r="A162" s="5" t="s">
        <v>358</v>
      </c>
      <c r="B162" s="5">
        <v>87713632.465111002</v>
      </c>
      <c r="C162" s="5">
        <v>143802022.821421</v>
      </c>
      <c r="D162" s="5">
        <v>128275486.500516</v>
      </c>
      <c r="E162" s="5">
        <v>102531223.77101</v>
      </c>
      <c r="F162" s="5">
        <v>135068405.64563</v>
      </c>
      <c r="G162" s="5">
        <v>158521457.06931901</v>
      </c>
      <c r="H162" s="5">
        <v>120882161.46141399</v>
      </c>
      <c r="I162" s="5">
        <v>475356433.86919302</v>
      </c>
      <c r="J162" s="5">
        <v>225171570.542045</v>
      </c>
      <c r="K162" s="5">
        <v>91597709.479604393</v>
      </c>
      <c r="L162" s="5">
        <v>154940685.93630999</v>
      </c>
      <c r="M162" s="5">
        <v>112625348.942835</v>
      </c>
      <c r="N162" s="5">
        <v>145331685.193095</v>
      </c>
      <c r="O162" s="5">
        <v>161993358.384415</v>
      </c>
      <c r="P162" s="5">
        <v>110533324.262023</v>
      </c>
      <c r="Q162" s="5">
        <v>136947291.039217</v>
      </c>
      <c r="R162" s="5">
        <v>159896454.81121799</v>
      </c>
      <c r="S162" s="5">
        <v>122566806.02265701</v>
      </c>
      <c r="T162" s="5">
        <v>154178240.21829101</v>
      </c>
      <c r="U162" s="5">
        <v>150551512.98328799</v>
      </c>
      <c r="V162" s="5">
        <v>184974275.93514901</v>
      </c>
      <c r="W162" s="5">
        <v>116834968.051082</v>
      </c>
      <c r="X162" s="5">
        <v>452952393.88281298</v>
      </c>
      <c r="Y162" s="5">
        <v>94400244.380072594</v>
      </c>
    </row>
    <row r="163" spans="1:25" x14ac:dyDescent="0.45">
      <c r="A163" s="5" t="s">
        <v>165</v>
      </c>
      <c r="B163" s="5">
        <v>12492689.100815499</v>
      </c>
      <c r="C163" s="5">
        <v>11962813.5442804</v>
      </c>
      <c r="D163" s="5">
        <v>23141702.1101625</v>
      </c>
      <c r="E163" s="5">
        <v>21705301.629996601</v>
      </c>
      <c r="F163" s="5">
        <v>22766281.7454357</v>
      </c>
      <c r="G163" s="5">
        <v>33841416.326469399</v>
      </c>
      <c r="H163" s="5">
        <v>21065930.5403433</v>
      </c>
      <c r="I163" s="5">
        <v>146077033.974406</v>
      </c>
      <c r="J163" s="5">
        <v>49407461.394237898</v>
      </c>
      <c r="K163" s="5">
        <v>47848383.524616197</v>
      </c>
      <c r="L163" s="5">
        <v>19761245.066358201</v>
      </c>
      <c r="M163" s="5">
        <v>21441638.9340754</v>
      </c>
      <c r="N163" s="5">
        <v>17379452.247772198</v>
      </c>
      <c r="O163" s="5">
        <v>24079735.698618598</v>
      </c>
      <c r="P163" s="5">
        <v>11780519.3165776</v>
      </c>
      <c r="Q163" s="5">
        <v>37204606.321722798</v>
      </c>
      <c r="R163" s="5">
        <v>26990096.8575298</v>
      </c>
      <c r="S163" s="5">
        <v>58798153.306709997</v>
      </c>
      <c r="T163" s="5">
        <v>18393401.941838201</v>
      </c>
      <c r="U163" s="5">
        <v>19077471.6206838</v>
      </c>
      <c r="V163" s="5">
        <v>13457199.654392101</v>
      </c>
      <c r="W163" s="5">
        <v>18792475.721812099</v>
      </c>
      <c r="X163" s="5">
        <v>37522327.479195103</v>
      </c>
      <c r="Y163" s="5">
        <v>14844989.868512601</v>
      </c>
    </row>
    <row r="164" spans="1:25" x14ac:dyDescent="0.45">
      <c r="A164" s="5" t="s">
        <v>166</v>
      </c>
      <c r="B164" s="5">
        <v>2177456.83510117</v>
      </c>
      <c r="C164" s="5">
        <v>4037484.9825172499</v>
      </c>
      <c r="D164" s="5">
        <v>5367939.1951014204</v>
      </c>
      <c r="E164" s="5">
        <v>4644948.1959801801</v>
      </c>
      <c r="F164" s="5">
        <v>6954939.8331924602</v>
      </c>
      <c r="G164" s="5">
        <v>3973035.4949193499</v>
      </c>
      <c r="H164" s="5">
        <v>2135591.0773061099</v>
      </c>
      <c r="I164" s="5">
        <v>37242145.109934501</v>
      </c>
      <c r="J164" s="5">
        <v>7201881.3883020803</v>
      </c>
      <c r="K164" s="5">
        <v>6938317.4371891096</v>
      </c>
      <c r="L164" s="5">
        <v>4253528.9444939196</v>
      </c>
      <c r="M164" s="5">
        <v>3722788.0160436099</v>
      </c>
      <c r="N164" s="5">
        <v>5503080.1452780999</v>
      </c>
      <c r="O164" s="5">
        <v>6713696.6631533597</v>
      </c>
      <c r="P164" s="5">
        <v>3728108.4113910799</v>
      </c>
      <c r="Q164" s="5">
        <v>4972236.9496522201</v>
      </c>
      <c r="R164" s="5">
        <v>5394250.8900120696</v>
      </c>
      <c r="S164" s="5">
        <v>4169213.3681007</v>
      </c>
      <c r="T164" s="5">
        <v>5051108.15517049</v>
      </c>
      <c r="U164" s="5">
        <v>3889071.7190446001</v>
      </c>
      <c r="V164" s="5">
        <v>5291193.8196405796</v>
      </c>
      <c r="W164" s="5">
        <v>4034964.0231139301</v>
      </c>
      <c r="X164" s="5">
        <v>33904010.214464203</v>
      </c>
      <c r="Y164" s="5">
        <v>3213772.84125794</v>
      </c>
    </row>
    <row r="165" spans="1:25" x14ac:dyDescent="0.45">
      <c r="A165" s="5" t="s">
        <v>423</v>
      </c>
      <c r="B165" s="5">
        <v>86571783.153269902</v>
      </c>
      <c r="C165" s="5">
        <v>68823512.889792204</v>
      </c>
      <c r="D165" s="5">
        <v>132589351.709672</v>
      </c>
      <c r="E165" s="5">
        <v>71046060.919455394</v>
      </c>
      <c r="F165" s="5">
        <v>38673866.864638001</v>
      </c>
      <c r="G165" s="5">
        <v>76679258.133842394</v>
      </c>
      <c r="H165" s="5">
        <v>94992528.971627593</v>
      </c>
      <c r="I165" s="5">
        <v>290576643.652008</v>
      </c>
      <c r="J165" s="5">
        <v>101604315.85691699</v>
      </c>
      <c r="K165" s="5">
        <v>398157128.35132003</v>
      </c>
      <c r="L165" s="5">
        <v>107769106.87953</v>
      </c>
      <c r="M165" s="5">
        <v>75058116.795382395</v>
      </c>
      <c r="N165" s="5">
        <v>54972816.412448399</v>
      </c>
      <c r="O165" s="5">
        <v>106201483.775911</v>
      </c>
      <c r="P165" s="5">
        <v>99999119.608503103</v>
      </c>
      <c r="Q165" s="5">
        <v>62459344.428300999</v>
      </c>
      <c r="R165" s="5">
        <v>116983444.80773599</v>
      </c>
      <c r="S165" s="5">
        <v>28515258.7518287</v>
      </c>
      <c r="T165" s="5">
        <v>93944725.804527</v>
      </c>
      <c r="U165" s="5">
        <v>127759122.19904</v>
      </c>
      <c r="V165" s="5">
        <v>108743634.368127</v>
      </c>
      <c r="W165" s="5">
        <v>291935361.54845899</v>
      </c>
      <c r="X165" s="5">
        <v>266844365.12914199</v>
      </c>
      <c r="Y165" s="5">
        <v>378314316.57957</v>
      </c>
    </row>
    <row r="166" spans="1:25" x14ac:dyDescent="0.45">
      <c r="A166" s="5" t="s">
        <v>167</v>
      </c>
      <c r="B166" s="5">
        <v>2129374.8152499502</v>
      </c>
      <c r="C166" s="5">
        <v>1164938.6963555999</v>
      </c>
      <c r="D166" s="5">
        <v>1442646.9150771501</v>
      </c>
      <c r="E166" s="5">
        <v>2111625.5602055602</v>
      </c>
      <c r="F166" s="5">
        <v>4689936.5691149402</v>
      </c>
      <c r="G166" s="5">
        <v>2070051.1652274299</v>
      </c>
      <c r="H166" s="5">
        <v>1881681.9515748101</v>
      </c>
      <c r="I166" s="5">
        <v>674247.689414097</v>
      </c>
      <c r="J166" s="5">
        <v>3235215.84825138</v>
      </c>
      <c r="K166" s="5">
        <v>1464487.9794723501</v>
      </c>
      <c r="L166" s="5">
        <v>2696441.4084896399</v>
      </c>
      <c r="M166" s="5">
        <v>880617.98653830495</v>
      </c>
      <c r="N166" s="5">
        <v>961856.43985823495</v>
      </c>
      <c r="O166" s="5">
        <v>2646333.0339754601</v>
      </c>
      <c r="P166" s="5">
        <v>3443975.5909713199</v>
      </c>
      <c r="Q166" s="5">
        <v>776231.79220118094</v>
      </c>
      <c r="R166" s="5">
        <v>2011741.91738299</v>
      </c>
      <c r="S166" s="5">
        <v>1359740.47545754</v>
      </c>
      <c r="T166" s="5">
        <v>3356866.0212426102</v>
      </c>
      <c r="U166" s="5">
        <v>2213857.9659303701</v>
      </c>
      <c r="V166" s="5">
        <v>1709226.0370011099</v>
      </c>
      <c r="W166" s="5">
        <v>2637817.2901372402</v>
      </c>
      <c r="X166" s="5">
        <v>514745.32659530401</v>
      </c>
      <c r="Y166" s="5">
        <v>3167633.0318445498</v>
      </c>
    </row>
    <row r="167" spans="1:25" x14ac:dyDescent="0.45">
      <c r="A167" s="5" t="s">
        <v>168</v>
      </c>
      <c r="B167" s="5">
        <v>30853845.8559229</v>
      </c>
      <c r="C167" s="5">
        <v>20607137.888405599</v>
      </c>
      <c r="D167" s="5">
        <v>48495662.328351103</v>
      </c>
      <c r="E167" s="5">
        <v>13419860.1074064</v>
      </c>
      <c r="F167" s="5">
        <v>22908218.195962001</v>
      </c>
      <c r="G167" s="5">
        <v>9122463.8911301903</v>
      </c>
      <c r="H167" s="5">
        <v>10409856.1157948</v>
      </c>
      <c r="I167" s="5">
        <v>40661664.287160903</v>
      </c>
      <c r="J167" s="5">
        <v>39527628.750542</v>
      </c>
      <c r="K167" s="5">
        <v>7335230.8630456496</v>
      </c>
      <c r="L167" s="5">
        <v>51714667.579223603</v>
      </c>
      <c r="M167" s="5">
        <v>9653446.7239559107</v>
      </c>
      <c r="N167" s="5">
        <v>11761231.909106901</v>
      </c>
      <c r="O167" s="5">
        <v>27979813.1758755</v>
      </c>
      <c r="P167" s="5">
        <v>12923553.9342154</v>
      </c>
      <c r="Q167" s="5">
        <v>14462944.8089082</v>
      </c>
      <c r="R167" s="5">
        <v>47868649.725997299</v>
      </c>
      <c r="S167" s="5">
        <v>16762326.5348638</v>
      </c>
      <c r="T167" s="5">
        <v>49616610.024516501</v>
      </c>
      <c r="U167" s="5">
        <v>30813433.880477499</v>
      </c>
      <c r="V167" s="5">
        <v>10166440.942105699</v>
      </c>
      <c r="W167" s="5">
        <v>12643318.144193299</v>
      </c>
      <c r="X167" s="5">
        <v>469593377.25070202</v>
      </c>
      <c r="Y167" s="5">
        <v>24803741.975860901</v>
      </c>
    </row>
    <row r="168" spans="1:25" x14ac:dyDescent="0.45">
      <c r="A168" s="5" t="s">
        <v>169</v>
      </c>
      <c r="B168" s="5">
        <v>20679284.192714602</v>
      </c>
      <c r="C168" s="5">
        <v>32833971.518968601</v>
      </c>
      <c r="D168" s="5">
        <v>24970846.467298899</v>
      </c>
      <c r="E168" s="5">
        <v>10913326.9889293</v>
      </c>
      <c r="F168" s="5">
        <v>5415221.8748743199</v>
      </c>
      <c r="G168" s="5">
        <v>10641644.8737128</v>
      </c>
      <c r="H168" s="5">
        <v>2659220.7112040799</v>
      </c>
      <c r="I168" s="5">
        <v>37739809.279578499</v>
      </c>
      <c r="J168" s="5">
        <v>14548948.1424469</v>
      </c>
      <c r="K168" s="5">
        <v>2092330.6007044499</v>
      </c>
      <c r="L168" s="5">
        <v>7572657.5015781103</v>
      </c>
      <c r="M168" s="5">
        <v>16810531.5478299</v>
      </c>
      <c r="N168" s="5">
        <v>11782380.075720301</v>
      </c>
      <c r="O168" s="5">
        <v>16402143.489168899</v>
      </c>
      <c r="P168" s="5">
        <v>217999.751007332</v>
      </c>
      <c r="Q168" s="5">
        <v>8868946.9025848508</v>
      </c>
      <c r="R168" s="5">
        <v>6836124.1116083497</v>
      </c>
      <c r="S168" s="5">
        <v>7488620.7356506996</v>
      </c>
      <c r="T168" s="5">
        <v>5772295.3901084596</v>
      </c>
      <c r="U168" s="5">
        <v>14594714.332154199</v>
      </c>
      <c r="V168" s="5">
        <v>11665773.959282201</v>
      </c>
      <c r="W168" s="5">
        <v>9676132.9821387008</v>
      </c>
      <c r="X168" s="5">
        <v>40360083.3968537</v>
      </c>
      <c r="Y168" s="5">
        <v>30463812.673004601</v>
      </c>
    </row>
    <row r="169" spans="1:25" x14ac:dyDescent="0.45">
      <c r="A169" s="5" t="s">
        <v>170</v>
      </c>
      <c r="B169" s="5">
        <v>5771765.9443567302</v>
      </c>
      <c r="C169" s="5">
        <v>7326626.9684977997</v>
      </c>
      <c r="D169" s="5">
        <v>7811147.5701676803</v>
      </c>
      <c r="E169" s="5">
        <v>5833347.5574326301</v>
      </c>
      <c r="F169" s="5">
        <v>5017123.2566516101</v>
      </c>
      <c r="G169" s="5">
        <v>7598837.6353698904</v>
      </c>
      <c r="H169" s="5">
        <v>8285626.9896672498</v>
      </c>
      <c r="I169" s="5">
        <v>13222915.9331383</v>
      </c>
      <c r="J169" s="5">
        <v>5839314.9965487896</v>
      </c>
      <c r="K169" s="5">
        <v>5592746.9208164504</v>
      </c>
      <c r="L169" s="5">
        <v>6835029.4619837701</v>
      </c>
      <c r="M169" s="5">
        <v>10406166.7525458</v>
      </c>
      <c r="N169" s="5">
        <v>10169588.363641599</v>
      </c>
      <c r="O169" s="5">
        <v>8537906.6131246891</v>
      </c>
      <c r="P169" s="5">
        <v>7613121.6026274096</v>
      </c>
      <c r="Q169" s="5">
        <v>11023335.1907019</v>
      </c>
      <c r="R169" s="5">
        <v>6437432.2297488004</v>
      </c>
      <c r="S169" s="5">
        <v>11015588.9075929</v>
      </c>
      <c r="T169" s="5">
        <v>7826803.3100954099</v>
      </c>
      <c r="U169" s="5">
        <v>8662807.9555931408</v>
      </c>
      <c r="V169" s="5">
        <v>9210975.0546786692</v>
      </c>
      <c r="W169" s="5">
        <v>7064968.6650168197</v>
      </c>
      <c r="X169" s="5">
        <v>19993496.0282842</v>
      </c>
      <c r="Y169" s="5">
        <v>8915221.1902366094</v>
      </c>
    </row>
    <row r="170" spans="1:25" x14ac:dyDescent="0.45">
      <c r="A170" s="5" t="s">
        <v>171</v>
      </c>
      <c r="B170" s="5">
        <v>401250.98888450803</v>
      </c>
      <c r="C170" s="5">
        <v>6464817.7668789597</v>
      </c>
      <c r="D170" s="5">
        <v>367038.43462583597</v>
      </c>
      <c r="E170" s="5">
        <v>424616.76873597002</v>
      </c>
      <c r="F170" s="5">
        <v>476932.46107712301</v>
      </c>
      <c r="G170" s="5">
        <v>9496205.1202559192</v>
      </c>
      <c r="H170" s="5">
        <v>341834.42303698498</v>
      </c>
      <c r="I170" s="5">
        <v>10574160.6621866</v>
      </c>
      <c r="J170" s="5">
        <v>10073506.887035999</v>
      </c>
      <c r="K170" s="5">
        <v>10460645.279717401</v>
      </c>
      <c r="L170" s="5">
        <v>10174015.526924999</v>
      </c>
      <c r="M170" s="5">
        <v>23726645.234377101</v>
      </c>
      <c r="N170" s="5">
        <v>7430495.1483946098</v>
      </c>
      <c r="O170" s="5">
        <v>441928.00457452401</v>
      </c>
      <c r="P170" s="5">
        <v>424251.51784478303</v>
      </c>
      <c r="Q170" s="5">
        <v>5252593.7652917104</v>
      </c>
      <c r="R170" s="5">
        <v>9806744.9796678908</v>
      </c>
      <c r="S170" s="5">
        <v>17657883.159590099</v>
      </c>
      <c r="T170" s="5">
        <v>6252870.7210143898</v>
      </c>
      <c r="U170" s="5">
        <v>510336.28969033703</v>
      </c>
      <c r="V170" s="5">
        <v>7735052.7837760802</v>
      </c>
      <c r="W170" s="5">
        <v>6733024.2282570703</v>
      </c>
      <c r="X170" s="5">
        <v>20753942.6091027</v>
      </c>
      <c r="Y170" s="5">
        <v>463594.55880197103</v>
      </c>
    </row>
    <row r="171" spans="1:25" x14ac:dyDescent="0.45">
      <c r="A171" s="5" t="s">
        <v>172</v>
      </c>
      <c r="B171" s="5">
        <v>25999771.763894901</v>
      </c>
      <c r="C171" s="5">
        <v>29862099.338031199</v>
      </c>
      <c r="D171" s="5">
        <v>29981082.8997862</v>
      </c>
      <c r="E171" s="5">
        <v>22701950.109373499</v>
      </c>
      <c r="F171" s="5">
        <v>36262586.4526987</v>
      </c>
      <c r="G171" s="5">
        <v>34920539.815233998</v>
      </c>
      <c r="H171" s="5">
        <v>39470712.840618096</v>
      </c>
      <c r="I171" s="5">
        <v>11576453.939317301</v>
      </c>
      <c r="J171" s="5">
        <v>30547403.993739299</v>
      </c>
      <c r="K171" s="5">
        <v>5127212.3444894599</v>
      </c>
      <c r="L171" s="5">
        <v>41926077.488882698</v>
      </c>
      <c r="M171" s="5">
        <v>23038197.1188282</v>
      </c>
      <c r="N171" s="5">
        <v>17820953.3925297</v>
      </c>
      <c r="O171" s="5">
        <v>22655421.309901401</v>
      </c>
      <c r="P171" s="5">
        <v>30013917.267948799</v>
      </c>
      <c r="Q171" s="5">
        <v>13921738.068336699</v>
      </c>
      <c r="R171" s="5">
        <v>46575713.713698</v>
      </c>
      <c r="S171" s="5">
        <v>27589118.096545201</v>
      </c>
      <c r="T171" s="5">
        <v>34416917.105985299</v>
      </c>
      <c r="U171" s="5">
        <v>27720254.958115399</v>
      </c>
      <c r="V171" s="5">
        <v>20567874.609118499</v>
      </c>
      <c r="W171" s="5">
        <v>32585886.0681764</v>
      </c>
      <c r="X171" s="5">
        <v>50465083.412576102</v>
      </c>
      <c r="Y171" s="5">
        <v>36758821.917943001</v>
      </c>
    </row>
    <row r="172" spans="1:25" x14ac:dyDescent="0.45">
      <c r="A172" s="5" t="s">
        <v>173</v>
      </c>
      <c r="B172" s="5">
        <v>13294310.8540307</v>
      </c>
      <c r="C172" s="5">
        <v>16712817.5352473</v>
      </c>
      <c r="D172" s="5">
        <v>11096274.287915999</v>
      </c>
      <c r="E172" s="5">
        <v>18817042.4547516</v>
      </c>
      <c r="F172" s="5">
        <v>1525835.0811159399</v>
      </c>
      <c r="G172" s="5">
        <v>24098994.7707715</v>
      </c>
      <c r="H172" s="5">
        <v>18536562.686797202</v>
      </c>
      <c r="I172" s="5">
        <v>14912468.5585707</v>
      </c>
      <c r="J172" s="5">
        <v>15564069.6996533</v>
      </c>
      <c r="K172" s="5">
        <v>6281894.8246651096</v>
      </c>
      <c r="L172" s="5">
        <v>32695377.565226801</v>
      </c>
      <c r="M172" s="5">
        <v>10940003.317888699</v>
      </c>
      <c r="N172" s="5">
        <v>9260994.8876764905</v>
      </c>
      <c r="O172" s="5">
        <v>6317975.31194916</v>
      </c>
      <c r="P172" s="5">
        <v>12395346.233134201</v>
      </c>
      <c r="Q172" s="5">
        <v>10948665.304740099</v>
      </c>
      <c r="R172" s="5">
        <v>27196386.240040701</v>
      </c>
      <c r="S172" s="5">
        <v>2424572.1731289299</v>
      </c>
      <c r="T172" s="5">
        <v>5381683.5702230204</v>
      </c>
      <c r="U172" s="5">
        <v>2361578.5161425099</v>
      </c>
      <c r="V172" s="5">
        <v>2868299.0409707101</v>
      </c>
      <c r="W172" s="5">
        <v>12395730.171596199</v>
      </c>
      <c r="X172" s="5">
        <v>8126589.0190642299</v>
      </c>
      <c r="Y172" s="5">
        <v>2374691.0196888</v>
      </c>
    </row>
    <row r="173" spans="1:25" x14ac:dyDescent="0.45">
      <c r="A173" s="5" t="s">
        <v>359</v>
      </c>
      <c r="B173" s="5">
        <v>44183585.783792801</v>
      </c>
      <c r="C173" s="5">
        <v>89105370.784192994</v>
      </c>
      <c r="D173" s="5">
        <v>79290103.227504894</v>
      </c>
      <c r="E173" s="5">
        <v>72250703.400853604</v>
      </c>
      <c r="F173" s="5">
        <v>106103099.7916</v>
      </c>
      <c r="G173" s="5">
        <v>88752301.999673799</v>
      </c>
      <c r="H173" s="5">
        <v>58793166.274506703</v>
      </c>
      <c r="I173" s="5">
        <v>281852949.07457298</v>
      </c>
      <c r="J173" s="5">
        <v>156201293.30298501</v>
      </c>
      <c r="K173" s="5">
        <v>91282294.693994805</v>
      </c>
      <c r="L173" s="5">
        <v>77804125.911222294</v>
      </c>
      <c r="M173" s="5">
        <v>51111671.932467103</v>
      </c>
      <c r="N173" s="5">
        <v>90311562.294778794</v>
      </c>
      <c r="O173" s="5">
        <v>162328953.59955299</v>
      </c>
      <c r="P173" s="5">
        <v>95724828.821781501</v>
      </c>
      <c r="Q173" s="5">
        <v>65955796.147042103</v>
      </c>
      <c r="R173" s="5">
        <v>86750325.691111505</v>
      </c>
      <c r="S173" s="5">
        <v>69929053.714067295</v>
      </c>
      <c r="T173" s="5">
        <v>92385548.112818107</v>
      </c>
      <c r="U173" s="5">
        <v>102918160.337769</v>
      </c>
      <c r="V173" s="5">
        <v>106736180.869564</v>
      </c>
      <c r="W173" s="5">
        <v>54397856.017367199</v>
      </c>
      <c r="X173" s="5">
        <v>195368151.271092</v>
      </c>
      <c r="Y173" s="5">
        <v>60825332.5012808</v>
      </c>
    </row>
    <row r="174" spans="1:25" x14ac:dyDescent="0.45">
      <c r="A174" s="5" t="s">
        <v>304</v>
      </c>
      <c r="B174" s="5">
        <v>2044847515.52527</v>
      </c>
      <c r="C174" s="5">
        <v>1403410270.5594101</v>
      </c>
      <c r="D174" s="5">
        <v>1102600627.5560901</v>
      </c>
      <c r="E174" s="5">
        <v>2214812401.5571499</v>
      </c>
      <c r="F174" s="5">
        <v>301389496.57490599</v>
      </c>
      <c r="G174" s="5">
        <v>1440061366.1746099</v>
      </c>
      <c r="H174" s="5">
        <v>1536174115.0950799</v>
      </c>
      <c r="I174" s="5">
        <v>148214741.50761801</v>
      </c>
      <c r="J174" s="5">
        <v>535214325.07543898</v>
      </c>
      <c r="K174" s="5">
        <v>42788371.432041697</v>
      </c>
      <c r="L174" s="5">
        <v>363267658.467291</v>
      </c>
      <c r="M174" s="5">
        <v>1191474397.5790901</v>
      </c>
      <c r="N174" s="5">
        <v>2215753622.8147602</v>
      </c>
      <c r="O174" s="5">
        <v>767425612.04080105</v>
      </c>
      <c r="P174" s="5">
        <v>1039866551.6984299</v>
      </c>
      <c r="Q174" s="5">
        <v>2333874224.7789602</v>
      </c>
      <c r="R174" s="5">
        <v>525949344.40762198</v>
      </c>
      <c r="S174" s="5">
        <v>1886701509.8929701</v>
      </c>
      <c r="T174" s="5">
        <v>704240206.98884904</v>
      </c>
      <c r="U174" s="5">
        <v>1130007418.1029999</v>
      </c>
      <c r="V174" s="5">
        <v>1627622921.0256</v>
      </c>
      <c r="W174" s="5">
        <v>1401117036.6444099</v>
      </c>
      <c r="X174" s="5">
        <v>444112266.48849899</v>
      </c>
      <c r="Y174" s="5">
        <v>1270669127.7899301</v>
      </c>
    </row>
    <row r="175" spans="1:25" x14ac:dyDescent="0.45">
      <c r="A175" s="5" t="s">
        <v>174</v>
      </c>
      <c r="B175" s="5">
        <v>179919366.11814201</v>
      </c>
      <c r="C175" s="5">
        <v>700106693.82126296</v>
      </c>
      <c r="D175" s="5">
        <v>233258902.10196501</v>
      </c>
      <c r="E175" s="5">
        <v>232157893.33527499</v>
      </c>
      <c r="F175" s="5">
        <v>179396400.70142299</v>
      </c>
      <c r="G175" s="5">
        <v>660051059.12202799</v>
      </c>
      <c r="H175" s="5">
        <v>255449488.28267801</v>
      </c>
      <c r="I175" s="5">
        <v>921373702.19090796</v>
      </c>
      <c r="J175" s="5">
        <v>286646877.57031</v>
      </c>
      <c r="K175" s="5">
        <v>93744640.082957193</v>
      </c>
      <c r="L175" s="5">
        <v>227103383.49316299</v>
      </c>
      <c r="M175" s="5">
        <v>659606488.18506503</v>
      </c>
      <c r="N175" s="5">
        <v>821134193.21936798</v>
      </c>
      <c r="O175" s="5">
        <v>1046906571.52495</v>
      </c>
      <c r="P175" s="5">
        <v>40743009.083940499</v>
      </c>
      <c r="Q175" s="5">
        <v>618376483.34819102</v>
      </c>
      <c r="R175" s="5">
        <v>226804738.354247</v>
      </c>
      <c r="S175" s="5">
        <v>517440728.80715799</v>
      </c>
      <c r="T175" s="5">
        <v>223701176.844145</v>
      </c>
      <c r="U175" s="5">
        <v>1106887794.86555</v>
      </c>
      <c r="V175" s="5">
        <v>1362193934.93712</v>
      </c>
      <c r="W175" s="5">
        <v>464154431.26591003</v>
      </c>
      <c r="X175" s="5">
        <v>1302503627.23281</v>
      </c>
      <c r="Y175" s="5">
        <v>662022438.94583702</v>
      </c>
    </row>
    <row r="176" spans="1:25" x14ac:dyDescent="0.45">
      <c r="A176" s="5" t="s">
        <v>424</v>
      </c>
      <c r="B176" s="5">
        <v>4311288.9616965596</v>
      </c>
      <c r="C176" s="5">
        <v>3654058.2875294499</v>
      </c>
      <c r="D176" s="5">
        <v>5765762.0706764301</v>
      </c>
      <c r="E176" s="5">
        <v>3438802.31514091</v>
      </c>
      <c r="F176" s="5">
        <v>4415824.39132227</v>
      </c>
      <c r="G176" s="5">
        <v>5384437.1757036</v>
      </c>
      <c r="H176" s="5">
        <v>4477240.2865014402</v>
      </c>
      <c r="I176" s="5">
        <v>100751805.529318</v>
      </c>
      <c r="J176" s="5">
        <v>19108811.086879499</v>
      </c>
      <c r="K176" s="5">
        <v>8616953.3335019797</v>
      </c>
      <c r="L176" s="5">
        <v>5058458.1252448997</v>
      </c>
      <c r="M176" s="5">
        <v>7598125.8011634098</v>
      </c>
      <c r="N176" s="5">
        <v>5536739.9017698197</v>
      </c>
      <c r="O176" s="5">
        <v>5164778.5538095301</v>
      </c>
      <c r="P176" s="5">
        <v>4898506.5366697898</v>
      </c>
      <c r="Q176" s="5">
        <v>3703816.3377084401</v>
      </c>
      <c r="R176" s="5">
        <v>8095154.1372481501</v>
      </c>
      <c r="S176" s="5">
        <v>5324035.7360791303</v>
      </c>
      <c r="T176" s="5">
        <v>4076732.2368165501</v>
      </c>
      <c r="U176" s="5">
        <v>5918559.3815410696</v>
      </c>
      <c r="V176" s="5">
        <v>7032466.9171115896</v>
      </c>
      <c r="W176" s="5">
        <v>5331781.6833977504</v>
      </c>
      <c r="X176" s="5">
        <v>36528005.611094996</v>
      </c>
      <c r="Y176" s="5">
        <v>5590322.6843547197</v>
      </c>
    </row>
    <row r="177" spans="1:25" x14ac:dyDescent="0.45">
      <c r="A177" s="5" t="s">
        <v>305</v>
      </c>
      <c r="B177" s="5">
        <v>28902160.867570199</v>
      </c>
      <c r="C177" s="5">
        <v>50615588.447263502</v>
      </c>
      <c r="D177" s="5">
        <v>22738244.231657799</v>
      </c>
      <c r="E177" s="5">
        <v>23421239.670262098</v>
      </c>
      <c r="F177" s="5">
        <v>19064643.871200901</v>
      </c>
      <c r="G177" s="5">
        <v>22318680.019010302</v>
      </c>
      <c r="H177" s="5">
        <v>21522235.225709401</v>
      </c>
      <c r="I177" s="5">
        <v>44644962.986677699</v>
      </c>
      <c r="J177" s="5">
        <v>23496707.145184301</v>
      </c>
      <c r="K177" s="5">
        <v>9790174.6833980195</v>
      </c>
      <c r="L177" s="5">
        <v>21706726.9152296</v>
      </c>
      <c r="M177" s="5">
        <v>26618211.9109639</v>
      </c>
      <c r="N177" s="5">
        <v>31946982.2475533</v>
      </c>
      <c r="O177" s="5">
        <v>29122588.134809699</v>
      </c>
      <c r="P177" s="5">
        <v>33157491.0265444</v>
      </c>
      <c r="Q177" s="5">
        <v>24971466.0880371</v>
      </c>
      <c r="R177" s="5">
        <v>21574902.243172102</v>
      </c>
      <c r="S177" s="5">
        <v>21958098.752324399</v>
      </c>
      <c r="T177" s="5">
        <v>21704963.651297301</v>
      </c>
      <c r="U177" s="5">
        <v>24069079.223424301</v>
      </c>
      <c r="V177" s="5">
        <v>28925332.085202102</v>
      </c>
      <c r="W177" s="5">
        <v>23785027.7602816</v>
      </c>
      <c r="X177" s="5">
        <v>87477597.416941896</v>
      </c>
      <c r="Y177" s="5">
        <v>27142405.879123401</v>
      </c>
    </row>
    <row r="178" spans="1:25" x14ac:dyDescent="0.45">
      <c r="A178" s="5" t="s">
        <v>306</v>
      </c>
      <c r="B178" s="5">
        <v>78779513.509389907</v>
      </c>
      <c r="C178" s="5">
        <v>54945296.710041203</v>
      </c>
      <c r="D178" s="5">
        <v>69713466.252969697</v>
      </c>
      <c r="E178" s="5">
        <v>108629264.04133099</v>
      </c>
      <c r="F178" s="5">
        <v>84754350.804235294</v>
      </c>
      <c r="G178" s="5">
        <v>9372560.1780888792</v>
      </c>
      <c r="H178" s="5">
        <v>95438930.747119203</v>
      </c>
      <c r="I178" s="5">
        <v>48558067.828576602</v>
      </c>
      <c r="J178" s="5">
        <v>85543969.497720107</v>
      </c>
      <c r="K178" s="5">
        <v>86941389.021073595</v>
      </c>
      <c r="L178" s="5">
        <v>84195474.965137899</v>
      </c>
      <c r="M178" s="5">
        <v>69061516.447361007</v>
      </c>
      <c r="N178" s="5">
        <v>70393318.481443599</v>
      </c>
      <c r="O178" s="5">
        <v>64802457.195379503</v>
      </c>
      <c r="P178" s="5">
        <v>70984168.799246505</v>
      </c>
      <c r="Q178" s="5">
        <v>73800038.087161005</v>
      </c>
      <c r="R178" s="5">
        <v>85095730.843743205</v>
      </c>
      <c r="S178" s="5">
        <v>85680609.662466794</v>
      </c>
      <c r="T178" s="5">
        <v>105434324.758552</v>
      </c>
      <c r="U178" s="5">
        <v>105606875.78119899</v>
      </c>
      <c r="V178" s="5">
        <v>94552291.257179394</v>
      </c>
      <c r="W178" s="5">
        <v>102058559.686207</v>
      </c>
      <c r="X178" s="5">
        <v>113322732.728825</v>
      </c>
      <c r="Y178" s="5">
        <v>108732636.651943</v>
      </c>
    </row>
    <row r="179" spans="1:25" x14ac:dyDescent="0.45">
      <c r="A179" s="5" t="s">
        <v>425</v>
      </c>
      <c r="B179" s="5">
        <v>48277478.157013401</v>
      </c>
      <c r="C179" s="5">
        <v>222804645.42307901</v>
      </c>
      <c r="D179" s="5">
        <v>65668139.07124</v>
      </c>
      <c r="E179" s="5">
        <v>58547150.209049299</v>
      </c>
      <c r="F179" s="5">
        <v>43877879.646314502</v>
      </c>
      <c r="G179" s="5">
        <v>182964871.96367601</v>
      </c>
      <c r="H179" s="5">
        <v>61331364.459324002</v>
      </c>
      <c r="I179" s="5">
        <v>359347907.66532099</v>
      </c>
      <c r="J179" s="5">
        <v>62237602.133234903</v>
      </c>
      <c r="K179" s="5">
        <v>20428486.430169601</v>
      </c>
      <c r="L179" s="5">
        <v>46666922.802053504</v>
      </c>
      <c r="M179" s="5">
        <v>168772100.006006</v>
      </c>
      <c r="N179" s="5">
        <v>226812477.76185101</v>
      </c>
      <c r="O179" s="5">
        <v>333699744.379421</v>
      </c>
      <c r="P179" s="5">
        <v>12364550.4573997</v>
      </c>
      <c r="Q179" s="5">
        <v>175667155.75616199</v>
      </c>
      <c r="R179" s="5">
        <v>44620066.399643503</v>
      </c>
      <c r="S179" s="5">
        <v>146489761.754742</v>
      </c>
      <c r="T179" s="5">
        <v>50013541.821530797</v>
      </c>
      <c r="U179" s="5">
        <v>289430046.81229502</v>
      </c>
      <c r="V179" s="5">
        <v>367069268.96639001</v>
      </c>
      <c r="W179" s="5">
        <v>111824548.209767</v>
      </c>
      <c r="X179" s="5">
        <v>188857135.480782</v>
      </c>
      <c r="Y179" s="5">
        <v>153350561.74070799</v>
      </c>
    </row>
    <row r="180" spans="1:25" x14ac:dyDescent="0.45">
      <c r="A180" s="5" t="s">
        <v>307</v>
      </c>
      <c r="B180" s="5">
        <v>3766074.0389926801</v>
      </c>
      <c r="C180" s="5">
        <v>4932139.9810538804</v>
      </c>
      <c r="D180" s="5">
        <v>5340740.3450170504</v>
      </c>
      <c r="E180" s="5">
        <v>5695926.6083714897</v>
      </c>
      <c r="F180" s="5">
        <v>5668680.0449409904</v>
      </c>
      <c r="G180" s="5">
        <v>5625840.4532597698</v>
      </c>
      <c r="H180" s="5">
        <v>13095689.371122001</v>
      </c>
      <c r="I180" s="5">
        <v>12227168.5982391</v>
      </c>
      <c r="J180" s="5">
        <v>11101519.752019599</v>
      </c>
      <c r="K180" s="5">
        <v>27909094.058666602</v>
      </c>
      <c r="L180" s="5">
        <v>17263305.6186237</v>
      </c>
      <c r="M180" s="5">
        <v>17410651.498626102</v>
      </c>
      <c r="N180" s="5">
        <v>8533543.5164050702</v>
      </c>
      <c r="O180" s="5">
        <v>10689008.50172</v>
      </c>
      <c r="P180" s="5">
        <v>11289897.4468241</v>
      </c>
      <c r="Q180" s="5">
        <v>2666038.2905991799</v>
      </c>
      <c r="R180" s="5">
        <v>5800402.7145546796</v>
      </c>
      <c r="S180" s="5">
        <v>2690147.57863008</v>
      </c>
      <c r="T180" s="5">
        <v>6785153.8799008504</v>
      </c>
      <c r="U180" s="5">
        <v>5750987.6149920104</v>
      </c>
      <c r="V180" s="5">
        <v>5479465.6360427402</v>
      </c>
      <c r="W180" s="5">
        <v>10305203.6190784</v>
      </c>
      <c r="X180" s="5">
        <v>224796706.710471</v>
      </c>
      <c r="Y180" s="5">
        <v>17169624.677200601</v>
      </c>
    </row>
    <row r="181" spans="1:25" x14ac:dyDescent="0.45">
      <c r="A181" s="5" t="s">
        <v>376</v>
      </c>
      <c r="B181" s="5">
        <v>664947978.43935001</v>
      </c>
      <c r="C181" s="5">
        <v>405835358.01275897</v>
      </c>
      <c r="D181" s="5">
        <v>1230544834.05198</v>
      </c>
      <c r="E181" s="5">
        <v>1125268664.22772</v>
      </c>
      <c r="F181" s="5">
        <v>1434341744.08763</v>
      </c>
      <c r="G181" s="5">
        <v>736264850.14517498</v>
      </c>
      <c r="H181" s="5">
        <v>739023658.364972</v>
      </c>
      <c r="I181" s="5">
        <v>3795782498.58815</v>
      </c>
      <c r="J181" s="5">
        <v>2158197532.6511998</v>
      </c>
      <c r="K181" s="5">
        <v>1365559286.07883</v>
      </c>
      <c r="L181" s="5">
        <v>1563000718.1986899</v>
      </c>
      <c r="M181" s="5">
        <v>493861321.77799302</v>
      </c>
      <c r="N181" s="5">
        <v>860324118.98116803</v>
      </c>
      <c r="O181" s="5">
        <v>1524528716.0371301</v>
      </c>
      <c r="P181" s="5">
        <v>2602205857.9920702</v>
      </c>
      <c r="Q181" s="5">
        <v>526048598.79106098</v>
      </c>
      <c r="R181" s="5">
        <v>1864701271.68959</v>
      </c>
      <c r="S181" s="5">
        <v>805743383.10537601</v>
      </c>
      <c r="T181" s="5">
        <v>1050809698.39697</v>
      </c>
      <c r="U181" s="5">
        <v>752440187.37482297</v>
      </c>
      <c r="V181" s="5">
        <v>727714144.78704405</v>
      </c>
      <c r="W181" s="5">
        <v>1247104353.5999401</v>
      </c>
      <c r="X181" s="5">
        <v>3610153993.7079501</v>
      </c>
      <c r="Y181" s="5">
        <v>856832483.05674696</v>
      </c>
    </row>
    <row r="182" spans="1:25" x14ac:dyDescent="0.45">
      <c r="A182" s="5" t="s">
        <v>175</v>
      </c>
      <c r="B182" s="5">
        <v>12281056.8425992</v>
      </c>
      <c r="C182" s="5">
        <v>1605114.94357943</v>
      </c>
      <c r="D182" s="5">
        <v>13216758.807893099</v>
      </c>
      <c r="E182" s="5">
        <v>13182144.485037901</v>
      </c>
      <c r="F182" s="5">
        <v>15379939.9945536</v>
      </c>
      <c r="G182" s="5">
        <v>22657651.143859301</v>
      </c>
      <c r="H182" s="5">
        <v>59215341.118159801</v>
      </c>
      <c r="I182" s="5">
        <v>174698217.61693099</v>
      </c>
      <c r="J182" s="5">
        <v>66153587.490661502</v>
      </c>
      <c r="K182" s="5">
        <v>135241948.85846099</v>
      </c>
      <c r="L182" s="5">
        <v>21689210.9567587</v>
      </c>
      <c r="M182" s="5">
        <v>25053164.308059201</v>
      </c>
      <c r="N182" s="5">
        <v>27042850.407362599</v>
      </c>
      <c r="O182" s="5">
        <v>12758237.456131199</v>
      </c>
      <c r="P182" s="5">
        <v>30220319.8544758</v>
      </c>
      <c r="Q182" s="5">
        <v>17974538.366494998</v>
      </c>
      <c r="R182" s="5">
        <v>126318347.641875</v>
      </c>
      <c r="S182" s="5">
        <v>56151533.579249002</v>
      </c>
      <c r="T182" s="5">
        <v>61674514.739670902</v>
      </c>
      <c r="U182" s="5">
        <v>60101928.676213101</v>
      </c>
      <c r="V182" s="5">
        <v>2819995.89264079</v>
      </c>
      <c r="W182" s="5">
        <v>26307391.012701102</v>
      </c>
      <c r="X182" s="5">
        <v>79202665.477125898</v>
      </c>
      <c r="Y182" s="5">
        <v>3172897.5173837501</v>
      </c>
    </row>
    <row r="183" spans="1:25" x14ac:dyDescent="0.45">
      <c r="A183" s="5" t="s">
        <v>176</v>
      </c>
      <c r="B183" s="5">
        <v>4720024.1133698998</v>
      </c>
      <c r="C183" s="5">
        <v>3596618.6473876</v>
      </c>
      <c r="D183" s="5">
        <v>11228533.218709299</v>
      </c>
      <c r="E183" s="5">
        <v>4038553.7139676102</v>
      </c>
      <c r="F183" s="5">
        <v>8056689.2493004799</v>
      </c>
      <c r="G183" s="5">
        <v>2544599.4104837398</v>
      </c>
      <c r="H183" s="5">
        <v>2982384.07713942</v>
      </c>
      <c r="I183" s="5">
        <v>14241328.844831301</v>
      </c>
      <c r="J183" s="5">
        <v>7626721.9925543005</v>
      </c>
      <c r="K183" s="5">
        <v>13097066.3669455</v>
      </c>
      <c r="L183" s="5">
        <v>13194465.0329214</v>
      </c>
      <c r="M183" s="5">
        <v>5309702.9731366504</v>
      </c>
      <c r="N183" s="5">
        <v>2974633.93655458</v>
      </c>
      <c r="O183" s="5">
        <v>3366465.18489228</v>
      </c>
      <c r="P183" s="5">
        <v>5528179.0705726296</v>
      </c>
      <c r="Q183" s="5">
        <v>7022804.7979768096</v>
      </c>
      <c r="R183" s="5">
        <v>6778257.0030025998</v>
      </c>
      <c r="S183" s="5">
        <v>7596537.9342742702</v>
      </c>
      <c r="T183" s="5">
        <v>6607294.0867914101</v>
      </c>
      <c r="U183" s="5">
        <v>3145639.1256243298</v>
      </c>
      <c r="V183" s="5">
        <v>3814302.74208734</v>
      </c>
      <c r="W183" s="5">
        <v>5356151.5624987297</v>
      </c>
      <c r="X183" s="5">
        <v>22113060.1938252</v>
      </c>
      <c r="Y183" s="5">
        <v>4251525.3938470604</v>
      </c>
    </row>
    <row r="184" spans="1:25" x14ac:dyDescent="0.45">
      <c r="A184" s="5" t="s">
        <v>177</v>
      </c>
      <c r="B184" s="5">
        <v>6401331.3916467801</v>
      </c>
      <c r="C184" s="5">
        <v>4639770.84851244</v>
      </c>
      <c r="D184" s="5">
        <v>7162491.5719584301</v>
      </c>
      <c r="E184" s="5">
        <v>9849641.6337797996</v>
      </c>
      <c r="F184" s="5">
        <v>9553276.9021854997</v>
      </c>
      <c r="G184" s="5">
        <v>7465505.6385201504</v>
      </c>
      <c r="H184" s="5">
        <v>6508287.1446658801</v>
      </c>
      <c r="I184" s="5">
        <v>6824579.7155116098</v>
      </c>
      <c r="J184" s="5">
        <v>6212178.82040051</v>
      </c>
      <c r="K184" s="5">
        <v>6625662.8981637601</v>
      </c>
      <c r="L184" s="5">
        <v>6649525.1713939896</v>
      </c>
      <c r="M184" s="5">
        <v>190048.65028480301</v>
      </c>
      <c r="N184" s="5">
        <v>603914.25820307794</v>
      </c>
      <c r="O184" s="5">
        <v>1145731.77357285</v>
      </c>
      <c r="P184" s="5">
        <v>1518529.42430728</v>
      </c>
      <c r="Q184" s="5">
        <v>5934947.7707985304</v>
      </c>
      <c r="R184" s="5">
        <v>7753437.8834491698</v>
      </c>
      <c r="S184" s="5">
        <v>8037917.5165531496</v>
      </c>
      <c r="T184" s="5">
        <v>9589547.5545529593</v>
      </c>
      <c r="U184" s="5">
        <v>8496666.3966736607</v>
      </c>
      <c r="V184" s="5">
        <v>6754038.5296302196</v>
      </c>
      <c r="W184" s="5">
        <v>7474824.0152229099</v>
      </c>
      <c r="X184" s="5">
        <v>5591701.9787296802</v>
      </c>
      <c r="Y184" s="5">
        <v>8253962.5839533703</v>
      </c>
    </row>
    <row r="185" spans="1:25" x14ac:dyDescent="0.45">
      <c r="A185" s="5" t="s">
        <v>178</v>
      </c>
      <c r="B185" s="5">
        <v>184369808.266379</v>
      </c>
      <c r="C185" s="5">
        <v>140549231.664343</v>
      </c>
      <c r="D185" s="5">
        <v>161385578.04469401</v>
      </c>
      <c r="E185" s="5">
        <v>168141345.717767</v>
      </c>
      <c r="F185" s="5">
        <v>153110725.84553599</v>
      </c>
      <c r="G185" s="5">
        <v>157641959.85435599</v>
      </c>
      <c r="H185" s="5">
        <v>163570342.13882899</v>
      </c>
      <c r="I185" s="5">
        <v>80573123.818982303</v>
      </c>
      <c r="J185" s="5">
        <v>134021497.252232</v>
      </c>
      <c r="K185" s="5">
        <v>200000213.49884501</v>
      </c>
      <c r="L185" s="5">
        <v>161297100.26858699</v>
      </c>
      <c r="M185" s="5">
        <v>147199191.75323901</v>
      </c>
      <c r="N185" s="5">
        <v>191025776.89340699</v>
      </c>
      <c r="O185" s="5">
        <v>138199029.13833299</v>
      </c>
      <c r="P185" s="5">
        <v>137342279.283858</v>
      </c>
      <c r="Q185" s="5">
        <v>137815410.31477401</v>
      </c>
      <c r="R185" s="5">
        <v>178070005.61118701</v>
      </c>
      <c r="S185" s="5">
        <v>155906709.20197999</v>
      </c>
      <c r="T185" s="5">
        <v>177512611.34185001</v>
      </c>
      <c r="U185" s="5">
        <v>175056967.27597001</v>
      </c>
      <c r="V185" s="5">
        <v>182296905.20875999</v>
      </c>
      <c r="W185" s="5">
        <v>184954593.825142</v>
      </c>
      <c r="X185" s="5">
        <v>180971707.17431101</v>
      </c>
      <c r="Y185" s="5">
        <v>165093726.10951099</v>
      </c>
    </row>
    <row r="186" spans="1:25" x14ac:dyDescent="0.45">
      <c r="A186" s="5" t="s">
        <v>192</v>
      </c>
      <c r="B186" s="5">
        <v>195409905.096302</v>
      </c>
      <c r="C186" s="5">
        <v>109619179.182256</v>
      </c>
      <c r="D186" s="5">
        <v>165538873.56452301</v>
      </c>
      <c r="E186" s="5">
        <v>228720677.99093899</v>
      </c>
      <c r="F186" s="5">
        <v>209718944.053729</v>
      </c>
      <c r="G186" s="5">
        <v>159556360.195759</v>
      </c>
      <c r="H186" s="5">
        <v>152908805.462928</v>
      </c>
      <c r="I186" s="5">
        <v>140558175.126436</v>
      </c>
      <c r="J186" s="5">
        <v>168839867.30197799</v>
      </c>
      <c r="K186" s="5">
        <v>207943202.60781601</v>
      </c>
      <c r="L186" s="5">
        <v>162659763.46844199</v>
      </c>
      <c r="M186" s="5">
        <v>174141131.692112</v>
      </c>
      <c r="N186" s="5">
        <v>189029709.58415499</v>
      </c>
      <c r="O186" s="5">
        <v>191155150.05446199</v>
      </c>
      <c r="P186" s="5">
        <v>214456579.176763</v>
      </c>
      <c r="Q186" s="5">
        <v>106413181.84417599</v>
      </c>
      <c r="R186" s="5">
        <v>224559344.142221</v>
      </c>
      <c r="S186" s="5">
        <v>140777139.26870599</v>
      </c>
      <c r="T186" s="5">
        <v>201122962.84268799</v>
      </c>
      <c r="U186" s="5">
        <v>193695960.91310501</v>
      </c>
      <c r="V186" s="5">
        <v>168542812.554607</v>
      </c>
      <c r="W186" s="5">
        <v>174547602.33497</v>
      </c>
      <c r="X186" s="5">
        <v>66436487.450291798</v>
      </c>
      <c r="Y186" s="5">
        <v>190274467.922739</v>
      </c>
    </row>
    <row r="187" spans="1:25" x14ac:dyDescent="0.45">
      <c r="A187" s="5" t="s">
        <v>193</v>
      </c>
      <c r="B187" s="5">
        <v>16127792.885465</v>
      </c>
      <c r="C187" s="5">
        <v>10560106.603828199</v>
      </c>
      <c r="D187" s="5">
        <v>14114997.0310349</v>
      </c>
      <c r="E187" s="5">
        <v>19854080.496965699</v>
      </c>
      <c r="F187" s="5">
        <v>20175910.498609301</v>
      </c>
      <c r="G187" s="5">
        <v>15533125.7607008</v>
      </c>
      <c r="H187" s="5">
        <v>16764733.894367101</v>
      </c>
      <c r="I187" s="5">
        <v>15307073.595685</v>
      </c>
      <c r="J187" s="5">
        <v>18229612.559081499</v>
      </c>
      <c r="K187" s="5">
        <v>24920961.534260198</v>
      </c>
      <c r="L187" s="5">
        <v>16734462.2607545</v>
      </c>
      <c r="M187" s="5">
        <v>17758316.157820001</v>
      </c>
      <c r="N187" s="5">
        <v>17049135.616902798</v>
      </c>
      <c r="O187" s="5">
        <v>14072676.0722262</v>
      </c>
      <c r="P187" s="5">
        <v>18893926.1751667</v>
      </c>
      <c r="Q187" s="5">
        <v>10786957.9226145</v>
      </c>
      <c r="R187" s="5">
        <v>23469134.220622402</v>
      </c>
      <c r="S187" s="5">
        <v>13063214.704597199</v>
      </c>
      <c r="T187" s="5">
        <v>20935153.332268301</v>
      </c>
      <c r="U187" s="5">
        <v>21184078.905081902</v>
      </c>
      <c r="V187" s="5">
        <v>17461946.677544899</v>
      </c>
      <c r="W187" s="5">
        <v>18205567.505229</v>
      </c>
      <c r="X187" s="5">
        <v>9957880.1021133997</v>
      </c>
      <c r="Y187" s="5">
        <v>20276065.723441601</v>
      </c>
    </row>
    <row r="188" spans="1:25" x14ac:dyDescent="0.45">
      <c r="A188" s="5" t="s">
        <v>349</v>
      </c>
      <c r="B188" s="5">
        <v>20129346.115459099</v>
      </c>
      <c r="C188" s="5">
        <v>9410551.2455712594</v>
      </c>
      <c r="D188" s="5">
        <v>5240166.91561832</v>
      </c>
      <c r="E188" s="5">
        <v>3670010.7008867799</v>
      </c>
      <c r="F188" s="5">
        <v>7149972.3001325903</v>
      </c>
      <c r="G188" s="5">
        <v>8513060.2513088305</v>
      </c>
      <c r="H188" s="5">
        <v>5304752.3619248401</v>
      </c>
      <c r="I188" s="5">
        <v>13968701.017306199</v>
      </c>
      <c r="J188" s="5">
        <v>6972551.1395298</v>
      </c>
      <c r="K188" s="5">
        <v>50274589.732208103</v>
      </c>
      <c r="L188" s="5">
        <v>2300167.8081825902</v>
      </c>
      <c r="M188" s="5">
        <v>4068866.49746519</v>
      </c>
      <c r="N188" s="5">
        <v>5154589.3132247198</v>
      </c>
      <c r="O188" s="5">
        <v>15041104.267035</v>
      </c>
      <c r="P188" s="5">
        <v>8085820.5166964903</v>
      </c>
      <c r="Q188" s="5">
        <v>4124175.70111633</v>
      </c>
      <c r="R188" s="5">
        <v>3161846.1352993101</v>
      </c>
      <c r="S188" s="5">
        <v>11078394.6527714</v>
      </c>
      <c r="T188" s="5">
        <v>4117944.4057274</v>
      </c>
      <c r="U188" s="5">
        <v>20048355.995803598</v>
      </c>
      <c r="V188" s="5">
        <v>5765625.28115605</v>
      </c>
      <c r="W188" s="5">
        <v>4840289.59342534</v>
      </c>
      <c r="X188" s="5">
        <v>8995961.3205239307</v>
      </c>
      <c r="Y188" s="5">
        <v>7611195.4912201697</v>
      </c>
    </row>
    <row r="189" spans="1:25" x14ac:dyDescent="0.45">
      <c r="A189" s="5" t="s">
        <v>371</v>
      </c>
      <c r="B189" s="5">
        <v>26266545.0187327</v>
      </c>
      <c r="C189" s="5">
        <v>12156761.6848075</v>
      </c>
      <c r="D189" s="5">
        <v>6790475.2726996597</v>
      </c>
      <c r="E189" s="5">
        <v>27968242.586716801</v>
      </c>
      <c r="F189" s="5">
        <v>46344948.636983797</v>
      </c>
      <c r="G189" s="5">
        <v>18396076.426036</v>
      </c>
      <c r="H189" s="5">
        <v>18202590.456617098</v>
      </c>
      <c r="I189" s="5">
        <v>38915290.567065001</v>
      </c>
      <c r="J189" s="5">
        <v>40957598.8557714</v>
      </c>
      <c r="K189" s="5">
        <v>21869718.1838172</v>
      </c>
      <c r="L189" s="5">
        <v>31645786.858437501</v>
      </c>
      <c r="M189" s="5">
        <v>13311696.10715</v>
      </c>
      <c r="N189" s="5">
        <v>4477422.8904043101</v>
      </c>
      <c r="O189" s="5">
        <v>9796457.8582376298</v>
      </c>
      <c r="P189" s="5">
        <v>32980637.559603602</v>
      </c>
      <c r="Q189" s="5">
        <v>4048314.65114123</v>
      </c>
      <c r="R189" s="5">
        <v>16427870.404381899</v>
      </c>
      <c r="S189" s="5">
        <v>18853917.346201699</v>
      </c>
      <c r="T189" s="5">
        <v>27789363.1397052</v>
      </c>
      <c r="U189" s="5">
        <v>18207686.6694226</v>
      </c>
      <c r="V189" s="5">
        <v>14168712.748119</v>
      </c>
      <c r="W189" s="5">
        <v>8444557.1808985099</v>
      </c>
      <c r="X189" s="5">
        <v>252351587.133165</v>
      </c>
      <c r="Y189" s="5">
        <v>20848883.318568699</v>
      </c>
    </row>
    <row r="190" spans="1:25" x14ac:dyDescent="0.45">
      <c r="A190" s="5" t="s">
        <v>310</v>
      </c>
      <c r="B190" s="5">
        <v>57147832.688796997</v>
      </c>
      <c r="C190" s="5">
        <v>34697463.220349804</v>
      </c>
      <c r="D190" s="5">
        <v>79031528.688745707</v>
      </c>
      <c r="E190" s="5">
        <v>46003334.330472201</v>
      </c>
      <c r="F190" s="5">
        <v>48695490.5991427</v>
      </c>
      <c r="G190" s="5">
        <v>37003907.189394102</v>
      </c>
      <c r="H190" s="5">
        <v>16488334.869826799</v>
      </c>
      <c r="I190" s="5">
        <v>46277460.665263802</v>
      </c>
      <c r="J190" s="5">
        <v>66556161.691037901</v>
      </c>
      <c r="K190" s="5">
        <v>29941195.524545699</v>
      </c>
      <c r="L190" s="5">
        <v>51983752.859848797</v>
      </c>
      <c r="M190" s="5">
        <v>19901018.697271202</v>
      </c>
      <c r="N190" s="5">
        <v>13264319.0781992</v>
      </c>
      <c r="O190" s="5">
        <v>26151560.124223299</v>
      </c>
      <c r="P190" s="5">
        <v>41318894.173501499</v>
      </c>
      <c r="Q190" s="5">
        <v>14184228.4771732</v>
      </c>
      <c r="R190" s="5">
        <v>61398376.407896601</v>
      </c>
      <c r="S190" s="5">
        <v>30696896.6138325</v>
      </c>
      <c r="T190" s="5">
        <v>46116343.223401099</v>
      </c>
      <c r="U190" s="5">
        <v>19844893.645846099</v>
      </c>
      <c r="V190" s="5">
        <v>16779973.241978999</v>
      </c>
      <c r="W190" s="5">
        <v>26744704.6519127</v>
      </c>
      <c r="X190" s="5">
        <v>91527865.095997304</v>
      </c>
      <c r="Y190" s="5">
        <v>30351815.9921625</v>
      </c>
    </row>
    <row r="191" spans="1:25" x14ac:dyDescent="0.45">
      <c r="A191" s="5" t="s">
        <v>194</v>
      </c>
      <c r="B191" s="5">
        <v>6116642.08334048</v>
      </c>
      <c r="C191" s="5">
        <v>6022485.0790539701</v>
      </c>
      <c r="D191" s="5">
        <v>7334026.2956736302</v>
      </c>
      <c r="E191" s="5">
        <v>4904075.2330302903</v>
      </c>
      <c r="F191" s="5">
        <v>2603457.7747379802</v>
      </c>
      <c r="G191" s="5">
        <v>5344140.1788189402</v>
      </c>
      <c r="H191" s="5">
        <v>8159111.6870305296</v>
      </c>
      <c r="I191" s="5">
        <v>1675495.6355852601</v>
      </c>
      <c r="J191" s="5">
        <v>2167050.76542866</v>
      </c>
      <c r="K191" s="5">
        <v>1429598.6854233099</v>
      </c>
      <c r="L191" s="5">
        <v>1352931.4854051101</v>
      </c>
      <c r="M191" s="5">
        <v>4277123.8867404703</v>
      </c>
      <c r="N191" s="5">
        <v>6892243.4510985604</v>
      </c>
      <c r="O191" s="5">
        <v>1616976.1283782399</v>
      </c>
      <c r="P191" s="5">
        <v>7523466.02576885</v>
      </c>
      <c r="Q191" s="5">
        <v>796812.29476468498</v>
      </c>
      <c r="R191" s="5">
        <v>1237302.7050904101</v>
      </c>
      <c r="S191" s="5">
        <v>659641.93371332204</v>
      </c>
      <c r="T191" s="5">
        <v>841027.83123963501</v>
      </c>
      <c r="U191" s="5">
        <v>768052.39890833199</v>
      </c>
      <c r="V191" s="5">
        <v>382639.22391816101</v>
      </c>
      <c r="W191" s="5">
        <v>960898.27091417497</v>
      </c>
      <c r="X191" s="5">
        <v>401633.06983710802</v>
      </c>
      <c r="Y191" s="5">
        <v>1508739.6014117301</v>
      </c>
    </row>
    <row r="192" spans="1:25" x14ac:dyDescent="0.45">
      <c r="A192" s="5" t="s">
        <v>195</v>
      </c>
      <c r="B192" s="5">
        <v>286540102.85854501</v>
      </c>
      <c r="C192" s="5">
        <v>1106559457.3058701</v>
      </c>
      <c r="D192" s="5">
        <v>745511660.48489702</v>
      </c>
      <c r="E192" s="5">
        <v>390208484.59838802</v>
      </c>
      <c r="F192" s="5">
        <v>285241962.30868399</v>
      </c>
      <c r="G192" s="5">
        <v>615447904.18868899</v>
      </c>
      <c r="H192" s="5">
        <v>653748158.35858905</v>
      </c>
      <c r="I192" s="5">
        <v>724932073.12158704</v>
      </c>
      <c r="J192" s="5">
        <v>449194626.846044</v>
      </c>
      <c r="K192" s="5">
        <v>722603914.19437003</v>
      </c>
      <c r="L192" s="5">
        <v>360628090.93322402</v>
      </c>
      <c r="M192" s="5">
        <v>1019338106.6660399</v>
      </c>
      <c r="N192" s="5">
        <v>2073477961.6156299</v>
      </c>
      <c r="O192" s="5">
        <v>2377250735.1670198</v>
      </c>
      <c r="P192" s="5">
        <v>904327463.92640698</v>
      </c>
      <c r="Q192" s="5">
        <v>1668678833.5962901</v>
      </c>
      <c r="R192" s="5">
        <v>421957930.38087797</v>
      </c>
      <c r="S192" s="5">
        <v>983281223.09215701</v>
      </c>
      <c r="T192" s="5">
        <v>441183695.31429797</v>
      </c>
      <c r="U192" s="5">
        <v>949186583.55809498</v>
      </c>
      <c r="V192" s="5">
        <v>2008231344.1487501</v>
      </c>
      <c r="W192" s="5">
        <v>745756644.42683697</v>
      </c>
      <c r="X192" s="5">
        <v>1128223073.9699199</v>
      </c>
      <c r="Y192" s="5">
        <v>486235011.01039702</v>
      </c>
    </row>
    <row r="193" spans="1:25" x14ac:dyDescent="0.45">
      <c r="A193" s="5" t="s">
        <v>196</v>
      </c>
      <c r="B193" s="5">
        <v>100832491.856902</v>
      </c>
      <c r="C193" s="5">
        <v>177137745.088624</v>
      </c>
      <c r="D193" s="5">
        <v>220318753.44200301</v>
      </c>
      <c r="E193" s="5">
        <v>152896989.02526399</v>
      </c>
      <c r="F193" s="5">
        <v>233513935.089178</v>
      </c>
      <c r="G193" s="5">
        <v>189573696.45427001</v>
      </c>
      <c r="H193" s="5">
        <v>165641917.44839799</v>
      </c>
      <c r="I193" s="5">
        <v>3186327805.6374202</v>
      </c>
      <c r="J193" s="5">
        <v>649595275.82204497</v>
      </c>
      <c r="K193" s="5">
        <v>320502014.13588202</v>
      </c>
      <c r="L193" s="5">
        <v>207226710.033014</v>
      </c>
      <c r="M193" s="5">
        <v>153685217.58555299</v>
      </c>
      <c r="N193" s="5">
        <v>255094220.903254</v>
      </c>
      <c r="O193" s="5">
        <v>322200447.86929798</v>
      </c>
      <c r="P193" s="5">
        <v>211549449.694204</v>
      </c>
      <c r="Q193" s="5">
        <v>146926484.205634</v>
      </c>
      <c r="R193" s="5">
        <v>252047994.587522</v>
      </c>
      <c r="S193" s="5">
        <v>179218121.458453</v>
      </c>
      <c r="T193" s="5">
        <v>152431385.85892299</v>
      </c>
      <c r="U193" s="5">
        <v>232114422.03844899</v>
      </c>
      <c r="V193" s="5">
        <v>320897333.34973103</v>
      </c>
      <c r="W193" s="5">
        <v>158596935.50338599</v>
      </c>
      <c r="X193" s="5">
        <v>1336177538.64853</v>
      </c>
      <c r="Y193" s="5">
        <v>151046148.10069901</v>
      </c>
    </row>
    <row r="194" spans="1:25" x14ac:dyDescent="0.45">
      <c r="A194" s="5" t="s">
        <v>437</v>
      </c>
      <c r="B194" s="5">
        <v>8145468.4462890299</v>
      </c>
      <c r="C194" s="5">
        <v>25804273.4985887</v>
      </c>
      <c r="D194" s="5">
        <v>25951387.565994799</v>
      </c>
      <c r="E194" s="5">
        <v>8580714.6372225694</v>
      </c>
      <c r="F194" s="5">
        <v>14581771.9066831</v>
      </c>
      <c r="G194" s="5">
        <v>7617214.5085301101</v>
      </c>
      <c r="H194" s="5">
        <v>26366268.2160285</v>
      </c>
      <c r="I194" s="5">
        <v>27849748.757758301</v>
      </c>
      <c r="J194" s="5">
        <v>9519300.0383779798</v>
      </c>
      <c r="K194" s="5">
        <v>8689063.2510209996</v>
      </c>
      <c r="L194" s="5">
        <v>26667254.3914035</v>
      </c>
      <c r="M194" s="5">
        <v>16793664.652787302</v>
      </c>
      <c r="N194" s="5">
        <v>6160058.4742031796</v>
      </c>
      <c r="O194" s="5">
        <v>20786888.946605299</v>
      </c>
      <c r="P194" s="5">
        <v>20485543.400637299</v>
      </c>
      <c r="Q194" s="5">
        <v>21019174.740026601</v>
      </c>
      <c r="R194" s="5">
        <v>24751912.9124429</v>
      </c>
      <c r="S194" s="5">
        <v>28310414.258478999</v>
      </c>
      <c r="T194" s="5">
        <v>13993201.3992987</v>
      </c>
      <c r="U194" s="5">
        <v>30045551.562434401</v>
      </c>
      <c r="V194" s="5">
        <v>26201001.848615699</v>
      </c>
      <c r="W194" s="5">
        <v>27390826.2153273</v>
      </c>
      <c r="X194" s="5">
        <v>39003575.802623697</v>
      </c>
      <c r="Y194" s="5">
        <v>7442810.0232253503</v>
      </c>
    </row>
    <row r="195" spans="1:25" x14ac:dyDescent="0.45">
      <c r="A195" s="5" t="s">
        <v>197</v>
      </c>
      <c r="B195" s="5">
        <v>236214.21541223201</v>
      </c>
      <c r="C195" s="5">
        <v>231181.74863878699</v>
      </c>
      <c r="D195" s="5">
        <v>213979.661957648</v>
      </c>
      <c r="E195" s="5">
        <v>284151.47888433299</v>
      </c>
      <c r="F195" s="5">
        <v>287459.99068405799</v>
      </c>
      <c r="G195" s="5">
        <v>236262.901606895</v>
      </c>
      <c r="H195" s="5">
        <v>385069.41555042902</v>
      </c>
      <c r="I195" s="5">
        <v>747394.11049753195</v>
      </c>
      <c r="J195" s="5">
        <v>431007.03511324601</v>
      </c>
      <c r="K195" s="5">
        <v>611461.448925882</v>
      </c>
      <c r="L195" s="5">
        <v>325342.72436311498</v>
      </c>
      <c r="M195" s="5">
        <v>305017.31229262601</v>
      </c>
      <c r="N195" s="5">
        <v>193594.95036985099</v>
      </c>
      <c r="O195" s="5">
        <v>291134.49512261298</v>
      </c>
      <c r="P195" s="5">
        <v>323462.93046092498</v>
      </c>
      <c r="Q195" s="5">
        <v>234180.31022999401</v>
      </c>
      <c r="R195" s="5">
        <v>242799.484113304</v>
      </c>
      <c r="S195" s="5">
        <v>295240.60831464001</v>
      </c>
      <c r="T195" s="5">
        <v>398119.24305752403</v>
      </c>
      <c r="U195" s="5">
        <v>260251.36476968101</v>
      </c>
      <c r="V195" s="5">
        <v>354093.54922853602</v>
      </c>
      <c r="W195" s="5">
        <v>450494.45505997603</v>
      </c>
      <c r="X195" s="5">
        <v>421362.72984052403</v>
      </c>
      <c r="Y195" s="5">
        <v>314464.06771147298</v>
      </c>
    </row>
    <row r="196" spans="1:25" x14ac:dyDescent="0.45">
      <c r="A196" s="5" t="s">
        <v>311</v>
      </c>
      <c r="B196" s="5">
        <v>13188546484.8078</v>
      </c>
      <c r="C196" s="5">
        <v>5004764491.9974499</v>
      </c>
      <c r="D196" s="5">
        <v>6047500484.3877697</v>
      </c>
      <c r="E196" s="5">
        <v>10074458703.5937</v>
      </c>
      <c r="F196" s="5">
        <v>12153770791.550301</v>
      </c>
      <c r="G196" s="5">
        <v>10426758523.139299</v>
      </c>
      <c r="H196" s="5">
        <v>6930808261.8034201</v>
      </c>
      <c r="I196" s="5">
        <v>29628612684.416</v>
      </c>
      <c r="J196" s="5">
        <v>16891199623.892799</v>
      </c>
      <c r="K196" s="5">
        <v>11539505343.122999</v>
      </c>
      <c r="L196" s="5">
        <v>6553035619.9090004</v>
      </c>
      <c r="M196" s="5">
        <v>9161401021.5672798</v>
      </c>
      <c r="N196" s="5">
        <v>2641333679.7243299</v>
      </c>
      <c r="O196" s="5">
        <v>6741556548.8283501</v>
      </c>
      <c r="P196" s="5">
        <v>5258286305.0643702</v>
      </c>
      <c r="Q196" s="5">
        <v>2193714695.5961299</v>
      </c>
      <c r="R196" s="5">
        <v>7081411601.2082796</v>
      </c>
      <c r="S196" s="5">
        <v>6901959050.7220898</v>
      </c>
      <c r="T196" s="5">
        <v>11658757407.7442</v>
      </c>
      <c r="U196" s="5">
        <v>8650304230.4061394</v>
      </c>
      <c r="V196" s="5">
        <v>6290067829.3985901</v>
      </c>
      <c r="W196" s="5">
        <v>4785878047.4102802</v>
      </c>
      <c r="X196" s="5">
        <v>19928396686.019001</v>
      </c>
      <c r="Y196" s="5">
        <v>3710749055.5397601</v>
      </c>
    </row>
    <row r="197" spans="1:25" x14ac:dyDescent="0.45">
      <c r="A197" s="5" t="s">
        <v>198</v>
      </c>
      <c r="B197" s="5">
        <v>62286697.297245197</v>
      </c>
      <c r="C197" s="5">
        <v>13266834.977717601</v>
      </c>
      <c r="D197" s="5">
        <v>51640961.214261301</v>
      </c>
      <c r="E197" s="5">
        <v>43844771.898810901</v>
      </c>
      <c r="F197" s="5">
        <v>83294070.116317198</v>
      </c>
      <c r="G197" s="5">
        <v>55971338.404662602</v>
      </c>
      <c r="H197" s="5">
        <v>92803391.248107195</v>
      </c>
      <c r="I197" s="5">
        <v>236082762.07398301</v>
      </c>
      <c r="J197" s="5">
        <v>166666321.584611</v>
      </c>
      <c r="K197" s="5">
        <v>37985442.158073202</v>
      </c>
      <c r="L197" s="5">
        <v>60650865.237940498</v>
      </c>
      <c r="M197" s="5">
        <v>34957558.143111803</v>
      </c>
      <c r="N197" s="5">
        <v>41788200.924963802</v>
      </c>
      <c r="O197" s="5">
        <v>27121727.8127882</v>
      </c>
      <c r="P197" s="5">
        <v>17892650.359592699</v>
      </c>
      <c r="Q197" s="5">
        <v>14383374.0360738</v>
      </c>
      <c r="R197" s="5">
        <v>22967968.161988702</v>
      </c>
      <c r="S197" s="5">
        <v>54610371.788978897</v>
      </c>
      <c r="T197" s="5">
        <v>62227693.934168696</v>
      </c>
      <c r="U197" s="5">
        <v>88754251.844063997</v>
      </c>
      <c r="V197" s="5">
        <v>39715297.901584499</v>
      </c>
      <c r="W197" s="5">
        <v>27320054.9999809</v>
      </c>
      <c r="X197" s="5">
        <v>76210025.090474501</v>
      </c>
      <c r="Y197" s="5">
        <v>49371804.576247603</v>
      </c>
    </row>
    <row r="198" spans="1:25" x14ac:dyDescent="0.45">
      <c r="A198" s="5" t="s">
        <v>312</v>
      </c>
      <c r="B198" s="5">
        <v>1390041.5571556699</v>
      </c>
      <c r="C198" s="5">
        <v>928999.57807164302</v>
      </c>
      <c r="D198" s="5">
        <v>997227.26045757404</v>
      </c>
      <c r="E198" s="5">
        <v>29748988.1888544</v>
      </c>
      <c r="F198" s="5">
        <v>4561145.9339651801</v>
      </c>
      <c r="G198" s="5">
        <v>7142990.7240119204</v>
      </c>
      <c r="H198" s="5">
        <v>1074923.46995689</v>
      </c>
      <c r="I198" s="5">
        <v>3183568.36622938</v>
      </c>
      <c r="J198" s="5">
        <v>1699681.9318736701</v>
      </c>
      <c r="K198" s="5">
        <v>1226237.5400877499</v>
      </c>
      <c r="L198" s="5">
        <v>1710742.5777187401</v>
      </c>
      <c r="M198" s="5">
        <v>1013055.93207311</v>
      </c>
      <c r="N198" s="5">
        <v>585787.99785810395</v>
      </c>
      <c r="O198" s="5">
        <v>986084.65221984999</v>
      </c>
      <c r="P198" s="5">
        <v>711071.00193452602</v>
      </c>
      <c r="Q198" s="5">
        <v>16917510.430521999</v>
      </c>
      <c r="R198" s="5">
        <v>4347534.5899706399</v>
      </c>
      <c r="S198" s="5">
        <v>28080287.6807772</v>
      </c>
      <c r="T198" s="5">
        <v>19496065.031116799</v>
      </c>
      <c r="U198" s="5">
        <v>54939922.382022299</v>
      </c>
      <c r="V198" s="5">
        <v>49681115.554269701</v>
      </c>
      <c r="W198" s="5">
        <v>1143778.1630527501</v>
      </c>
      <c r="X198" s="5">
        <v>6446783.4509918196</v>
      </c>
      <c r="Y198" s="5">
        <v>43632553.511427604</v>
      </c>
    </row>
    <row r="199" spans="1:25" x14ac:dyDescent="0.45">
      <c r="A199" s="5" t="s">
        <v>201</v>
      </c>
      <c r="B199" s="5">
        <v>8909415.3496602103</v>
      </c>
      <c r="C199" s="5">
        <v>18597249.2765259</v>
      </c>
      <c r="D199" s="5">
        <v>9581060.31327831</v>
      </c>
      <c r="E199" s="5">
        <v>9265804.1526857503</v>
      </c>
      <c r="F199" s="5">
        <v>7847464.65200039</v>
      </c>
      <c r="G199" s="5">
        <v>10600541.038102999</v>
      </c>
      <c r="H199" s="5">
        <v>8733987.7876182999</v>
      </c>
      <c r="I199" s="5">
        <v>5613226.5979571203</v>
      </c>
      <c r="J199" s="5">
        <v>7850391.4846730698</v>
      </c>
      <c r="K199" s="5">
        <v>4364471.9167913496</v>
      </c>
      <c r="L199" s="5">
        <v>7630934.2338912897</v>
      </c>
      <c r="M199" s="5">
        <v>9174985.5067614093</v>
      </c>
      <c r="N199" s="5">
        <v>11080912.631861299</v>
      </c>
      <c r="O199" s="5">
        <v>18493005.226516999</v>
      </c>
      <c r="P199" s="5">
        <v>10401555.1756882</v>
      </c>
      <c r="Q199" s="5">
        <v>23451101.347291499</v>
      </c>
      <c r="R199" s="5">
        <v>5823762.05344343</v>
      </c>
      <c r="S199" s="5">
        <v>9677636.9859504309</v>
      </c>
      <c r="T199" s="5">
        <v>13583251.7443267</v>
      </c>
      <c r="U199" s="5">
        <v>11628769.3487275</v>
      </c>
      <c r="V199" s="5">
        <v>16180733.533507099</v>
      </c>
      <c r="W199" s="5">
        <v>10363468.295053201</v>
      </c>
      <c r="X199" s="5">
        <v>8599115.3878326695</v>
      </c>
      <c r="Y199" s="5">
        <v>10695849.6911928</v>
      </c>
    </row>
    <row r="200" spans="1:25" x14ac:dyDescent="0.45">
      <c r="A200" s="5" t="s">
        <v>203</v>
      </c>
      <c r="B200" s="5">
        <v>633401838.816535</v>
      </c>
      <c r="C200" s="5">
        <v>509882054.26643002</v>
      </c>
      <c r="D200" s="5">
        <v>553093299.85715199</v>
      </c>
      <c r="E200" s="5">
        <v>538155233.63519299</v>
      </c>
      <c r="F200" s="5">
        <v>600903797.656739</v>
      </c>
      <c r="G200" s="5">
        <v>574724000.60861301</v>
      </c>
      <c r="H200" s="5">
        <v>551911800.790856</v>
      </c>
      <c r="I200" s="5">
        <v>654082993.91616905</v>
      </c>
      <c r="J200" s="5">
        <v>469841285.00121099</v>
      </c>
      <c r="K200" s="5">
        <v>490514362.87331599</v>
      </c>
      <c r="L200" s="5">
        <v>542733445.88903797</v>
      </c>
      <c r="M200" s="5">
        <v>560624674.31130302</v>
      </c>
      <c r="N200" s="5">
        <v>646239976.88529503</v>
      </c>
      <c r="O200" s="5">
        <v>513613882.94540799</v>
      </c>
      <c r="P200" s="5">
        <v>630048062.13548398</v>
      </c>
      <c r="Q200" s="5">
        <v>548174986.00331199</v>
      </c>
      <c r="R200" s="5">
        <v>496829239.48918402</v>
      </c>
      <c r="S200" s="5">
        <v>583797179.05097103</v>
      </c>
      <c r="T200" s="5">
        <v>619775051.14354205</v>
      </c>
      <c r="U200" s="5">
        <v>584162282.36580002</v>
      </c>
      <c r="V200" s="5">
        <v>518988937.10693401</v>
      </c>
      <c r="W200" s="5">
        <v>635454504.22258496</v>
      </c>
      <c r="X200" s="5">
        <v>420025500.06060803</v>
      </c>
      <c r="Y200" s="5">
        <v>650426381.51577497</v>
      </c>
    </row>
    <row r="201" spans="1:25" x14ac:dyDescent="0.45">
      <c r="A201" s="5" t="s">
        <v>360</v>
      </c>
      <c r="B201" s="5">
        <v>462435572.65715301</v>
      </c>
      <c r="C201" s="5">
        <v>621692051.25061798</v>
      </c>
      <c r="D201" s="5">
        <v>601292999.54223001</v>
      </c>
      <c r="E201" s="5">
        <v>327804883.371014</v>
      </c>
      <c r="F201" s="5">
        <v>521989977.37494802</v>
      </c>
      <c r="G201" s="5">
        <v>371910353.614263</v>
      </c>
      <c r="H201" s="5">
        <v>413979564.41811901</v>
      </c>
      <c r="I201" s="5">
        <v>1526500616.14779</v>
      </c>
      <c r="J201" s="5">
        <v>297960222.55345398</v>
      </c>
      <c r="K201" s="5">
        <v>413589424.51646298</v>
      </c>
      <c r="L201" s="5">
        <v>478001270.89084601</v>
      </c>
      <c r="M201" s="5">
        <v>302532107.28814298</v>
      </c>
      <c r="N201" s="5">
        <v>943823243.68318999</v>
      </c>
      <c r="O201" s="5">
        <v>1224886124.5063601</v>
      </c>
      <c r="P201" s="5">
        <v>1402888518.9952199</v>
      </c>
      <c r="Q201" s="5">
        <v>799191230.18570101</v>
      </c>
      <c r="R201" s="5">
        <v>340154014.94546902</v>
      </c>
      <c r="S201" s="5">
        <v>718004455.50193799</v>
      </c>
      <c r="T201" s="5">
        <v>682630241.56377101</v>
      </c>
      <c r="U201" s="5">
        <v>787339261.44296098</v>
      </c>
      <c r="V201" s="5">
        <v>1079175653.3661301</v>
      </c>
      <c r="W201" s="5">
        <v>778578222.50192702</v>
      </c>
      <c r="X201" s="5">
        <v>893904450.61026299</v>
      </c>
      <c r="Y201" s="5">
        <v>807511969.10328901</v>
      </c>
    </row>
    <row r="202" spans="1:25" x14ac:dyDescent="0.45">
      <c r="A202" s="5" t="s">
        <v>361</v>
      </c>
      <c r="B202" s="5">
        <v>5103075.9072499499</v>
      </c>
      <c r="C202" s="5">
        <v>13391323.1709162</v>
      </c>
      <c r="D202" s="5">
        <v>10837123.6743326</v>
      </c>
      <c r="E202" s="5">
        <v>6824191.54382513</v>
      </c>
      <c r="F202" s="5">
        <v>11533957.140298501</v>
      </c>
      <c r="G202" s="5">
        <v>20771204.825869199</v>
      </c>
      <c r="H202" s="5">
        <v>7587827.2669688398</v>
      </c>
      <c r="I202" s="5">
        <v>28245591.7538331</v>
      </c>
      <c r="J202" s="5">
        <v>8953985.0500716697</v>
      </c>
      <c r="K202" s="5">
        <v>8556975.2327196393</v>
      </c>
      <c r="L202" s="5">
        <v>9878608.1431461796</v>
      </c>
      <c r="M202" s="5">
        <v>3033639.3560771402</v>
      </c>
      <c r="N202" s="5">
        <v>47636821.761894703</v>
      </c>
      <c r="O202" s="5">
        <v>15319189.584402701</v>
      </c>
      <c r="P202" s="5">
        <v>6712928.5543493098</v>
      </c>
      <c r="Q202" s="5">
        <v>16718288.2036412</v>
      </c>
      <c r="R202" s="5">
        <v>6541738.4785803296</v>
      </c>
      <c r="S202" s="5">
        <v>12215847.3553224</v>
      </c>
      <c r="T202" s="5">
        <v>5289682.2165175602</v>
      </c>
      <c r="U202" s="5">
        <v>2820769.0436625401</v>
      </c>
      <c r="V202" s="5">
        <v>2460120.67439534</v>
      </c>
      <c r="W202" s="5">
        <v>3849719.30533366</v>
      </c>
      <c r="X202" s="5">
        <v>15595727.859009299</v>
      </c>
      <c r="Y202" s="5">
        <v>3515867.2494024001</v>
      </c>
    </row>
    <row r="203" spans="1:25" x14ac:dyDescent="0.45">
      <c r="A203" s="5" t="s">
        <v>353</v>
      </c>
      <c r="B203" s="5">
        <v>307679.20506482403</v>
      </c>
      <c r="C203" s="5">
        <v>307458.98314158601</v>
      </c>
      <c r="D203" s="5">
        <v>504826.881208651</v>
      </c>
      <c r="E203" s="5">
        <v>1432294.1421046299</v>
      </c>
      <c r="F203" s="5">
        <v>1957607.4502081601</v>
      </c>
      <c r="G203" s="5">
        <v>2254840.8561289599</v>
      </c>
      <c r="H203" s="5">
        <v>1423857.3918905701</v>
      </c>
      <c r="I203" s="5">
        <v>948017.05904673203</v>
      </c>
      <c r="J203" s="5">
        <v>902091.64624508901</v>
      </c>
      <c r="K203" s="5">
        <v>1081983.87480052</v>
      </c>
      <c r="L203" s="5">
        <v>452775.13050630101</v>
      </c>
      <c r="M203" s="5">
        <v>1193628.37357411</v>
      </c>
      <c r="N203" s="5">
        <v>1711653.99633195</v>
      </c>
      <c r="O203" s="5">
        <v>1398800.78279268</v>
      </c>
      <c r="P203" s="5">
        <v>2073372.8716618</v>
      </c>
      <c r="Q203" s="5">
        <v>2288837.55647302</v>
      </c>
      <c r="R203" s="5">
        <v>737817.24356397195</v>
      </c>
      <c r="S203" s="5">
        <v>1660553.4437595999</v>
      </c>
      <c r="T203" s="5">
        <v>294041.844638974</v>
      </c>
      <c r="U203" s="5">
        <v>376156.05462018598</v>
      </c>
      <c r="V203" s="5">
        <v>919903.35687817901</v>
      </c>
      <c r="W203" s="5">
        <v>965298.41850115196</v>
      </c>
      <c r="X203" s="5">
        <v>760545.13277377596</v>
      </c>
      <c r="Y203" s="5">
        <v>1021645.4103023401</v>
      </c>
    </row>
    <row r="204" spans="1:25" x14ac:dyDescent="0.45">
      <c r="A204" s="5" t="s">
        <v>372</v>
      </c>
      <c r="B204" s="5">
        <v>2231599.84193544</v>
      </c>
      <c r="C204" s="5">
        <v>1793292.6402110001</v>
      </c>
      <c r="D204" s="5">
        <v>2480536.8228807799</v>
      </c>
      <c r="E204" s="5">
        <v>2096397.4281001401</v>
      </c>
      <c r="F204" s="5">
        <v>2266525.1766511998</v>
      </c>
      <c r="G204" s="5">
        <v>2847015.6934642498</v>
      </c>
      <c r="H204" s="5">
        <v>1954789.9140312499</v>
      </c>
      <c r="I204" s="5">
        <v>1262462.07493072</v>
      </c>
      <c r="J204" s="5">
        <v>1595195.07322939</v>
      </c>
      <c r="K204" s="5">
        <v>2494116.6534146699</v>
      </c>
      <c r="L204" s="5">
        <v>2351092.3632599399</v>
      </c>
      <c r="M204" s="5">
        <v>1736670.0175263199</v>
      </c>
      <c r="N204" s="5">
        <v>2975877.0310728098</v>
      </c>
      <c r="O204" s="5">
        <v>2874880.9645434301</v>
      </c>
      <c r="P204" s="5">
        <v>2277558.9539486002</v>
      </c>
      <c r="Q204" s="5">
        <v>2524911.4151124801</v>
      </c>
      <c r="R204" s="5">
        <v>2826631.1552319401</v>
      </c>
      <c r="S204" s="5">
        <v>2928617.1541520301</v>
      </c>
      <c r="T204" s="5">
        <v>1801389.2340134</v>
      </c>
      <c r="U204" s="5">
        <v>1886784.6218306101</v>
      </c>
      <c r="V204" s="5">
        <v>1946145.10299949</v>
      </c>
      <c r="W204" s="5">
        <v>1783144.8889781099</v>
      </c>
      <c r="X204" s="5">
        <v>2063928.6572143901</v>
      </c>
      <c r="Y204" s="5">
        <v>1946331.2486109701</v>
      </c>
    </row>
    <row r="205" spans="1:25" x14ac:dyDescent="0.45">
      <c r="A205" s="5" t="s">
        <v>314</v>
      </c>
      <c r="B205" s="5">
        <v>32685519.150919601</v>
      </c>
      <c r="C205" s="5">
        <v>26636452.785986699</v>
      </c>
      <c r="D205" s="5">
        <v>21667022.0542394</v>
      </c>
      <c r="E205" s="5">
        <v>12432664.7234751</v>
      </c>
      <c r="F205" s="5">
        <v>27009702.813507099</v>
      </c>
      <c r="G205" s="5">
        <v>20384884.1847407</v>
      </c>
      <c r="H205" s="5">
        <v>30722793.016857699</v>
      </c>
      <c r="I205" s="5">
        <v>28158573.856420599</v>
      </c>
      <c r="J205" s="5">
        <v>41682764.022016004</v>
      </c>
      <c r="K205" s="5">
        <v>27406229.821169998</v>
      </c>
      <c r="L205" s="5">
        <v>13775261.909779999</v>
      </c>
      <c r="M205" s="5">
        <v>19343542.847095098</v>
      </c>
      <c r="N205" s="5">
        <v>22731847.746535301</v>
      </c>
      <c r="O205" s="5">
        <v>45940958.173991799</v>
      </c>
      <c r="P205" s="5">
        <v>46557382.581150398</v>
      </c>
      <c r="Q205" s="5">
        <v>33299915.840741701</v>
      </c>
      <c r="R205" s="5">
        <v>41657341.0431711</v>
      </c>
      <c r="S205" s="5">
        <v>35033695.204069398</v>
      </c>
      <c r="T205" s="5">
        <v>22483490.6677293</v>
      </c>
      <c r="U205" s="5">
        <v>87482799.144021496</v>
      </c>
      <c r="V205" s="5">
        <v>42834531.580275498</v>
      </c>
      <c r="W205" s="5">
        <v>46975787.275463901</v>
      </c>
      <c r="X205" s="5">
        <v>47231479.552852899</v>
      </c>
      <c r="Y205" s="5">
        <v>27112295.661331099</v>
      </c>
    </row>
    <row r="206" spans="1:25" x14ac:dyDescent="0.45">
      <c r="A206" s="5" t="s">
        <v>367</v>
      </c>
      <c r="B206" s="5">
        <v>176023297.65068999</v>
      </c>
      <c r="C206" s="5">
        <v>116266320.939825</v>
      </c>
      <c r="D206" s="5">
        <v>302186677.54075402</v>
      </c>
      <c r="E206" s="5">
        <v>156615793.31432801</v>
      </c>
      <c r="F206" s="5">
        <v>239445148.98258501</v>
      </c>
      <c r="G206" s="5">
        <v>90829328.940070793</v>
      </c>
      <c r="H206" s="5">
        <v>105066444.552435</v>
      </c>
      <c r="I206" s="5">
        <v>552139303.249717</v>
      </c>
      <c r="J206" s="5">
        <v>243150590.37656301</v>
      </c>
      <c r="K206" s="5">
        <v>281405163.65261298</v>
      </c>
      <c r="L206" s="5">
        <v>188101821.609781</v>
      </c>
      <c r="M206" s="5">
        <v>121833564.609787</v>
      </c>
      <c r="N206" s="5">
        <v>174319248.62543601</v>
      </c>
      <c r="O206" s="5">
        <v>194974898.79150301</v>
      </c>
      <c r="P206" s="5">
        <v>350904527.296655</v>
      </c>
      <c r="Q206" s="5">
        <v>109137249.761437</v>
      </c>
      <c r="R206" s="5">
        <v>187358421.82186499</v>
      </c>
      <c r="S206" s="5">
        <v>82118241.884687498</v>
      </c>
      <c r="T206" s="5">
        <v>192249775.128719</v>
      </c>
      <c r="U206" s="5">
        <v>163627719.04119501</v>
      </c>
      <c r="V206" s="5">
        <v>177916267.92938799</v>
      </c>
      <c r="W206" s="5">
        <v>212025283.363215</v>
      </c>
      <c r="X206" s="5">
        <v>526470399.90677297</v>
      </c>
      <c r="Y206" s="5">
        <v>150547927.00646201</v>
      </c>
    </row>
    <row r="207" spans="1:25" x14ac:dyDescent="0.45">
      <c r="A207" s="5" t="s">
        <v>377</v>
      </c>
      <c r="B207" s="5">
        <v>35697066.748887599</v>
      </c>
      <c r="C207" s="5">
        <v>27262370.650591198</v>
      </c>
      <c r="D207" s="5">
        <v>84009580.105487093</v>
      </c>
      <c r="E207" s="5">
        <v>29162902.252014998</v>
      </c>
      <c r="F207" s="5">
        <v>56225401.305799402</v>
      </c>
      <c r="G207" s="5">
        <v>19014957.163115799</v>
      </c>
      <c r="H207" s="5">
        <v>20724437.106083099</v>
      </c>
      <c r="I207" s="5">
        <v>95205535.888285205</v>
      </c>
      <c r="J207" s="5">
        <v>52536172.9600925</v>
      </c>
      <c r="K207" s="5">
        <v>85925210.345264494</v>
      </c>
      <c r="L207" s="5">
        <v>84263580.644773602</v>
      </c>
      <c r="M207" s="5">
        <v>34378730.913372204</v>
      </c>
      <c r="N207" s="5">
        <v>21348537.0872459</v>
      </c>
      <c r="O207" s="5">
        <v>23303586.067220401</v>
      </c>
      <c r="P207" s="5">
        <v>37196990.365456402</v>
      </c>
      <c r="Q207" s="5">
        <v>49346446.073017798</v>
      </c>
      <c r="R207" s="5">
        <v>40299417.847184099</v>
      </c>
      <c r="S207" s="5">
        <v>48243624.970203899</v>
      </c>
      <c r="T207" s="5">
        <v>41531226.103080504</v>
      </c>
      <c r="U207" s="5">
        <v>19601695.5458855</v>
      </c>
      <c r="V207" s="5">
        <v>24490144.9081196</v>
      </c>
      <c r="W207" s="5">
        <v>34854004.091274202</v>
      </c>
      <c r="X207" s="5">
        <v>132168563.939505</v>
      </c>
      <c r="Y207" s="5">
        <v>27493918.387905601</v>
      </c>
    </row>
    <row r="208" spans="1:25" x14ac:dyDescent="0.45">
      <c r="A208" s="5" t="s">
        <v>206</v>
      </c>
      <c r="B208" s="5">
        <v>5461759.9155721599</v>
      </c>
      <c r="C208" s="5">
        <v>2300751.63259592</v>
      </c>
      <c r="D208" s="5">
        <v>13769328.458690301</v>
      </c>
      <c r="E208" s="5">
        <v>28896645.553800799</v>
      </c>
      <c r="F208" s="5">
        <v>26344887.208077502</v>
      </c>
      <c r="G208" s="5">
        <v>20249491.987608299</v>
      </c>
      <c r="H208" s="5">
        <v>21488697.372905198</v>
      </c>
      <c r="I208" s="5">
        <v>15878754.1720828</v>
      </c>
      <c r="J208" s="5">
        <v>20057639.896968201</v>
      </c>
      <c r="K208" s="5">
        <v>36749207.135685802</v>
      </c>
      <c r="L208" s="5">
        <v>12334628.491743799</v>
      </c>
      <c r="M208" s="5">
        <v>22168452.8957428</v>
      </c>
      <c r="N208" s="5">
        <v>5377801.8893616498</v>
      </c>
      <c r="O208" s="5">
        <v>20416439.2628479</v>
      </c>
      <c r="P208" s="5">
        <v>10110483.4129944</v>
      </c>
      <c r="Q208" s="5">
        <v>12318725.0191743</v>
      </c>
      <c r="R208" s="5">
        <v>39844729.197681598</v>
      </c>
      <c r="S208" s="5">
        <v>17358356.458643399</v>
      </c>
      <c r="T208" s="5">
        <v>3941528.2064239602</v>
      </c>
      <c r="U208" s="5">
        <v>10073166.4550447</v>
      </c>
      <c r="V208" s="5">
        <v>7530503.1671140203</v>
      </c>
      <c r="W208" s="5">
        <v>13224579.6865495</v>
      </c>
      <c r="X208" s="5">
        <v>16811252.478984401</v>
      </c>
      <c r="Y208" s="5">
        <v>7280099.51095868</v>
      </c>
    </row>
    <row r="209" spans="1:25" x14ac:dyDescent="0.45">
      <c r="A209" s="5" t="s">
        <v>315</v>
      </c>
      <c r="B209" s="5">
        <v>124112033.967492</v>
      </c>
      <c r="C209" s="5">
        <v>573682408.249439</v>
      </c>
      <c r="D209" s="5">
        <v>423507607.65094399</v>
      </c>
      <c r="E209" s="5">
        <v>242146383.09159699</v>
      </c>
      <c r="F209" s="5">
        <v>214853317.004693</v>
      </c>
      <c r="G209" s="5">
        <v>1643185282.9293599</v>
      </c>
      <c r="H209" s="5">
        <v>506647097.69419998</v>
      </c>
      <c r="I209" s="5">
        <v>715115579.30639398</v>
      </c>
      <c r="J209" s="5">
        <v>150961985.410696</v>
      </c>
      <c r="K209" s="5">
        <v>639623744.26242197</v>
      </c>
      <c r="L209" s="5">
        <v>27377018.408447798</v>
      </c>
      <c r="M209" s="5">
        <v>373681515.73356497</v>
      </c>
      <c r="N209" s="5">
        <v>427585770.823075</v>
      </c>
      <c r="O209" s="5">
        <v>347700788.86970598</v>
      </c>
      <c r="P209" s="5">
        <v>41301975.096765399</v>
      </c>
      <c r="Q209" s="5">
        <v>421807931.48276198</v>
      </c>
      <c r="R209" s="5">
        <v>97491299.409535497</v>
      </c>
      <c r="S209" s="5">
        <v>251869889.754641</v>
      </c>
      <c r="T209" s="5">
        <v>426546148.89116502</v>
      </c>
      <c r="U209" s="5">
        <v>474547487.71112299</v>
      </c>
      <c r="V209" s="5">
        <v>274552643.32262802</v>
      </c>
      <c r="W209" s="5">
        <v>88195407.389468402</v>
      </c>
      <c r="X209" s="5">
        <v>549923739.86410606</v>
      </c>
      <c r="Y209" s="5">
        <v>66631738.229939803</v>
      </c>
    </row>
    <row r="210" spans="1:25" x14ac:dyDescent="0.45">
      <c r="A210" s="5" t="s">
        <v>316</v>
      </c>
      <c r="B210" s="5">
        <v>14391675.6559177</v>
      </c>
      <c r="C210" s="5">
        <v>9097863.4046402909</v>
      </c>
      <c r="D210" s="5">
        <v>11680956.3376603</v>
      </c>
      <c r="E210" s="5">
        <v>10462994.3291773</v>
      </c>
      <c r="F210" s="5">
        <v>17583826.858242601</v>
      </c>
      <c r="G210" s="5">
        <v>13014358.606112599</v>
      </c>
      <c r="H210" s="5">
        <v>16381289.2286647</v>
      </c>
      <c r="I210" s="5">
        <v>10816572.9650323</v>
      </c>
      <c r="J210" s="5">
        <v>16447717.4808947</v>
      </c>
      <c r="K210" s="5">
        <v>8656458.23854273</v>
      </c>
      <c r="L210" s="5">
        <v>15046488.987389101</v>
      </c>
      <c r="M210" s="5">
        <v>11531739.3350523</v>
      </c>
      <c r="N210" s="5">
        <v>9721582.8459285907</v>
      </c>
      <c r="O210" s="5">
        <v>11443354.591206999</v>
      </c>
      <c r="P210" s="5">
        <v>12547017.1541456</v>
      </c>
      <c r="Q210" s="5">
        <v>8864716.5256765895</v>
      </c>
      <c r="R210" s="5">
        <v>14452901.3439462</v>
      </c>
      <c r="S210" s="5">
        <v>14784880.0166327</v>
      </c>
      <c r="T210" s="5">
        <v>16117991.894432001</v>
      </c>
      <c r="U210" s="5">
        <v>16363773.6690732</v>
      </c>
      <c r="V210" s="5">
        <v>12303397.267882301</v>
      </c>
      <c r="W210" s="5">
        <v>17530395.299488802</v>
      </c>
      <c r="X210" s="5">
        <v>11667186.574232301</v>
      </c>
      <c r="Y210" s="5">
        <v>15198720.629671801</v>
      </c>
    </row>
    <row r="211" spans="1:25" x14ac:dyDescent="0.45">
      <c r="A211" s="5" t="s">
        <v>317</v>
      </c>
      <c r="B211" s="5">
        <v>174582500.348111</v>
      </c>
      <c r="C211" s="5">
        <v>141288989.02579799</v>
      </c>
      <c r="D211" s="5">
        <v>143985180.222449</v>
      </c>
      <c r="E211" s="5">
        <v>300720284.76355898</v>
      </c>
      <c r="F211" s="5">
        <v>179216170.37871</v>
      </c>
      <c r="G211" s="5">
        <v>148733692.02508301</v>
      </c>
      <c r="H211" s="5">
        <v>84029517.631567001</v>
      </c>
      <c r="I211" s="5">
        <v>75026670.1046139</v>
      </c>
      <c r="J211" s="5">
        <v>83219287.827140003</v>
      </c>
      <c r="K211" s="5">
        <v>110051241.004823</v>
      </c>
      <c r="L211" s="5">
        <v>157407131.65628201</v>
      </c>
      <c r="M211" s="5">
        <v>136616020.844448</v>
      </c>
      <c r="N211" s="5">
        <v>135848636.87542301</v>
      </c>
      <c r="O211" s="5">
        <v>136140488.73050901</v>
      </c>
      <c r="P211" s="5">
        <v>164611913.054656</v>
      </c>
      <c r="Q211" s="5">
        <v>128136534.99050801</v>
      </c>
      <c r="R211" s="5">
        <v>158408843.695425</v>
      </c>
      <c r="S211" s="5">
        <v>148933777.611105</v>
      </c>
      <c r="T211" s="5">
        <v>158744554.68927199</v>
      </c>
      <c r="U211" s="5">
        <v>157638353.12580401</v>
      </c>
      <c r="V211" s="5">
        <v>163996226.350227</v>
      </c>
      <c r="W211" s="5">
        <v>143382184.61469701</v>
      </c>
      <c r="X211" s="5">
        <v>355858857.86635602</v>
      </c>
      <c r="Y211" s="5">
        <v>161460491.50787899</v>
      </c>
    </row>
    <row r="212" spans="1:25" x14ac:dyDescent="0.45">
      <c r="A212" s="5" t="s">
        <v>207</v>
      </c>
      <c r="B212" s="5">
        <v>34587253.584419899</v>
      </c>
      <c r="C212" s="5">
        <v>31786936.668185499</v>
      </c>
      <c r="D212" s="5">
        <v>24726069.683130398</v>
      </c>
      <c r="E212" s="5">
        <v>57865154.030224502</v>
      </c>
      <c r="F212" s="5">
        <v>57894754.959223598</v>
      </c>
      <c r="G212" s="5">
        <v>57795034.5856684</v>
      </c>
      <c r="H212" s="5">
        <v>52770102.601908401</v>
      </c>
      <c r="I212" s="5">
        <v>106507630.63585</v>
      </c>
      <c r="J212" s="5">
        <v>32634856.752122499</v>
      </c>
      <c r="K212" s="5">
        <v>247323986.03728399</v>
      </c>
      <c r="L212" s="5">
        <v>60885310.1539094</v>
      </c>
      <c r="M212" s="5">
        <v>63717951.998098001</v>
      </c>
      <c r="N212" s="5">
        <v>51132212.656197101</v>
      </c>
      <c r="O212" s="5">
        <v>110716251.328576</v>
      </c>
      <c r="P212" s="5">
        <v>88182385.679207399</v>
      </c>
      <c r="Q212" s="5">
        <v>30977056.078406401</v>
      </c>
      <c r="R212" s="5">
        <v>64070643.957371101</v>
      </c>
      <c r="S212" s="5">
        <v>66217168.417424902</v>
      </c>
      <c r="T212" s="5">
        <v>25643222.747888502</v>
      </c>
      <c r="U212" s="5">
        <v>22689886.8276214</v>
      </c>
      <c r="V212" s="5">
        <v>20732044.363531701</v>
      </c>
      <c r="W212" s="5">
        <v>24089201.906164099</v>
      </c>
      <c r="X212" s="5">
        <v>17723726.5942115</v>
      </c>
      <c r="Y212" s="5">
        <v>53131747.417174302</v>
      </c>
    </row>
    <row r="213" spans="1:25" x14ac:dyDescent="0.45">
      <c r="A213" s="5" t="s">
        <v>318</v>
      </c>
      <c r="B213" s="5">
        <v>12631152.313914901</v>
      </c>
      <c r="C213" s="5">
        <v>19782514.010452598</v>
      </c>
      <c r="D213" s="5">
        <v>32983506.7604605</v>
      </c>
      <c r="E213" s="5">
        <v>28637828.294970401</v>
      </c>
      <c r="F213" s="5">
        <v>38452887.695838302</v>
      </c>
      <c r="G213" s="5">
        <v>22476756.900392</v>
      </c>
      <c r="H213" s="5">
        <v>34437525.215870902</v>
      </c>
      <c r="I213" s="5">
        <v>88197140.859748498</v>
      </c>
      <c r="J213" s="5">
        <v>38437230.5796232</v>
      </c>
      <c r="K213" s="5">
        <v>8041776.7502741702</v>
      </c>
      <c r="L213" s="5">
        <v>31362559.529583</v>
      </c>
      <c r="M213" s="5">
        <v>26448552.630268101</v>
      </c>
      <c r="N213" s="5">
        <v>20033145.9121622</v>
      </c>
      <c r="O213" s="5">
        <v>23696844.194593702</v>
      </c>
      <c r="P213" s="5">
        <v>38548457.409041002</v>
      </c>
      <c r="Q213" s="5">
        <v>29930352.4758338</v>
      </c>
      <c r="R213" s="5">
        <v>36306486.357142702</v>
      </c>
      <c r="S213" s="5">
        <v>25395584.027540401</v>
      </c>
      <c r="T213" s="5">
        <v>35565268.824896403</v>
      </c>
      <c r="U213" s="5">
        <v>18077726.328859001</v>
      </c>
      <c r="V213" s="5">
        <v>37163627.071178399</v>
      </c>
      <c r="W213" s="5">
        <v>37743702.787394598</v>
      </c>
      <c r="X213" s="5">
        <v>17432288.034693401</v>
      </c>
      <c r="Y213" s="5">
        <v>16045451.344925299</v>
      </c>
    </row>
    <row r="214" spans="1:25" x14ac:dyDescent="0.45">
      <c r="A214" s="5" t="s">
        <v>208</v>
      </c>
      <c r="B214" s="5">
        <v>5991631.4849667801</v>
      </c>
      <c r="C214" s="5">
        <v>5617091.1136532398</v>
      </c>
      <c r="D214" s="5">
        <v>4972534.4839909002</v>
      </c>
      <c r="E214" s="5">
        <v>5410701.4850825202</v>
      </c>
      <c r="F214" s="5">
        <v>14975288.439322701</v>
      </c>
      <c r="G214" s="5">
        <v>6001953.66065838</v>
      </c>
      <c r="H214" s="5">
        <v>6313586.0607892396</v>
      </c>
      <c r="I214" s="5">
        <v>643260.38899780705</v>
      </c>
      <c r="J214" s="5">
        <v>10696287.948436599</v>
      </c>
      <c r="K214" s="5">
        <v>9917364.5898108594</v>
      </c>
      <c r="L214" s="5">
        <v>11141370.668168901</v>
      </c>
      <c r="M214" s="5">
        <v>1849841.6015612399</v>
      </c>
      <c r="N214" s="5">
        <v>2611028.78030203</v>
      </c>
      <c r="O214" s="5">
        <v>17074193.8212208</v>
      </c>
      <c r="P214" s="5">
        <v>15080886.351641599</v>
      </c>
      <c r="Q214" s="5">
        <v>1946901.6676783699</v>
      </c>
      <c r="R214" s="5">
        <v>13772720.4008174</v>
      </c>
      <c r="S214" s="5">
        <v>5900551.1286964295</v>
      </c>
      <c r="T214" s="5">
        <v>16545748.0127609</v>
      </c>
      <c r="U214" s="5">
        <v>47981606.218707003</v>
      </c>
      <c r="V214" s="5">
        <v>13306386.3236413</v>
      </c>
      <c r="W214" s="5">
        <v>12881363.4979035</v>
      </c>
      <c r="X214" s="5">
        <v>5732526.6490716403</v>
      </c>
      <c r="Y214" s="5">
        <v>13702637.6252733</v>
      </c>
    </row>
    <row r="215" spans="1:25" x14ac:dyDescent="0.45">
      <c r="A215" s="5" t="s">
        <v>209</v>
      </c>
      <c r="B215" s="5">
        <v>461808865.406138</v>
      </c>
      <c r="C215" s="5">
        <v>577982207.26492</v>
      </c>
      <c r="D215" s="5">
        <v>455210891.244699</v>
      </c>
      <c r="E215" s="5">
        <v>324632716.58230799</v>
      </c>
      <c r="F215" s="5">
        <v>173919188.32290101</v>
      </c>
      <c r="G215" s="5">
        <v>294442494.52476799</v>
      </c>
      <c r="H215" s="5">
        <v>575354665.79832006</v>
      </c>
      <c r="I215" s="5">
        <v>846713750.87101603</v>
      </c>
      <c r="J215" s="5">
        <v>432430365.02243203</v>
      </c>
      <c r="K215" s="5">
        <v>564620543.18041098</v>
      </c>
      <c r="L215" s="5">
        <v>533584914.14865202</v>
      </c>
      <c r="M215" s="5">
        <v>617609456.01991403</v>
      </c>
      <c r="N215" s="5">
        <v>423799268.17982203</v>
      </c>
      <c r="O215" s="5">
        <v>431659741.81697899</v>
      </c>
      <c r="P215" s="5">
        <v>401815708.893897</v>
      </c>
      <c r="Q215" s="5">
        <v>600988879.75677502</v>
      </c>
      <c r="R215" s="5">
        <v>685558559.04499602</v>
      </c>
      <c r="S215" s="5">
        <v>706131519.96537101</v>
      </c>
      <c r="T215" s="5">
        <v>433008463.46951801</v>
      </c>
      <c r="U215" s="5">
        <v>457513102.710747</v>
      </c>
      <c r="V215" s="5">
        <v>601262683.45358503</v>
      </c>
      <c r="W215" s="5">
        <v>669158050.57670105</v>
      </c>
      <c r="X215" s="5">
        <v>2198764244.0392399</v>
      </c>
      <c r="Y215" s="5">
        <v>701047926.38320994</v>
      </c>
    </row>
    <row r="216" spans="1:25" x14ac:dyDescent="0.45">
      <c r="A216" s="5" t="s">
        <v>210</v>
      </c>
      <c r="B216" s="5">
        <v>187449352.743325</v>
      </c>
      <c r="C216" s="5">
        <v>258426851.48227999</v>
      </c>
      <c r="D216" s="5">
        <v>234400282.08392799</v>
      </c>
      <c r="E216" s="5">
        <v>132549432.315648</v>
      </c>
      <c r="F216" s="5">
        <v>129793731.251211</v>
      </c>
      <c r="G216" s="5">
        <v>169245428.49907601</v>
      </c>
      <c r="H216" s="5">
        <v>248626497.062971</v>
      </c>
      <c r="I216" s="5">
        <v>489763861.92075402</v>
      </c>
      <c r="J216" s="5">
        <v>238307285.70020899</v>
      </c>
      <c r="K216" s="5">
        <v>274296356.35642397</v>
      </c>
      <c r="L216" s="5">
        <v>245609096.20869601</v>
      </c>
      <c r="M216" s="5">
        <v>290768431.834373</v>
      </c>
      <c r="N216" s="5">
        <v>367939851.98959702</v>
      </c>
      <c r="O216" s="5">
        <v>87756591.906156793</v>
      </c>
      <c r="P216" s="5">
        <v>369215251.876836</v>
      </c>
      <c r="Q216" s="5">
        <v>340511771.52265501</v>
      </c>
      <c r="R216" s="5">
        <v>259891360.86495101</v>
      </c>
      <c r="S216" s="5">
        <v>365349545.506908</v>
      </c>
      <c r="T216" s="5">
        <v>236726745.834436</v>
      </c>
      <c r="U216" s="5">
        <v>251541658.60215399</v>
      </c>
      <c r="V216" s="5">
        <v>289983975.23213702</v>
      </c>
      <c r="W216" s="5">
        <v>292712907.77096599</v>
      </c>
      <c r="X216" s="5">
        <v>1059938142.89592</v>
      </c>
      <c r="Y216" s="5">
        <v>296635401.626463</v>
      </c>
    </row>
    <row r="217" spans="1:25" x14ac:dyDescent="0.45">
      <c r="A217" s="5" t="s">
        <v>211</v>
      </c>
      <c r="B217" s="5">
        <v>34938036.171944499</v>
      </c>
      <c r="C217" s="5">
        <v>25038205.181644201</v>
      </c>
      <c r="D217" s="5">
        <v>32509883.520183999</v>
      </c>
      <c r="E217" s="5">
        <v>25615323.7700685</v>
      </c>
      <c r="F217" s="5">
        <v>39160651.932807803</v>
      </c>
      <c r="G217" s="5">
        <v>21339854.794241399</v>
      </c>
      <c r="H217" s="5">
        <v>24377153.965139601</v>
      </c>
      <c r="I217" s="5">
        <v>3553175.0698965099</v>
      </c>
      <c r="J217" s="5">
        <v>40880162.977032699</v>
      </c>
      <c r="K217" s="5">
        <v>26452266.813088499</v>
      </c>
      <c r="L217" s="5">
        <v>33277590.7236767</v>
      </c>
      <c r="M217" s="5">
        <v>15858535.6434511</v>
      </c>
      <c r="N217" s="5">
        <v>18041158.590573601</v>
      </c>
      <c r="O217" s="5">
        <v>51340807.615375802</v>
      </c>
      <c r="P217" s="5">
        <v>44523961.803748302</v>
      </c>
      <c r="Q217" s="5">
        <v>17950078.414996199</v>
      </c>
      <c r="R217" s="5">
        <v>30447137.321137901</v>
      </c>
      <c r="S217" s="5">
        <v>27036087.245371498</v>
      </c>
      <c r="T217" s="5">
        <v>38939719.787896</v>
      </c>
      <c r="U217" s="5">
        <v>35773856.042823598</v>
      </c>
      <c r="V217" s="5">
        <v>29055134.9428543</v>
      </c>
      <c r="W217" s="5">
        <v>33130205.6518871</v>
      </c>
      <c r="X217" s="5">
        <v>15242923.019110801</v>
      </c>
      <c r="Y217" s="5">
        <v>40915598.421509102</v>
      </c>
    </row>
    <row r="218" spans="1:25" x14ac:dyDescent="0.45">
      <c r="A218" s="5" t="s">
        <v>212</v>
      </c>
      <c r="B218" s="5">
        <v>993566025.95231199</v>
      </c>
      <c r="C218" s="5">
        <v>719782733.34973705</v>
      </c>
      <c r="D218" s="5">
        <v>893946931.86075699</v>
      </c>
      <c r="E218" s="5">
        <v>783519186.43121099</v>
      </c>
      <c r="F218" s="5">
        <v>316008149.82903302</v>
      </c>
      <c r="G218" s="5">
        <v>429389574.38728702</v>
      </c>
      <c r="H218" s="5">
        <v>492174116.06166101</v>
      </c>
      <c r="I218" s="5">
        <v>382552585.26464802</v>
      </c>
      <c r="J218" s="5">
        <v>376588355.85976398</v>
      </c>
      <c r="K218" s="5">
        <v>151880724.80946401</v>
      </c>
      <c r="L218" s="5">
        <v>505542176.63231301</v>
      </c>
      <c r="M218" s="5">
        <v>794106281.64879405</v>
      </c>
      <c r="N218" s="5">
        <v>478013739.24174601</v>
      </c>
      <c r="O218" s="5">
        <v>625925703.94405603</v>
      </c>
      <c r="P218" s="5">
        <v>624685719.11607301</v>
      </c>
      <c r="Q218" s="5">
        <v>283550404.31085801</v>
      </c>
      <c r="R218" s="5">
        <v>118936744.89969499</v>
      </c>
      <c r="S218" s="5">
        <v>228655664.13915601</v>
      </c>
      <c r="T218" s="5">
        <v>854550127.67111194</v>
      </c>
      <c r="U218" s="5">
        <v>741367643.26430595</v>
      </c>
      <c r="V218" s="5">
        <v>1442425236.88833</v>
      </c>
      <c r="W218" s="5">
        <v>363264079.734918</v>
      </c>
      <c r="X218" s="5">
        <v>664395232.17247796</v>
      </c>
      <c r="Y218" s="5">
        <v>1338659401.4887099</v>
      </c>
    </row>
    <row r="219" spans="1:25" x14ac:dyDescent="0.45">
      <c r="A219" s="5" t="s">
        <v>319</v>
      </c>
      <c r="B219" s="5">
        <v>33605175.298680998</v>
      </c>
      <c r="C219" s="5">
        <v>42612261.215213999</v>
      </c>
      <c r="D219" s="5">
        <v>38654869.396232203</v>
      </c>
      <c r="E219" s="5">
        <v>26961589.727321401</v>
      </c>
      <c r="F219" s="5">
        <v>30331025.049956199</v>
      </c>
      <c r="G219" s="5">
        <v>41895778.412493199</v>
      </c>
      <c r="H219" s="5">
        <v>30716537.648105599</v>
      </c>
      <c r="I219" s="5">
        <v>11522888.791979199</v>
      </c>
      <c r="J219" s="5">
        <v>19827008.507835001</v>
      </c>
      <c r="K219" s="5">
        <v>6798100.7512486698</v>
      </c>
      <c r="L219" s="5">
        <v>25195238.448576398</v>
      </c>
      <c r="M219" s="5">
        <v>26175777.093370799</v>
      </c>
      <c r="N219" s="5">
        <v>49133135.234479703</v>
      </c>
      <c r="O219" s="5">
        <v>28604179.842927601</v>
      </c>
      <c r="P219" s="5">
        <v>37621691.803132802</v>
      </c>
      <c r="Q219" s="5">
        <v>30806946.686105799</v>
      </c>
      <c r="R219" s="5">
        <v>17992467.668777902</v>
      </c>
      <c r="S219" s="5">
        <v>34226959.1830386</v>
      </c>
      <c r="T219" s="5">
        <v>36211841.797929801</v>
      </c>
      <c r="U219" s="5">
        <v>30071049.849615</v>
      </c>
      <c r="V219" s="5">
        <v>35770932.762038201</v>
      </c>
      <c r="W219" s="5">
        <v>24693830.714589</v>
      </c>
      <c r="X219" s="5">
        <v>11349664.0684001</v>
      </c>
      <c r="Y219" s="5">
        <v>39772847.656125799</v>
      </c>
    </row>
    <row r="220" spans="1:25" x14ac:dyDescent="0.45">
      <c r="A220" s="5" t="s">
        <v>213</v>
      </c>
      <c r="B220" s="5">
        <v>40362101.676200897</v>
      </c>
      <c r="C220" s="5">
        <v>26662459.714505099</v>
      </c>
      <c r="D220" s="5">
        <v>42404743.879307501</v>
      </c>
      <c r="E220" s="5">
        <v>44667442.1054416</v>
      </c>
      <c r="F220" s="5">
        <v>13309369.8618694</v>
      </c>
      <c r="G220" s="5">
        <v>36934230.730435103</v>
      </c>
      <c r="H220" s="5">
        <v>27714886.9572489</v>
      </c>
      <c r="I220" s="5">
        <v>105916798.09985</v>
      </c>
      <c r="J220" s="5">
        <v>56599713.877476901</v>
      </c>
      <c r="K220" s="5">
        <v>28787305.058211099</v>
      </c>
      <c r="L220" s="5">
        <v>41739852.4374706</v>
      </c>
      <c r="M220" s="5">
        <v>46045696.246740498</v>
      </c>
      <c r="N220" s="5">
        <v>32748668.655185498</v>
      </c>
      <c r="O220" s="5">
        <v>20117006.8099657</v>
      </c>
      <c r="P220" s="5">
        <v>29056255.974590801</v>
      </c>
      <c r="Q220" s="5">
        <v>35056947.945920698</v>
      </c>
      <c r="R220" s="5">
        <v>56551511.380467303</v>
      </c>
      <c r="S220" s="5">
        <v>35914281.751860701</v>
      </c>
      <c r="T220" s="5">
        <v>36828887.6444043</v>
      </c>
      <c r="U220" s="5">
        <v>28159991.010128099</v>
      </c>
      <c r="V220" s="5">
        <v>29148053.864820499</v>
      </c>
      <c r="W220" s="5">
        <v>31273296.2184528</v>
      </c>
      <c r="X220" s="5">
        <v>38418718.833892599</v>
      </c>
      <c r="Y220" s="5">
        <v>26770507.414874502</v>
      </c>
    </row>
    <row r="221" spans="1:25" x14ac:dyDescent="0.45">
      <c r="A221" s="5" t="s">
        <v>320</v>
      </c>
      <c r="B221" s="5">
        <v>47112453.265125602</v>
      </c>
      <c r="C221" s="5">
        <v>47107461.980685703</v>
      </c>
      <c r="D221" s="5">
        <v>43415471.988931596</v>
      </c>
      <c r="E221" s="5">
        <v>55080840.618427098</v>
      </c>
      <c r="F221" s="5">
        <v>54517311.677077502</v>
      </c>
      <c r="G221" s="5">
        <v>51886644.879692703</v>
      </c>
      <c r="H221" s="5">
        <v>56880746.549405903</v>
      </c>
      <c r="I221" s="5">
        <v>82019756.277835503</v>
      </c>
      <c r="J221" s="5">
        <v>58390017.899083696</v>
      </c>
      <c r="K221" s="5">
        <v>90196085.516886696</v>
      </c>
      <c r="L221" s="5">
        <v>103171145.138548</v>
      </c>
      <c r="M221" s="5">
        <v>86876889.543715507</v>
      </c>
      <c r="N221" s="5">
        <v>55371446.319388799</v>
      </c>
      <c r="O221" s="5">
        <v>40486508.571003899</v>
      </c>
      <c r="P221" s="5">
        <v>58338381.058255501</v>
      </c>
      <c r="Q221" s="5">
        <v>34558529.076571897</v>
      </c>
      <c r="R221" s="5">
        <v>76118133.812398493</v>
      </c>
      <c r="S221" s="5">
        <v>37473168.532928601</v>
      </c>
      <c r="T221" s="5">
        <v>80684235.949369296</v>
      </c>
      <c r="U221" s="5">
        <v>71430399.559277907</v>
      </c>
      <c r="V221" s="5">
        <v>72733936.446301505</v>
      </c>
      <c r="W221" s="5">
        <v>55238887.665342197</v>
      </c>
      <c r="X221" s="5">
        <v>93923349.877645701</v>
      </c>
      <c r="Y221" s="5">
        <v>57706258.160053603</v>
      </c>
    </row>
    <row r="222" spans="1:25" x14ac:dyDescent="0.45">
      <c r="A222" s="5" t="s">
        <v>321</v>
      </c>
      <c r="B222" s="5">
        <v>7026044.7399188597</v>
      </c>
      <c r="C222" s="5">
        <v>4881154.6726000896</v>
      </c>
      <c r="D222" s="5">
        <v>11858086.781446399</v>
      </c>
      <c r="E222" s="5">
        <v>14134498.978996299</v>
      </c>
      <c r="F222" s="5">
        <v>18369488.773297001</v>
      </c>
      <c r="G222" s="5">
        <v>16072636.417440699</v>
      </c>
      <c r="H222" s="5">
        <v>11611547.895542899</v>
      </c>
      <c r="I222" s="5">
        <v>115564358.101383</v>
      </c>
      <c r="J222" s="5">
        <v>23508253.158812501</v>
      </c>
      <c r="K222" s="5">
        <v>1124151649.67939</v>
      </c>
      <c r="L222" s="5">
        <v>8687251.0941281095</v>
      </c>
      <c r="M222" s="5">
        <v>17915396.7215987</v>
      </c>
      <c r="N222" s="5">
        <v>12239678.126645301</v>
      </c>
      <c r="O222" s="5">
        <v>9114896.6977523006</v>
      </c>
      <c r="P222" s="5">
        <v>4759897.3104929598</v>
      </c>
      <c r="Q222" s="5">
        <v>5663152.5917724799</v>
      </c>
      <c r="R222" s="5">
        <v>26492735.429795101</v>
      </c>
      <c r="S222" s="5">
        <v>9011372.1849378292</v>
      </c>
      <c r="T222" s="5">
        <v>13769222.206298901</v>
      </c>
      <c r="U222" s="5">
        <v>8762490.6005803999</v>
      </c>
      <c r="V222" s="5">
        <v>7329862.0840108804</v>
      </c>
      <c r="W222" s="5">
        <v>6251414.1537069101</v>
      </c>
      <c r="X222" s="5">
        <v>8633828.2052903809</v>
      </c>
      <c r="Y222" s="5">
        <v>3507365.9980389699</v>
      </c>
    </row>
    <row r="223" spans="1:25" x14ac:dyDescent="0.45">
      <c r="A223" s="5" t="s">
        <v>322</v>
      </c>
      <c r="B223" s="5">
        <v>86916471.479619294</v>
      </c>
      <c r="C223" s="5">
        <v>207406230.52121201</v>
      </c>
      <c r="D223" s="5">
        <v>120284016.25345001</v>
      </c>
      <c r="E223" s="5">
        <v>94962784.147588402</v>
      </c>
      <c r="F223" s="5">
        <v>95824595.547428697</v>
      </c>
      <c r="G223" s="5">
        <v>124444635.44169</v>
      </c>
      <c r="H223" s="5">
        <v>171260758.41895601</v>
      </c>
      <c r="I223" s="5">
        <v>125337899.860616</v>
      </c>
      <c r="J223" s="5">
        <v>98510954.129569605</v>
      </c>
      <c r="K223" s="5">
        <v>264516277.95216599</v>
      </c>
      <c r="L223" s="5">
        <v>241575241.953688</v>
      </c>
      <c r="M223" s="5">
        <v>220907915.15642899</v>
      </c>
      <c r="N223" s="5">
        <v>530523032.10036802</v>
      </c>
      <c r="O223" s="5">
        <v>364970596.45880198</v>
      </c>
      <c r="P223" s="5">
        <v>199143756.70678601</v>
      </c>
      <c r="Q223" s="5">
        <v>363834402.45390803</v>
      </c>
      <c r="R223" s="5">
        <v>109965401.67360801</v>
      </c>
      <c r="S223" s="5">
        <v>177203405.29212201</v>
      </c>
      <c r="T223" s="5">
        <v>58300885.340309598</v>
      </c>
      <c r="U223" s="5">
        <v>142335561.608289</v>
      </c>
      <c r="V223" s="5">
        <v>254714712.715817</v>
      </c>
      <c r="W223" s="5">
        <v>231695801.341445</v>
      </c>
      <c r="X223" s="5">
        <v>378828874.99545199</v>
      </c>
      <c r="Y223" s="5">
        <v>155743364.04266101</v>
      </c>
    </row>
    <row r="224" spans="1:25" x14ac:dyDescent="0.45">
      <c r="A224" s="5" t="s">
        <v>323</v>
      </c>
      <c r="B224" s="5">
        <v>18594763.304611299</v>
      </c>
      <c r="C224" s="5">
        <v>17125153.947305702</v>
      </c>
      <c r="D224" s="5">
        <v>21201216.022874001</v>
      </c>
      <c r="E224" s="5">
        <v>24761464.6614535</v>
      </c>
      <c r="F224" s="5">
        <v>15792062.236742999</v>
      </c>
      <c r="G224" s="5">
        <v>19890831.8938086</v>
      </c>
      <c r="H224" s="5">
        <v>28865683.690857101</v>
      </c>
      <c r="I224" s="5">
        <v>23379283.3190764</v>
      </c>
      <c r="J224" s="5">
        <v>34567173.549089</v>
      </c>
      <c r="K224" s="5">
        <v>18063975.268909901</v>
      </c>
      <c r="L224" s="5">
        <v>23018900.675731301</v>
      </c>
      <c r="M224" s="5">
        <v>21044524.011073299</v>
      </c>
      <c r="N224" s="5">
        <v>7441316.7115818104</v>
      </c>
      <c r="O224" s="5">
        <v>6221586.03237426</v>
      </c>
      <c r="P224" s="5">
        <v>13817404.774822799</v>
      </c>
      <c r="Q224" s="5">
        <v>31269393.973419201</v>
      </c>
      <c r="R224" s="5">
        <v>34960482.396237597</v>
      </c>
      <c r="S224" s="5">
        <v>28837656.757189099</v>
      </c>
      <c r="T224" s="5">
        <v>45254638.931652397</v>
      </c>
      <c r="U224" s="5">
        <v>29950179.481122199</v>
      </c>
      <c r="V224" s="5">
        <v>56911322.485550299</v>
      </c>
      <c r="W224" s="5">
        <v>32099772.040578801</v>
      </c>
      <c r="X224" s="5">
        <v>501791406.56715101</v>
      </c>
      <c r="Y224" s="5">
        <v>20681311.8568797</v>
      </c>
    </row>
    <row r="225" spans="1:25" x14ac:dyDescent="0.45">
      <c r="A225" s="5" t="s">
        <v>324</v>
      </c>
      <c r="B225" s="5">
        <v>6540728.0642289696</v>
      </c>
      <c r="C225" s="5">
        <v>6402522.1279753996</v>
      </c>
      <c r="D225" s="5">
        <v>6449237.3804462701</v>
      </c>
      <c r="E225" s="5">
        <v>7344488.7624158598</v>
      </c>
      <c r="F225" s="5">
        <v>6712413.8412693003</v>
      </c>
      <c r="G225" s="5">
        <v>6320276.2335683098</v>
      </c>
      <c r="H225" s="5">
        <v>65338561.467068203</v>
      </c>
      <c r="I225" s="5">
        <v>166428981.34955499</v>
      </c>
      <c r="J225" s="5">
        <v>4997316.6558779199</v>
      </c>
      <c r="K225" s="5">
        <v>118338356.95175999</v>
      </c>
      <c r="L225" s="5">
        <v>97264305.160085693</v>
      </c>
      <c r="M225" s="5">
        <v>97353185.301532403</v>
      </c>
      <c r="N225" s="5">
        <v>6236424.8298676396</v>
      </c>
      <c r="O225" s="5">
        <v>5941505.8323262203</v>
      </c>
      <c r="P225" s="5">
        <v>6757071.1548663396</v>
      </c>
      <c r="Q225" s="5">
        <v>5603086.7302739499</v>
      </c>
      <c r="R225" s="5">
        <v>7085822.4518498201</v>
      </c>
      <c r="S225" s="5">
        <v>5792062.0999686001</v>
      </c>
      <c r="T225" s="5">
        <v>7045806.2082605204</v>
      </c>
      <c r="U225" s="5">
        <v>7469241.6911485102</v>
      </c>
      <c r="V225" s="5">
        <v>77955996.564343303</v>
      </c>
      <c r="W225" s="5">
        <v>5550284.2393847303</v>
      </c>
      <c r="X225" s="5">
        <v>11643744.349977201</v>
      </c>
      <c r="Y225" s="5">
        <v>6741426.1244468503</v>
      </c>
    </row>
    <row r="226" spans="1:25" x14ac:dyDescent="0.45">
      <c r="A226" s="5" t="s">
        <v>214</v>
      </c>
      <c r="B226" s="5">
        <v>71792682.338155299</v>
      </c>
      <c r="C226" s="5">
        <v>45668917.736268997</v>
      </c>
      <c r="D226" s="5">
        <v>50336422.3524772</v>
      </c>
      <c r="E226" s="5">
        <v>111879172.43376701</v>
      </c>
      <c r="F226" s="5">
        <v>61142017.184266403</v>
      </c>
      <c r="G226" s="5">
        <v>60461207.746822298</v>
      </c>
      <c r="H226" s="5">
        <v>93520501.015348807</v>
      </c>
      <c r="I226" s="5">
        <v>14130702.1811444</v>
      </c>
      <c r="J226" s="5">
        <v>53932797.103941299</v>
      </c>
      <c r="K226" s="5">
        <v>21236622.3225177</v>
      </c>
      <c r="L226" s="5">
        <v>53903034.519158103</v>
      </c>
      <c r="M226" s="5">
        <v>56563213.791838497</v>
      </c>
      <c r="N226" s="5">
        <v>97784480.296033293</v>
      </c>
      <c r="O226" s="5">
        <v>44886637.659341902</v>
      </c>
      <c r="P226" s="5">
        <v>69820541.742549896</v>
      </c>
      <c r="Q226" s="5">
        <v>21542472.7904264</v>
      </c>
      <c r="R226" s="5">
        <v>115805349.869699</v>
      </c>
      <c r="S226" s="5">
        <v>48252910.334624201</v>
      </c>
      <c r="T226" s="5">
        <v>100794994.540574</v>
      </c>
      <c r="U226" s="5">
        <v>103206824.658977</v>
      </c>
      <c r="V226" s="5">
        <v>144334057.86193299</v>
      </c>
      <c r="W226" s="5">
        <v>86554254.428355694</v>
      </c>
      <c r="X226" s="5">
        <v>111548945.917192</v>
      </c>
      <c r="Y226" s="5">
        <v>99965778.426892698</v>
      </c>
    </row>
    <row r="227" spans="1:25" x14ac:dyDescent="0.45">
      <c r="A227" s="5" t="s">
        <v>215</v>
      </c>
      <c r="B227" s="5">
        <v>12870810.5623472</v>
      </c>
      <c r="C227" s="5">
        <v>7668358.9082820397</v>
      </c>
      <c r="D227" s="5">
        <v>21337411.437095899</v>
      </c>
      <c r="E227" s="5">
        <v>24315620.887152001</v>
      </c>
      <c r="F227" s="5">
        <v>24156618.890223902</v>
      </c>
      <c r="G227" s="5">
        <v>13686733.6681145</v>
      </c>
      <c r="H227" s="5">
        <v>15347468.0154252</v>
      </c>
      <c r="I227" s="5">
        <v>55242688.669222698</v>
      </c>
      <c r="J227" s="5">
        <v>30849445.294357799</v>
      </c>
      <c r="K227" s="5">
        <v>504038609.90532398</v>
      </c>
      <c r="L227" s="5">
        <v>22172231.1845905</v>
      </c>
      <c r="M227" s="5">
        <v>8079190.95658057</v>
      </c>
      <c r="N227" s="5">
        <v>8188236.0657441895</v>
      </c>
      <c r="O227" s="5">
        <v>14315899.4860989</v>
      </c>
      <c r="P227" s="5">
        <v>19641760.638056502</v>
      </c>
      <c r="Q227" s="5">
        <v>19668366.488603901</v>
      </c>
      <c r="R227" s="5">
        <v>18258562.3743046</v>
      </c>
      <c r="S227" s="5">
        <v>13341652.2795885</v>
      </c>
      <c r="T227" s="5">
        <v>15103366.655327501</v>
      </c>
      <c r="U227" s="5">
        <v>34917331.148159698</v>
      </c>
      <c r="V227" s="5">
        <v>16618141.549251299</v>
      </c>
      <c r="W227" s="5">
        <v>30533651.7890407</v>
      </c>
      <c r="X227" s="5">
        <v>93058056.445905894</v>
      </c>
      <c r="Y227" s="5">
        <v>24434602.084185399</v>
      </c>
    </row>
    <row r="228" spans="1:25" x14ac:dyDescent="0.45">
      <c r="A228" s="5" t="s">
        <v>325</v>
      </c>
      <c r="B228" s="5">
        <v>49148129.073230401</v>
      </c>
      <c r="C228" s="5">
        <v>286910092.47723597</v>
      </c>
      <c r="D228" s="5">
        <v>107595673.037862</v>
      </c>
      <c r="E228" s="5">
        <v>50106576.356536902</v>
      </c>
      <c r="F228" s="5">
        <v>42973080.795151398</v>
      </c>
      <c r="G228" s="5">
        <v>24934239.348620798</v>
      </c>
      <c r="H228" s="5">
        <v>65898979.590562403</v>
      </c>
      <c r="I228" s="5">
        <v>514860197.49444902</v>
      </c>
      <c r="J228" s="5">
        <v>91374405.081631005</v>
      </c>
      <c r="K228" s="5">
        <v>241385963.323282</v>
      </c>
      <c r="L228" s="5">
        <v>95824551.677861303</v>
      </c>
      <c r="M228" s="5">
        <v>67917138.496460199</v>
      </c>
      <c r="N228" s="5">
        <v>325945394.79554302</v>
      </c>
      <c r="O228" s="5">
        <v>406702935.710769</v>
      </c>
      <c r="P228" s="5">
        <v>271784301.92551398</v>
      </c>
      <c r="Q228" s="5">
        <v>653589696.58817196</v>
      </c>
      <c r="R228" s="5">
        <v>216746404.35569599</v>
      </c>
      <c r="S228" s="5">
        <v>201476490.27590099</v>
      </c>
      <c r="T228" s="5">
        <v>86789166.012842104</v>
      </c>
      <c r="U228" s="5">
        <v>213425833.842666</v>
      </c>
      <c r="V228" s="5">
        <v>303695297.45014799</v>
      </c>
      <c r="W228" s="5">
        <v>111012358.96881799</v>
      </c>
      <c r="X228" s="5">
        <v>334513497.10255402</v>
      </c>
      <c r="Y228" s="5">
        <v>83908482.795865595</v>
      </c>
    </row>
    <row r="229" spans="1:25" x14ac:dyDescent="0.45">
      <c r="A229" s="5" t="s">
        <v>216</v>
      </c>
      <c r="B229" s="5">
        <v>4401656.2774759801</v>
      </c>
      <c r="C229" s="5">
        <v>6502137.3904566597</v>
      </c>
      <c r="D229" s="5">
        <v>4946582.1431830404</v>
      </c>
      <c r="E229" s="5">
        <v>4358037.3916046396</v>
      </c>
      <c r="F229" s="5">
        <v>4148138.5549383</v>
      </c>
      <c r="G229" s="5">
        <v>4422400.9379623504</v>
      </c>
      <c r="H229" s="5">
        <v>4431232.4185397103</v>
      </c>
      <c r="I229" s="5">
        <v>7588614.9037056696</v>
      </c>
      <c r="J229" s="5">
        <v>3203784.7157739499</v>
      </c>
      <c r="K229" s="5">
        <v>19518792.168547101</v>
      </c>
      <c r="L229" s="5">
        <v>15928748.6322002</v>
      </c>
      <c r="M229" s="5">
        <v>31193965.534579098</v>
      </c>
      <c r="N229" s="5">
        <v>12887279.652482999</v>
      </c>
      <c r="O229" s="5">
        <v>15680573.9245806</v>
      </c>
      <c r="P229" s="5">
        <v>11461894.907907899</v>
      </c>
      <c r="Q229" s="5">
        <v>26487036.656587198</v>
      </c>
      <c r="R229" s="5">
        <v>7828397.9762442699</v>
      </c>
      <c r="S229" s="5">
        <v>5096589.6072471002</v>
      </c>
      <c r="T229" s="5">
        <v>4163964.78369419</v>
      </c>
      <c r="U229" s="5">
        <v>5414985.6285498198</v>
      </c>
      <c r="V229" s="5">
        <v>8466751.0377955195</v>
      </c>
      <c r="W229" s="5">
        <v>12597094.879635399</v>
      </c>
      <c r="X229" s="5">
        <v>5226633.7861391203</v>
      </c>
      <c r="Y229" s="5">
        <v>9905579.2884540595</v>
      </c>
    </row>
    <row r="230" spans="1:25" x14ac:dyDescent="0.45">
      <c r="A230" s="5" t="s">
        <v>217</v>
      </c>
      <c r="B230" s="5">
        <v>321648943.54448098</v>
      </c>
      <c r="C230" s="5">
        <v>231258563.18919301</v>
      </c>
      <c r="D230" s="5">
        <v>247606129.92958501</v>
      </c>
      <c r="E230" s="5">
        <v>279729142.89907402</v>
      </c>
      <c r="F230" s="5">
        <v>294794547.90203398</v>
      </c>
      <c r="G230" s="5">
        <v>237513069.127518</v>
      </c>
      <c r="H230" s="5">
        <v>261434373.73833999</v>
      </c>
      <c r="I230" s="5">
        <v>238101995.78780699</v>
      </c>
      <c r="J230" s="5">
        <v>283238380.55171502</v>
      </c>
      <c r="K230" s="5">
        <v>235984238.75192001</v>
      </c>
      <c r="L230" s="5">
        <v>354973487.64539897</v>
      </c>
      <c r="M230" s="5">
        <v>303320138.02118498</v>
      </c>
      <c r="N230" s="5">
        <v>225677751.016417</v>
      </c>
      <c r="O230" s="5">
        <v>183163035.20132101</v>
      </c>
      <c r="P230" s="5">
        <v>267641402.973405</v>
      </c>
      <c r="Q230" s="5">
        <v>203894157.46318701</v>
      </c>
      <c r="R230" s="5">
        <v>342775254.21469599</v>
      </c>
      <c r="S230" s="5">
        <v>274284821.94540203</v>
      </c>
      <c r="T230" s="5">
        <v>333345159.61996299</v>
      </c>
      <c r="U230" s="5">
        <v>292350413.26087803</v>
      </c>
      <c r="V230" s="5">
        <v>250429079.844491</v>
      </c>
      <c r="W230" s="5">
        <v>322678920.196253</v>
      </c>
      <c r="X230" s="5">
        <v>215890857.609938</v>
      </c>
      <c r="Y230" s="5">
        <v>360175055.62889701</v>
      </c>
    </row>
    <row r="231" spans="1:25" x14ac:dyDescent="0.45">
      <c r="A231" s="5" t="s">
        <v>326</v>
      </c>
      <c r="B231" s="5">
        <v>1324414.80927749</v>
      </c>
      <c r="C231" s="5">
        <v>2155054.9408922601</v>
      </c>
      <c r="D231" s="5">
        <v>1895645.0863339</v>
      </c>
      <c r="E231" s="5">
        <v>2019747.4866550399</v>
      </c>
      <c r="F231" s="5">
        <v>1539412.80528245</v>
      </c>
      <c r="G231" s="5">
        <v>3476588.3504953501</v>
      </c>
      <c r="H231" s="5">
        <v>3051799.06080367</v>
      </c>
      <c r="I231" s="5">
        <v>3592721.9129528301</v>
      </c>
      <c r="J231" s="5">
        <v>1738933.1256784899</v>
      </c>
      <c r="K231" s="5">
        <v>39256090.104790099</v>
      </c>
      <c r="L231" s="5">
        <v>2814505.2081100899</v>
      </c>
      <c r="M231" s="5">
        <v>4602763.1441063397</v>
      </c>
      <c r="N231" s="5">
        <v>1479753.11132527</v>
      </c>
      <c r="O231" s="5">
        <v>3674084.4872813602</v>
      </c>
      <c r="P231" s="5">
        <v>2884076.07261763</v>
      </c>
      <c r="Q231" s="5">
        <v>47758542.4402529</v>
      </c>
      <c r="R231" s="5">
        <v>1635812.56449457</v>
      </c>
      <c r="S231" s="5">
        <v>3303661.95316851</v>
      </c>
      <c r="T231" s="5">
        <v>3556263.94476027</v>
      </c>
      <c r="U231" s="5">
        <v>4206551.8877198901</v>
      </c>
      <c r="V231" s="5">
        <v>6037586.9166778997</v>
      </c>
      <c r="W231" s="5">
        <v>2405324.1573246298</v>
      </c>
      <c r="X231" s="5">
        <v>2754164.83191839</v>
      </c>
      <c r="Y231" s="5">
        <v>2297264.0887082098</v>
      </c>
    </row>
    <row r="232" spans="1:25" x14ac:dyDescent="0.45">
      <c r="A232" s="5" t="s">
        <v>218</v>
      </c>
      <c r="B232" s="5">
        <v>38644203.239529997</v>
      </c>
      <c r="C232" s="5">
        <v>27019494.202798899</v>
      </c>
      <c r="D232" s="5">
        <v>91023474.818819702</v>
      </c>
      <c r="E232" s="5">
        <v>54066814.614148699</v>
      </c>
      <c r="F232" s="5">
        <v>64618740.547430001</v>
      </c>
      <c r="G232" s="5">
        <v>40935765.840799898</v>
      </c>
      <c r="H232" s="5">
        <v>23512860.664116502</v>
      </c>
      <c r="I232" s="5">
        <v>143413683.31112701</v>
      </c>
      <c r="J232" s="5">
        <v>76034816.067236304</v>
      </c>
      <c r="K232" s="5">
        <v>104001713.903327</v>
      </c>
      <c r="L232" s="5">
        <v>83559660.713082105</v>
      </c>
      <c r="M232" s="5">
        <v>39464928.017073303</v>
      </c>
      <c r="N232" s="5">
        <v>25992409.681423299</v>
      </c>
      <c r="O232" s="5">
        <v>35655733.282881297</v>
      </c>
      <c r="P232" s="5">
        <v>38736528.762235798</v>
      </c>
      <c r="Q232" s="5">
        <v>34664964.1862422</v>
      </c>
      <c r="R232" s="5">
        <v>86231051.371012196</v>
      </c>
      <c r="S232" s="5">
        <v>62830355.612266399</v>
      </c>
      <c r="T232" s="5">
        <v>37548180.016026698</v>
      </c>
      <c r="U232" s="5">
        <v>31744431.589226</v>
      </c>
      <c r="V232" s="5">
        <v>22688305.253278799</v>
      </c>
      <c r="W232" s="5">
        <v>27324630.630663399</v>
      </c>
      <c r="X232" s="5">
        <v>74124945.130036101</v>
      </c>
      <c r="Y232" s="5">
        <v>21721185.3792287</v>
      </c>
    </row>
    <row r="233" spans="1:25" x14ac:dyDescent="0.45">
      <c r="A233" s="5" t="s">
        <v>219</v>
      </c>
      <c r="B233" s="5">
        <v>16077806.640705001</v>
      </c>
      <c r="C233" s="5">
        <v>31880295.618472099</v>
      </c>
      <c r="D233" s="5">
        <v>10182356.5300729</v>
      </c>
      <c r="E233" s="5">
        <v>16345631.318434</v>
      </c>
      <c r="F233" s="5">
        <v>56747454.270602301</v>
      </c>
      <c r="G233" s="5">
        <v>23391798.961212002</v>
      </c>
      <c r="H233" s="5">
        <v>13072664.840758201</v>
      </c>
      <c r="I233" s="5">
        <v>45980587.426064499</v>
      </c>
      <c r="J233" s="5">
        <v>6316183.8749168599</v>
      </c>
      <c r="K233" s="5">
        <v>146072563.61658499</v>
      </c>
      <c r="L233" s="5">
        <v>78804489.106308207</v>
      </c>
      <c r="M233" s="5">
        <v>20621355.216076501</v>
      </c>
      <c r="N233" s="5">
        <v>63508770.291410796</v>
      </c>
      <c r="O233" s="5">
        <v>19985200.189543899</v>
      </c>
      <c r="P233" s="5">
        <v>14811334.007520501</v>
      </c>
      <c r="Q233" s="5">
        <v>53651975.544826701</v>
      </c>
      <c r="R233" s="5">
        <v>50979340.314342</v>
      </c>
      <c r="S233" s="5">
        <v>12463403.435455101</v>
      </c>
      <c r="T233" s="5">
        <v>47714063.585843198</v>
      </c>
      <c r="U233" s="5">
        <v>51859854.903737597</v>
      </c>
      <c r="V233" s="5">
        <v>28079504.946670901</v>
      </c>
      <c r="W233" s="5">
        <v>26610809.610040698</v>
      </c>
      <c r="X233" s="5">
        <v>29039065.131979398</v>
      </c>
      <c r="Y233" s="5">
        <v>44336548.0975376</v>
      </c>
    </row>
    <row r="234" spans="1:25" x14ac:dyDescent="0.45">
      <c r="A234" s="5" t="s">
        <v>220</v>
      </c>
      <c r="B234" s="5">
        <v>294808334.23219597</v>
      </c>
      <c r="C234" s="5">
        <v>187081656.34331501</v>
      </c>
      <c r="D234" s="5">
        <v>240547632.60992301</v>
      </c>
      <c r="E234" s="5">
        <v>322153761.36679298</v>
      </c>
      <c r="F234" s="5">
        <v>240466671.53537199</v>
      </c>
      <c r="G234" s="5">
        <v>208766162.13178799</v>
      </c>
      <c r="H234" s="5">
        <v>346764624.75825</v>
      </c>
      <c r="I234" s="5">
        <v>45718822.139105499</v>
      </c>
      <c r="J234" s="5">
        <v>277519788.63996601</v>
      </c>
      <c r="K234" s="5">
        <v>101820415.89126</v>
      </c>
      <c r="L234" s="5">
        <v>184721703.940826</v>
      </c>
      <c r="M234" s="5">
        <v>225926173.34773299</v>
      </c>
      <c r="N234" s="5">
        <v>207310022.374228</v>
      </c>
      <c r="O234" s="5">
        <v>157736481.882148</v>
      </c>
      <c r="P234" s="5">
        <v>247838514.09367901</v>
      </c>
      <c r="Q234" s="5">
        <v>94073796.820577696</v>
      </c>
      <c r="R234" s="5">
        <v>269718621.42933202</v>
      </c>
      <c r="S234" s="5">
        <v>173587818.67318901</v>
      </c>
      <c r="T234" s="5">
        <v>375315767.14255899</v>
      </c>
      <c r="U234" s="5">
        <v>396858839.30906099</v>
      </c>
      <c r="V234" s="5">
        <v>376952968.51639497</v>
      </c>
      <c r="W234" s="5">
        <v>219810189.29570401</v>
      </c>
      <c r="X234" s="5">
        <v>8654922.9846343193</v>
      </c>
      <c r="Y234" s="5">
        <v>231820416.54574099</v>
      </c>
    </row>
    <row r="235" spans="1:25" x14ac:dyDescent="0.45">
      <c r="A235" s="5" t="s">
        <v>327</v>
      </c>
      <c r="B235" s="5">
        <v>7798845.14576024</v>
      </c>
      <c r="C235" s="5">
        <v>95469246.034259006</v>
      </c>
      <c r="D235" s="5">
        <v>29774877.296946999</v>
      </c>
      <c r="E235" s="5">
        <v>13529210.1280002</v>
      </c>
      <c r="F235" s="5">
        <v>6084182.38785352</v>
      </c>
      <c r="G235" s="5">
        <v>47917198.5694227</v>
      </c>
      <c r="H235" s="5">
        <v>56937345.392467</v>
      </c>
      <c r="I235" s="5">
        <v>341497.507292594</v>
      </c>
      <c r="J235" s="5">
        <v>9287625.0796989202</v>
      </c>
      <c r="K235" s="5">
        <v>18480649.589028101</v>
      </c>
      <c r="L235" s="5">
        <v>8128068.2436259203</v>
      </c>
      <c r="M235" s="5">
        <v>118757750.68673</v>
      </c>
      <c r="N235" s="5">
        <v>103828139.091893</v>
      </c>
      <c r="O235" s="5">
        <v>100261963.00775801</v>
      </c>
      <c r="P235" s="5">
        <v>33609493.694527201</v>
      </c>
      <c r="Q235" s="5">
        <v>121265506.39820801</v>
      </c>
      <c r="R235" s="5">
        <v>3204695.1005337099</v>
      </c>
      <c r="S235" s="5">
        <v>57363175.979932897</v>
      </c>
      <c r="T235" s="5">
        <v>10834457.1919457</v>
      </c>
      <c r="U235" s="5">
        <v>51071447.714282699</v>
      </c>
      <c r="V235" s="5">
        <v>77598033.519597903</v>
      </c>
      <c r="W235" s="5">
        <v>34521607.495109603</v>
      </c>
      <c r="X235" s="5">
        <v>1177384.128217</v>
      </c>
      <c r="Y235" s="5">
        <v>23346064.9170634</v>
      </c>
    </row>
    <row r="236" spans="1:25" x14ac:dyDescent="0.45">
      <c r="A236" s="5" t="s">
        <v>221</v>
      </c>
      <c r="B236" s="5">
        <v>156788465.769921</v>
      </c>
      <c r="C236" s="5">
        <v>131691629.230736</v>
      </c>
      <c r="D236" s="5">
        <v>239781996.05028799</v>
      </c>
      <c r="E236" s="5">
        <v>173155093.21545199</v>
      </c>
      <c r="F236" s="5">
        <v>166237510.17317</v>
      </c>
      <c r="G236" s="5">
        <v>132668038.874145</v>
      </c>
      <c r="H236" s="5">
        <v>179446481.08201</v>
      </c>
      <c r="I236" s="5">
        <v>652239077.123703</v>
      </c>
      <c r="J236" s="5">
        <v>340896471.38736099</v>
      </c>
      <c r="K236" s="5">
        <v>112204314.007038</v>
      </c>
      <c r="L236" s="5">
        <v>241175031.59661001</v>
      </c>
      <c r="M236" s="5">
        <v>110775115.59364399</v>
      </c>
      <c r="N236" s="5">
        <v>234774342.49081501</v>
      </c>
      <c r="O236" s="5">
        <v>348395645.00677699</v>
      </c>
      <c r="P236" s="5">
        <v>384943313.61133301</v>
      </c>
      <c r="Q236" s="5">
        <v>135545595.51431301</v>
      </c>
      <c r="R236" s="5">
        <v>213926945.07847601</v>
      </c>
      <c r="S236" s="5">
        <v>252978953.49040899</v>
      </c>
      <c r="T236" s="5">
        <v>296595997.56676197</v>
      </c>
      <c r="U236" s="5">
        <v>201137931.14718601</v>
      </c>
      <c r="V236" s="5">
        <v>300429774.56911302</v>
      </c>
      <c r="W236" s="5">
        <v>239200271.51786101</v>
      </c>
      <c r="X236" s="5">
        <v>448766148.65517998</v>
      </c>
      <c r="Y236" s="5">
        <v>270183201.87787998</v>
      </c>
    </row>
    <row r="237" spans="1:25" x14ac:dyDescent="0.45">
      <c r="A237" s="5" t="s">
        <v>222</v>
      </c>
      <c r="B237" s="5">
        <v>23545939.995729402</v>
      </c>
      <c r="C237" s="5">
        <v>25855177.999557901</v>
      </c>
      <c r="D237" s="5">
        <v>24649904.980619099</v>
      </c>
      <c r="E237" s="5">
        <v>16492227.1555943</v>
      </c>
      <c r="F237" s="5">
        <v>21897105.691688601</v>
      </c>
      <c r="G237" s="5">
        <v>16240187.164364999</v>
      </c>
      <c r="H237" s="5">
        <v>22779659.7472362</v>
      </c>
      <c r="I237" s="5">
        <v>25624189.987051301</v>
      </c>
      <c r="J237" s="5">
        <v>15010457.6406342</v>
      </c>
      <c r="K237" s="5">
        <v>55179068.699329004</v>
      </c>
      <c r="L237" s="5">
        <v>35478743.509295098</v>
      </c>
      <c r="M237" s="5">
        <v>22832828.989848301</v>
      </c>
      <c r="N237" s="5">
        <v>35978535.740659498</v>
      </c>
      <c r="O237" s="5">
        <v>39225843.672450997</v>
      </c>
      <c r="P237" s="5">
        <v>38878567.124104798</v>
      </c>
      <c r="Q237" s="5">
        <v>25320238.446094502</v>
      </c>
      <c r="R237" s="5">
        <v>23978849.021143399</v>
      </c>
      <c r="S237" s="5">
        <v>24801248.017405599</v>
      </c>
      <c r="T237" s="5">
        <v>27711881.868765902</v>
      </c>
      <c r="U237" s="5">
        <v>24896952.171909701</v>
      </c>
      <c r="V237" s="5">
        <v>24281461.6303441</v>
      </c>
      <c r="W237" s="5">
        <v>26729815.694196202</v>
      </c>
      <c r="X237" s="5">
        <v>48249277.496152401</v>
      </c>
      <c r="Y237" s="5">
        <v>25742909.9916698</v>
      </c>
    </row>
    <row r="238" spans="1:25" x14ac:dyDescent="0.45">
      <c r="A238" s="5" t="s">
        <v>223</v>
      </c>
      <c r="B238" s="5">
        <v>62986322.2786064</v>
      </c>
      <c r="C238" s="5">
        <v>165526679.27479401</v>
      </c>
      <c r="D238" s="5">
        <v>105539642.066443</v>
      </c>
      <c r="E238" s="5">
        <v>125686577.726202</v>
      </c>
      <c r="F238" s="5">
        <v>23011544.8340717</v>
      </c>
      <c r="G238" s="5">
        <v>133163510.50917301</v>
      </c>
      <c r="H238" s="5">
        <v>113794772.625192</v>
      </c>
      <c r="I238" s="5">
        <v>83051755.185466602</v>
      </c>
      <c r="J238" s="5">
        <v>81850154.0645376</v>
      </c>
      <c r="K238" s="5">
        <v>52180097.286868997</v>
      </c>
      <c r="L238" s="5">
        <v>57989032.3285667</v>
      </c>
      <c r="M238" s="5">
        <v>234292589.93583599</v>
      </c>
      <c r="N238" s="5">
        <v>194176037.59265101</v>
      </c>
      <c r="O238" s="5">
        <v>142236297.796556</v>
      </c>
      <c r="P238" s="5">
        <v>155007365.01717401</v>
      </c>
      <c r="Q238" s="5">
        <v>280739106.50377202</v>
      </c>
      <c r="R238" s="5">
        <v>110909003.475841</v>
      </c>
      <c r="S238" s="5">
        <v>187135731.617302</v>
      </c>
      <c r="T238" s="5">
        <v>67180239.424423203</v>
      </c>
      <c r="U238" s="5">
        <v>186830969.04029101</v>
      </c>
      <c r="V238" s="5">
        <v>238241995.57509801</v>
      </c>
      <c r="W238" s="5">
        <v>105228116.77034</v>
      </c>
      <c r="X238" s="5">
        <v>291480038.138942</v>
      </c>
      <c r="Y238" s="5">
        <v>103627023.130505</v>
      </c>
    </row>
    <row r="239" spans="1:25" x14ac:dyDescent="0.45">
      <c r="A239" s="5" t="s">
        <v>224</v>
      </c>
      <c r="B239" s="5">
        <v>159320082.472673</v>
      </c>
      <c r="C239" s="5">
        <v>394468659.92775601</v>
      </c>
      <c r="D239" s="5">
        <v>228783387.43317899</v>
      </c>
      <c r="E239" s="5">
        <v>242947513.76931399</v>
      </c>
      <c r="F239" s="5">
        <v>260755670.35119101</v>
      </c>
      <c r="G239" s="5">
        <v>463435543.36579901</v>
      </c>
      <c r="H239" s="5">
        <v>568909671.36974299</v>
      </c>
      <c r="I239" s="5">
        <v>440900517.31311798</v>
      </c>
      <c r="J239" s="5">
        <v>227762074.39824599</v>
      </c>
      <c r="K239" s="5">
        <v>334934972.239106</v>
      </c>
      <c r="L239" s="5">
        <v>241274370.350593</v>
      </c>
      <c r="M239" s="5">
        <v>728584154.470402</v>
      </c>
      <c r="N239" s="5">
        <v>1032681952.01652</v>
      </c>
      <c r="O239" s="5">
        <v>916337865.51050401</v>
      </c>
      <c r="P239" s="5">
        <v>671292175.27813804</v>
      </c>
      <c r="Q239" s="5">
        <v>872743550.24633098</v>
      </c>
      <c r="R239" s="5">
        <v>204034299.63126501</v>
      </c>
      <c r="S239" s="5">
        <v>641029094.20013499</v>
      </c>
      <c r="T239" s="5">
        <v>311930517.38392001</v>
      </c>
      <c r="U239" s="5">
        <v>702448256.296875</v>
      </c>
      <c r="V239" s="5">
        <v>1034716623.8073601</v>
      </c>
      <c r="W239" s="5">
        <v>623868454.73610401</v>
      </c>
      <c r="X239" s="5">
        <v>513845864.60563803</v>
      </c>
      <c r="Y239" s="5">
        <v>514429591.30576903</v>
      </c>
    </row>
    <row r="240" spans="1:25" x14ac:dyDescent="0.45">
      <c r="A240" s="5" t="s">
        <v>225</v>
      </c>
      <c r="B240" s="5">
        <v>1127403.2162657401</v>
      </c>
      <c r="C240" s="5">
        <v>2951129.3361893301</v>
      </c>
      <c r="D240" s="5">
        <v>2190918.13241727</v>
      </c>
      <c r="E240" s="5">
        <v>1241170.7390121401</v>
      </c>
      <c r="F240" s="5">
        <v>858479.08851714199</v>
      </c>
      <c r="G240" s="5">
        <v>1562641.2126859201</v>
      </c>
      <c r="H240" s="5">
        <v>2060153.13508347</v>
      </c>
      <c r="I240" s="5">
        <v>2142843.7463185801</v>
      </c>
      <c r="J240" s="5">
        <v>1339135.50600707</v>
      </c>
      <c r="K240" s="5">
        <v>2493209.0725824502</v>
      </c>
      <c r="L240" s="5">
        <v>3692497.6010754802</v>
      </c>
      <c r="M240" s="5">
        <v>2183473.95389095</v>
      </c>
      <c r="N240" s="5">
        <v>1632776.2924407199</v>
      </c>
      <c r="O240" s="5">
        <v>1697458.9535735999</v>
      </c>
      <c r="P240" s="5">
        <v>1318448.4693064201</v>
      </c>
      <c r="Q240" s="5">
        <v>4267986.1685662204</v>
      </c>
      <c r="R240" s="5">
        <v>3730103.54054482</v>
      </c>
      <c r="S240" s="5">
        <v>2736983.9970310298</v>
      </c>
      <c r="T240" s="5">
        <v>932782.90347572905</v>
      </c>
      <c r="U240" s="5">
        <v>1415694.3092122199</v>
      </c>
      <c r="V240" s="5">
        <v>1233601.6404186699</v>
      </c>
      <c r="W240" s="5">
        <v>1493383.9022083301</v>
      </c>
      <c r="X240" s="5">
        <v>3455430.4875210901</v>
      </c>
      <c r="Y240" s="5">
        <v>1313262.91265311</v>
      </c>
    </row>
    <row r="241" spans="1:25" x14ac:dyDescent="0.45">
      <c r="A241" s="5" t="s">
        <v>226</v>
      </c>
      <c r="B241" s="5">
        <v>126294603.42513201</v>
      </c>
      <c r="C241" s="5">
        <v>265935253.44190499</v>
      </c>
      <c r="D241" s="5">
        <v>228843072.651218</v>
      </c>
      <c r="E241" s="5">
        <v>245725762.61750901</v>
      </c>
      <c r="F241" s="5">
        <v>35956171.563624598</v>
      </c>
      <c r="G241" s="5">
        <v>141963185.169608</v>
      </c>
      <c r="H241" s="5">
        <v>183440406.40384799</v>
      </c>
      <c r="I241" s="5">
        <v>207086517.37147599</v>
      </c>
      <c r="J241" s="5">
        <v>163225630.24371299</v>
      </c>
      <c r="K241" s="5">
        <v>117189945.439807</v>
      </c>
      <c r="L241" s="5">
        <v>78923334.299797595</v>
      </c>
      <c r="M241" s="5">
        <v>435246334.80072099</v>
      </c>
      <c r="N241" s="5">
        <v>335357636.31840801</v>
      </c>
      <c r="O241" s="5">
        <v>237010102.83533099</v>
      </c>
      <c r="P241" s="5">
        <v>356026658.80235898</v>
      </c>
      <c r="Q241" s="5">
        <v>596116076.29901195</v>
      </c>
      <c r="R241" s="5">
        <v>257814486.346286</v>
      </c>
      <c r="S241" s="5">
        <v>389045724.38249701</v>
      </c>
      <c r="T241" s="5">
        <v>85918798.831374601</v>
      </c>
      <c r="U241" s="5">
        <v>146999744.41313499</v>
      </c>
      <c r="V241" s="5">
        <v>247283140.89245301</v>
      </c>
      <c r="W241" s="5">
        <v>241375299.693782</v>
      </c>
      <c r="X241" s="5">
        <v>729905384.00601006</v>
      </c>
      <c r="Y241" s="5">
        <v>212890765.92951801</v>
      </c>
    </row>
    <row r="242" spans="1:25" x14ac:dyDescent="0.45">
      <c r="A242" s="5" t="s">
        <v>227</v>
      </c>
      <c r="B242" s="5">
        <v>1357433.8232625199</v>
      </c>
      <c r="C242" s="5">
        <v>8690756.2433930691</v>
      </c>
      <c r="D242" s="5">
        <v>2557974.4957549898</v>
      </c>
      <c r="E242" s="5">
        <v>1232126.49662189</v>
      </c>
      <c r="F242" s="5">
        <v>858685.28870383196</v>
      </c>
      <c r="G242" s="5">
        <v>3118934.8132502902</v>
      </c>
      <c r="H242" s="5">
        <v>3462502.07983024</v>
      </c>
      <c r="I242" s="5">
        <v>615762.55900927703</v>
      </c>
      <c r="J242" s="5">
        <v>854939.72189642105</v>
      </c>
      <c r="K242" s="5">
        <v>570686.31666926795</v>
      </c>
      <c r="L242" s="5">
        <v>989875.66764656105</v>
      </c>
      <c r="M242" s="5">
        <v>2935075.2102713902</v>
      </c>
      <c r="N242" s="5">
        <v>7845321.0415782304</v>
      </c>
      <c r="O242" s="5">
        <v>9322962.5500087496</v>
      </c>
      <c r="P242" s="5">
        <v>4583791.6414869204</v>
      </c>
      <c r="Q242" s="5">
        <v>6053880.3572658803</v>
      </c>
      <c r="R242" s="5">
        <v>791786.18700969603</v>
      </c>
      <c r="S242" s="5">
        <v>4570195.4869344803</v>
      </c>
      <c r="T242" s="5">
        <v>1300004.6600333899</v>
      </c>
      <c r="U242" s="5">
        <v>2462442.3002906302</v>
      </c>
      <c r="V242" s="5">
        <v>4688685.2154573901</v>
      </c>
      <c r="W242" s="5">
        <v>2813151.26633156</v>
      </c>
      <c r="X242" s="5">
        <v>466755.88507900498</v>
      </c>
      <c r="Y242" s="5">
        <v>2659047.5012759301</v>
      </c>
    </row>
    <row r="243" spans="1:25" x14ac:dyDescent="0.45">
      <c r="A243" s="5" t="s">
        <v>228</v>
      </c>
      <c r="B243" s="5">
        <v>74985578.258953795</v>
      </c>
      <c r="C243" s="5">
        <v>43466038.046881698</v>
      </c>
      <c r="D243" s="5">
        <v>63887585.872532003</v>
      </c>
      <c r="E243" s="5">
        <v>84422363.781815797</v>
      </c>
      <c r="F243" s="5">
        <v>79150190.345845401</v>
      </c>
      <c r="G243" s="5">
        <v>60892942.477800198</v>
      </c>
      <c r="H243" s="5">
        <v>69516300.590918496</v>
      </c>
      <c r="I243" s="5">
        <v>47484034.719413698</v>
      </c>
      <c r="J243" s="5">
        <v>68822757.426072299</v>
      </c>
      <c r="K243" s="5">
        <v>73084323.127028003</v>
      </c>
      <c r="L243" s="5">
        <v>70711176.918281093</v>
      </c>
      <c r="M243" s="5">
        <v>86359100.181299999</v>
      </c>
      <c r="N243" s="5">
        <v>71566733.729886293</v>
      </c>
      <c r="O243" s="5">
        <v>47811780.136480801</v>
      </c>
      <c r="P243" s="5">
        <v>74543601.067231596</v>
      </c>
      <c r="Q243" s="5">
        <v>37115962.333115101</v>
      </c>
      <c r="R243" s="5">
        <v>77977491.832641497</v>
      </c>
      <c r="S243" s="5">
        <v>49012932.039834999</v>
      </c>
      <c r="T243" s="5">
        <v>93373902.501222506</v>
      </c>
      <c r="U243" s="5">
        <v>86756860.953673199</v>
      </c>
      <c r="V243" s="5">
        <v>75714094.659940496</v>
      </c>
      <c r="W243" s="5">
        <v>79782620.040537402</v>
      </c>
      <c r="X243" s="5">
        <v>18721611.133853201</v>
      </c>
      <c r="Y243" s="5">
        <v>88422530.944185004</v>
      </c>
    </row>
    <row r="244" spans="1:25" x14ac:dyDescent="0.45">
      <c r="A244" s="5" t="s">
        <v>229</v>
      </c>
      <c r="B244" s="5">
        <v>37191650.979121499</v>
      </c>
      <c r="C244" s="5">
        <v>29126043.330316599</v>
      </c>
      <c r="D244" s="5">
        <v>34470845.789531797</v>
      </c>
      <c r="E244" s="5">
        <v>37498854.064549103</v>
      </c>
      <c r="F244" s="5">
        <v>46141161.142001599</v>
      </c>
      <c r="G244" s="5">
        <v>37131226.910354502</v>
      </c>
      <c r="H244" s="5">
        <v>32131121.973296501</v>
      </c>
      <c r="I244" s="5">
        <v>22933964.6477523</v>
      </c>
      <c r="J244" s="5">
        <v>33725164.500692599</v>
      </c>
      <c r="K244" s="5">
        <v>27824718.912554901</v>
      </c>
      <c r="L244" s="5">
        <v>36856503.371976897</v>
      </c>
      <c r="M244" s="5">
        <v>24575135.579525001</v>
      </c>
      <c r="N244" s="5">
        <v>40986084.210999399</v>
      </c>
      <c r="O244" s="5">
        <v>38426484.309202597</v>
      </c>
      <c r="P244" s="5">
        <v>23199256.952461001</v>
      </c>
      <c r="Q244" s="5">
        <v>29523238.893192001</v>
      </c>
      <c r="R244" s="5">
        <v>52501705.899308302</v>
      </c>
      <c r="S244" s="5">
        <v>33325299.358673502</v>
      </c>
      <c r="T244" s="5">
        <v>39307646.612306803</v>
      </c>
      <c r="U244" s="5">
        <v>34181524.717279002</v>
      </c>
      <c r="V244" s="5">
        <v>32418286.368685801</v>
      </c>
      <c r="W244" s="5">
        <v>40564648.813926101</v>
      </c>
      <c r="X244" s="5">
        <v>31244524.207042299</v>
      </c>
      <c r="Y244" s="5">
        <v>46501529.930215403</v>
      </c>
    </row>
    <row r="245" spans="1:25" x14ac:dyDescent="0.45">
      <c r="A245" s="5" t="s">
        <v>328</v>
      </c>
      <c r="B245" s="5">
        <v>5626790877.1588697</v>
      </c>
      <c r="C245" s="5">
        <v>3465736502.5732498</v>
      </c>
      <c r="D245" s="5">
        <v>3567273532.1220298</v>
      </c>
      <c r="E245" s="5">
        <v>3732803488.6703601</v>
      </c>
      <c r="F245" s="5">
        <v>3682941240.9921699</v>
      </c>
      <c r="G245" s="5">
        <v>3566127748.5764399</v>
      </c>
      <c r="H245" s="5">
        <v>4734727133.3495703</v>
      </c>
      <c r="I245" s="5">
        <v>9893741741.8131905</v>
      </c>
      <c r="J245" s="5">
        <v>6070935168.7337198</v>
      </c>
      <c r="K245" s="5">
        <v>4770804573.48703</v>
      </c>
      <c r="L245" s="5">
        <v>5787662908.9078398</v>
      </c>
      <c r="M245" s="5">
        <v>4207518297.34479</v>
      </c>
      <c r="N245" s="5">
        <v>2118125123.83968</v>
      </c>
      <c r="O245" s="5">
        <v>4915126015.5449495</v>
      </c>
      <c r="P245" s="5">
        <v>3138954794.63727</v>
      </c>
      <c r="Q245" s="5">
        <v>1955180090.45995</v>
      </c>
      <c r="R245" s="5">
        <v>3084082423.3383598</v>
      </c>
      <c r="S245" s="5">
        <v>2967315066.3971901</v>
      </c>
      <c r="T245" s="5">
        <v>4073788293.76266</v>
      </c>
      <c r="U245" s="5">
        <v>4878845598.5482998</v>
      </c>
      <c r="V245" s="5">
        <v>3507785650.0208201</v>
      </c>
      <c r="W245" s="5">
        <v>3696216927.0598302</v>
      </c>
      <c r="X245" s="5">
        <v>6786110909.7029896</v>
      </c>
      <c r="Y245" s="5">
        <v>3522223024.7860198</v>
      </c>
    </row>
    <row r="246" spans="1:25" x14ac:dyDescent="0.45">
      <c r="A246" s="5" t="s">
        <v>329</v>
      </c>
      <c r="B246" s="5">
        <v>127550640.30282199</v>
      </c>
      <c r="C246" s="5">
        <v>64251936.638356604</v>
      </c>
      <c r="D246" s="5">
        <v>7407022.22322571</v>
      </c>
      <c r="E246" s="5">
        <v>12932146.8223243</v>
      </c>
      <c r="F246" s="5">
        <v>46690787.952367797</v>
      </c>
      <c r="G246" s="5">
        <v>11219267.158243701</v>
      </c>
      <c r="H246" s="5">
        <v>1770660.7534262899</v>
      </c>
      <c r="I246" s="5">
        <v>51876874.593170397</v>
      </c>
      <c r="J246" s="5">
        <v>3326218.4742039</v>
      </c>
      <c r="K246" s="5">
        <v>43814247.145040102</v>
      </c>
      <c r="L246" s="5">
        <v>8575449.9055770505</v>
      </c>
      <c r="M246" s="5">
        <v>7007096.9763685102</v>
      </c>
      <c r="N246" s="5">
        <v>8037272.8160295803</v>
      </c>
      <c r="O246" s="5">
        <v>110067555.36920901</v>
      </c>
      <c r="P246" s="5">
        <v>57588196.643383101</v>
      </c>
      <c r="Q246" s="5">
        <v>27469820.515684299</v>
      </c>
      <c r="R246" s="5">
        <v>42639551.545666203</v>
      </c>
      <c r="S246" s="5">
        <v>10773976.470079901</v>
      </c>
      <c r="T246" s="5">
        <v>165689234.24360999</v>
      </c>
      <c r="U246" s="5">
        <v>307162122.81997699</v>
      </c>
      <c r="V246" s="5">
        <v>448383960.24138498</v>
      </c>
      <c r="W246" s="5">
        <v>256014507.622628</v>
      </c>
      <c r="X246" s="5">
        <v>103040683.222853</v>
      </c>
      <c r="Y246" s="5">
        <v>204112246.043901</v>
      </c>
    </row>
    <row r="247" spans="1:25" x14ac:dyDescent="0.45">
      <c r="A247" s="5" t="s">
        <v>230</v>
      </c>
      <c r="B247" s="5">
        <v>92126627.3495197</v>
      </c>
      <c r="C247" s="5">
        <v>66380507.292870998</v>
      </c>
      <c r="D247" s="5">
        <v>47239560.046717599</v>
      </c>
      <c r="E247" s="5">
        <v>35836466.698160201</v>
      </c>
      <c r="F247" s="5">
        <v>53251924.450575501</v>
      </c>
      <c r="G247" s="5">
        <v>49266151.329655699</v>
      </c>
      <c r="H247" s="5">
        <v>49969445.124034397</v>
      </c>
      <c r="I247" s="5">
        <v>56746961.718232103</v>
      </c>
      <c r="J247" s="5">
        <v>32658169.6128118</v>
      </c>
      <c r="K247" s="5">
        <v>43581840.664274</v>
      </c>
      <c r="L247" s="5">
        <v>76245940.048027605</v>
      </c>
      <c r="M247" s="5">
        <v>32656024.2551542</v>
      </c>
      <c r="N247" s="5">
        <v>103013797.05442201</v>
      </c>
      <c r="O247" s="5">
        <v>125700685.516058</v>
      </c>
      <c r="P247" s="5">
        <v>179762015.76420301</v>
      </c>
      <c r="Q247" s="5">
        <v>78454035.224531204</v>
      </c>
      <c r="R247" s="5">
        <v>47630056.0817343</v>
      </c>
      <c r="S247" s="5">
        <v>83026782.268267706</v>
      </c>
      <c r="T247" s="5">
        <v>86754926.854011402</v>
      </c>
      <c r="U247" s="5">
        <v>119458172.922628</v>
      </c>
      <c r="V247" s="5">
        <v>115063211.82359</v>
      </c>
      <c r="W247" s="5">
        <v>83285936.956133395</v>
      </c>
      <c r="X247" s="5">
        <v>414430324.30640203</v>
      </c>
      <c r="Y247" s="5">
        <v>101492170.730947</v>
      </c>
    </row>
    <row r="248" spans="1:25" x14ac:dyDescent="0.45">
      <c r="A248" s="5" t="s">
        <v>330</v>
      </c>
      <c r="B248" s="5">
        <v>85763009.267025501</v>
      </c>
      <c r="C248" s="5">
        <v>47325183.9075903</v>
      </c>
      <c r="D248" s="5">
        <v>34121334.199858502</v>
      </c>
      <c r="E248" s="5">
        <v>32341820.575497501</v>
      </c>
      <c r="F248" s="5">
        <v>55324707.984478898</v>
      </c>
      <c r="G248" s="5">
        <v>27470095.8921858</v>
      </c>
      <c r="H248" s="5">
        <v>45289712.093412898</v>
      </c>
      <c r="I248" s="5">
        <v>84057601.918698996</v>
      </c>
      <c r="J248" s="5">
        <v>38308938.384355702</v>
      </c>
      <c r="K248" s="5">
        <v>41089004.699959598</v>
      </c>
      <c r="L248" s="5">
        <v>70341669.588472798</v>
      </c>
      <c r="M248" s="5">
        <v>16600100.361925799</v>
      </c>
      <c r="N248" s="5">
        <v>54703135.874077603</v>
      </c>
      <c r="O248" s="5">
        <v>106257801.96816801</v>
      </c>
      <c r="P248" s="5">
        <v>178410628.706267</v>
      </c>
      <c r="Q248" s="5">
        <v>49102476.570806302</v>
      </c>
      <c r="R248" s="5">
        <v>44080236.471970297</v>
      </c>
      <c r="S248" s="5">
        <v>64860400.976127401</v>
      </c>
      <c r="T248" s="5">
        <v>62882286.010680698</v>
      </c>
      <c r="U248" s="5">
        <v>102814792.822934</v>
      </c>
      <c r="V248" s="5">
        <v>102567931.42264099</v>
      </c>
      <c r="W248" s="5">
        <v>89716220.765604705</v>
      </c>
      <c r="X248" s="5">
        <v>954153628.565166</v>
      </c>
      <c r="Y248" s="5">
        <v>104012877.262668</v>
      </c>
    </row>
    <row r="249" spans="1:25" x14ac:dyDescent="0.45">
      <c r="A249" s="5" t="s">
        <v>231</v>
      </c>
      <c r="B249" s="5">
        <v>138944484.17657501</v>
      </c>
      <c r="C249" s="5">
        <v>92211528.596090004</v>
      </c>
      <c r="D249" s="5">
        <v>86789958.509829506</v>
      </c>
      <c r="E249" s="5">
        <v>157923115.09570801</v>
      </c>
      <c r="F249" s="5">
        <v>111788060.897927</v>
      </c>
      <c r="G249" s="5">
        <v>128430809.331174</v>
      </c>
      <c r="H249" s="5">
        <v>131146657.918198</v>
      </c>
      <c r="I249" s="5">
        <v>121535527.478136</v>
      </c>
      <c r="J249" s="5">
        <v>124979408.03166901</v>
      </c>
      <c r="K249" s="5">
        <v>55699434.852724597</v>
      </c>
      <c r="L249" s="5">
        <v>89755736.819871902</v>
      </c>
      <c r="M249" s="5">
        <v>146909300.17866701</v>
      </c>
      <c r="N249" s="5">
        <v>97426598.337981895</v>
      </c>
      <c r="O249" s="5">
        <v>77231407.368065402</v>
      </c>
      <c r="P249" s="5">
        <v>98160665.050582096</v>
      </c>
      <c r="Q249" s="5">
        <v>87735591.624734893</v>
      </c>
      <c r="R249" s="5">
        <v>106113917.05971301</v>
      </c>
      <c r="S249" s="5">
        <v>124078353.90680499</v>
      </c>
      <c r="T249" s="5">
        <v>141198677.01020101</v>
      </c>
      <c r="U249" s="5">
        <v>126249495.125847</v>
      </c>
      <c r="V249" s="5">
        <v>125067227.843053</v>
      </c>
      <c r="W249" s="5">
        <v>129630572.803624</v>
      </c>
      <c r="X249" s="5">
        <v>139980594.76931399</v>
      </c>
      <c r="Y249" s="5">
        <v>131922625.593795</v>
      </c>
    </row>
    <row r="250" spans="1:25" x14ac:dyDescent="0.45">
      <c r="A250" s="5" t="s">
        <v>436</v>
      </c>
      <c r="B250" s="5">
        <v>14210043.7374568</v>
      </c>
      <c r="C250" s="5">
        <v>10559072.9274453</v>
      </c>
      <c r="D250" s="5">
        <v>12900221.939237</v>
      </c>
      <c r="E250" s="5">
        <v>18998305.994408701</v>
      </c>
      <c r="F250" s="5">
        <v>12304060.6608411</v>
      </c>
      <c r="G250" s="5">
        <v>13545841.1206668</v>
      </c>
      <c r="H250" s="5">
        <v>15000623.418429799</v>
      </c>
      <c r="I250" s="5">
        <v>4164944.6380196498</v>
      </c>
      <c r="J250" s="5">
        <v>11399273.367214199</v>
      </c>
      <c r="K250" s="5">
        <v>12189279.496474801</v>
      </c>
      <c r="L250" s="5">
        <v>14720895.859191</v>
      </c>
      <c r="M250" s="5">
        <v>13403103.843460299</v>
      </c>
      <c r="N250" s="5">
        <v>12174294.5303702</v>
      </c>
      <c r="O250" s="5">
        <v>8159336.5865465701</v>
      </c>
      <c r="P250" s="5">
        <v>10151337.9005736</v>
      </c>
      <c r="Q250" s="5">
        <v>16752985.1303964</v>
      </c>
      <c r="R250" s="5">
        <v>7383758.23919346</v>
      </c>
      <c r="S250" s="5">
        <v>10236413.3977558</v>
      </c>
      <c r="T250" s="5">
        <v>6595044.1795369396</v>
      </c>
      <c r="U250" s="5">
        <v>10988373.599764699</v>
      </c>
      <c r="V250" s="5">
        <v>14902233.837856101</v>
      </c>
      <c r="W250" s="5">
        <v>7332950.1578330602</v>
      </c>
      <c r="X250" s="5">
        <v>18872340.1352196</v>
      </c>
      <c r="Y250" s="5">
        <v>6834271.3849982703</v>
      </c>
    </row>
    <row r="251" spans="1:25" x14ac:dyDescent="0.45">
      <c r="A251" s="5" t="s">
        <v>331</v>
      </c>
      <c r="B251" s="5">
        <v>114765819.960068</v>
      </c>
      <c r="C251" s="5">
        <v>39175360.652772203</v>
      </c>
      <c r="D251" s="5">
        <v>69874445.042078495</v>
      </c>
      <c r="E251" s="5">
        <v>50701190.500252202</v>
      </c>
      <c r="F251" s="5">
        <v>68873889.7006782</v>
      </c>
      <c r="G251" s="5">
        <v>59336455.562361702</v>
      </c>
      <c r="H251" s="5">
        <v>83010599.744507</v>
      </c>
      <c r="I251" s="5">
        <v>95152314.133097902</v>
      </c>
      <c r="J251" s="5">
        <v>40141611.264734797</v>
      </c>
      <c r="K251" s="5">
        <v>13488968.6142866</v>
      </c>
      <c r="L251" s="5">
        <v>26613494.477551501</v>
      </c>
      <c r="M251" s="5">
        <v>18859213.095603801</v>
      </c>
      <c r="N251" s="5">
        <v>23827834.981843598</v>
      </c>
      <c r="O251" s="5">
        <v>73755241.551486403</v>
      </c>
      <c r="P251" s="5">
        <v>127898721.901831</v>
      </c>
      <c r="Q251" s="5">
        <v>118370447.28621501</v>
      </c>
      <c r="R251" s="5">
        <v>41176649.427223697</v>
      </c>
      <c r="S251" s="5">
        <v>36882635.512151599</v>
      </c>
      <c r="T251" s="5">
        <v>16023850.167863401</v>
      </c>
      <c r="U251" s="5">
        <v>101486706.908779</v>
      </c>
      <c r="V251" s="5">
        <v>113080462.260012</v>
      </c>
      <c r="W251" s="5">
        <v>58911994.900165401</v>
      </c>
      <c r="X251" s="5">
        <v>48111543.309541799</v>
      </c>
      <c r="Y251" s="5">
        <v>110885505.713129</v>
      </c>
    </row>
    <row r="252" spans="1:25" x14ac:dyDescent="0.45">
      <c r="A252" s="5" t="s">
        <v>332</v>
      </c>
      <c r="B252" s="5">
        <v>262986733.95847201</v>
      </c>
      <c r="C252" s="5">
        <v>489051676.21349502</v>
      </c>
      <c r="D252" s="5">
        <v>358306360.56030399</v>
      </c>
      <c r="E252" s="5">
        <v>527794167.91130197</v>
      </c>
      <c r="F252" s="5">
        <v>396811741.52665699</v>
      </c>
      <c r="G252" s="5">
        <v>634809805.19306195</v>
      </c>
      <c r="H252" s="5">
        <v>72354302.142449901</v>
      </c>
      <c r="I252" s="5">
        <v>824832188.48879099</v>
      </c>
      <c r="J252" s="5">
        <v>85892976.720908105</v>
      </c>
      <c r="K252" s="5">
        <v>1188633800.5652201</v>
      </c>
      <c r="L252" s="5">
        <v>688552980.77983701</v>
      </c>
      <c r="M252" s="5">
        <v>1014685343.76934</v>
      </c>
      <c r="N252" s="5">
        <v>778857707.85294402</v>
      </c>
      <c r="O252" s="5">
        <v>766226258.52143502</v>
      </c>
      <c r="P252" s="5">
        <v>109163861.8159</v>
      </c>
      <c r="Q252" s="5">
        <v>966821956.75388801</v>
      </c>
      <c r="R252" s="5">
        <v>515958002.59425199</v>
      </c>
      <c r="S252" s="5">
        <v>645956172.73256099</v>
      </c>
      <c r="T252" s="5">
        <v>436343515.994066</v>
      </c>
      <c r="U252" s="5">
        <v>381093651.29325598</v>
      </c>
      <c r="V252" s="5">
        <v>665450373.84787095</v>
      </c>
      <c r="W252" s="5">
        <v>508550863.45848501</v>
      </c>
      <c r="X252" s="5">
        <v>359702479.98730201</v>
      </c>
      <c r="Y252" s="5">
        <v>102167958.208097</v>
      </c>
    </row>
    <row r="253" spans="1:25" x14ac:dyDescent="0.45">
      <c r="A253" s="5" t="s">
        <v>232</v>
      </c>
      <c r="B253" s="5">
        <v>55871775.337176301</v>
      </c>
      <c r="C253" s="5">
        <v>64972397.232763</v>
      </c>
      <c r="D253" s="5">
        <v>59653759.5234816</v>
      </c>
      <c r="E253" s="5">
        <v>44221279.070024997</v>
      </c>
      <c r="F253" s="5">
        <v>40086089.203248903</v>
      </c>
      <c r="G253" s="5">
        <v>40706493.216229603</v>
      </c>
      <c r="H253" s="5">
        <v>34103409.985875599</v>
      </c>
      <c r="I253" s="5">
        <v>46674732.339450099</v>
      </c>
      <c r="J253" s="5">
        <v>38730607.199464299</v>
      </c>
      <c r="K253" s="5">
        <v>38291205.737084299</v>
      </c>
      <c r="L253" s="5">
        <v>47309453.022054002</v>
      </c>
      <c r="M253" s="5">
        <v>52458445.955123901</v>
      </c>
      <c r="N253" s="5">
        <v>47302522.520956002</v>
      </c>
      <c r="O253" s="5">
        <v>38657227.8985999</v>
      </c>
      <c r="P253" s="5">
        <v>35676684.476584502</v>
      </c>
      <c r="Q253" s="5">
        <v>51686658.399954699</v>
      </c>
      <c r="R253" s="5">
        <v>44237992.617314696</v>
      </c>
      <c r="S253" s="5">
        <v>30380689.424351301</v>
      </c>
      <c r="T253" s="5">
        <v>56490085.4974446</v>
      </c>
      <c r="U253" s="5">
        <v>42136502.439347498</v>
      </c>
      <c r="V253" s="5">
        <v>46232428.175630301</v>
      </c>
      <c r="W253" s="5">
        <v>41507965.075943999</v>
      </c>
      <c r="X253" s="5">
        <v>70825761.040665507</v>
      </c>
      <c r="Y253" s="5">
        <v>47069633.701681398</v>
      </c>
    </row>
    <row r="254" spans="1:25" x14ac:dyDescent="0.45">
      <c r="A254" s="5" t="s">
        <v>233</v>
      </c>
      <c r="B254" s="5">
        <v>41459820.949892901</v>
      </c>
      <c r="C254" s="5">
        <v>36080680.876679301</v>
      </c>
      <c r="D254" s="5">
        <v>38446963.355506703</v>
      </c>
      <c r="E254" s="5">
        <v>42672327.283749998</v>
      </c>
      <c r="F254" s="5">
        <v>12580185.212006999</v>
      </c>
      <c r="G254" s="5">
        <v>34458981.024747998</v>
      </c>
      <c r="H254" s="5">
        <v>71260849.369137496</v>
      </c>
      <c r="I254" s="5">
        <v>43832977.688502699</v>
      </c>
      <c r="J254" s="5">
        <v>71056947.486014798</v>
      </c>
      <c r="K254" s="5">
        <v>81883686.973279104</v>
      </c>
      <c r="L254" s="5">
        <v>78732641.342476696</v>
      </c>
      <c r="M254" s="5">
        <v>63584444.327519298</v>
      </c>
      <c r="N254" s="5">
        <v>67678953.460139707</v>
      </c>
      <c r="O254" s="5">
        <v>51558862.843108602</v>
      </c>
      <c r="P254" s="5">
        <v>75249662.291189998</v>
      </c>
      <c r="Q254" s="5">
        <v>66415231.501684301</v>
      </c>
      <c r="R254" s="5">
        <v>6707042.3210767005</v>
      </c>
      <c r="S254" s="5">
        <v>14863734.2335661</v>
      </c>
      <c r="T254" s="5">
        <v>48299184.203174502</v>
      </c>
      <c r="U254" s="5">
        <v>14725934.0245427</v>
      </c>
      <c r="V254" s="5">
        <v>37732128.079726703</v>
      </c>
      <c r="W254" s="5">
        <v>29067707.095440801</v>
      </c>
      <c r="X254" s="5">
        <v>120006070.690393</v>
      </c>
      <c r="Y254" s="5">
        <v>84441215.997224003</v>
      </c>
    </row>
    <row r="255" spans="1:25" x14ac:dyDescent="0.45">
      <c r="A255" s="5" t="s">
        <v>378</v>
      </c>
      <c r="B255" s="5">
        <v>474898771.96548498</v>
      </c>
      <c r="C255" s="5">
        <v>341748497.59010297</v>
      </c>
      <c r="D255" s="5">
        <v>739226386.529405</v>
      </c>
      <c r="E255" s="5">
        <v>593385292.967803</v>
      </c>
      <c r="F255" s="5">
        <v>767369043.67204404</v>
      </c>
      <c r="G255" s="5">
        <v>404057732.48083401</v>
      </c>
      <c r="H255" s="5">
        <v>251694493.53660601</v>
      </c>
      <c r="I255" s="5">
        <v>1054050293.71991</v>
      </c>
      <c r="J255" s="5">
        <v>1005474348.9592201</v>
      </c>
      <c r="K255" s="5">
        <v>689240458.13864994</v>
      </c>
      <c r="L255" s="5">
        <v>792204120.60487795</v>
      </c>
      <c r="M255" s="5">
        <v>352333048.43942499</v>
      </c>
      <c r="N255" s="5">
        <v>317881490.11160499</v>
      </c>
      <c r="O255" s="5">
        <v>725649372.02306998</v>
      </c>
      <c r="P255" s="5">
        <v>768343667.36440003</v>
      </c>
      <c r="Q255" s="5">
        <v>392086971.93076098</v>
      </c>
      <c r="R255" s="5">
        <v>1015462912.7279201</v>
      </c>
      <c r="S255" s="5">
        <v>680662567.04089499</v>
      </c>
      <c r="T255" s="5">
        <v>919986095.99613595</v>
      </c>
      <c r="U255" s="5">
        <v>679796651.82148898</v>
      </c>
      <c r="V255" s="5">
        <v>604223692.25599802</v>
      </c>
      <c r="W255" s="5">
        <v>570802705.80470204</v>
      </c>
      <c r="X255" s="5">
        <v>1022355027.2366199</v>
      </c>
      <c r="Y255" s="5">
        <v>607445664.60885096</v>
      </c>
    </row>
    <row r="256" spans="1:25" x14ac:dyDescent="0.45">
      <c r="A256" s="5" t="s">
        <v>234</v>
      </c>
      <c r="B256" s="5">
        <v>12376251.9165377</v>
      </c>
      <c r="C256" s="5">
        <v>58749427.968371697</v>
      </c>
      <c r="D256" s="5">
        <v>20487923.476082601</v>
      </c>
      <c r="E256" s="5">
        <v>17938087.257099699</v>
      </c>
      <c r="F256" s="5">
        <v>17030173.578673601</v>
      </c>
      <c r="G256" s="5">
        <v>38277421.9029456</v>
      </c>
      <c r="H256" s="5">
        <v>39617079.473384403</v>
      </c>
      <c r="I256" s="5">
        <v>24286153.160613298</v>
      </c>
      <c r="J256" s="5">
        <v>17291181.923510201</v>
      </c>
      <c r="K256" s="5">
        <v>25033146.894981202</v>
      </c>
      <c r="L256" s="5">
        <v>15811349.475215301</v>
      </c>
      <c r="M256" s="5">
        <v>60979378.734962001</v>
      </c>
      <c r="N256" s="5">
        <v>64977073.047549501</v>
      </c>
      <c r="O256" s="5">
        <v>33093897.950805001</v>
      </c>
      <c r="P256" s="5">
        <v>27402720.459880002</v>
      </c>
      <c r="Q256" s="5">
        <v>106777545.465487</v>
      </c>
      <c r="R256" s="5">
        <v>28660320.165541001</v>
      </c>
      <c r="S256" s="5">
        <v>37738204.499443099</v>
      </c>
      <c r="T256" s="5">
        <v>15375203.761093</v>
      </c>
      <c r="U256" s="5">
        <v>21476982.727740999</v>
      </c>
      <c r="V256" s="5">
        <v>28699711.608176898</v>
      </c>
      <c r="W256" s="5">
        <v>17724162.962578699</v>
      </c>
      <c r="X256" s="5">
        <v>23486464.639012702</v>
      </c>
      <c r="Y256" s="5">
        <v>18094915.942218401</v>
      </c>
    </row>
    <row r="257" spans="1:25" x14ac:dyDescent="0.45">
      <c r="A257" s="5" t="s">
        <v>333</v>
      </c>
      <c r="B257" s="5">
        <v>64236090.634039201</v>
      </c>
      <c r="C257" s="5">
        <v>167964859.203509</v>
      </c>
      <c r="D257" s="5">
        <v>81533078.964259103</v>
      </c>
      <c r="E257" s="5">
        <v>82760657.331459597</v>
      </c>
      <c r="F257" s="5">
        <v>88789374.711539507</v>
      </c>
      <c r="G257" s="5">
        <v>144848238.28036901</v>
      </c>
      <c r="H257" s="5">
        <v>205202533.14790401</v>
      </c>
      <c r="I257" s="5">
        <v>103258824.66647799</v>
      </c>
      <c r="J257" s="5">
        <v>90241322.900456995</v>
      </c>
      <c r="K257" s="5">
        <v>83792449.721108302</v>
      </c>
      <c r="L257" s="5">
        <v>76844897.679662794</v>
      </c>
      <c r="M257" s="5">
        <v>229974746.25766799</v>
      </c>
      <c r="N257" s="5">
        <v>309502915.10845101</v>
      </c>
      <c r="O257" s="5">
        <v>343879756.99243599</v>
      </c>
      <c r="P257" s="5">
        <v>235164672.86401299</v>
      </c>
      <c r="Q257" s="5">
        <v>283373423.94229603</v>
      </c>
      <c r="R257" s="5">
        <v>69401277.016212195</v>
      </c>
      <c r="S257" s="5">
        <v>241634532.62450501</v>
      </c>
      <c r="T257" s="5">
        <v>106615547.953719</v>
      </c>
      <c r="U257" s="5">
        <v>237310309.39010301</v>
      </c>
      <c r="V257" s="5">
        <v>341360623.74087</v>
      </c>
      <c r="W257" s="5">
        <v>229507029.541536</v>
      </c>
      <c r="X257" s="5">
        <v>115698158.116209</v>
      </c>
      <c r="Y257" s="5">
        <v>168321628.83302799</v>
      </c>
    </row>
    <row r="258" spans="1:25" x14ac:dyDescent="0.45">
      <c r="A258" s="5" t="s">
        <v>235</v>
      </c>
      <c r="B258" s="5">
        <v>49519365.728103697</v>
      </c>
      <c r="C258" s="5">
        <v>122229246.168551</v>
      </c>
      <c r="D258" s="5">
        <v>106340656.383711</v>
      </c>
      <c r="E258" s="5">
        <v>60117756.012457103</v>
      </c>
      <c r="F258" s="5">
        <v>28651943.945419598</v>
      </c>
      <c r="G258" s="5">
        <v>73092952.766901106</v>
      </c>
      <c r="H258" s="5">
        <v>73810449.239585802</v>
      </c>
      <c r="I258" s="5">
        <v>67794027.8068223</v>
      </c>
      <c r="J258" s="5">
        <v>42317420.122000702</v>
      </c>
      <c r="K258" s="5">
        <v>96279157.475673407</v>
      </c>
      <c r="L258" s="5">
        <v>61971418.361070201</v>
      </c>
      <c r="M258" s="5">
        <v>118012499.14876799</v>
      </c>
      <c r="N258" s="5">
        <v>235808655.20171601</v>
      </c>
      <c r="O258" s="5">
        <v>212546328.79298699</v>
      </c>
      <c r="P258" s="5">
        <v>248296835.97197199</v>
      </c>
      <c r="Q258" s="5">
        <v>130052186.39974301</v>
      </c>
      <c r="R258" s="5">
        <v>104138070.325681</v>
      </c>
      <c r="S258" s="5">
        <v>121768487.72833</v>
      </c>
      <c r="T258" s="5">
        <v>68867449.197856694</v>
      </c>
      <c r="U258" s="5">
        <v>50019500.129060797</v>
      </c>
      <c r="V258" s="5">
        <v>104446015.52142601</v>
      </c>
      <c r="W258" s="5">
        <v>74843632.770306394</v>
      </c>
      <c r="X258" s="5">
        <v>631976887.84308195</v>
      </c>
      <c r="Y258" s="5">
        <v>78859483.9323311</v>
      </c>
    </row>
    <row r="259" spans="1:25" x14ac:dyDescent="0.45">
      <c r="A259" s="5" t="s">
        <v>354</v>
      </c>
      <c r="B259" s="5">
        <v>482063547.58231002</v>
      </c>
      <c r="C259" s="5">
        <v>646721536.802037</v>
      </c>
      <c r="D259" s="5">
        <v>634004383.11397898</v>
      </c>
      <c r="E259" s="5">
        <v>352938219.02132398</v>
      </c>
      <c r="F259" s="5">
        <v>554953767.64980805</v>
      </c>
      <c r="G259" s="5">
        <v>404282614.44385803</v>
      </c>
      <c r="H259" s="5">
        <v>450958221.91418999</v>
      </c>
      <c r="I259" s="5">
        <v>1604677384.19045</v>
      </c>
      <c r="J259" s="5">
        <v>326016717.73522598</v>
      </c>
      <c r="K259" s="5">
        <v>455082813.21437699</v>
      </c>
      <c r="L259" s="5">
        <v>528312866.76968002</v>
      </c>
      <c r="M259" s="5">
        <v>346450101.36978298</v>
      </c>
      <c r="N259" s="5">
        <v>1018276868.9680001</v>
      </c>
      <c r="O259" s="5">
        <v>1311917464.1824601</v>
      </c>
      <c r="P259" s="5">
        <v>1502911308.73369</v>
      </c>
      <c r="Q259" s="5">
        <v>878620273.504426</v>
      </c>
      <c r="R259" s="5">
        <v>380802220.30845499</v>
      </c>
      <c r="S259" s="5">
        <v>799103258.26261795</v>
      </c>
      <c r="T259" s="5">
        <v>753234036.39810395</v>
      </c>
      <c r="U259" s="5">
        <v>863011151.33647895</v>
      </c>
      <c r="V259" s="5">
        <v>1180998807.09076</v>
      </c>
      <c r="W259" s="5">
        <v>859468913.271384</v>
      </c>
      <c r="X259" s="5">
        <v>1011143619.69039</v>
      </c>
      <c r="Y259" s="5">
        <v>900696167.00475502</v>
      </c>
    </row>
    <row r="260" spans="1:25" x14ac:dyDescent="0.45">
      <c r="A260" s="5" t="s">
        <v>429</v>
      </c>
      <c r="B260" s="5">
        <v>107029321.372198</v>
      </c>
      <c r="C260" s="5">
        <v>59422362.119828001</v>
      </c>
      <c r="D260" s="5">
        <v>94626393.733866096</v>
      </c>
      <c r="E260" s="5">
        <v>138988145.073048</v>
      </c>
      <c r="F260" s="5">
        <v>134051275.43213101</v>
      </c>
      <c r="G260" s="5">
        <v>88647967.502468303</v>
      </c>
      <c r="H260" s="5">
        <v>105137475.65387399</v>
      </c>
      <c r="I260" s="5">
        <v>73350694.249194905</v>
      </c>
      <c r="J260" s="5">
        <v>132186497.67709599</v>
      </c>
      <c r="K260" s="5">
        <v>181288145.181393</v>
      </c>
      <c r="L260" s="5">
        <v>105397125.24850699</v>
      </c>
      <c r="M260" s="5">
        <v>91454677.029631197</v>
      </c>
      <c r="N260" s="5">
        <v>96543284.889127299</v>
      </c>
      <c r="O260" s="5">
        <v>85801964.417861</v>
      </c>
      <c r="P260" s="5">
        <v>131151774.270676</v>
      </c>
      <c r="Q260" s="5">
        <v>30036663.074530099</v>
      </c>
      <c r="R260" s="5">
        <v>139148877.40921801</v>
      </c>
      <c r="S260" s="5">
        <v>84116548.934713095</v>
      </c>
      <c r="T260" s="5">
        <v>139643660.60674599</v>
      </c>
      <c r="U260" s="5">
        <v>138328802.66546601</v>
      </c>
      <c r="V260" s="5">
        <v>104923152.29836801</v>
      </c>
      <c r="W260" s="5">
        <v>123111732.71683</v>
      </c>
      <c r="X260" s="5">
        <v>41177443.178393602</v>
      </c>
      <c r="Y260" s="5">
        <v>136685576.96947101</v>
      </c>
    </row>
    <row r="261" spans="1:25" x14ac:dyDescent="0.45">
      <c r="A261" s="5" t="s">
        <v>236</v>
      </c>
      <c r="B261" s="5">
        <v>882493528.01800799</v>
      </c>
      <c r="C261" s="5">
        <v>601620729.05569994</v>
      </c>
      <c r="D261" s="5">
        <v>694441528.913275</v>
      </c>
      <c r="E261" s="5">
        <v>864099500.76401496</v>
      </c>
      <c r="F261" s="5">
        <v>911349439.47665501</v>
      </c>
      <c r="G261" s="5">
        <v>720240607.32687998</v>
      </c>
      <c r="H261" s="5">
        <v>688401879.42787695</v>
      </c>
      <c r="I261" s="5">
        <v>565319968.26622295</v>
      </c>
      <c r="J261" s="5">
        <v>745565593.91349304</v>
      </c>
      <c r="K261" s="5">
        <v>832514151.21916294</v>
      </c>
      <c r="L261" s="5">
        <v>891495938.99905503</v>
      </c>
      <c r="M261" s="5">
        <v>766207586.17144096</v>
      </c>
      <c r="N261" s="5">
        <v>3138116.4030425702</v>
      </c>
      <c r="O261" s="5">
        <v>538195853.34911799</v>
      </c>
      <c r="P261" s="5">
        <v>3670828.2709959899</v>
      </c>
      <c r="Q261" s="5">
        <v>5498584.5542308902</v>
      </c>
      <c r="R261" s="5">
        <v>13399243.4661557</v>
      </c>
      <c r="S261" s="5">
        <v>9088300.8871257696</v>
      </c>
      <c r="T261" s="5">
        <v>724767048.02600098</v>
      </c>
      <c r="U261" s="5">
        <v>701415314.14589906</v>
      </c>
      <c r="V261" s="5">
        <v>668133487.80586398</v>
      </c>
      <c r="W261" s="5">
        <v>2766649.64900557</v>
      </c>
      <c r="X261" s="5">
        <v>85477951.905898303</v>
      </c>
      <c r="Y261" s="5">
        <v>3742976.4936878998</v>
      </c>
    </row>
    <row r="262" spans="1:25" x14ac:dyDescent="0.45">
      <c r="A262" s="5" t="s">
        <v>355</v>
      </c>
      <c r="B262" s="5">
        <v>303982162.96020502</v>
      </c>
      <c r="C262" s="5">
        <v>580794657.60903597</v>
      </c>
      <c r="D262" s="5">
        <v>707244188.79638195</v>
      </c>
      <c r="E262" s="5">
        <v>485657480.00853503</v>
      </c>
      <c r="F262" s="5">
        <v>670878730.65313399</v>
      </c>
      <c r="G262" s="5">
        <v>245085664.95468301</v>
      </c>
      <c r="H262" s="5">
        <v>275358471.14354903</v>
      </c>
      <c r="I262" s="5">
        <v>2295586532.1968398</v>
      </c>
      <c r="J262" s="5">
        <v>1068147129.50247</v>
      </c>
      <c r="K262" s="5">
        <v>838672484.90121102</v>
      </c>
      <c r="L262" s="5">
        <v>641654419.27436399</v>
      </c>
      <c r="M262" s="5">
        <v>364527734.15156198</v>
      </c>
      <c r="N262" s="5">
        <v>339945251.543459</v>
      </c>
      <c r="O262" s="5">
        <v>339073458.942541</v>
      </c>
      <c r="P262" s="5">
        <v>261935485.72414801</v>
      </c>
      <c r="Q262" s="5">
        <v>547086580.77913499</v>
      </c>
      <c r="R262" s="5">
        <v>824843906.22226202</v>
      </c>
      <c r="S262" s="5">
        <v>501070613.86088401</v>
      </c>
      <c r="T262" s="5">
        <v>583145784.39357102</v>
      </c>
      <c r="U262" s="5">
        <v>363045691.16592401</v>
      </c>
      <c r="V262" s="5">
        <v>475855728.08144403</v>
      </c>
      <c r="W262" s="5">
        <v>328478353.43479902</v>
      </c>
      <c r="X262" s="5">
        <v>1793226025.82812</v>
      </c>
      <c r="Y262" s="5">
        <v>398998270.513906</v>
      </c>
    </row>
    <row r="263" spans="1:25" x14ac:dyDescent="0.45">
      <c r="A263" s="5" t="s">
        <v>237</v>
      </c>
      <c r="B263" s="5">
        <v>2813937347.0113602</v>
      </c>
      <c r="C263" s="5">
        <v>2105593629.45225</v>
      </c>
      <c r="D263" s="5">
        <v>2415734346.6981301</v>
      </c>
      <c r="E263" s="5">
        <v>2872483450.0861802</v>
      </c>
      <c r="F263" s="5">
        <v>2975116293.6372499</v>
      </c>
      <c r="G263" s="5">
        <v>2427789018.2620201</v>
      </c>
      <c r="H263" s="5">
        <v>2400693776.7701201</v>
      </c>
      <c r="I263" s="5">
        <v>1884066830.0053999</v>
      </c>
      <c r="J263" s="5">
        <v>2517554192.9792299</v>
      </c>
      <c r="K263" s="5">
        <v>2757500308.9541001</v>
      </c>
      <c r="L263" s="5">
        <v>2812561122.1031599</v>
      </c>
      <c r="M263" s="5">
        <v>2628755678.1662302</v>
      </c>
      <c r="N263" s="5">
        <v>80861943.662830204</v>
      </c>
      <c r="O263" s="5">
        <v>1878466341.7427001</v>
      </c>
      <c r="P263" s="5">
        <v>45634244.502866499</v>
      </c>
      <c r="Q263" s="5">
        <v>62504574.815824702</v>
      </c>
      <c r="R263" s="5">
        <v>75499762.107143998</v>
      </c>
      <c r="S263" s="5">
        <v>95747485.1681353</v>
      </c>
      <c r="T263" s="5">
        <v>2655084311.9566102</v>
      </c>
      <c r="U263" s="5">
        <v>2504847349.7967801</v>
      </c>
      <c r="V263" s="5">
        <v>2198875742.7743101</v>
      </c>
      <c r="W263" s="5">
        <v>31258555.5792147</v>
      </c>
      <c r="X263" s="5">
        <v>608060538.10440898</v>
      </c>
      <c r="Y263" s="5">
        <v>163685786.12110901</v>
      </c>
    </row>
    <row r="264" spans="1:25" x14ac:dyDescent="0.45">
      <c r="A264" s="5" t="s">
        <v>238</v>
      </c>
      <c r="B264" s="5">
        <v>24394098.669486001</v>
      </c>
      <c r="C264" s="5">
        <v>15728428.9028551</v>
      </c>
      <c r="D264" s="5">
        <v>21594155.7838796</v>
      </c>
      <c r="E264" s="5">
        <v>28028704.297881901</v>
      </c>
      <c r="F264" s="5">
        <v>20986967.6100327</v>
      </c>
      <c r="G264" s="5">
        <v>22867519.6132433</v>
      </c>
      <c r="H264" s="5">
        <v>18702883.2324108</v>
      </c>
      <c r="I264" s="5">
        <v>18423769.774117101</v>
      </c>
      <c r="J264" s="5">
        <v>17511131.1979062</v>
      </c>
      <c r="K264" s="5">
        <v>19942523.308398701</v>
      </c>
      <c r="L264" s="5">
        <v>24305529.2868549</v>
      </c>
      <c r="M264" s="5">
        <v>21859535.802801698</v>
      </c>
      <c r="N264" s="5">
        <v>15294652.181324299</v>
      </c>
      <c r="O264" s="5">
        <v>15446317.229089599</v>
      </c>
      <c r="P264" s="5">
        <v>22150754.280693099</v>
      </c>
      <c r="Q264" s="5">
        <v>21561795.733231701</v>
      </c>
      <c r="R264" s="5">
        <v>30233795.4979316</v>
      </c>
      <c r="S264" s="5">
        <v>22755071.2457093</v>
      </c>
      <c r="T264" s="5">
        <v>31736071.506900199</v>
      </c>
      <c r="U264" s="5">
        <v>23447212.7971121</v>
      </c>
      <c r="V264" s="5">
        <v>17931220.822026301</v>
      </c>
      <c r="W264" s="5">
        <v>27397634.1708709</v>
      </c>
      <c r="X264" s="5">
        <v>22665570.057300001</v>
      </c>
      <c r="Y264" s="5">
        <v>32251948.659083199</v>
      </c>
    </row>
    <row r="265" spans="1:25" x14ac:dyDescent="0.45">
      <c r="A265" s="5" t="s">
        <v>334</v>
      </c>
      <c r="B265" s="5">
        <v>14795706.581687801</v>
      </c>
      <c r="C265" s="5">
        <v>26024438.903144699</v>
      </c>
      <c r="D265" s="5">
        <v>16124310.0479191</v>
      </c>
      <c r="E265" s="5">
        <v>14294622.5547638</v>
      </c>
      <c r="F265" s="5">
        <v>5318723.65329934</v>
      </c>
      <c r="G265" s="5">
        <v>22612793.211872201</v>
      </c>
      <c r="H265" s="5">
        <v>21476930.341030199</v>
      </c>
      <c r="I265" s="5">
        <v>56547268.036641598</v>
      </c>
      <c r="J265" s="5">
        <v>16870790.548684198</v>
      </c>
      <c r="K265" s="5">
        <v>3008341.86502225</v>
      </c>
      <c r="L265" s="5">
        <v>3979697.8952101599</v>
      </c>
      <c r="M265" s="5">
        <v>16542120.0500108</v>
      </c>
      <c r="N265" s="5">
        <v>50369725.599248998</v>
      </c>
      <c r="O265" s="5">
        <v>47979071.105091803</v>
      </c>
      <c r="P265" s="5">
        <v>28001092.604048699</v>
      </c>
      <c r="Q265" s="5">
        <v>24684803.269028299</v>
      </c>
      <c r="R265" s="5">
        <v>9349103.29358791</v>
      </c>
      <c r="S265" s="5">
        <v>32632984.2728539</v>
      </c>
      <c r="T265" s="5">
        <v>7874635.99542093</v>
      </c>
      <c r="U265" s="5">
        <v>15454098.644566599</v>
      </c>
      <c r="V265" s="5">
        <v>25873363.715714902</v>
      </c>
      <c r="W265" s="5">
        <v>24152587.234418701</v>
      </c>
      <c r="X265" s="5">
        <v>197997567.15009299</v>
      </c>
      <c r="Y265" s="5">
        <v>30921152.852715898</v>
      </c>
    </row>
    <row r="266" spans="1:25" x14ac:dyDescent="0.45">
      <c r="A266" s="5" t="s">
        <v>239</v>
      </c>
      <c r="B266" s="5">
        <v>6686197.49976849</v>
      </c>
      <c r="C266" s="5">
        <v>9101131.6331071705</v>
      </c>
      <c r="D266" s="5">
        <v>7894512.4946834203</v>
      </c>
      <c r="E266" s="5">
        <v>3952820.3405053499</v>
      </c>
      <c r="F266" s="5">
        <v>4442617.3983094702</v>
      </c>
      <c r="G266" s="5">
        <v>6590913.9153582202</v>
      </c>
      <c r="H266" s="5">
        <v>4601548.4188470701</v>
      </c>
      <c r="I266" s="5">
        <v>2737495.6994020799</v>
      </c>
      <c r="J266" s="5">
        <v>3362807.4654051298</v>
      </c>
      <c r="K266" s="5">
        <v>431498.26674066699</v>
      </c>
      <c r="L266" s="5">
        <v>4586264.3631640803</v>
      </c>
      <c r="M266" s="5">
        <v>3072710.9327014</v>
      </c>
      <c r="N266" s="5">
        <v>4955906.0755756004</v>
      </c>
      <c r="O266" s="5">
        <v>3282798.3841803302</v>
      </c>
      <c r="P266" s="5">
        <v>3643959.1481130598</v>
      </c>
      <c r="Q266" s="5">
        <v>3160556.38934593</v>
      </c>
      <c r="R266" s="5">
        <v>1516461.8805074301</v>
      </c>
      <c r="S266" s="5">
        <v>3397734.4729294698</v>
      </c>
      <c r="T266" s="5">
        <v>4598921.75448405</v>
      </c>
      <c r="U266" s="5">
        <v>2574280.1717031202</v>
      </c>
      <c r="V266" s="5">
        <v>3599341.3586304099</v>
      </c>
      <c r="W266" s="5">
        <v>3303957.20538184</v>
      </c>
      <c r="X266" s="5">
        <v>12273782.604802299</v>
      </c>
      <c r="Y266" s="5">
        <v>4108055.94117259</v>
      </c>
    </row>
    <row r="267" spans="1:25" x14ac:dyDescent="0.45">
      <c r="A267" s="5" t="s">
        <v>240</v>
      </c>
      <c r="B267" s="5">
        <v>149319726.70115501</v>
      </c>
      <c r="C267" s="5">
        <v>98153825.868498802</v>
      </c>
      <c r="D267" s="5">
        <v>131218556.860117</v>
      </c>
      <c r="E267" s="5">
        <v>159310794.978562</v>
      </c>
      <c r="F267" s="5">
        <v>124162492.12025701</v>
      </c>
      <c r="G267" s="5">
        <v>98973472.7769344</v>
      </c>
      <c r="H267" s="5">
        <v>118782751.07351901</v>
      </c>
      <c r="I267" s="5">
        <v>147298314.25456899</v>
      </c>
      <c r="J267" s="5">
        <v>153029360.37951899</v>
      </c>
      <c r="K267" s="5">
        <v>139355421.60398799</v>
      </c>
      <c r="L267" s="5">
        <v>88532466.568923295</v>
      </c>
      <c r="M267" s="5">
        <v>112101183.56457201</v>
      </c>
      <c r="N267" s="5">
        <v>102737742.502297</v>
      </c>
      <c r="O267" s="5">
        <v>100028759.95527799</v>
      </c>
      <c r="P267" s="5">
        <v>104743712.118412</v>
      </c>
      <c r="Q267" s="5">
        <v>93698034.264289394</v>
      </c>
      <c r="R267" s="5">
        <v>132995190.195179</v>
      </c>
      <c r="S267" s="5">
        <v>121878107.377453</v>
      </c>
      <c r="T267" s="5">
        <v>128967688.080586</v>
      </c>
      <c r="U267" s="5">
        <v>131888022.366394</v>
      </c>
      <c r="V267" s="5">
        <v>113904851.394701</v>
      </c>
      <c r="W267" s="5">
        <v>118177497.51263399</v>
      </c>
      <c r="X267" s="5">
        <v>95929869.493262202</v>
      </c>
      <c r="Y267" s="5">
        <v>133750303.902904</v>
      </c>
    </row>
    <row r="268" spans="1:25" x14ac:dyDescent="0.45">
      <c r="A268" s="5" t="s">
        <v>241</v>
      </c>
      <c r="B268" s="5">
        <v>29836870.671820998</v>
      </c>
      <c r="C268" s="5">
        <v>25956068.258497801</v>
      </c>
      <c r="D268" s="5">
        <v>34574424.4059567</v>
      </c>
      <c r="E268" s="5">
        <v>31441270.820295598</v>
      </c>
      <c r="F268" s="5">
        <v>33365767.858200502</v>
      </c>
      <c r="G268" s="5">
        <v>24590260.879184701</v>
      </c>
      <c r="H268" s="5">
        <v>38868268.506096102</v>
      </c>
      <c r="I268" s="5">
        <v>42268195.912795603</v>
      </c>
      <c r="J268" s="5">
        <v>38321345.583522096</v>
      </c>
      <c r="K268" s="5">
        <v>62371344.098036297</v>
      </c>
      <c r="L268" s="5">
        <v>39753294.139951698</v>
      </c>
      <c r="M268" s="5">
        <v>33467212.010107901</v>
      </c>
      <c r="N268" s="5">
        <v>28207755.1554217</v>
      </c>
      <c r="O268" s="5">
        <v>30194184.9716703</v>
      </c>
      <c r="P268" s="5">
        <v>25460013.593326401</v>
      </c>
      <c r="Q268" s="5">
        <v>28150410.827223498</v>
      </c>
      <c r="R268" s="5">
        <v>43481630.9466772</v>
      </c>
      <c r="S268" s="5">
        <v>40150235.986582197</v>
      </c>
      <c r="T268" s="5">
        <v>37604662.290168896</v>
      </c>
      <c r="U268" s="5">
        <v>39598003.310029998</v>
      </c>
      <c r="V268" s="5">
        <v>40040400.533422798</v>
      </c>
      <c r="W268" s="5">
        <v>37072143.928752802</v>
      </c>
      <c r="X268" s="5">
        <v>55801730.586988099</v>
      </c>
      <c r="Y268" s="5">
        <v>35444530.905874804</v>
      </c>
    </row>
    <row r="269" spans="1:25" x14ac:dyDescent="0.45">
      <c r="A269" s="5" t="s">
        <v>356</v>
      </c>
      <c r="B269" s="5">
        <v>130288505.942139</v>
      </c>
      <c r="C269" s="5">
        <v>526572497.91244501</v>
      </c>
      <c r="D269" s="5">
        <v>384319488.75931197</v>
      </c>
      <c r="E269" s="5">
        <v>234759282.756845</v>
      </c>
      <c r="F269" s="5">
        <v>163778345.71489999</v>
      </c>
      <c r="G269" s="5">
        <v>347046393.06641501</v>
      </c>
      <c r="H269" s="5">
        <v>329231997.25188297</v>
      </c>
      <c r="I269" s="5">
        <v>351688840.76891398</v>
      </c>
      <c r="J269" s="5">
        <v>221515985.49668601</v>
      </c>
      <c r="K269" s="5">
        <v>470997940.04339498</v>
      </c>
      <c r="L269" s="5">
        <v>236027284.31462899</v>
      </c>
      <c r="M269" s="5">
        <v>573574915.54670596</v>
      </c>
      <c r="N269" s="5">
        <v>935895253.086604</v>
      </c>
      <c r="O269" s="5">
        <v>1052965514.9524</v>
      </c>
      <c r="P269" s="5">
        <v>439883355.65970302</v>
      </c>
      <c r="Q269" s="5">
        <v>839433162.654719</v>
      </c>
      <c r="R269" s="5">
        <v>218643152.94949099</v>
      </c>
      <c r="S269" s="5">
        <v>473846522.10184002</v>
      </c>
      <c r="T269" s="5">
        <v>242560868.00203499</v>
      </c>
      <c r="U269" s="5">
        <v>499859457.744528</v>
      </c>
      <c r="V269" s="5">
        <v>958614430.68661201</v>
      </c>
      <c r="W269" s="5">
        <v>357297039.51975298</v>
      </c>
      <c r="X269" s="5">
        <v>664123894.25983</v>
      </c>
      <c r="Y269" s="5">
        <v>262345254.43553701</v>
      </c>
    </row>
    <row r="270" spans="1:25" x14ac:dyDescent="0.45">
      <c r="A270" s="5" t="s">
        <v>350</v>
      </c>
      <c r="B270" s="5">
        <v>4782739.0774009302</v>
      </c>
      <c r="C270" s="5">
        <v>17637088.5549055</v>
      </c>
      <c r="D270" s="5">
        <v>15635948.0208055</v>
      </c>
      <c r="E270" s="5">
        <v>13838528.041893801</v>
      </c>
      <c r="F270" s="5">
        <v>27318193.8545021</v>
      </c>
      <c r="G270" s="5">
        <v>4635174.0453324197</v>
      </c>
      <c r="H270" s="5">
        <v>328009308.69440699</v>
      </c>
      <c r="I270" s="5">
        <v>251008750.45039299</v>
      </c>
      <c r="J270" s="5">
        <v>302051392.75088</v>
      </c>
      <c r="K270" s="5">
        <v>214504659.10986301</v>
      </c>
      <c r="L270" s="5">
        <v>10647101.845811799</v>
      </c>
      <c r="M270" s="5">
        <v>30496541.579627901</v>
      </c>
      <c r="N270" s="5">
        <v>209233708.91771299</v>
      </c>
      <c r="O270" s="5">
        <v>74152658.960701406</v>
      </c>
      <c r="P270" s="5">
        <v>343953566.496499</v>
      </c>
      <c r="Q270" s="5">
        <v>24323936.5284371</v>
      </c>
      <c r="R270" s="5">
        <v>1456367.92953295</v>
      </c>
      <c r="S270" s="5">
        <v>13170660.900938001</v>
      </c>
      <c r="T270" s="5">
        <v>22995767.753222398</v>
      </c>
      <c r="U270" s="5">
        <v>29964240.3184947</v>
      </c>
      <c r="V270" s="5">
        <v>25499227.903216898</v>
      </c>
      <c r="W270" s="5">
        <v>12486072.139316199</v>
      </c>
      <c r="X270" s="5">
        <v>10520350.710827099</v>
      </c>
      <c r="Y270" s="5">
        <v>9856582.0049837306</v>
      </c>
    </row>
    <row r="271" spans="1:25" x14ac:dyDescent="0.45">
      <c r="A271" s="5" t="s">
        <v>383</v>
      </c>
      <c r="B271" s="5">
        <v>3794748.4249442201</v>
      </c>
      <c r="C271" s="5">
        <v>5306601.8405828504</v>
      </c>
      <c r="D271" s="5">
        <v>4901268.4123248998</v>
      </c>
      <c r="E271" s="5">
        <v>4310999.7825389402</v>
      </c>
      <c r="F271" s="5">
        <v>6281514.0462283697</v>
      </c>
      <c r="G271" s="5">
        <v>4556939.6023547798</v>
      </c>
      <c r="H271" s="5">
        <v>4953911.8165616998</v>
      </c>
      <c r="I271" s="5">
        <v>6331461.3385651</v>
      </c>
      <c r="J271" s="5">
        <v>6522663.4077686202</v>
      </c>
      <c r="K271" s="5">
        <v>1968475.37334268</v>
      </c>
      <c r="L271" s="5">
        <v>3828957.83223157</v>
      </c>
      <c r="M271" s="5">
        <v>3735681.1031531901</v>
      </c>
      <c r="N271" s="5">
        <v>5946882.6653754497</v>
      </c>
      <c r="O271" s="5">
        <v>10381632.5066528</v>
      </c>
      <c r="P271" s="5">
        <v>7883383.5615427401</v>
      </c>
      <c r="Q271" s="5">
        <v>4571667.3840758102</v>
      </c>
      <c r="R271" s="5">
        <v>3901831.2636178201</v>
      </c>
      <c r="S271" s="5">
        <v>5599153.4881790597</v>
      </c>
      <c r="T271" s="5">
        <v>6248448.9527443899</v>
      </c>
      <c r="U271" s="5">
        <v>7937046.9154758202</v>
      </c>
      <c r="V271" s="5">
        <v>7516574.2496370897</v>
      </c>
      <c r="W271" s="5">
        <v>5664215.5182956196</v>
      </c>
      <c r="X271" s="5">
        <v>26085511.737129901</v>
      </c>
      <c r="Y271" s="5">
        <v>6284461.3116983902</v>
      </c>
    </row>
    <row r="272" spans="1:25" x14ac:dyDescent="0.45">
      <c r="A272" s="5" t="s">
        <v>242</v>
      </c>
      <c r="B272" s="5">
        <v>2014762.5623805099</v>
      </c>
      <c r="C272" s="5">
        <v>21651444.280358098</v>
      </c>
      <c r="D272" s="5">
        <v>1523497.23956843</v>
      </c>
      <c r="E272" s="5">
        <v>1339025.7097502199</v>
      </c>
      <c r="F272" s="5">
        <v>1450282.35010785</v>
      </c>
      <c r="G272" s="5">
        <v>8512214.74515073</v>
      </c>
      <c r="H272" s="5">
        <v>12102640.2216192</v>
      </c>
      <c r="I272" s="5">
        <v>995984.83507261204</v>
      </c>
      <c r="J272" s="5">
        <v>1203849.7265437499</v>
      </c>
      <c r="K272" s="5">
        <v>9100501.1377100907</v>
      </c>
      <c r="L272" s="5">
        <v>1375549.8123409301</v>
      </c>
      <c r="M272" s="5">
        <v>4455600.5180206597</v>
      </c>
      <c r="N272" s="5">
        <v>37530961.444425799</v>
      </c>
      <c r="O272" s="5">
        <v>49438313.410631903</v>
      </c>
      <c r="P272" s="5">
        <v>12588777.255712699</v>
      </c>
      <c r="Q272" s="5">
        <v>17072197.807537802</v>
      </c>
      <c r="R272" s="5">
        <v>667455.46330644703</v>
      </c>
      <c r="S272" s="5">
        <v>12657444.654348399</v>
      </c>
      <c r="T272" s="5">
        <v>3817829.9882110199</v>
      </c>
      <c r="U272" s="5">
        <v>20439948.3485041</v>
      </c>
      <c r="V272" s="5">
        <v>30387696.6655734</v>
      </c>
      <c r="W272" s="5">
        <v>9268589.0038741007</v>
      </c>
      <c r="X272" s="5">
        <v>7376439.4745301297</v>
      </c>
      <c r="Y272" s="5">
        <v>8782559.5697537009</v>
      </c>
    </row>
    <row r="273" spans="1:25" x14ac:dyDescent="0.45">
      <c r="A273" s="5" t="s">
        <v>243</v>
      </c>
      <c r="B273" s="5">
        <v>39374935.650513701</v>
      </c>
      <c r="C273" s="5">
        <v>27399785.902336501</v>
      </c>
      <c r="D273" s="5">
        <v>31100946.6738947</v>
      </c>
      <c r="E273" s="5">
        <v>59616277.369402699</v>
      </c>
      <c r="F273" s="5">
        <v>58296405.024692103</v>
      </c>
      <c r="G273" s="5">
        <v>49218171.781088002</v>
      </c>
      <c r="H273" s="5">
        <v>63483401.348855197</v>
      </c>
      <c r="I273" s="5">
        <v>35439164.667900898</v>
      </c>
      <c r="J273" s="5">
        <v>46889449.642918199</v>
      </c>
      <c r="K273" s="5">
        <v>40974077.495336398</v>
      </c>
      <c r="L273" s="5">
        <v>40408846.384815499</v>
      </c>
      <c r="M273" s="5">
        <v>48805332.848209701</v>
      </c>
      <c r="N273" s="5">
        <v>58855403.814195797</v>
      </c>
      <c r="O273" s="5">
        <v>37883001.764288798</v>
      </c>
      <c r="P273" s="5">
        <v>47595984.568061396</v>
      </c>
      <c r="Q273" s="5">
        <v>47701578.643052399</v>
      </c>
      <c r="R273" s="5">
        <v>64954176.810854703</v>
      </c>
      <c r="S273" s="5">
        <v>49242229.766393498</v>
      </c>
      <c r="T273" s="5">
        <v>59760431.329133697</v>
      </c>
      <c r="U273" s="5">
        <v>55620045.320015103</v>
      </c>
      <c r="V273" s="5">
        <v>51228363.104255401</v>
      </c>
      <c r="W273" s="5">
        <v>47826511.433498301</v>
      </c>
      <c r="X273" s="5">
        <v>57886854.310588203</v>
      </c>
      <c r="Y273" s="5">
        <v>51368847.832516201</v>
      </c>
    </row>
    <row r="274" spans="1:25" x14ac:dyDescent="0.45">
      <c r="A274" s="5" t="s">
        <v>335</v>
      </c>
      <c r="B274" s="5">
        <v>88419105.303916499</v>
      </c>
      <c r="C274" s="5">
        <v>228205444.853681</v>
      </c>
      <c r="D274" s="5">
        <v>142546869.34709299</v>
      </c>
      <c r="E274" s="5">
        <v>84595361.839423597</v>
      </c>
      <c r="F274" s="5">
        <v>18566963.857768498</v>
      </c>
      <c r="G274" s="5">
        <v>81310249.152435794</v>
      </c>
      <c r="H274" s="5">
        <v>42641894.219650701</v>
      </c>
      <c r="I274" s="5">
        <v>47604720.1846544</v>
      </c>
      <c r="J274" s="5">
        <v>39845436.166195497</v>
      </c>
      <c r="K274" s="5">
        <v>16537867.3873441</v>
      </c>
      <c r="L274" s="5">
        <v>40298164.5529911</v>
      </c>
      <c r="M274" s="5">
        <v>109207545.972781</v>
      </c>
      <c r="N274" s="5">
        <v>70661627.478499204</v>
      </c>
      <c r="O274" s="5">
        <v>42625979.446080297</v>
      </c>
      <c r="P274" s="5">
        <v>22085373.237798799</v>
      </c>
      <c r="Q274" s="5">
        <v>127323777.34753101</v>
      </c>
      <c r="R274" s="5">
        <v>29481601.323325999</v>
      </c>
      <c r="S274" s="5">
        <v>119132769.72250301</v>
      </c>
      <c r="T274" s="5">
        <v>68348454.028484404</v>
      </c>
      <c r="U274" s="5">
        <v>37122621.647973903</v>
      </c>
      <c r="V274" s="5">
        <v>72398734.709985197</v>
      </c>
      <c r="W274" s="5">
        <v>42883912.4974536</v>
      </c>
      <c r="X274" s="5">
        <v>171602854.24470901</v>
      </c>
      <c r="Y274" s="5">
        <v>42596446.087911598</v>
      </c>
    </row>
    <row r="275" spans="1:25" x14ac:dyDescent="0.45">
      <c r="A275" s="5" t="s">
        <v>244</v>
      </c>
      <c r="B275" s="5">
        <v>46343684.9738051</v>
      </c>
      <c r="C275" s="5">
        <v>155051908.59403399</v>
      </c>
      <c r="D275" s="5">
        <v>104285552.58246</v>
      </c>
      <c r="E275" s="5">
        <v>97647067.970780998</v>
      </c>
      <c r="F275" s="5">
        <v>67469522.055402696</v>
      </c>
      <c r="G275" s="5">
        <v>92343053.363473594</v>
      </c>
      <c r="H275" s="5">
        <v>59230671.889411397</v>
      </c>
      <c r="I275" s="5">
        <v>71292498.990363404</v>
      </c>
      <c r="J275" s="5">
        <v>77958521.397535697</v>
      </c>
      <c r="K275" s="5">
        <v>37498469.904213101</v>
      </c>
      <c r="L275" s="5">
        <v>89568788.947734505</v>
      </c>
      <c r="M275" s="5">
        <v>135238598.66570601</v>
      </c>
      <c r="N275" s="5">
        <v>75770629.892734006</v>
      </c>
      <c r="O275" s="5">
        <v>63010110.163959101</v>
      </c>
      <c r="P275" s="5">
        <v>49679987.336767599</v>
      </c>
      <c r="Q275" s="5">
        <v>96175945.352219194</v>
      </c>
      <c r="R275" s="5">
        <v>66439830.895600498</v>
      </c>
      <c r="S275" s="5">
        <v>115357798.640652</v>
      </c>
      <c r="T275" s="5">
        <v>56782935.274760403</v>
      </c>
      <c r="U275" s="5">
        <v>72178223.167035997</v>
      </c>
      <c r="V275" s="5">
        <v>65119634.446971498</v>
      </c>
      <c r="W275" s="5">
        <v>68549511.704640001</v>
      </c>
      <c r="X275" s="5">
        <v>98391203.066164196</v>
      </c>
      <c r="Y275" s="5">
        <v>77601681.396964997</v>
      </c>
    </row>
    <row r="276" spans="1:25" x14ac:dyDescent="0.45">
      <c r="A276" s="5" t="s">
        <v>439</v>
      </c>
      <c r="B276" s="5">
        <v>114319.058285202</v>
      </c>
      <c r="C276" s="5">
        <v>22879256.3322885</v>
      </c>
      <c r="D276" s="5">
        <v>1659224.62708593</v>
      </c>
      <c r="E276" s="5">
        <v>275229.36752825201</v>
      </c>
      <c r="F276" s="5">
        <v>73790.6747704265</v>
      </c>
      <c r="G276" s="5">
        <v>8207267.0693665203</v>
      </c>
      <c r="H276" s="5">
        <v>9565398.3890263103</v>
      </c>
      <c r="I276" s="5">
        <v>153543.21098820001</v>
      </c>
      <c r="J276" s="5">
        <v>85498.782784082097</v>
      </c>
      <c r="K276" s="5">
        <v>358181.78412646003</v>
      </c>
      <c r="L276" s="5">
        <v>174044.08620047299</v>
      </c>
      <c r="M276" s="5">
        <v>23953551.485709898</v>
      </c>
      <c r="N276" s="5">
        <v>23327840.998943999</v>
      </c>
      <c r="O276" s="5">
        <v>15209017.9727249</v>
      </c>
      <c r="P276" s="5">
        <v>2027819.9851156699</v>
      </c>
      <c r="Q276" s="5">
        <v>44478824.927307203</v>
      </c>
      <c r="R276" s="5">
        <v>81098.640377666394</v>
      </c>
      <c r="S276" s="5">
        <v>6706107.5194054497</v>
      </c>
      <c r="T276" s="5">
        <v>351625.60720313998</v>
      </c>
      <c r="U276" s="5">
        <v>6175633.6257402403</v>
      </c>
      <c r="V276" s="5">
        <v>10764358.629491299</v>
      </c>
      <c r="W276" s="5">
        <v>3021314.5713790599</v>
      </c>
      <c r="X276" s="5">
        <v>138739.86813590801</v>
      </c>
      <c r="Y276" s="5">
        <v>1707723.02291948</v>
      </c>
    </row>
    <row r="277" spans="1:25" x14ac:dyDescent="0.45">
      <c r="A277" s="5" t="s">
        <v>362</v>
      </c>
      <c r="B277" s="5">
        <v>23965513.843332302</v>
      </c>
      <c r="C277" s="5">
        <v>41987833.1882497</v>
      </c>
      <c r="D277" s="5">
        <v>64248772.470946901</v>
      </c>
      <c r="E277" s="5">
        <v>47608599.168683298</v>
      </c>
      <c r="F277" s="5">
        <v>46717898.676456802</v>
      </c>
      <c r="G277" s="5">
        <v>35867308.632490002</v>
      </c>
      <c r="H277" s="5">
        <v>27699729.9153786</v>
      </c>
      <c r="I277" s="5">
        <v>188595584.980986</v>
      </c>
      <c r="J277" s="5">
        <v>73539869.333382294</v>
      </c>
      <c r="K277" s="5">
        <v>63895205.758762203</v>
      </c>
      <c r="L277" s="5">
        <v>51836021.049262099</v>
      </c>
      <c r="M277" s="5">
        <v>45818873.280593097</v>
      </c>
      <c r="N277" s="5">
        <v>43028828.3335585</v>
      </c>
      <c r="O277" s="5">
        <v>52561957.101051398</v>
      </c>
      <c r="P277" s="5">
        <v>34648218.914248601</v>
      </c>
      <c r="Q277" s="5">
        <v>53611901.1941434</v>
      </c>
      <c r="R277" s="5">
        <v>58865249.8420626</v>
      </c>
      <c r="S277" s="5">
        <v>43242829.348669797</v>
      </c>
      <c r="T277" s="5">
        <v>44848171.868053503</v>
      </c>
      <c r="U277" s="5">
        <v>24399571.026256301</v>
      </c>
      <c r="V277" s="5">
        <v>33820725.002037898</v>
      </c>
      <c r="W277" s="5">
        <v>28910323.427659702</v>
      </c>
      <c r="X277" s="5">
        <v>197140335.62103999</v>
      </c>
      <c r="Y277" s="5">
        <v>30705823.025389299</v>
      </c>
    </row>
    <row r="278" spans="1:25" x14ac:dyDescent="0.45">
      <c r="A278" s="5" t="s">
        <v>245</v>
      </c>
      <c r="B278" s="5">
        <v>26954071.716443699</v>
      </c>
      <c r="C278" s="5">
        <v>39274037.186631098</v>
      </c>
      <c r="D278" s="5">
        <v>30497708.656719599</v>
      </c>
      <c r="E278" s="5">
        <v>24914774.704307601</v>
      </c>
      <c r="F278" s="5">
        <v>32593301.992640302</v>
      </c>
      <c r="G278" s="5">
        <v>30407437.906491999</v>
      </c>
      <c r="H278" s="5">
        <v>4458609.4102107501</v>
      </c>
      <c r="I278" s="5">
        <v>12101299.325363699</v>
      </c>
      <c r="J278" s="5">
        <v>32016520.939706199</v>
      </c>
      <c r="K278" s="5">
        <v>21150164.5620213</v>
      </c>
      <c r="L278" s="5">
        <v>20961672.5240499</v>
      </c>
      <c r="M278" s="5">
        <v>20936886.460351299</v>
      </c>
      <c r="N278" s="5">
        <v>30273751.091850299</v>
      </c>
      <c r="O278" s="5">
        <v>57516927.073337696</v>
      </c>
      <c r="P278" s="5">
        <v>32535390.595232699</v>
      </c>
      <c r="Q278" s="5">
        <v>27526922.034100398</v>
      </c>
      <c r="R278" s="5">
        <v>15184367.9066683</v>
      </c>
      <c r="S278" s="5">
        <v>28061731.573056601</v>
      </c>
      <c r="T278" s="5">
        <v>28363518.952686898</v>
      </c>
      <c r="U278" s="5">
        <v>34680198.122914098</v>
      </c>
      <c r="V278" s="5">
        <v>43964104.087704897</v>
      </c>
      <c r="W278" s="5">
        <v>25156199.186295699</v>
      </c>
      <c r="X278" s="5">
        <v>35112819.811705999</v>
      </c>
      <c r="Y278" s="5">
        <v>34722587.583618999</v>
      </c>
    </row>
    <row r="279" spans="1:25" x14ac:dyDescent="0.45">
      <c r="A279" s="5" t="s">
        <v>363</v>
      </c>
      <c r="B279" s="5">
        <v>126430520.24762499</v>
      </c>
      <c r="C279" s="5">
        <v>85111299.723097801</v>
      </c>
      <c r="D279" s="5">
        <v>239670709.56117699</v>
      </c>
      <c r="E279" s="5">
        <v>224820320.325571</v>
      </c>
      <c r="F279" s="5">
        <v>179302581.54195201</v>
      </c>
      <c r="G279" s="5">
        <v>274268888.47691202</v>
      </c>
      <c r="H279" s="5">
        <v>170599124.95657399</v>
      </c>
      <c r="I279" s="5">
        <v>688597614.04757202</v>
      </c>
      <c r="J279" s="5">
        <v>176383118.641251</v>
      </c>
      <c r="K279" s="5">
        <v>446453685.68670499</v>
      </c>
      <c r="L279" s="5">
        <v>570783675.78626597</v>
      </c>
      <c r="M279" s="5">
        <v>152507167.766864</v>
      </c>
      <c r="N279" s="5">
        <v>144033029.05278</v>
      </c>
      <c r="O279" s="5">
        <v>68820467.938351497</v>
      </c>
      <c r="P279" s="5">
        <v>120225460.369386</v>
      </c>
      <c r="Q279" s="5">
        <v>445398593.85688698</v>
      </c>
      <c r="R279" s="5">
        <v>299307808.79783201</v>
      </c>
      <c r="S279" s="5">
        <v>155944009.623833</v>
      </c>
      <c r="T279" s="5">
        <v>204473777.55213201</v>
      </c>
      <c r="U279" s="5">
        <v>133991245.02143499</v>
      </c>
      <c r="V279" s="5">
        <v>137115046.89460599</v>
      </c>
      <c r="W279" s="5">
        <v>133904821.458928</v>
      </c>
      <c r="X279" s="5">
        <v>13057207181.755501</v>
      </c>
      <c r="Y279" s="5">
        <v>154287127.967493</v>
      </c>
    </row>
    <row r="280" spans="1:25" x14ac:dyDescent="0.45">
      <c r="A280" s="5" t="s">
        <v>336</v>
      </c>
      <c r="B280" s="5">
        <v>4641679.1479379497</v>
      </c>
      <c r="C280" s="5">
        <v>3754414.8302132501</v>
      </c>
      <c r="D280" s="5">
        <v>4815815.51190296</v>
      </c>
      <c r="E280" s="5">
        <v>9756009.3736778405</v>
      </c>
      <c r="F280" s="5">
        <v>7729061.9096897496</v>
      </c>
      <c r="G280" s="5">
        <v>6963698.41706286</v>
      </c>
      <c r="H280" s="5">
        <v>4317062.1427441398</v>
      </c>
      <c r="I280" s="5">
        <v>10507373.4466998</v>
      </c>
      <c r="J280" s="5">
        <v>8755739.4328675494</v>
      </c>
      <c r="K280" s="5">
        <v>5526705.5247470597</v>
      </c>
      <c r="L280" s="5">
        <v>19101119.161124099</v>
      </c>
      <c r="M280" s="5">
        <v>3977000.90458804</v>
      </c>
      <c r="N280" s="5">
        <v>2821957.9508224302</v>
      </c>
      <c r="O280" s="5">
        <v>2468705.6705032401</v>
      </c>
      <c r="P280" s="5">
        <v>2583234.1471368601</v>
      </c>
      <c r="Q280" s="5">
        <v>6150701.7338523697</v>
      </c>
      <c r="R280" s="5">
        <v>11457672.3204857</v>
      </c>
      <c r="S280" s="5">
        <v>6816838.9669273198</v>
      </c>
      <c r="T280" s="5">
        <v>4593128.1819365602</v>
      </c>
      <c r="U280" s="5">
        <v>5476682.8655466298</v>
      </c>
      <c r="V280" s="5">
        <v>3651915.3717521699</v>
      </c>
      <c r="W280" s="5">
        <v>6043393.0071627302</v>
      </c>
      <c r="X280" s="5">
        <v>10574251.594080901</v>
      </c>
      <c r="Y280" s="5">
        <v>4407687.4977332801</v>
      </c>
    </row>
    <row r="281" spans="1:25" x14ac:dyDescent="0.45">
      <c r="A281" s="5" t="s">
        <v>337</v>
      </c>
      <c r="B281" s="5">
        <v>264257839.84107101</v>
      </c>
      <c r="C281" s="5">
        <v>482050333.842296</v>
      </c>
      <c r="D281" s="5">
        <v>217700347.722451</v>
      </c>
      <c r="E281" s="5">
        <v>236368931.785395</v>
      </c>
      <c r="F281" s="5">
        <v>240755925.723214</v>
      </c>
      <c r="G281" s="5">
        <v>188083553.59490401</v>
      </c>
      <c r="H281" s="5">
        <v>835168155.36120296</v>
      </c>
      <c r="I281" s="5">
        <v>468153850.397021</v>
      </c>
      <c r="J281" s="5">
        <v>488981654.56179702</v>
      </c>
      <c r="K281" s="5">
        <v>399166158.020181</v>
      </c>
      <c r="L281" s="5">
        <v>345365775.18297499</v>
      </c>
      <c r="M281" s="5">
        <v>360150443.00055701</v>
      </c>
      <c r="N281" s="5">
        <v>151415499.337439</v>
      </c>
      <c r="O281" s="5">
        <v>427908664.83252603</v>
      </c>
      <c r="P281" s="5">
        <v>298038472.00326502</v>
      </c>
      <c r="Q281" s="5">
        <v>256115543.968734</v>
      </c>
      <c r="R281" s="5">
        <v>309489091.56364101</v>
      </c>
      <c r="S281" s="5">
        <v>319466002.25393802</v>
      </c>
      <c r="T281" s="5">
        <v>212707297.44817999</v>
      </c>
      <c r="U281" s="5">
        <v>592260957.67839801</v>
      </c>
      <c r="V281" s="5">
        <v>353849546.10294503</v>
      </c>
      <c r="W281" s="5">
        <v>366135869.01415002</v>
      </c>
      <c r="X281" s="5">
        <v>628178448.91517401</v>
      </c>
      <c r="Y281" s="5">
        <v>294716081.53726399</v>
      </c>
    </row>
    <row r="282" spans="1:25" x14ac:dyDescent="0.45">
      <c r="A282" s="5" t="s">
        <v>338</v>
      </c>
      <c r="B282" s="5">
        <v>176933249.30985001</v>
      </c>
      <c r="C282" s="5">
        <v>391831476.59380198</v>
      </c>
      <c r="D282" s="5">
        <v>326323045.73568898</v>
      </c>
      <c r="E282" s="5">
        <v>75670397.502667099</v>
      </c>
      <c r="F282" s="5">
        <v>62270734.503083996</v>
      </c>
      <c r="G282" s="5">
        <v>118356739.44078</v>
      </c>
      <c r="H282" s="5">
        <v>73630766.979032993</v>
      </c>
      <c r="I282" s="5">
        <v>70859755.015722498</v>
      </c>
      <c r="J282" s="5">
        <v>87871860.255335003</v>
      </c>
      <c r="K282" s="5">
        <v>23737409.534182899</v>
      </c>
      <c r="L282" s="5">
        <v>63653561.6262706</v>
      </c>
      <c r="M282" s="5">
        <v>207903921.56422499</v>
      </c>
      <c r="N282" s="5">
        <v>186348021.51135901</v>
      </c>
      <c r="O282" s="5">
        <v>157628187.649685</v>
      </c>
      <c r="P282" s="5">
        <v>59522173.286698297</v>
      </c>
      <c r="Q282" s="5">
        <v>205210533.97150499</v>
      </c>
      <c r="R282" s="5">
        <v>87033283.964049593</v>
      </c>
      <c r="S282" s="5">
        <v>208534300.25938001</v>
      </c>
      <c r="T282" s="5">
        <v>174603062.15867499</v>
      </c>
      <c r="U282" s="5">
        <v>73491351.999026403</v>
      </c>
      <c r="V282" s="5">
        <v>133328690.572668</v>
      </c>
      <c r="W282" s="5">
        <v>109845526.75652701</v>
      </c>
      <c r="X282" s="5">
        <v>185054794.11302799</v>
      </c>
      <c r="Y282" s="5">
        <v>99817312.359190807</v>
      </c>
    </row>
    <row r="283" spans="1:25" x14ac:dyDescent="0.45">
      <c r="A283" s="5" t="s">
        <v>246</v>
      </c>
      <c r="B283" s="5">
        <v>37762702.673784703</v>
      </c>
      <c r="C283" s="5">
        <v>29185236.302959401</v>
      </c>
      <c r="D283" s="5">
        <v>53427068.975213997</v>
      </c>
      <c r="E283" s="5">
        <v>14955341.6168894</v>
      </c>
      <c r="F283" s="5">
        <v>4977404.7923681904</v>
      </c>
      <c r="G283" s="5">
        <v>9231208.0415824801</v>
      </c>
      <c r="H283" s="5">
        <v>40251528.730453297</v>
      </c>
      <c r="I283" s="5">
        <v>90377248.270936206</v>
      </c>
      <c r="J283" s="5">
        <v>39456856.680936404</v>
      </c>
      <c r="K283" s="5">
        <v>2104534.9776081401</v>
      </c>
      <c r="L283" s="5">
        <v>14785869.4024441</v>
      </c>
      <c r="M283" s="5">
        <v>24066918.576513499</v>
      </c>
      <c r="N283" s="5">
        <v>18559494.9111211</v>
      </c>
      <c r="O283" s="5">
        <v>5301900.6987664904</v>
      </c>
      <c r="P283" s="5">
        <v>6695014.8450500499</v>
      </c>
      <c r="Q283" s="5">
        <v>14243284.5207459</v>
      </c>
      <c r="R283" s="5">
        <v>17885063.892124899</v>
      </c>
      <c r="S283" s="5">
        <v>21773549.3261212</v>
      </c>
      <c r="T283" s="5">
        <v>5563192.0159444399</v>
      </c>
      <c r="U283" s="5">
        <v>7543970.6210461799</v>
      </c>
      <c r="V283" s="5">
        <v>8677021.9848468509</v>
      </c>
      <c r="W283" s="5">
        <v>20164686.982303601</v>
      </c>
      <c r="X283" s="5">
        <v>105725893.644774</v>
      </c>
      <c r="Y283" s="5">
        <v>12186810.256736999</v>
      </c>
    </row>
    <row r="284" spans="1:25" x14ac:dyDescent="0.45">
      <c r="A284" s="5" t="s">
        <v>339</v>
      </c>
      <c r="B284" s="5">
        <v>113550381.616771</v>
      </c>
      <c r="C284" s="5">
        <v>169310841.63587299</v>
      </c>
      <c r="D284" s="5">
        <v>19641201.8164827</v>
      </c>
      <c r="E284" s="5">
        <v>24164429.741404399</v>
      </c>
      <c r="F284" s="5">
        <v>7507379.6202251399</v>
      </c>
      <c r="G284" s="5">
        <v>45984364.759231701</v>
      </c>
      <c r="H284" s="5">
        <v>119964819.00606</v>
      </c>
      <c r="I284" s="5">
        <v>44248809.135511398</v>
      </c>
      <c r="J284" s="5">
        <v>14580191.953472</v>
      </c>
      <c r="K284" s="5">
        <v>35269427.6049878</v>
      </c>
      <c r="L284" s="5">
        <v>17048703.015561901</v>
      </c>
      <c r="M284" s="5">
        <v>148668478.94447199</v>
      </c>
      <c r="N284" s="5">
        <v>183754481.804234</v>
      </c>
      <c r="O284" s="5">
        <v>69856451.488730803</v>
      </c>
      <c r="P284" s="5">
        <v>86137482.626512796</v>
      </c>
      <c r="Q284" s="5">
        <v>249703843.96782601</v>
      </c>
      <c r="R284" s="5">
        <v>21924643.3796639</v>
      </c>
      <c r="S284" s="5">
        <v>231795571.84623101</v>
      </c>
      <c r="T284" s="5">
        <v>11212809.4084951</v>
      </c>
      <c r="U284" s="5">
        <v>86475888.377774805</v>
      </c>
      <c r="V284" s="5">
        <v>267445536.65997899</v>
      </c>
      <c r="W284" s="5">
        <v>43195535.838419497</v>
      </c>
      <c r="X284" s="5">
        <v>33866295.7072699</v>
      </c>
      <c r="Y284" s="5">
        <v>62106716.404948696</v>
      </c>
    </row>
    <row r="285" spans="1:25" x14ac:dyDescent="0.45">
      <c r="A285" s="5" t="s">
        <v>247</v>
      </c>
      <c r="B285" s="5">
        <v>1282625485.7718599</v>
      </c>
      <c r="C285" s="5">
        <v>1326317410.23648</v>
      </c>
      <c r="D285" s="5">
        <v>981984977.407215</v>
      </c>
      <c r="E285" s="5">
        <v>1052058353.5822001</v>
      </c>
      <c r="F285" s="5">
        <v>225948560.00694501</v>
      </c>
      <c r="G285" s="5">
        <v>631539635.79007602</v>
      </c>
      <c r="H285" s="5">
        <v>525319852.69322801</v>
      </c>
      <c r="I285" s="5">
        <v>2061978321.43959</v>
      </c>
      <c r="J285" s="5">
        <v>525137451.31319898</v>
      </c>
      <c r="K285" s="5">
        <v>1066586669.41468</v>
      </c>
      <c r="L285" s="5">
        <v>172557609.23899001</v>
      </c>
      <c r="M285" s="5">
        <v>1102117519.59217</v>
      </c>
      <c r="N285" s="5">
        <v>1063570563.45215</v>
      </c>
      <c r="O285" s="5">
        <v>714863432.41117597</v>
      </c>
      <c r="P285" s="5">
        <v>796029241.00745499</v>
      </c>
      <c r="Q285" s="5">
        <v>1376554069.9904799</v>
      </c>
      <c r="R285" s="5">
        <v>1005006898.89404</v>
      </c>
      <c r="S285" s="5">
        <v>1193672952.1273601</v>
      </c>
      <c r="T285" s="5">
        <v>421211486.823237</v>
      </c>
      <c r="U285" s="5">
        <v>521454876.24394703</v>
      </c>
      <c r="V285" s="5">
        <v>1031190012.37967</v>
      </c>
      <c r="W285" s="5">
        <v>665611028.05404305</v>
      </c>
      <c r="X285" s="5">
        <v>6506444364.35495</v>
      </c>
      <c r="Y285" s="5">
        <v>1011578443.40563</v>
      </c>
    </row>
    <row r="286" spans="1:25" x14ac:dyDescent="0.45">
      <c r="A286" s="5" t="s">
        <v>248</v>
      </c>
      <c r="B286" s="5">
        <v>53628643.064673297</v>
      </c>
      <c r="C286" s="5">
        <v>25629449.288602199</v>
      </c>
      <c r="D286" s="5">
        <v>36158688.783996202</v>
      </c>
      <c r="E286" s="5">
        <v>47858054.044372797</v>
      </c>
      <c r="F286" s="5">
        <v>58862516.832040697</v>
      </c>
      <c r="G286" s="5">
        <v>112770299.76030099</v>
      </c>
      <c r="H286" s="5">
        <v>23878800.901343402</v>
      </c>
      <c r="I286" s="5">
        <v>1281437819.88797</v>
      </c>
      <c r="J286" s="5">
        <v>49956922.682894498</v>
      </c>
      <c r="K286" s="5">
        <v>158224553.24669701</v>
      </c>
      <c r="L286" s="5">
        <v>140822247.79590401</v>
      </c>
      <c r="M286" s="5">
        <v>112383062.473875</v>
      </c>
      <c r="N286" s="5">
        <v>13196971.095460201</v>
      </c>
      <c r="O286" s="5">
        <v>19797533.861644901</v>
      </c>
      <c r="P286" s="5">
        <v>16282693.640468201</v>
      </c>
      <c r="Q286" s="5">
        <v>28938237.683520202</v>
      </c>
      <c r="R286" s="5">
        <v>31139953.0897827</v>
      </c>
      <c r="S286" s="5">
        <v>30728788.3156964</v>
      </c>
      <c r="T286" s="5">
        <v>47055444.422279701</v>
      </c>
      <c r="U286" s="5">
        <v>28265188.509534899</v>
      </c>
      <c r="V286" s="5">
        <v>24769166.603965499</v>
      </c>
      <c r="W286" s="5">
        <v>32926329.741275899</v>
      </c>
      <c r="X286" s="5">
        <v>88283695.814796299</v>
      </c>
      <c r="Y286" s="5">
        <v>30276212.355697501</v>
      </c>
    </row>
    <row r="287" spans="1:25" x14ac:dyDescent="0.45">
      <c r="A287" s="5" t="s">
        <v>430</v>
      </c>
      <c r="B287" s="5">
        <v>2781884106.04632</v>
      </c>
      <c r="C287" s="5">
        <v>2022112842.5030501</v>
      </c>
      <c r="D287" s="5">
        <v>2361856386.8777399</v>
      </c>
      <c r="E287" s="5">
        <v>2473151802.52144</v>
      </c>
      <c r="F287" s="5">
        <v>2784050629.0967202</v>
      </c>
      <c r="G287" s="5">
        <v>2407737587.7234101</v>
      </c>
      <c r="H287" s="5">
        <v>2584915369.7751398</v>
      </c>
      <c r="I287" s="5">
        <v>2786284597.6461501</v>
      </c>
      <c r="J287" s="5">
        <v>2715764030.9798999</v>
      </c>
      <c r="K287" s="5">
        <v>1916234970.13344</v>
      </c>
      <c r="L287" s="5">
        <v>2727839800.4681001</v>
      </c>
      <c r="M287" s="5">
        <v>2277438615.6809001</v>
      </c>
      <c r="N287" s="5">
        <v>2049104500.22088</v>
      </c>
      <c r="O287" s="5">
        <v>1883198304.2565401</v>
      </c>
      <c r="P287" s="5">
        <v>2121145647.3087101</v>
      </c>
      <c r="Q287" s="5">
        <v>1899363470.4591999</v>
      </c>
      <c r="R287" s="5">
        <v>3004423368.8592501</v>
      </c>
      <c r="S287" s="5">
        <v>2449170480.9198298</v>
      </c>
      <c r="T287" s="5">
        <v>2946832044.0671201</v>
      </c>
      <c r="U287" s="5">
        <v>2707171885.23247</v>
      </c>
      <c r="V287" s="5">
        <v>2014465533.71084</v>
      </c>
      <c r="W287" s="5">
        <v>2885676814.2269702</v>
      </c>
      <c r="X287" s="5">
        <v>2771784616.7982402</v>
      </c>
      <c r="Y287" s="5">
        <v>2809075478.4400301</v>
      </c>
    </row>
    <row r="288" spans="1:25" x14ac:dyDescent="0.45">
      <c r="A288" s="5" t="s">
        <v>379</v>
      </c>
      <c r="B288" s="5">
        <v>29360433.5516489</v>
      </c>
      <c r="C288" s="5">
        <v>47904603.966590598</v>
      </c>
      <c r="D288" s="5">
        <v>46947924.8249759</v>
      </c>
      <c r="E288" s="5">
        <v>23500125.392800599</v>
      </c>
      <c r="F288" s="5">
        <v>22724255.631493799</v>
      </c>
      <c r="G288" s="5">
        <v>24060881.2066103</v>
      </c>
      <c r="H288" s="5">
        <v>22114681.182217199</v>
      </c>
      <c r="I288" s="5">
        <v>145620061.54918301</v>
      </c>
      <c r="J288" s="5">
        <v>21601188.330180101</v>
      </c>
      <c r="K288" s="5">
        <v>109334858.265965</v>
      </c>
      <c r="L288" s="5">
        <v>54060800.822990403</v>
      </c>
      <c r="M288" s="5">
        <v>42382912.938854001</v>
      </c>
      <c r="N288" s="5">
        <v>4742826.7453273702</v>
      </c>
      <c r="O288" s="5">
        <v>20302252.413059499</v>
      </c>
      <c r="P288" s="5">
        <v>12999298.0692745</v>
      </c>
      <c r="Q288" s="5">
        <v>59072234.748084202</v>
      </c>
      <c r="R288" s="5">
        <v>42577800.618979</v>
      </c>
      <c r="S288" s="5">
        <v>50280296.268151499</v>
      </c>
      <c r="T288" s="5">
        <v>23859832.755183101</v>
      </c>
      <c r="U288" s="5">
        <v>23633052.553926598</v>
      </c>
      <c r="V288" s="5">
        <v>23747269.522622399</v>
      </c>
      <c r="W288" s="5">
        <v>24623471.265046101</v>
      </c>
      <c r="X288" s="5">
        <v>457719338.34311497</v>
      </c>
      <c r="Y288" s="5">
        <v>20894490.7358476</v>
      </c>
    </row>
    <row r="289" spans="1:25" x14ac:dyDescent="0.45">
      <c r="A289" s="5" t="s">
        <v>340</v>
      </c>
      <c r="B289" s="5">
        <v>57744816.756365597</v>
      </c>
      <c r="C289" s="5">
        <v>103618481.039524</v>
      </c>
      <c r="D289" s="5">
        <v>94032151.663261503</v>
      </c>
      <c r="E289" s="5">
        <v>81511754.836547896</v>
      </c>
      <c r="F289" s="5">
        <v>102312873.208717</v>
      </c>
      <c r="G289" s="5">
        <v>85875399.052104607</v>
      </c>
      <c r="H289" s="5">
        <v>62498573.831264399</v>
      </c>
      <c r="I289" s="5">
        <v>406576644.97204202</v>
      </c>
      <c r="J289" s="5">
        <v>180161592.59840599</v>
      </c>
      <c r="K289" s="5">
        <v>104584490.44613799</v>
      </c>
      <c r="L289" s="5">
        <v>75259450.241067797</v>
      </c>
      <c r="M289" s="5">
        <v>62662607.125533499</v>
      </c>
      <c r="N289" s="5">
        <v>95630697.156748503</v>
      </c>
      <c r="O289" s="5">
        <v>157527680.43541199</v>
      </c>
      <c r="P289" s="5">
        <v>90409288.202297896</v>
      </c>
      <c r="Q289" s="5">
        <v>81115843.426014498</v>
      </c>
      <c r="R289" s="5">
        <v>101986122.78220899</v>
      </c>
      <c r="S289" s="5">
        <v>84139626.544531107</v>
      </c>
      <c r="T289" s="5">
        <v>85895797.289502203</v>
      </c>
      <c r="U289" s="5">
        <v>106688983.91222499</v>
      </c>
      <c r="V289" s="5">
        <v>111328020.175772</v>
      </c>
      <c r="W289" s="5">
        <v>60938442.877359197</v>
      </c>
      <c r="X289" s="5">
        <v>272944617.63462001</v>
      </c>
      <c r="Y289" s="5">
        <v>60818800.465469301</v>
      </c>
    </row>
    <row r="290" spans="1:25" x14ac:dyDescent="0.45">
      <c r="A290" s="5" t="s">
        <v>249</v>
      </c>
      <c r="B290" s="5">
        <v>20287463.761265699</v>
      </c>
      <c r="C290" s="5">
        <v>23273838.1952173</v>
      </c>
      <c r="D290" s="5">
        <v>30009874.349793602</v>
      </c>
      <c r="E290" s="5">
        <v>12074164.5352506</v>
      </c>
      <c r="F290" s="5">
        <v>16216856.4658603</v>
      </c>
      <c r="G290" s="5">
        <v>16193842.272325801</v>
      </c>
      <c r="H290" s="5">
        <v>16577129.4511126</v>
      </c>
      <c r="I290" s="5">
        <v>17310784.9819916</v>
      </c>
      <c r="J290" s="5">
        <v>20635788.216389999</v>
      </c>
      <c r="K290" s="5">
        <v>7855402.9849528298</v>
      </c>
      <c r="L290" s="5">
        <v>22539603.5081225</v>
      </c>
      <c r="M290" s="5">
        <v>15435629.3307402</v>
      </c>
      <c r="N290" s="5">
        <v>17093313.0824995</v>
      </c>
      <c r="O290" s="5">
        <v>40748801.138119899</v>
      </c>
      <c r="P290" s="5">
        <v>22367716.563317601</v>
      </c>
      <c r="Q290" s="5">
        <v>17263128.262439702</v>
      </c>
      <c r="R290" s="5">
        <v>17839386.396231201</v>
      </c>
      <c r="S290" s="5">
        <v>19547146.732230499</v>
      </c>
      <c r="T290" s="5">
        <v>22895022.568817701</v>
      </c>
      <c r="U290" s="5">
        <v>32139801.810718801</v>
      </c>
      <c r="V290" s="5">
        <v>28882289.582902201</v>
      </c>
      <c r="W290" s="5">
        <v>18172680.9197031</v>
      </c>
      <c r="X290" s="5">
        <v>41389016.4455119</v>
      </c>
      <c r="Y290" s="5">
        <v>16504745.381900501</v>
      </c>
    </row>
    <row r="291" spans="1:25" x14ac:dyDescent="0.45">
      <c r="A291" s="5" t="s">
        <v>250</v>
      </c>
      <c r="B291" s="5">
        <v>6582489.7182328803</v>
      </c>
      <c r="C291" s="5">
        <v>7910769.8641953403</v>
      </c>
      <c r="D291" s="5">
        <v>7309456.6276009697</v>
      </c>
      <c r="E291" s="5">
        <v>4406522.2708662301</v>
      </c>
      <c r="F291" s="5">
        <v>5282220.5723890597</v>
      </c>
      <c r="G291" s="5">
        <v>5592700.5134819997</v>
      </c>
      <c r="H291" s="5">
        <v>6509268.9043255104</v>
      </c>
      <c r="I291" s="5">
        <v>9174959.0175844394</v>
      </c>
      <c r="J291" s="5">
        <v>7058749.11397833</v>
      </c>
      <c r="K291" s="5">
        <v>5132520.6342422701</v>
      </c>
      <c r="L291" s="5">
        <v>6655163.8880392304</v>
      </c>
      <c r="M291" s="5">
        <v>5664879.3784738202</v>
      </c>
      <c r="N291" s="5">
        <v>6962842.99638863</v>
      </c>
      <c r="O291" s="5">
        <v>14210432.072906001</v>
      </c>
      <c r="P291" s="5">
        <v>7663762.7896532603</v>
      </c>
      <c r="Q291" s="5">
        <v>7409370.1783208</v>
      </c>
      <c r="R291" s="5">
        <v>5634182.4758430896</v>
      </c>
      <c r="S291" s="5">
        <v>5870612.9533846602</v>
      </c>
      <c r="T291" s="5">
        <v>7220926.1093969001</v>
      </c>
      <c r="U291" s="5">
        <v>8933810.1879779398</v>
      </c>
      <c r="V291" s="5">
        <v>10748842.1679902</v>
      </c>
      <c r="W291" s="5">
        <v>7844053.4421162298</v>
      </c>
      <c r="X291" s="5">
        <v>11740361.209790699</v>
      </c>
      <c r="Y291" s="5">
        <v>4861262.8699730504</v>
      </c>
    </row>
    <row r="292" spans="1:25" x14ac:dyDescent="0.45">
      <c r="A292" s="5" t="s">
        <v>251</v>
      </c>
      <c r="B292" s="5">
        <v>20261152.8807601</v>
      </c>
      <c r="C292" s="5">
        <v>31678496.6337515</v>
      </c>
      <c r="D292" s="5">
        <v>23801072.840851702</v>
      </c>
      <c r="E292" s="5">
        <v>14931415.638974199</v>
      </c>
      <c r="F292" s="5">
        <v>16596137.6265602</v>
      </c>
      <c r="G292" s="5">
        <v>17435904.491945598</v>
      </c>
      <c r="H292" s="5">
        <v>16883715.4592719</v>
      </c>
      <c r="I292" s="5">
        <v>5904276.0647762604</v>
      </c>
      <c r="J292" s="5">
        <v>16417992.0740408</v>
      </c>
      <c r="K292" s="5">
        <v>9312122.4002869409</v>
      </c>
      <c r="L292" s="5">
        <v>11747481.1527611</v>
      </c>
      <c r="M292" s="5">
        <v>14416044.940037301</v>
      </c>
      <c r="N292" s="5">
        <v>16819400.084429398</v>
      </c>
      <c r="O292" s="5">
        <v>55869724.843057401</v>
      </c>
      <c r="P292" s="5">
        <v>26680103.152468301</v>
      </c>
      <c r="Q292" s="5">
        <v>21671258.795109201</v>
      </c>
      <c r="R292" s="5">
        <v>10351139.8599637</v>
      </c>
      <c r="S292" s="5">
        <v>15509661.781947199</v>
      </c>
      <c r="T292" s="5">
        <v>16705621.555441</v>
      </c>
      <c r="U292" s="5">
        <v>24563952.794160299</v>
      </c>
      <c r="V292" s="5">
        <v>31472355.614672799</v>
      </c>
      <c r="W292" s="5">
        <v>24811408.045945</v>
      </c>
      <c r="X292" s="5">
        <v>19275745.0420774</v>
      </c>
      <c r="Y292" s="5">
        <v>23310617.908939701</v>
      </c>
    </row>
    <row r="293" spans="1:25" x14ac:dyDescent="0.45">
      <c r="A293" s="5" t="s">
        <v>431</v>
      </c>
      <c r="B293" s="5">
        <v>77331908.361558706</v>
      </c>
      <c r="C293" s="5">
        <v>110127789.61466099</v>
      </c>
      <c r="D293" s="5">
        <v>97276167.596957698</v>
      </c>
      <c r="E293" s="5">
        <v>81901105.164370596</v>
      </c>
      <c r="F293" s="5">
        <v>77476510.227758899</v>
      </c>
      <c r="G293" s="5">
        <v>76043145.699558198</v>
      </c>
      <c r="H293" s="5">
        <v>73621474.069603696</v>
      </c>
      <c r="I293" s="5">
        <v>6098602.4691594103</v>
      </c>
      <c r="J293" s="5">
        <v>99799686.571246505</v>
      </c>
      <c r="K293" s="5">
        <v>37158836.500607297</v>
      </c>
      <c r="L293" s="5">
        <v>77245556.558823198</v>
      </c>
      <c r="M293" s="5">
        <v>69426400.735966206</v>
      </c>
      <c r="N293" s="5">
        <v>100623689.34742901</v>
      </c>
      <c r="O293" s="5">
        <v>169604137.41261101</v>
      </c>
      <c r="P293" s="5">
        <v>112755122.59945901</v>
      </c>
      <c r="Q293" s="5">
        <v>107593716.29525299</v>
      </c>
      <c r="R293" s="5">
        <v>63505347.628868401</v>
      </c>
      <c r="S293" s="5">
        <v>84737847.517820895</v>
      </c>
      <c r="T293" s="5">
        <v>137877971.8996</v>
      </c>
      <c r="U293" s="5">
        <v>95878532.922976598</v>
      </c>
      <c r="V293" s="5">
        <v>120433967.583253</v>
      </c>
      <c r="W293" s="5">
        <v>89895452.059759498</v>
      </c>
      <c r="X293" s="5">
        <v>27345119.641146801</v>
      </c>
      <c r="Y293" s="5">
        <v>85350280.672280401</v>
      </c>
    </row>
    <row r="294" spans="1:25" x14ac:dyDescent="0.45">
      <c r="A294" s="5" t="s">
        <v>252</v>
      </c>
      <c r="B294" s="5">
        <v>12027654.9020814</v>
      </c>
      <c r="C294" s="5">
        <v>36040694.981184997</v>
      </c>
      <c r="D294" s="5">
        <v>32390849.410126898</v>
      </c>
      <c r="E294" s="5">
        <v>24001279.691051502</v>
      </c>
      <c r="F294" s="5">
        <v>21808423.043967102</v>
      </c>
      <c r="G294" s="5">
        <v>16777959.732089099</v>
      </c>
      <c r="H294" s="5">
        <v>19771078.807054199</v>
      </c>
      <c r="I294" s="5">
        <v>22396545.171963401</v>
      </c>
      <c r="J294" s="5">
        <v>22440591.3725265</v>
      </c>
      <c r="K294" s="5">
        <v>11419159.416576499</v>
      </c>
      <c r="L294" s="5">
        <v>27404506.265144501</v>
      </c>
      <c r="M294" s="5">
        <v>30056422.739427701</v>
      </c>
      <c r="N294" s="5">
        <v>25206379.6326789</v>
      </c>
      <c r="O294" s="5">
        <v>7101532.3078228598</v>
      </c>
      <c r="P294" s="5">
        <v>19246006.414740998</v>
      </c>
      <c r="Q294" s="5">
        <v>30349088.708369501</v>
      </c>
      <c r="R294" s="5">
        <v>5393919.9730306296</v>
      </c>
      <c r="S294" s="5">
        <v>16464054.169115899</v>
      </c>
      <c r="T294" s="5">
        <v>34177160.402621701</v>
      </c>
      <c r="U294" s="5">
        <v>24498023.3572491</v>
      </c>
      <c r="V294" s="5">
        <v>26588540.3533771</v>
      </c>
      <c r="W294" s="5">
        <v>7024457.8058924796</v>
      </c>
      <c r="X294" s="5">
        <v>30847168.674458999</v>
      </c>
      <c r="Y294" s="5">
        <v>26650603.833377801</v>
      </c>
    </row>
    <row r="295" spans="1:25" x14ac:dyDescent="0.45">
      <c r="A295" s="5" t="s">
        <v>253</v>
      </c>
      <c r="B295" s="5">
        <v>44798263.5939788</v>
      </c>
      <c r="C295" s="5">
        <v>41902315.510949299</v>
      </c>
      <c r="D295" s="5">
        <v>79977565.481968105</v>
      </c>
      <c r="E295" s="5">
        <v>63762613.620208196</v>
      </c>
      <c r="F295" s="5">
        <v>140421430.84349701</v>
      </c>
      <c r="G295" s="5">
        <v>47224606.660487399</v>
      </c>
      <c r="H295" s="5">
        <v>41092686.306788303</v>
      </c>
      <c r="I295" s="5">
        <v>1342993553.76632</v>
      </c>
      <c r="J295" s="5">
        <v>155761120.514285</v>
      </c>
      <c r="K295" s="5">
        <v>367094843.64952397</v>
      </c>
      <c r="L295" s="5">
        <v>163213905.48813</v>
      </c>
      <c r="M295" s="5">
        <v>44204380.914456099</v>
      </c>
      <c r="N295" s="5">
        <v>53277790.659615502</v>
      </c>
      <c r="O295" s="5">
        <v>59280950.2764128</v>
      </c>
      <c r="P295" s="5">
        <v>69213443.081964701</v>
      </c>
      <c r="Q295" s="5">
        <v>44560928.233501501</v>
      </c>
      <c r="R295" s="5">
        <v>124138476.409445</v>
      </c>
      <c r="S295" s="5">
        <v>48375570.884694599</v>
      </c>
      <c r="T295" s="5">
        <v>88668571.886381596</v>
      </c>
      <c r="U295" s="5">
        <v>46181041.0079161</v>
      </c>
      <c r="V295" s="5">
        <v>55890907.067800999</v>
      </c>
      <c r="W295" s="5">
        <v>53737963.3678248</v>
      </c>
      <c r="X295" s="5">
        <v>590071391.43034399</v>
      </c>
      <c r="Y295" s="5">
        <v>46002654.7680922</v>
      </c>
    </row>
    <row r="296" spans="1:25" x14ac:dyDescent="0.45">
      <c r="A296" s="5" t="s">
        <v>254</v>
      </c>
      <c r="B296" s="5">
        <v>56581089.705544397</v>
      </c>
      <c r="C296" s="5">
        <v>57249081.647272199</v>
      </c>
      <c r="D296" s="5">
        <v>69347915.474289</v>
      </c>
      <c r="E296" s="5">
        <v>71262501.215774104</v>
      </c>
      <c r="F296" s="5">
        <v>58618389.302436799</v>
      </c>
      <c r="G296" s="5">
        <v>66869898.903918102</v>
      </c>
      <c r="H296" s="5">
        <v>66066023.9826442</v>
      </c>
      <c r="I296" s="5">
        <v>53824302.078114301</v>
      </c>
      <c r="J296" s="5">
        <v>58912941.068298303</v>
      </c>
      <c r="K296" s="5">
        <v>80398594.300638005</v>
      </c>
      <c r="L296" s="5">
        <v>68660528.092592895</v>
      </c>
      <c r="M296" s="5">
        <v>79540115.399561197</v>
      </c>
      <c r="N296" s="5">
        <v>64673546.811032698</v>
      </c>
      <c r="O296" s="5">
        <v>53224734.932720803</v>
      </c>
      <c r="P296" s="5">
        <v>60857981.421243399</v>
      </c>
      <c r="Q296" s="5">
        <v>76872224.622428</v>
      </c>
      <c r="R296" s="5">
        <v>79721329.823839098</v>
      </c>
      <c r="S296" s="5">
        <v>80182114.958916694</v>
      </c>
      <c r="T296" s="5">
        <v>75364243.265883893</v>
      </c>
      <c r="U296" s="5">
        <v>73068518.199403897</v>
      </c>
      <c r="V296" s="5">
        <v>73832988.898164004</v>
      </c>
      <c r="W296" s="5">
        <v>58631008.768542498</v>
      </c>
      <c r="X296" s="5">
        <v>73152243.1083498</v>
      </c>
      <c r="Y296" s="5">
        <v>8874316.0577988308</v>
      </c>
    </row>
    <row r="297" spans="1:25" x14ac:dyDescent="0.45">
      <c r="A297" s="5" t="s">
        <v>255</v>
      </c>
      <c r="B297" s="5">
        <v>415853.82404431998</v>
      </c>
      <c r="C297" s="5">
        <v>4222098.33147626</v>
      </c>
      <c r="D297" s="5">
        <v>8817642.8216806296</v>
      </c>
      <c r="E297" s="5">
        <v>405648.51345944899</v>
      </c>
      <c r="F297" s="5">
        <v>5426606.2889289604</v>
      </c>
      <c r="G297" s="5">
        <v>478668.62078688602</v>
      </c>
      <c r="H297" s="5">
        <v>265191.46496214299</v>
      </c>
      <c r="I297" s="5">
        <v>5341582.5494862897</v>
      </c>
      <c r="J297" s="5">
        <v>951510.08799191297</v>
      </c>
      <c r="K297" s="5">
        <v>737019.83724680101</v>
      </c>
      <c r="L297" s="5">
        <v>3208850.5316890199</v>
      </c>
      <c r="M297" s="5">
        <v>6459968.2175029796</v>
      </c>
      <c r="N297" s="5">
        <v>292920.41599931999</v>
      </c>
      <c r="O297" s="5">
        <v>225050.77041684199</v>
      </c>
      <c r="P297" s="5">
        <v>146099.756314664</v>
      </c>
      <c r="Q297" s="5">
        <v>7357428.6749438699</v>
      </c>
      <c r="R297" s="5">
        <v>361353.11284843099</v>
      </c>
      <c r="S297" s="5">
        <v>8195333.5519591598</v>
      </c>
      <c r="T297" s="5">
        <v>693136.14571469405</v>
      </c>
      <c r="U297" s="5">
        <v>255723.169140382</v>
      </c>
      <c r="V297" s="5">
        <v>5123745.80024915</v>
      </c>
      <c r="W297" s="5">
        <v>273549.33743663598</v>
      </c>
      <c r="X297" s="5">
        <v>681735415.75797403</v>
      </c>
      <c r="Y297" s="5">
        <v>252765.86789949701</v>
      </c>
    </row>
    <row r="298" spans="1:25" x14ac:dyDescent="0.45">
      <c r="A298" s="5" t="s">
        <v>364</v>
      </c>
      <c r="B298" s="5">
        <v>21299404.494963899</v>
      </c>
      <c r="C298" s="5">
        <v>18508261.816643301</v>
      </c>
      <c r="D298" s="5">
        <v>31320626.806967799</v>
      </c>
      <c r="E298" s="5">
        <v>26092612.028003599</v>
      </c>
      <c r="F298" s="5">
        <v>53258791.401432797</v>
      </c>
      <c r="G298" s="5">
        <v>19481234.574390501</v>
      </c>
      <c r="H298" s="5">
        <v>17900682.217519801</v>
      </c>
      <c r="I298" s="5">
        <v>468252886.60444897</v>
      </c>
      <c r="J298" s="5">
        <v>56059123.405146196</v>
      </c>
      <c r="K298" s="5">
        <v>129056224.204248</v>
      </c>
      <c r="L298" s="5">
        <v>58165558.382093698</v>
      </c>
      <c r="M298" s="5">
        <v>18618919.521948099</v>
      </c>
      <c r="N298" s="5">
        <v>28573973.031166099</v>
      </c>
      <c r="O298" s="5">
        <v>38660580.335234798</v>
      </c>
      <c r="P298" s="5">
        <v>39778546.105101801</v>
      </c>
      <c r="Q298" s="5">
        <v>15700766.651892001</v>
      </c>
      <c r="R298" s="5">
        <v>40294552.810890801</v>
      </c>
      <c r="S298" s="5">
        <v>17010321.255630199</v>
      </c>
      <c r="T298" s="5">
        <v>30208907.331948198</v>
      </c>
      <c r="U298" s="5">
        <v>17624944.3567895</v>
      </c>
      <c r="V298" s="5">
        <v>20197979.301456802</v>
      </c>
      <c r="W298" s="5">
        <v>22096063.649773002</v>
      </c>
      <c r="X298" s="5">
        <v>201019735.27862599</v>
      </c>
      <c r="Y298" s="5">
        <v>31501017.7805827</v>
      </c>
    </row>
    <row r="299" spans="1:25" x14ac:dyDescent="0.45">
      <c r="A299" s="5" t="s">
        <v>256</v>
      </c>
      <c r="B299" s="5">
        <v>2804115.9764161799</v>
      </c>
      <c r="C299" s="5">
        <v>7701584.9973341897</v>
      </c>
      <c r="D299" s="5">
        <v>8867034.1184764206</v>
      </c>
      <c r="E299" s="5">
        <v>15220928.779403901</v>
      </c>
      <c r="F299" s="5">
        <v>109086475.683948</v>
      </c>
      <c r="G299" s="5">
        <v>20815452.150178201</v>
      </c>
      <c r="H299" s="5">
        <v>2339685.30716372</v>
      </c>
      <c r="I299" s="5">
        <v>5855253.4671160802</v>
      </c>
      <c r="J299" s="5">
        <v>1781333.8525944999</v>
      </c>
      <c r="K299" s="5">
        <v>183612435.012187</v>
      </c>
      <c r="L299" s="5">
        <v>25678629.082754601</v>
      </c>
      <c r="M299" s="5">
        <v>5954147.4461604999</v>
      </c>
      <c r="N299" s="5">
        <v>5066853.5763714397</v>
      </c>
      <c r="O299" s="5">
        <v>3218218.0824347399</v>
      </c>
      <c r="P299" s="5">
        <v>11091586.0853144</v>
      </c>
      <c r="Q299" s="5">
        <v>56301743.848038703</v>
      </c>
      <c r="R299" s="5">
        <v>34818325.9837301</v>
      </c>
      <c r="S299" s="5">
        <v>15848850.995100699</v>
      </c>
      <c r="T299" s="5">
        <v>17635303.029474799</v>
      </c>
      <c r="U299" s="5">
        <v>145560748.87936899</v>
      </c>
      <c r="V299" s="5">
        <v>4258349.0793777602</v>
      </c>
      <c r="W299" s="5">
        <v>3070526.4186638598</v>
      </c>
      <c r="X299" s="5">
        <v>6638109.9932640595</v>
      </c>
      <c r="Y299" s="5">
        <v>2578879.1313549099</v>
      </c>
    </row>
    <row r="300" spans="1:25" x14ac:dyDescent="0.45">
      <c r="A300" s="5" t="s">
        <v>341</v>
      </c>
      <c r="B300" s="5">
        <v>4169476.2527526901</v>
      </c>
      <c r="C300" s="5">
        <v>5094647.2882128898</v>
      </c>
      <c r="D300" s="5">
        <v>4763065.2499620104</v>
      </c>
      <c r="E300" s="5">
        <v>6628902.0499152904</v>
      </c>
      <c r="F300" s="5">
        <v>5125359.4674156001</v>
      </c>
      <c r="G300" s="5">
        <v>6521409.5655441098</v>
      </c>
      <c r="H300" s="5">
        <v>5640160.3032451002</v>
      </c>
      <c r="I300" s="5">
        <v>4403459.1805916503</v>
      </c>
      <c r="J300" s="5">
        <v>3917318.6010969202</v>
      </c>
      <c r="K300" s="5">
        <v>7640554.1966983704</v>
      </c>
      <c r="L300" s="5">
        <v>6087594.9369658902</v>
      </c>
      <c r="M300" s="5">
        <v>7685858.9754214603</v>
      </c>
      <c r="N300" s="5">
        <v>7198928.8967289096</v>
      </c>
      <c r="O300" s="5">
        <v>4520126.3068495197</v>
      </c>
      <c r="P300" s="5">
        <v>6820042.7240123702</v>
      </c>
      <c r="Q300" s="5">
        <v>3989714.33630689</v>
      </c>
      <c r="R300" s="5">
        <v>8049301.6800182499</v>
      </c>
      <c r="S300" s="5">
        <v>4041611.1225173399</v>
      </c>
      <c r="T300" s="5">
        <v>6679579.59413171</v>
      </c>
      <c r="U300" s="5">
        <v>7636237.5127344802</v>
      </c>
      <c r="V300" s="5">
        <v>5968755.71933241</v>
      </c>
      <c r="W300" s="5">
        <v>8298980.0827393103</v>
      </c>
      <c r="X300" s="5">
        <v>7337410.5274111601</v>
      </c>
      <c r="Y300" s="5">
        <v>5022252.9842704805</v>
      </c>
    </row>
    <row r="301" spans="1:25" x14ac:dyDescent="0.45">
      <c r="A301" s="5" t="s">
        <v>380</v>
      </c>
      <c r="B301" s="5">
        <v>330295190.77289099</v>
      </c>
      <c r="C301" s="5">
        <v>247547804.564634</v>
      </c>
      <c r="D301" s="5">
        <v>473542882.29224002</v>
      </c>
      <c r="E301" s="5">
        <v>306570891.22738397</v>
      </c>
      <c r="F301" s="5">
        <v>328506139.99653298</v>
      </c>
      <c r="G301" s="5">
        <v>244750410.34977099</v>
      </c>
      <c r="H301" s="5">
        <v>328180588.75646299</v>
      </c>
      <c r="I301" s="5">
        <v>1262801696.57781</v>
      </c>
      <c r="J301" s="5">
        <v>682363044.83611703</v>
      </c>
      <c r="K301" s="5">
        <v>194859191.826621</v>
      </c>
      <c r="L301" s="5">
        <v>419688564.24807698</v>
      </c>
      <c r="M301" s="5">
        <v>182353293.81919399</v>
      </c>
      <c r="N301" s="5">
        <v>378116868.615982</v>
      </c>
      <c r="O301" s="5">
        <v>625232998.92089605</v>
      </c>
      <c r="P301" s="5">
        <v>699689933.67678595</v>
      </c>
      <c r="Q301" s="5">
        <v>230092136.34457201</v>
      </c>
      <c r="R301" s="5">
        <v>459422982.75596601</v>
      </c>
      <c r="S301" s="5">
        <v>472869455.33134103</v>
      </c>
      <c r="T301" s="5">
        <v>518823215.56877702</v>
      </c>
      <c r="U301" s="5">
        <v>382206084.88303697</v>
      </c>
      <c r="V301" s="5">
        <v>523560753.09720403</v>
      </c>
      <c r="W301" s="5">
        <v>446587430.37665898</v>
      </c>
      <c r="X301" s="5">
        <v>789145613.24369597</v>
      </c>
      <c r="Y301" s="5">
        <v>458524849.81944102</v>
      </c>
    </row>
    <row r="302" spans="1:25" x14ac:dyDescent="0.45">
      <c r="A302" s="5" t="s">
        <v>342</v>
      </c>
      <c r="B302" s="5">
        <v>179858065.340487</v>
      </c>
      <c r="C302" s="5">
        <v>128001192.69591101</v>
      </c>
      <c r="D302" s="5">
        <v>141682310.098988</v>
      </c>
      <c r="E302" s="5">
        <v>199892446.51200899</v>
      </c>
      <c r="F302" s="5">
        <v>60807842.1194425</v>
      </c>
      <c r="G302" s="5">
        <v>156408118.74357799</v>
      </c>
      <c r="H302" s="5">
        <v>124016268.20804401</v>
      </c>
      <c r="I302" s="5">
        <v>17015317.366645701</v>
      </c>
      <c r="J302" s="5">
        <v>57335206.193614103</v>
      </c>
      <c r="K302" s="5">
        <v>21431241.1195747</v>
      </c>
      <c r="L302" s="5">
        <v>48713182.876198404</v>
      </c>
      <c r="M302" s="5">
        <v>124378396.87342501</v>
      </c>
      <c r="N302" s="5">
        <v>91098310.752692893</v>
      </c>
      <c r="O302" s="5">
        <v>65932717.924501397</v>
      </c>
      <c r="P302" s="5">
        <v>89353048.519311205</v>
      </c>
      <c r="Q302" s="5">
        <v>244132521.814318</v>
      </c>
      <c r="R302" s="5">
        <v>90950823.747033998</v>
      </c>
      <c r="S302" s="5">
        <v>193661181.04425001</v>
      </c>
      <c r="T302" s="5">
        <v>97533018.597485706</v>
      </c>
      <c r="U302" s="5">
        <v>112500402.89951199</v>
      </c>
      <c r="V302" s="5">
        <v>184154269.63863701</v>
      </c>
      <c r="W302" s="5">
        <v>138950690.770549</v>
      </c>
      <c r="X302" s="5">
        <v>203413161.078437</v>
      </c>
      <c r="Y302" s="5">
        <v>109939281.98171601</v>
      </c>
    </row>
    <row r="303" spans="1:25" x14ac:dyDescent="0.45">
      <c r="A303" s="5" t="s">
        <v>257</v>
      </c>
      <c r="B303" s="5">
        <v>2091971.6002710799</v>
      </c>
      <c r="C303" s="5">
        <v>4099923.2107664198</v>
      </c>
      <c r="D303" s="5">
        <v>2692236.8521276698</v>
      </c>
      <c r="E303" s="5">
        <v>1650769.4580101799</v>
      </c>
      <c r="F303" s="5">
        <v>1357352.7268692299</v>
      </c>
      <c r="G303" s="5">
        <v>2777131.34008695</v>
      </c>
      <c r="H303" s="5">
        <v>2553831.42685962</v>
      </c>
      <c r="I303" s="5">
        <v>4274659.0942031303</v>
      </c>
      <c r="J303" s="5">
        <v>1968556.82456669</v>
      </c>
      <c r="K303" s="5">
        <v>700480.20024347003</v>
      </c>
      <c r="L303" s="5">
        <v>1686869.8047697099</v>
      </c>
      <c r="M303" s="5">
        <v>2250786.9507180899</v>
      </c>
      <c r="N303" s="5">
        <v>5743571.2634213697</v>
      </c>
      <c r="O303" s="5">
        <v>7228601.0521526802</v>
      </c>
      <c r="P303" s="5">
        <v>2580303.98195701</v>
      </c>
      <c r="Q303" s="5">
        <v>3492753.0842098002</v>
      </c>
      <c r="R303" s="5">
        <v>1543954.57295917</v>
      </c>
      <c r="S303" s="5">
        <v>3239324.9804793498</v>
      </c>
      <c r="T303" s="5">
        <v>1506524.2690614399</v>
      </c>
      <c r="U303" s="5">
        <v>5370864.3146018097</v>
      </c>
      <c r="V303" s="5">
        <v>7945797.6236527003</v>
      </c>
      <c r="W303" s="5">
        <v>3512223.8330816198</v>
      </c>
      <c r="X303" s="5">
        <v>1554947.5975927899</v>
      </c>
      <c r="Y303" s="5">
        <v>5221582.2489915099</v>
      </c>
    </row>
    <row r="304" spans="1:25" x14ac:dyDescent="0.45">
      <c r="A304" s="5" t="s">
        <v>258</v>
      </c>
      <c r="B304" s="5">
        <v>109344067.766653</v>
      </c>
      <c r="C304" s="5">
        <v>79633218.046392307</v>
      </c>
      <c r="D304" s="5">
        <v>28580120.249696001</v>
      </c>
      <c r="E304" s="5">
        <v>226272.69887813699</v>
      </c>
      <c r="F304" s="5">
        <v>1746721.69386139</v>
      </c>
      <c r="G304" s="5">
        <v>1034517.08787337</v>
      </c>
      <c r="H304" s="5">
        <v>954999.83709644503</v>
      </c>
      <c r="I304" s="5">
        <v>283671491.23256397</v>
      </c>
      <c r="J304" s="5">
        <v>31336276.857318401</v>
      </c>
      <c r="K304" s="5">
        <v>182797472.54184499</v>
      </c>
      <c r="L304" s="5">
        <v>5859583.86028946</v>
      </c>
      <c r="M304" s="5">
        <v>39099631.7001881</v>
      </c>
      <c r="N304" s="5">
        <v>985132.34254080104</v>
      </c>
      <c r="O304" s="5">
        <v>894687.54018164403</v>
      </c>
      <c r="P304" s="5">
        <v>196319.76997512401</v>
      </c>
      <c r="Q304" s="5">
        <v>343403.00229476299</v>
      </c>
      <c r="R304" s="5">
        <v>52399749.940339297</v>
      </c>
      <c r="S304" s="5">
        <v>1673730.9882922701</v>
      </c>
      <c r="T304" s="5">
        <v>1319629.6211814</v>
      </c>
      <c r="U304" s="5">
        <v>1077146.74975066</v>
      </c>
      <c r="V304" s="5">
        <v>1232862.3333586799</v>
      </c>
      <c r="W304" s="5">
        <v>1390987.8150291501</v>
      </c>
      <c r="X304" s="5">
        <v>3081056238.56142</v>
      </c>
      <c r="Y304" s="5">
        <v>4990668.9044735199</v>
      </c>
    </row>
    <row r="305" spans="1:25" x14ac:dyDescent="0.45">
      <c r="A305" s="5" t="s">
        <v>343</v>
      </c>
      <c r="B305" s="5">
        <v>83788862.453841403</v>
      </c>
      <c r="C305" s="5">
        <v>151980486.57378</v>
      </c>
      <c r="D305" s="5">
        <v>79275439.548187301</v>
      </c>
      <c r="E305" s="5">
        <v>46465344.475340903</v>
      </c>
      <c r="F305" s="5">
        <v>47516007.076315403</v>
      </c>
      <c r="G305" s="5">
        <v>95137940.435774699</v>
      </c>
      <c r="H305" s="5">
        <v>104860245.593373</v>
      </c>
      <c r="I305" s="5">
        <v>137495062.190615</v>
      </c>
      <c r="J305" s="5">
        <v>79295504.530776396</v>
      </c>
      <c r="K305" s="5">
        <v>20135240.359387401</v>
      </c>
      <c r="L305" s="5">
        <v>61483373.476779297</v>
      </c>
      <c r="M305" s="5">
        <v>79622671.163378596</v>
      </c>
      <c r="N305" s="5">
        <v>148822249.40904099</v>
      </c>
      <c r="O305" s="5">
        <v>238471943.020201</v>
      </c>
      <c r="P305" s="5">
        <v>76436683.520170897</v>
      </c>
      <c r="Q305" s="5">
        <v>110228231.45187999</v>
      </c>
      <c r="R305" s="5">
        <v>46476733.795880601</v>
      </c>
      <c r="S305" s="5">
        <v>125115568.54825801</v>
      </c>
      <c r="T305" s="5">
        <v>51846015.574450798</v>
      </c>
      <c r="U305" s="5">
        <v>181254458.52300799</v>
      </c>
      <c r="V305" s="5">
        <v>284492560.62475699</v>
      </c>
      <c r="W305" s="5">
        <v>119045774.99996801</v>
      </c>
      <c r="X305" s="5">
        <v>70197579.439203501</v>
      </c>
      <c r="Y305" s="5">
        <v>165033371.20594499</v>
      </c>
    </row>
    <row r="306" spans="1:25" x14ac:dyDescent="0.45">
      <c r="A306" s="5" t="s">
        <v>259</v>
      </c>
      <c r="B306" s="5">
        <v>38860233.408805303</v>
      </c>
      <c r="C306" s="5">
        <v>119289353.099636</v>
      </c>
      <c r="D306" s="5">
        <v>109306252.85706399</v>
      </c>
      <c r="E306" s="5">
        <v>63821365.158321202</v>
      </c>
      <c r="F306" s="5">
        <v>55387414.075992502</v>
      </c>
      <c r="G306" s="5">
        <v>61792029.368285</v>
      </c>
      <c r="H306" s="5">
        <v>49573529.593229704</v>
      </c>
      <c r="I306" s="5">
        <v>47678503.737459198</v>
      </c>
      <c r="J306" s="5">
        <v>58538179.916436799</v>
      </c>
      <c r="K306" s="5">
        <v>52635007.2468675</v>
      </c>
      <c r="L306" s="5">
        <v>68208623.052141801</v>
      </c>
      <c r="M306" s="5">
        <v>81885956.712378904</v>
      </c>
      <c r="N306" s="5">
        <v>82104792.339865103</v>
      </c>
      <c r="O306" s="5">
        <v>63145527.9777252</v>
      </c>
      <c r="P306" s="5">
        <v>53858410.108779199</v>
      </c>
      <c r="Q306" s="5">
        <v>86100098.179172203</v>
      </c>
      <c r="R306" s="5">
        <v>16060655.733490899</v>
      </c>
      <c r="S306" s="5">
        <v>84041555.778246105</v>
      </c>
      <c r="T306" s="5">
        <v>90791417.079363704</v>
      </c>
      <c r="U306" s="5">
        <v>64067200.326754399</v>
      </c>
      <c r="V306" s="5">
        <v>76079879.971498802</v>
      </c>
      <c r="W306" s="5">
        <v>61193241.496804297</v>
      </c>
      <c r="X306" s="5">
        <v>18529485.884183999</v>
      </c>
      <c r="Y306" s="5">
        <v>54904697.236539602</v>
      </c>
    </row>
    <row r="307" spans="1:25" x14ac:dyDescent="0.45">
      <c r="A307" s="5" t="s">
        <v>381</v>
      </c>
      <c r="B307" s="5">
        <v>410776344.258964</v>
      </c>
      <c r="C307" s="5">
        <v>1076425132.7044101</v>
      </c>
      <c r="D307" s="5">
        <v>1351307569.0669701</v>
      </c>
      <c r="E307" s="5">
        <v>729037541.80488396</v>
      </c>
      <c r="F307" s="5">
        <v>652182828.37081003</v>
      </c>
      <c r="G307" s="5">
        <v>755257503.88906705</v>
      </c>
      <c r="H307" s="5">
        <v>713413908.20195496</v>
      </c>
      <c r="I307" s="5">
        <v>2716240624.2409902</v>
      </c>
      <c r="J307" s="5">
        <v>1165116400.3108399</v>
      </c>
      <c r="K307" s="5">
        <v>1668975262.33988</v>
      </c>
      <c r="L307" s="5">
        <v>2350519965.1125398</v>
      </c>
      <c r="M307" s="5">
        <v>902705379.29503095</v>
      </c>
      <c r="N307" s="5">
        <v>855517857.65337205</v>
      </c>
      <c r="O307" s="5">
        <v>970153477.18989098</v>
      </c>
      <c r="P307" s="5">
        <v>1158433875.31371</v>
      </c>
      <c r="Q307" s="5">
        <v>1611559582.46698</v>
      </c>
      <c r="R307" s="5">
        <v>1741882685.2286</v>
      </c>
      <c r="S307" s="5">
        <v>1284999214.0009401</v>
      </c>
      <c r="T307" s="5">
        <v>609548420.84476101</v>
      </c>
      <c r="U307" s="5">
        <v>493508879.515939</v>
      </c>
      <c r="V307" s="5">
        <v>339974609.37639499</v>
      </c>
      <c r="W307" s="5">
        <v>714492445.66720295</v>
      </c>
      <c r="X307" s="5">
        <v>2665990673.5538201</v>
      </c>
      <c r="Y307" s="5">
        <v>719404830.64741397</v>
      </c>
    </row>
    <row r="308" spans="1:25" x14ac:dyDescent="0.45">
      <c r="A308" s="5" t="s">
        <v>260</v>
      </c>
      <c r="B308" s="5">
        <v>64554483.620576702</v>
      </c>
      <c r="C308" s="5">
        <v>47247790.376309</v>
      </c>
      <c r="D308" s="5">
        <v>61750561.506377399</v>
      </c>
      <c r="E308" s="5">
        <v>88428781.016184494</v>
      </c>
      <c r="F308" s="5">
        <v>93783369.979610994</v>
      </c>
      <c r="G308" s="5">
        <v>58196471.018140003</v>
      </c>
      <c r="H308" s="5">
        <v>55383933.350595199</v>
      </c>
      <c r="I308" s="5">
        <v>136907166.71377999</v>
      </c>
      <c r="J308" s="5">
        <v>152155516.64628601</v>
      </c>
      <c r="K308" s="5">
        <v>70374658.763059497</v>
      </c>
      <c r="L308" s="5">
        <v>84905556.536583602</v>
      </c>
      <c r="M308" s="5">
        <v>57097745.046199001</v>
      </c>
      <c r="N308" s="5">
        <v>15544951.992878299</v>
      </c>
      <c r="O308" s="5">
        <v>41020315.104681402</v>
      </c>
      <c r="P308" s="5">
        <v>60355517.211839803</v>
      </c>
      <c r="Q308" s="5">
        <v>56029533.371792197</v>
      </c>
      <c r="R308" s="5">
        <v>67622896.143675506</v>
      </c>
      <c r="S308" s="5">
        <v>63653852.193744697</v>
      </c>
      <c r="T308" s="5">
        <v>55528104.848903403</v>
      </c>
      <c r="U308" s="5">
        <v>52959798.804054201</v>
      </c>
      <c r="V308" s="5">
        <v>53303110.724302702</v>
      </c>
      <c r="W308" s="5">
        <v>68101773.077913806</v>
      </c>
      <c r="X308" s="5">
        <v>111840072.32791799</v>
      </c>
      <c r="Y308" s="5">
        <v>118849261.62804601</v>
      </c>
    </row>
    <row r="309" spans="1:25" x14ac:dyDescent="0.45">
      <c r="A309" s="5" t="s">
        <v>344</v>
      </c>
      <c r="B309" s="5">
        <v>24420411.896585599</v>
      </c>
      <c r="C309" s="5">
        <v>21796254.4976255</v>
      </c>
      <c r="D309" s="5">
        <v>17431936.228955802</v>
      </c>
      <c r="E309" s="5">
        <v>12123923.5548389</v>
      </c>
      <c r="F309" s="5">
        <v>7534820.9501109598</v>
      </c>
      <c r="G309" s="5">
        <v>15914999.667461701</v>
      </c>
      <c r="H309" s="5">
        <v>16742022.715652199</v>
      </c>
      <c r="I309" s="5">
        <v>18180161.341264602</v>
      </c>
      <c r="J309" s="5">
        <v>9099926.8630479407</v>
      </c>
      <c r="K309" s="5">
        <v>13721702.5252956</v>
      </c>
      <c r="L309" s="5">
        <v>18826442.314721901</v>
      </c>
      <c r="M309" s="5">
        <v>15612115.4386288</v>
      </c>
      <c r="N309" s="5">
        <v>36871367.098135702</v>
      </c>
      <c r="O309" s="5">
        <v>13138718.268335</v>
      </c>
      <c r="P309" s="5">
        <v>10792408.764344901</v>
      </c>
      <c r="Q309" s="5">
        <v>25987600.039234601</v>
      </c>
      <c r="R309" s="5">
        <v>15900277.2079098</v>
      </c>
      <c r="S309" s="5">
        <v>25697083.255845301</v>
      </c>
      <c r="T309" s="5">
        <v>12936604.166837299</v>
      </c>
      <c r="U309" s="5">
        <v>14282457.4931123</v>
      </c>
      <c r="V309" s="5">
        <v>23137339.9335844</v>
      </c>
      <c r="W309" s="5">
        <v>13253354.908874501</v>
      </c>
      <c r="X309" s="5">
        <v>32902002.272190001</v>
      </c>
      <c r="Y309" s="5">
        <v>15639620.733053099</v>
      </c>
    </row>
    <row r="310" spans="1:25" x14ac:dyDescent="0.45">
      <c r="A310" s="5" t="s">
        <v>261</v>
      </c>
      <c r="B310" s="5">
        <v>38101809.062947601</v>
      </c>
      <c r="C310" s="5">
        <v>57005241.206188403</v>
      </c>
      <c r="D310" s="5">
        <v>41065699.137460701</v>
      </c>
      <c r="E310" s="5">
        <v>26322652.126909699</v>
      </c>
      <c r="F310" s="5">
        <v>15432294.712768801</v>
      </c>
      <c r="G310" s="5">
        <v>15026046.526837301</v>
      </c>
      <c r="H310" s="5">
        <v>18485097.9532336</v>
      </c>
      <c r="I310" s="5">
        <v>10360423.4475896</v>
      </c>
      <c r="J310" s="5">
        <v>18923832.492162399</v>
      </c>
      <c r="K310" s="5">
        <v>8108194.2334102504</v>
      </c>
      <c r="L310" s="5">
        <v>19846423.878804501</v>
      </c>
      <c r="M310" s="5">
        <v>29508816.020964202</v>
      </c>
      <c r="N310" s="5">
        <v>45865079.852921598</v>
      </c>
      <c r="O310" s="5">
        <v>117637458.535181</v>
      </c>
      <c r="P310" s="5">
        <v>32869845.604799598</v>
      </c>
      <c r="Q310" s="5">
        <v>49900950.193298697</v>
      </c>
      <c r="R310" s="5">
        <v>11845849.550209001</v>
      </c>
      <c r="S310" s="5">
        <v>39229513.517091803</v>
      </c>
      <c r="T310" s="5">
        <v>29950636.606283799</v>
      </c>
      <c r="U310" s="5">
        <v>20375602.1199436</v>
      </c>
      <c r="V310" s="5">
        <v>68116895.609608993</v>
      </c>
      <c r="W310" s="5">
        <v>20878580.6014576</v>
      </c>
      <c r="X310" s="5">
        <v>15622474.181896901</v>
      </c>
      <c r="Y310" s="5">
        <v>29231993.361180902</v>
      </c>
    </row>
    <row r="311" spans="1:25" x14ac:dyDescent="0.45">
      <c r="A311" s="5" t="s">
        <v>262</v>
      </c>
      <c r="B311" s="5">
        <v>8729085.5788252391</v>
      </c>
      <c r="C311" s="5">
        <v>21777501.829897501</v>
      </c>
      <c r="D311" s="5">
        <v>8427042.8510943092</v>
      </c>
      <c r="E311" s="5">
        <v>4261894.3453272404</v>
      </c>
      <c r="F311" s="5">
        <v>5218431.4926774697</v>
      </c>
      <c r="G311" s="5">
        <v>10615138.383888001</v>
      </c>
      <c r="H311" s="5">
        <v>13267000.914238799</v>
      </c>
      <c r="I311" s="5">
        <v>2211560.9297142602</v>
      </c>
      <c r="J311" s="5">
        <v>5009894.1711566905</v>
      </c>
      <c r="K311" s="5">
        <v>1630691.39541668</v>
      </c>
      <c r="L311" s="5">
        <v>4697302.4965305096</v>
      </c>
      <c r="M311" s="5">
        <v>9251087.0767194908</v>
      </c>
      <c r="N311" s="5">
        <v>16228560.932099599</v>
      </c>
      <c r="O311" s="5">
        <v>38400113.236741297</v>
      </c>
      <c r="P311" s="5">
        <v>19972677.109755699</v>
      </c>
      <c r="Q311" s="5">
        <v>14754123.848146001</v>
      </c>
      <c r="R311" s="5">
        <v>2642182.6571032801</v>
      </c>
      <c r="S311" s="5">
        <v>10312149.825652201</v>
      </c>
      <c r="T311" s="5">
        <v>8002829.2953228904</v>
      </c>
      <c r="U311" s="5">
        <v>15507659.901302001</v>
      </c>
      <c r="V311" s="5">
        <v>22209608.020511001</v>
      </c>
      <c r="W311" s="5">
        <v>18392585.072953299</v>
      </c>
      <c r="X311" s="5">
        <v>3397401.5786062502</v>
      </c>
      <c r="Y311" s="5">
        <v>16251289.4490145</v>
      </c>
    </row>
    <row r="312" spans="1:25" x14ac:dyDescent="0.45">
      <c r="A312" s="5" t="s">
        <v>263</v>
      </c>
      <c r="B312" s="5">
        <v>26833022.403499</v>
      </c>
      <c r="C312" s="5">
        <v>76706623.657701403</v>
      </c>
      <c r="D312" s="5">
        <v>78399101.060773805</v>
      </c>
      <c r="E312" s="5">
        <v>36012407.4642727</v>
      </c>
      <c r="F312" s="5">
        <v>48845447.1810022</v>
      </c>
      <c r="G312" s="5">
        <v>57441372.642011501</v>
      </c>
      <c r="H312" s="5">
        <v>86023344.1223028</v>
      </c>
      <c r="I312" s="5">
        <v>285232711.28207803</v>
      </c>
      <c r="J312" s="5">
        <v>108841394.064934</v>
      </c>
      <c r="K312" s="5">
        <v>51964566.608068801</v>
      </c>
      <c r="L312" s="5">
        <v>66775328.579650298</v>
      </c>
      <c r="M312" s="5">
        <v>52848221.326458603</v>
      </c>
      <c r="N312" s="5">
        <v>144001713.24734601</v>
      </c>
      <c r="O312" s="5">
        <v>175605325.70991799</v>
      </c>
      <c r="P312" s="5">
        <v>132775504.533187</v>
      </c>
      <c r="Q312" s="5">
        <v>67357184.633039907</v>
      </c>
      <c r="R312" s="5">
        <v>60081332.058307096</v>
      </c>
      <c r="S312" s="5">
        <v>100419891.962354</v>
      </c>
      <c r="T312" s="5">
        <v>65110765.865493603</v>
      </c>
      <c r="U312" s="5">
        <v>88889982.194021896</v>
      </c>
      <c r="V312" s="5">
        <v>196282320.82067299</v>
      </c>
      <c r="W312" s="5">
        <v>109091052.773369</v>
      </c>
      <c r="X312" s="5">
        <v>55854790.418788299</v>
      </c>
      <c r="Y312" s="5">
        <v>98739826.402540699</v>
      </c>
    </row>
    <row r="313" spans="1:25" x14ac:dyDescent="0.45">
      <c r="A313" s="5" t="s">
        <v>264</v>
      </c>
      <c r="B313" s="5">
        <v>1575661.3439252099</v>
      </c>
      <c r="C313" s="5">
        <v>13030002.354714001</v>
      </c>
      <c r="D313" s="5">
        <v>8589646.8059511706</v>
      </c>
      <c r="E313" s="5">
        <v>8316334.0311045405</v>
      </c>
      <c r="F313" s="5">
        <v>10988799.8292538</v>
      </c>
      <c r="G313" s="5">
        <v>15307329.913411999</v>
      </c>
      <c r="H313" s="5">
        <v>7348780.1762407403</v>
      </c>
      <c r="I313" s="5">
        <v>13330518.832748201</v>
      </c>
      <c r="J313" s="5">
        <v>15656569.510358401</v>
      </c>
      <c r="K313" s="5">
        <v>7283409.2351807198</v>
      </c>
      <c r="L313" s="5">
        <v>8673902.4127563201</v>
      </c>
      <c r="M313" s="5">
        <v>11238269.9051945</v>
      </c>
      <c r="N313" s="5">
        <v>17002639.641451702</v>
      </c>
      <c r="O313" s="5">
        <v>36772761.297183603</v>
      </c>
      <c r="P313" s="5">
        <v>5918745.8499878095</v>
      </c>
      <c r="Q313" s="5">
        <v>8105619.4065397503</v>
      </c>
      <c r="R313" s="5">
        <v>15763000.275582399</v>
      </c>
      <c r="S313" s="5">
        <v>13114112.0272475</v>
      </c>
      <c r="T313" s="5">
        <v>13176967.8664736</v>
      </c>
      <c r="U313" s="5">
        <v>15110060.3422173</v>
      </c>
      <c r="V313" s="5">
        <v>41097685.153151803</v>
      </c>
      <c r="W313" s="5">
        <v>14776672.8103444</v>
      </c>
      <c r="X313" s="5">
        <v>25739567.675153598</v>
      </c>
      <c r="Y313" s="5">
        <v>13121061.981438501</v>
      </c>
    </row>
    <row r="314" spans="1:25" x14ac:dyDescent="0.45">
      <c r="A314" s="5" t="s">
        <v>265</v>
      </c>
      <c r="B314" s="5">
        <v>9310527.4579635095</v>
      </c>
      <c r="C314" s="5">
        <v>6125493.0116098803</v>
      </c>
      <c r="D314" s="5">
        <v>9755451.6411314402</v>
      </c>
      <c r="E314" s="5">
        <v>6003318.4067804599</v>
      </c>
      <c r="F314" s="5">
        <v>4362775.4336820496</v>
      </c>
      <c r="G314" s="5">
        <v>3788599.7998847798</v>
      </c>
      <c r="H314" s="5">
        <v>5703794.5077758403</v>
      </c>
      <c r="I314" s="5">
        <v>60327458.628802598</v>
      </c>
      <c r="J314" s="5">
        <v>19724773.689964801</v>
      </c>
      <c r="K314" s="5">
        <v>20811171.2424936</v>
      </c>
      <c r="L314" s="5">
        <v>28064298.502013098</v>
      </c>
      <c r="M314" s="5">
        <v>30502061.151590999</v>
      </c>
      <c r="N314" s="5">
        <v>10517970.9838157</v>
      </c>
      <c r="O314" s="5">
        <v>10825472.712313401</v>
      </c>
      <c r="P314" s="5">
        <v>3357238.3937272602</v>
      </c>
      <c r="Q314" s="5">
        <v>21550598.250023998</v>
      </c>
      <c r="R314" s="5">
        <v>14209288.616236299</v>
      </c>
      <c r="S314" s="5">
        <v>22348404.065236099</v>
      </c>
      <c r="T314" s="5">
        <v>28572968.6658126</v>
      </c>
      <c r="U314" s="5">
        <v>10999927.897210401</v>
      </c>
      <c r="V314" s="5">
        <v>13027081.754172999</v>
      </c>
      <c r="W314" s="5">
        <v>22197577.026346199</v>
      </c>
      <c r="X314" s="5">
        <v>175462763.64713901</v>
      </c>
      <c r="Y314" s="5">
        <v>18826992.741494499</v>
      </c>
    </row>
    <row r="315" spans="1:25" x14ac:dyDescent="0.45">
      <c r="A315" s="5" t="s">
        <v>266</v>
      </c>
      <c r="B315" s="5">
        <v>3319814.8830569098</v>
      </c>
      <c r="C315" s="5">
        <v>3173772.5845993198</v>
      </c>
      <c r="D315" s="5">
        <v>4060676.8654728699</v>
      </c>
      <c r="E315" s="5">
        <v>8170943.52013388</v>
      </c>
      <c r="F315" s="5">
        <v>4225297.3071432598</v>
      </c>
      <c r="G315" s="5">
        <v>6998107.1197186196</v>
      </c>
      <c r="H315" s="5">
        <v>3822753.92935722</v>
      </c>
      <c r="I315" s="5">
        <v>5662856.7636838704</v>
      </c>
      <c r="J315" s="5">
        <v>3215221.89992079</v>
      </c>
      <c r="K315" s="5">
        <v>2703478.0740074799</v>
      </c>
      <c r="L315" s="5">
        <v>2822364.8042896902</v>
      </c>
      <c r="M315" s="5">
        <v>2959576.5278163799</v>
      </c>
      <c r="N315" s="5">
        <v>2595098.0847189901</v>
      </c>
      <c r="O315" s="5">
        <v>3400152.18455783</v>
      </c>
      <c r="P315" s="5">
        <v>1797145.8261267301</v>
      </c>
      <c r="Q315" s="5">
        <v>2089199.6539563299</v>
      </c>
      <c r="R315" s="5">
        <v>4787407.88974497</v>
      </c>
      <c r="S315" s="5">
        <v>3917468.34362324</v>
      </c>
      <c r="T315" s="5">
        <v>4157980.6832550098</v>
      </c>
      <c r="U315" s="5">
        <v>4769839.96801663</v>
      </c>
      <c r="V315" s="5">
        <v>2975898.5454593101</v>
      </c>
      <c r="W315" s="5">
        <v>2515432.7636970901</v>
      </c>
      <c r="X315" s="5">
        <v>4444589.6368441796</v>
      </c>
      <c r="Y315" s="5">
        <v>2413031.6273250501</v>
      </c>
    </row>
    <row r="316" spans="1:25" x14ac:dyDescent="0.45">
      <c r="A316" s="5" t="s">
        <v>345</v>
      </c>
      <c r="B316" s="5">
        <v>6762517.8154239403</v>
      </c>
      <c r="C316" s="5">
        <v>22562784.8398927</v>
      </c>
      <c r="D316" s="5">
        <v>13893940.328340599</v>
      </c>
      <c r="E316" s="5">
        <v>8455178.7578755207</v>
      </c>
      <c r="F316" s="5">
        <v>9993666.1875196397</v>
      </c>
      <c r="G316" s="5">
        <v>9180498.6868375707</v>
      </c>
      <c r="H316" s="5">
        <v>6101919.7622449398</v>
      </c>
      <c r="I316" s="5">
        <v>66159021.763088398</v>
      </c>
      <c r="J316" s="5">
        <v>14064218.2920988</v>
      </c>
      <c r="K316" s="5">
        <v>18450141.332228798</v>
      </c>
      <c r="L316" s="5">
        <v>19324234.402107202</v>
      </c>
      <c r="M316" s="5">
        <v>12798995.4625035</v>
      </c>
      <c r="N316" s="5">
        <v>32686148.854828801</v>
      </c>
      <c r="O316" s="5">
        <v>10530655.0657518</v>
      </c>
      <c r="P316" s="5">
        <v>29057840.044536401</v>
      </c>
      <c r="Q316" s="5">
        <v>14919690.2967517</v>
      </c>
      <c r="R316" s="5">
        <v>126057305.36759201</v>
      </c>
      <c r="S316" s="5">
        <v>9413537.8031680603</v>
      </c>
      <c r="T316" s="5">
        <v>16690654.1051649</v>
      </c>
      <c r="U316" s="5">
        <v>39465785.215233698</v>
      </c>
      <c r="V316" s="5">
        <v>9680204.31358096</v>
      </c>
      <c r="W316" s="5">
        <v>11184316.588002499</v>
      </c>
      <c r="X316" s="5">
        <v>30120989.880991999</v>
      </c>
      <c r="Y316" s="5">
        <v>9591209.0516504906</v>
      </c>
    </row>
    <row r="317" spans="1:25" x14ac:dyDescent="0.45">
      <c r="A317" s="5" t="s">
        <v>365</v>
      </c>
      <c r="B317" s="5">
        <v>94258287.626168102</v>
      </c>
      <c r="C317" s="5">
        <v>99979794.197904497</v>
      </c>
      <c r="D317" s="5">
        <v>149750988.920091</v>
      </c>
      <c r="E317" s="5">
        <v>84127044.597795606</v>
      </c>
      <c r="F317" s="5">
        <v>512317684.72862399</v>
      </c>
      <c r="G317" s="5">
        <v>77280695.050330803</v>
      </c>
      <c r="H317" s="5">
        <v>83018416.841554195</v>
      </c>
      <c r="I317" s="5">
        <v>138939650.80507699</v>
      </c>
      <c r="J317" s="5">
        <v>69526757.624575794</v>
      </c>
      <c r="K317" s="5">
        <v>397187445.853625</v>
      </c>
      <c r="L317" s="5">
        <v>73015756.110063195</v>
      </c>
      <c r="M317" s="5">
        <v>84303662.3623835</v>
      </c>
      <c r="N317" s="5">
        <v>66613135.536649004</v>
      </c>
      <c r="O317" s="5">
        <v>105908124.16636001</v>
      </c>
      <c r="P317" s="5">
        <v>67716235.527245507</v>
      </c>
      <c r="Q317" s="5">
        <v>162950338.682547</v>
      </c>
      <c r="R317" s="5">
        <v>128385904.661992</v>
      </c>
      <c r="S317" s="5">
        <v>89941648.393560499</v>
      </c>
      <c r="T317" s="5">
        <v>80132602.4842439</v>
      </c>
      <c r="U317" s="5">
        <v>66199434.529382199</v>
      </c>
      <c r="V317" s="5">
        <v>68454517.730714202</v>
      </c>
      <c r="W317" s="5">
        <v>95073280.505669206</v>
      </c>
      <c r="X317" s="5">
        <v>71766663.091087997</v>
      </c>
      <c r="Y317" s="5">
        <v>98989951.341910005</v>
      </c>
    </row>
    <row r="318" spans="1:25" x14ac:dyDescent="0.45">
      <c r="A318" s="5" t="s">
        <v>366</v>
      </c>
      <c r="B318" s="5">
        <v>106701226.88316301</v>
      </c>
      <c r="C318" s="5">
        <v>376180619.03927702</v>
      </c>
      <c r="D318" s="5">
        <v>189192645.106924</v>
      </c>
      <c r="E318" s="5">
        <v>94059921.715687096</v>
      </c>
      <c r="F318" s="5">
        <v>99971417.985643998</v>
      </c>
      <c r="G318" s="5">
        <v>151565010.528483</v>
      </c>
      <c r="H318" s="5">
        <v>224495515.380624</v>
      </c>
      <c r="I318" s="5">
        <v>72241197.738151103</v>
      </c>
      <c r="J318" s="5">
        <v>43975615.227279097</v>
      </c>
      <c r="K318" s="5">
        <v>84115750.199458495</v>
      </c>
      <c r="L318" s="5">
        <v>41479289.822878197</v>
      </c>
      <c r="M318" s="5">
        <v>743408766.58459401</v>
      </c>
      <c r="N318" s="5">
        <v>246610405.51157501</v>
      </c>
      <c r="O318" s="5">
        <v>773499585.53151596</v>
      </c>
      <c r="P318" s="5">
        <v>106458037.207718</v>
      </c>
      <c r="Q318" s="5">
        <v>599809177.03420401</v>
      </c>
      <c r="R318" s="5">
        <v>73365135.058835402</v>
      </c>
      <c r="S318" s="5">
        <v>336442997.81894797</v>
      </c>
      <c r="T318" s="5">
        <v>77622871.113451704</v>
      </c>
      <c r="U318" s="5">
        <v>316871185.29827601</v>
      </c>
      <c r="V318" s="5">
        <v>559782456.36326694</v>
      </c>
      <c r="W318" s="5">
        <v>185820540.96911201</v>
      </c>
      <c r="X318" s="5">
        <v>618636281.81357098</v>
      </c>
      <c r="Y318" s="5">
        <v>87230062.124756098</v>
      </c>
    </row>
    <row r="319" spans="1:25" x14ac:dyDescent="0.45">
      <c r="A319" s="5" t="s">
        <v>346</v>
      </c>
      <c r="B319" s="5">
        <v>11659563.108562</v>
      </c>
      <c r="C319" s="5">
        <v>40948494.129361503</v>
      </c>
      <c r="D319" s="5">
        <v>25344217.868834101</v>
      </c>
      <c r="E319" s="5">
        <v>26236019.635216601</v>
      </c>
      <c r="F319" s="5">
        <v>19436902.2638762</v>
      </c>
      <c r="G319" s="5">
        <v>45934697.253875002</v>
      </c>
      <c r="H319" s="5">
        <v>41710909.380718596</v>
      </c>
      <c r="I319" s="5">
        <v>327645900.34907699</v>
      </c>
      <c r="J319" s="5">
        <v>33497982.049189702</v>
      </c>
      <c r="K319" s="5">
        <v>31551635.834705699</v>
      </c>
      <c r="L319" s="5">
        <v>14900819.272639399</v>
      </c>
      <c r="M319" s="5">
        <v>34864479.964639097</v>
      </c>
      <c r="N319" s="5">
        <v>41420319.155082099</v>
      </c>
      <c r="O319" s="5">
        <v>60646942.396182701</v>
      </c>
      <c r="P319" s="5">
        <v>23331694.5996489</v>
      </c>
      <c r="Q319" s="5">
        <v>42545981.667694204</v>
      </c>
      <c r="R319" s="5">
        <v>18875531.080013499</v>
      </c>
      <c r="S319" s="5">
        <v>46548861.692376003</v>
      </c>
      <c r="T319" s="5">
        <v>16022671.5829085</v>
      </c>
      <c r="U319" s="5">
        <v>18727160.8277569</v>
      </c>
      <c r="V319" s="5">
        <v>22885897.403372299</v>
      </c>
      <c r="W319" s="5">
        <v>21397869.659687899</v>
      </c>
      <c r="X319" s="5">
        <v>282552890.60543299</v>
      </c>
      <c r="Y319" s="5">
        <v>18419079.481771</v>
      </c>
    </row>
    <row r="320" spans="1:25" x14ac:dyDescent="0.45">
      <c r="A320" s="5" t="s">
        <v>347</v>
      </c>
      <c r="B320" s="5">
        <v>2032091893.0416701</v>
      </c>
      <c r="C320" s="5">
        <v>914868392.56221604</v>
      </c>
      <c r="D320" s="5">
        <v>512088260.87436998</v>
      </c>
      <c r="E320" s="5">
        <v>556220371.23461294</v>
      </c>
      <c r="F320" s="5">
        <v>339859206.62750602</v>
      </c>
      <c r="G320" s="5">
        <v>222194754.85953099</v>
      </c>
      <c r="H320" s="5">
        <v>734818433.48469198</v>
      </c>
      <c r="I320" s="5">
        <v>4254212271.5663199</v>
      </c>
      <c r="J320" s="5">
        <v>579195898.60130799</v>
      </c>
      <c r="K320" s="5">
        <v>153110130.05842099</v>
      </c>
      <c r="L320" s="5">
        <v>100268908.170366</v>
      </c>
      <c r="M320" s="5">
        <v>320327957.88777298</v>
      </c>
      <c r="N320" s="5">
        <v>948711893.66633904</v>
      </c>
      <c r="O320" s="5">
        <v>1444119148.30284</v>
      </c>
      <c r="P320" s="5">
        <v>1242466602.25967</v>
      </c>
      <c r="Q320" s="5">
        <v>673772146.79470003</v>
      </c>
      <c r="R320" s="5">
        <v>249712838.89516699</v>
      </c>
      <c r="S320" s="5">
        <v>473323076.79872602</v>
      </c>
      <c r="T320" s="5">
        <v>579600634.61956799</v>
      </c>
      <c r="U320" s="5">
        <v>1358261750.5143299</v>
      </c>
      <c r="V320" s="5">
        <v>1479070162.6781299</v>
      </c>
      <c r="W320" s="5">
        <v>1296818520.8919899</v>
      </c>
      <c r="X320" s="5">
        <v>243240290.361947</v>
      </c>
      <c r="Y320" s="5">
        <v>915773433.18106401</v>
      </c>
    </row>
    <row r="321" spans="1:25" x14ac:dyDescent="0.45">
      <c r="A321" s="5" t="s">
        <v>348</v>
      </c>
      <c r="B321" s="5">
        <v>102269509.77423</v>
      </c>
      <c r="C321" s="5">
        <v>113823794.64474</v>
      </c>
      <c r="D321" s="5">
        <v>117502179.98798101</v>
      </c>
      <c r="E321" s="5">
        <v>113562414.266324</v>
      </c>
      <c r="F321" s="5">
        <v>95126790.713699907</v>
      </c>
      <c r="G321" s="5">
        <v>129466432.575928</v>
      </c>
      <c r="H321" s="5">
        <v>115232747.629673</v>
      </c>
      <c r="I321" s="5">
        <v>137017908.65091601</v>
      </c>
      <c r="J321" s="5">
        <v>102404254.50282501</v>
      </c>
      <c r="K321" s="5">
        <v>182419752.155238</v>
      </c>
      <c r="L321" s="5">
        <v>94254875.660846397</v>
      </c>
      <c r="M321" s="5">
        <v>126402545.952722</v>
      </c>
      <c r="N321" s="5">
        <v>71612115.672001705</v>
      </c>
      <c r="O321" s="5">
        <v>144932953.462681</v>
      </c>
      <c r="P321" s="5">
        <v>101354435.66607</v>
      </c>
      <c r="Q321" s="5">
        <v>89655616.017963603</v>
      </c>
      <c r="R321" s="5">
        <v>106135805.401233</v>
      </c>
      <c r="S321" s="5">
        <v>104648332.36664601</v>
      </c>
      <c r="T321" s="5">
        <v>95526102.900101498</v>
      </c>
      <c r="U321" s="5">
        <v>119324909.14088599</v>
      </c>
      <c r="V321" s="5">
        <v>117892394.134137</v>
      </c>
      <c r="W321" s="5">
        <v>105375252.017703</v>
      </c>
      <c r="X321" s="5">
        <v>72475307.177797303</v>
      </c>
      <c r="Y321" s="5">
        <v>105930470.92768399</v>
      </c>
    </row>
    <row r="322" spans="1:25" x14ac:dyDescent="0.4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x14ac:dyDescent="0.4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x14ac:dyDescent="0.45">
      <c r="A324" s="6" t="s">
        <v>414</v>
      </c>
      <c r="B324" t="s">
        <v>385</v>
      </c>
      <c r="C324" t="s">
        <v>393</v>
      </c>
      <c r="D324" t="s">
        <v>401</v>
      </c>
      <c r="E324" t="s">
        <v>386</v>
      </c>
      <c r="F324" t="s">
        <v>394</v>
      </c>
      <c r="G324" t="s">
        <v>402</v>
      </c>
      <c r="H324" t="s">
        <v>387</v>
      </c>
      <c r="I324" t="s">
        <v>395</v>
      </c>
      <c r="J324" t="s">
        <v>403</v>
      </c>
      <c r="K324" t="s">
        <v>388</v>
      </c>
      <c r="L324" t="s">
        <v>396</v>
      </c>
      <c r="M324" t="s">
        <v>404</v>
      </c>
      <c r="N324" t="s">
        <v>389</v>
      </c>
      <c r="O324" t="s">
        <v>397</v>
      </c>
      <c r="P324" t="s">
        <v>405</v>
      </c>
      <c r="Q324" t="s">
        <v>390</v>
      </c>
      <c r="R324" t="s">
        <v>398</v>
      </c>
      <c r="S324" t="s">
        <v>406</v>
      </c>
      <c r="T324" t="s">
        <v>391</v>
      </c>
      <c r="U324" t="s">
        <v>399</v>
      </c>
      <c r="V324" t="s">
        <v>407</v>
      </c>
      <c r="W324" t="s">
        <v>392</v>
      </c>
      <c r="X324" t="s">
        <v>400</v>
      </c>
      <c r="Y324" t="s">
        <v>408</v>
      </c>
    </row>
    <row r="325" spans="1:25" x14ac:dyDescent="0.45">
      <c r="A325" t="s">
        <v>415</v>
      </c>
      <c r="B325">
        <v>37.6</v>
      </c>
      <c r="C325">
        <v>31</v>
      </c>
      <c r="D325">
        <v>49.9</v>
      </c>
      <c r="E325">
        <v>40.4</v>
      </c>
      <c r="F325">
        <v>29.6</v>
      </c>
      <c r="G325">
        <v>35.700000000000003</v>
      </c>
      <c r="H325">
        <v>44.3</v>
      </c>
      <c r="I325">
        <v>24.8</v>
      </c>
      <c r="J325">
        <v>18.8</v>
      </c>
      <c r="K325">
        <v>33.1</v>
      </c>
      <c r="L325">
        <v>32.9</v>
      </c>
      <c r="M325">
        <v>44.4</v>
      </c>
      <c r="N325">
        <v>58.9</v>
      </c>
      <c r="O325">
        <v>23.6</v>
      </c>
      <c r="P325">
        <v>24</v>
      </c>
      <c r="Q325">
        <v>47.4</v>
      </c>
      <c r="R325">
        <v>20.5</v>
      </c>
      <c r="S325">
        <v>35.1</v>
      </c>
      <c r="T325">
        <v>30.4</v>
      </c>
      <c r="U325">
        <v>25.1</v>
      </c>
      <c r="V325">
        <v>27</v>
      </c>
      <c r="W325">
        <v>24.2</v>
      </c>
      <c r="X325">
        <v>17.5</v>
      </c>
      <c r="Y325">
        <v>28</v>
      </c>
    </row>
    <row r="326" spans="1:25" x14ac:dyDescent="0.45">
      <c r="A326" t="s">
        <v>416</v>
      </c>
      <c r="B326">
        <f t="shared" ref="B326:Y326" si="0">B325/17.5</f>
        <v>2.1485714285714286</v>
      </c>
      <c r="C326">
        <f t="shared" si="0"/>
        <v>1.7714285714285714</v>
      </c>
      <c r="D326">
        <f t="shared" si="0"/>
        <v>2.8514285714285714</v>
      </c>
      <c r="E326">
        <f t="shared" si="0"/>
        <v>2.3085714285714283</v>
      </c>
      <c r="F326">
        <f t="shared" si="0"/>
        <v>1.6914285714285715</v>
      </c>
      <c r="G326">
        <f t="shared" si="0"/>
        <v>2.04</v>
      </c>
      <c r="H326">
        <f t="shared" si="0"/>
        <v>2.5314285714285711</v>
      </c>
      <c r="I326">
        <f t="shared" si="0"/>
        <v>1.4171428571428573</v>
      </c>
      <c r="J326">
        <f t="shared" si="0"/>
        <v>1.0742857142857143</v>
      </c>
      <c r="K326">
        <f t="shared" si="0"/>
        <v>1.8914285714285715</v>
      </c>
      <c r="L326">
        <f t="shared" si="0"/>
        <v>1.88</v>
      </c>
      <c r="M326">
        <f t="shared" si="0"/>
        <v>2.5371428571428569</v>
      </c>
      <c r="N326">
        <f t="shared" si="0"/>
        <v>3.3657142857142857</v>
      </c>
      <c r="O326">
        <f t="shared" si="0"/>
        <v>1.3485714285714288</v>
      </c>
      <c r="P326">
        <f t="shared" si="0"/>
        <v>1.3714285714285714</v>
      </c>
      <c r="Q326">
        <f t="shared" si="0"/>
        <v>2.7085714285714286</v>
      </c>
      <c r="R326">
        <f t="shared" si="0"/>
        <v>1.1714285714285715</v>
      </c>
      <c r="S326">
        <f t="shared" si="0"/>
        <v>2.0057142857142858</v>
      </c>
      <c r="T326">
        <f t="shared" si="0"/>
        <v>1.7371428571428571</v>
      </c>
      <c r="U326">
        <f t="shared" si="0"/>
        <v>1.4342857142857144</v>
      </c>
      <c r="V326">
        <f t="shared" si="0"/>
        <v>1.5428571428571429</v>
      </c>
      <c r="W326">
        <f t="shared" si="0"/>
        <v>1.3828571428571428</v>
      </c>
      <c r="X326">
        <f t="shared" si="0"/>
        <v>1</v>
      </c>
      <c r="Y326">
        <f t="shared" si="0"/>
        <v>1.6</v>
      </c>
    </row>
    <row r="329" spans="1:25" x14ac:dyDescent="0.45">
      <c r="A329" s="1" t="s">
        <v>0</v>
      </c>
      <c r="B329" s="1" t="s">
        <v>385</v>
      </c>
      <c r="C329" s="1" t="s">
        <v>393</v>
      </c>
      <c r="D329" s="1" t="s">
        <v>401</v>
      </c>
      <c r="E329" s="1" t="s">
        <v>386</v>
      </c>
      <c r="F329" s="1" t="s">
        <v>394</v>
      </c>
      <c r="G329" s="1" t="s">
        <v>402</v>
      </c>
      <c r="H329" s="1" t="s">
        <v>387</v>
      </c>
      <c r="I329" s="1" t="s">
        <v>395</v>
      </c>
      <c r="J329" s="1" t="s">
        <v>403</v>
      </c>
      <c r="K329" s="1" t="s">
        <v>388</v>
      </c>
      <c r="L329" s="1" t="s">
        <v>396</v>
      </c>
      <c r="M329" s="1" t="s">
        <v>404</v>
      </c>
      <c r="N329" s="1" t="s">
        <v>389</v>
      </c>
      <c r="O329" s="1" t="s">
        <v>397</v>
      </c>
      <c r="P329" s="1" t="s">
        <v>405</v>
      </c>
      <c r="Q329" s="1" t="s">
        <v>390</v>
      </c>
      <c r="R329" s="1" t="s">
        <v>398</v>
      </c>
      <c r="S329" s="1" t="s">
        <v>406</v>
      </c>
      <c r="T329" s="1" t="s">
        <v>391</v>
      </c>
      <c r="U329" s="1" t="s">
        <v>399</v>
      </c>
      <c r="V329" s="1" t="s">
        <v>407</v>
      </c>
      <c r="W329" s="1" t="s">
        <v>392</v>
      </c>
      <c r="X329" s="1" t="s">
        <v>400</v>
      </c>
      <c r="Y329" s="1" t="s">
        <v>408</v>
      </c>
    </row>
    <row r="330" spans="1:25" x14ac:dyDescent="0.45">
      <c r="A330" s="1" t="s">
        <v>384</v>
      </c>
      <c r="B330" s="1" t="s">
        <v>1</v>
      </c>
      <c r="C330" s="1" t="s">
        <v>1</v>
      </c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  <c r="J330" s="1" t="s">
        <v>1</v>
      </c>
      <c r="K330" s="1" t="s">
        <v>1</v>
      </c>
      <c r="L330" s="1" t="s">
        <v>1</v>
      </c>
      <c r="M330" s="1" t="s">
        <v>1</v>
      </c>
      <c r="N330" s="1" t="s">
        <v>1</v>
      </c>
      <c r="O330" s="1" t="s">
        <v>1</v>
      </c>
      <c r="P330" s="1" t="s">
        <v>1</v>
      </c>
      <c r="Q330" s="1" t="s">
        <v>1</v>
      </c>
      <c r="R330" s="1" t="s">
        <v>1</v>
      </c>
      <c r="S330" s="1" t="s">
        <v>1</v>
      </c>
      <c r="T330" s="1" t="s">
        <v>1</v>
      </c>
      <c r="U330" s="1" t="s">
        <v>1</v>
      </c>
      <c r="V330" s="1" t="s">
        <v>1</v>
      </c>
      <c r="W330" s="1" t="s">
        <v>1</v>
      </c>
      <c r="X330" s="1" t="s">
        <v>1</v>
      </c>
      <c r="Y330" s="1" t="s">
        <v>1</v>
      </c>
    </row>
    <row r="331" spans="1:25" x14ac:dyDescent="0.45">
      <c r="A331" s="5" t="s">
        <v>268</v>
      </c>
      <c r="B331">
        <f t="shared" ref="B331:Y331" si="1">B3/B$326</f>
        <v>35067882.653993487</v>
      </c>
      <c r="C331">
        <f t="shared" si="1"/>
        <v>54174138.212015443</v>
      </c>
      <c r="D331">
        <f t="shared" si="1"/>
        <v>39490909.935116984</v>
      </c>
      <c r="E331">
        <f t="shared" si="1"/>
        <v>26819883.620394941</v>
      </c>
      <c r="F331">
        <f t="shared" si="1"/>
        <v>25622844.712123629</v>
      </c>
      <c r="G331">
        <f t="shared" si="1"/>
        <v>25253847.03596108</v>
      </c>
      <c r="H331">
        <f t="shared" si="1"/>
        <v>19763299.402055349</v>
      </c>
      <c r="I331">
        <f t="shared" si="1"/>
        <v>61008580.315974787</v>
      </c>
      <c r="J331">
        <f t="shared" si="1"/>
        <v>61994003.058117576</v>
      </c>
      <c r="K331">
        <f t="shared" si="1"/>
        <v>21616302.812977638</v>
      </c>
      <c r="L331">
        <f t="shared" si="1"/>
        <v>16237888.948619574</v>
      </c>
      <c r="M331">
        <f t="shared" si="1"/>
        <v>30562147.153513197</v>
      </c>
      <c r="N331">
        <f t="shared" si="1"/>
        <v>15702430.154412789</v>
      </c>
      <c r="O331">
        <f t="shared" si="1"/>
        <v>36317345.276098512</v>
      </c>
      <c r="P331">
        <f t="shared" si="1"/>
        <v>24443370.407720614</v>
      </c>
      <c r="Q331">
        <f t="shared" si="1"/>
        <v>19585723.416060105</v>
      </c>
      <c r="R331">
        <f t="shared" si="1"/>
        <v>43098089.935182475</v>
      </c>
      <c r="S331">
        <f t="shared" si="1"/>
        <v>27946062.862961125</v>
      </c>
      <c r="T331">
        <f t="shared" si="1"/>
        <v>48422102.623526171</v>
      </c>
      <c r="U331">
        <f t="shared" si="1"/>
        <v>34967417.587212339</v>
      </c>
      <c r="V331">
        <f t="shared" si="1"/>
        <v>38826776.016610615</v>
      </c>
      <c r="W331">
        <f t="shared" si="1"/>
        <v>37957677.185703792</v>
      </c>
      <c r="X331">
        <f t="shared" si="1"/>
        <v>100171770.339747</v>
      </c>
      <c r="Y331">
        <f t="shared" si="1"/>
        <v>30464098.594538439</v>
      </c>
    </row>
    <row r="332" spans="1:25" x14ac:dyDescent="0.45">
      <c r="A332" s="5" t="s">
        <v>36</v>
      </c>
      <c r="B332">
        <f t="shared" ref="B332:Y332" si="2">B4/B$326</f>
        <v>3902017.5146898609</v>
      </c>
      <c r="C332">
        <f t="shared" si="2"/>
        <v>3231689.9787681703</v>
      </c>
      <c r="D332">
        <f t="shared" si="2"/>
        <v>1295862.6524931984</v>
      </c>
      <c r="E332">
        <f t="shared" si="2"/>
        <v>3025183.750473483</v>
      </c>
      <c r="F332">
        <f t="shared" si="2"/>
        <v>7162838.0305382172</v>
      </c>
      <c r="G332">
        <f t="shared" si="2"/>
        <v>6205447.9247885784</v>
      </c>
      <c r="H332">
        <f t="shared" si="2"/>
        <v>7854529.809881717</v>
      </c>
      <c r="I332">
        <f t="shared" si="2"/>
        <v>17905111.555968154</v>
      </c>
      <c r="J332">
        <f t="shared" si="2"/>
        <v>13319276.90835363</v>
      </c>
      <c r="K332">
        <f t="shared" si="2"/>
        <v>13666417.610240944</v>
      </c>
      <c r="L332">
        <f t="shared" si="2"/>
        <v>15201042.654877502</v>
      </c>
      <c r="M332">
        <f t="shared" si="2"/>
        <v>10104107.624723222</v>
      </c>
      <c r="N332">
        <f t="shared" si="2"/>
        <v>2537832.3695979244</v>
      </c>
      <c r="O332">
        <f t="shared" si="2"/>
        <v>2477788.4377430771</v>
      </c>
      <c r="P332">
        <f t="shared" si="2"/>
        <v>1975064.9861293603</v>
      </c>
      <c r="Q332">
        <f t="shared" si="2"/>
        <v>3328760.0796513315</v>
      </c>
      <c r="R332">
        <f t="shared" si="2"/>
        <v>29162506.326109897</v>
      </c>
      <c r="S332">
        <f t="shared" si="2"/>
        <v>4790928.6757760402</v>
      </c>
      <c r="T332">
        <f t="shared" si="2"/>
        <v>15445150.781720338</v>
      </c>
      <c r="U332">
        <f t="shared" si="2"/>
        <v>20530029.677690685</v>
      </c>
      <c r="V332">
        <f t="shared" si="2"/>
        <v>28000281.815598298</v>
      </c>
      <c r="W332">
        <f t="shared" si="2"/>
        <v>15128153.729312995</v>
      </c>
      <c r="X332">
        <f t="shared" si="2"/>
        <v>28596401.542687099</v>
      </c>
      <c r="Y332">
        <f t="shared" si="2"/>
        <v>2532481.7970784497</v>
      </c>
    </row>
    <row r="333" spans="1:25" x14ac:dyDescent="0.45">
      <c r="A333" s="5" t="s">
        <v>37</v>
      </c>
      <c r="B333">
        <f t="shared" ref="B333:Y333" si="3">B5/B$326</f>
        <v>16445613.59407131</v>
      </c>
      <c r="C333">
        <f t="shared" si="3"/>
        <v>20504119.13590318</v>
      </c>
      <c r="D333">
        <f t="shared" si="3"/>
        <v>12746188.115345655</v>
      </c>
      <c r="E333">
        <f t="shared" si="3"/>
        <v>12257542.993052064</v>
      </c>
      <c r="F333">
        <f t="shared" si="3"/>
        <v>11217557.735170109</v>
      </c>
      <c r="G333">
        <f t="shared" si="3"/>
        <v>8764915.9162008334</v>
      </c>
      <c r="H333">
        <f t="shared" si="3"/>
        <v>8144614.9590221848</v>
      </c>
      <c r="I333">
        <f t="shared" si="3"/>
        <v>21426259.55351508</v>
      </c>
      <c r="J333">
        <f t="shared" si="3"/>
        <v>21966252.185345292</v>
      </c>
      <c r="K333">
        <f t="shared" si="3"/>
        <v>10930414.403499214</v>
      </c>
      <c r="L333">
        <f t="shared" si="3"/>
        <v>8916469.3011332452</v>
      </c>
      <c r="M333">
        <f t="shared" si="3"/>
        <v>12360882.984362343</v>
      </c>
      <c r="N333">
        <f t="shared" si="3"/>
        <v>8132938.6692485278</v>
      </c>
      <c r="O333">
        <f t="shared" si="3"/>
        <v>14963819.531631099</v>
      </c>
      <c r="P333">
        <f t="shared" si="3"/>
        <v>14107072.723030439</v>
      </c>
      <c r="Q333">
        <f t="shared" si="3"/>
        <v>11043219.914306609</v>
      </c>
      <c r="R333">
        <f t="shared" si="3"/>
        <v>10131328.767764449</v>
      </c>
      <c r="S333">
        <f t="shared" si="3"/>
        <v>10994957.864426067</v>
      </c>
      <c r="T333">
        <f t="shared" si="3"/>
        <v>18137200.603741694</v>
      </c>
      <c r="U333">
        <f t="shared" si="3"/>
        <v>14466045.215328725</v>
      </c>
      <c r="V333">
        <f t="shared" si="3"/>
        <v>15641536.522783758</v>
      </c>
      <c r="W333">
        <f t="shared" si="3"/>
        <v>17332636.282323483</v>
      </c>
      <c r="X333">
        <f t="shared" si="3"/>
        <v>27120257.404696502</v>
      </c>
      <c r="Y333">
        <f t="shared" si="3"/>
        <v>16760758.044635873</v>
      </c>
    </row>
    <row r="334" spans="1:25" x14ac:dyDescent="0.45">
      <c r="A334" s="5" t="s">
        <v>38</v>
      </c>
      <c r="B334">
        <f t="shared" ref="B334:Y334" si="4">B6/B$326</f>
        <v>10351111.93534236</v>
      </c>
      <c r="C334">
        <f t="shared" si="4"/>
        <v>8113021.1097345408</v>
      </c>
      <c r="D334">
        <f t="shared" si="4"/>
        <v>5594905.3978496743</v>
      </c>
      <c r="E334">
        <f t="shared" si="4"/>
        <v>8801998.8850571048</v>
      </c>
      <c r="F334">
        <f t="shared" si="4"/>
        <v>14307276.17338971</v>
      </c>
      <c r="G334">
        <f t="shared" si="4"/>
        <v>5549510.4934294112</v>
      </c>
      <c r="H334">
        <f t="shared" si="4"/>
        <v>3064805.9455921827</v>
      </c>
      <c r="I334">
        <f t="shared" si="4"/>
        <v>22152018.930756692</v>
      </c>
      <c r="J334">
        <f t="shared" si="4"/>
        <v>8986298.8577069584</v>
      </c>
      <c r="K334">
        <f t="shared" si="4"/>
        <v>14372054.880052537</v>
      </c>
      <c r="L334">
        <f t="shared" si="4"/>
        <v>7250610.1085398411</v>
      </c>
      <c r="M334">
        <f t="shared" si="4"/>
        <v>4968044.3988729566</v>
      </c>
      <c r="N334">
        <f t="shared" si="4"/>
        <v>4267611.7030815668</v>
      </c>
      <c r="O334">
        <f t="shared" si="4"/>
        <v>8554496.2026722655</v>
      </c>
      <c r="P334">
        <f t="shared" si="4"/>
        <v>4433203.3231687546</v>
      </c>
      <c r="Q334">
        <f t="shared" si="4"/>
        <v>6142194.9076534649</v>
      </c>
      <c r="R334">
        <f t="shared" si="4"/>
        <v>19776209.03904723</v>
      </c>
      <c r="S334">
        <f t="shared" si="4"/>
        <v>10194521.535167307</v>
      </c>
      <c r="T334">
        <f t="shared" si="4"/>
        <v>8600961.7430881169</v>
      </c>
      <c r="U334">
        <f t="shared" si="4"/>
        <v>11811470.439944571</v>
      </c>
      <c r="V334">
        <f t="shared" si="4"/>
        <v>8427606.0390608329</v>
      </c>
      <c r="W334">
        <f t="shared" si="4"/>
        <v>6684131.2763323281</v>
      </c>
      <c r="X334">
        <f t="shared" si="4"/>
        <v>13830371.123634599</v>
      </c>
      <c r="Y334">
        <f t="shared" si="4"/>
        <v>9099323.7832413111</v>
      </c>
    </row>
    <row r="335" spans="1:25" x14ac:dyDescent="0.45">
      <c r="A335" s="5" t="s">
        <v>39</v>
      </c>
      <c r="B335">
        <f t="shared" ref="B335:Y335" si="5">B7/B$326</f>
        <v>13382168.372173823</v>
      </c>
      <c r="C335">
        <f t="shared" si="5"/>
        <v>24087254.430651326</v>
      </c>
      <c r="D335">
        <f t="shared" si="5"/>
        <v>10635883.73433955</v>
      </c>
      <c r="E335">
        <f t="shared" si="5"/>
        <v>23772140.519640759</v>
      </c>
      <c r="F335">
        <f t="shared" si="5"/>
        <v>25814245.135416277</v>
      </c>
      <c r="G335">
        <f t="shared" si="5"/>
        <v>23836685.031414609</v>
      </c>
      <c r="H335">
        <f t="shared" si="5"/>
        <v>14572664.716489911</v>
      </c>
      <c r="I335">
        <f t="shared" si="5"/>
        <v>125203240.54133296</v>
      </c>
      <c r="J335">
        <f t="shared" si="5"/>
        <v>32915095.076642513</v>
      </c>
      <c r="K335">
        <f t="shared" si="5"/>
        <v>46236433.709519491</v>
      </c>
      <c r="L335">
        <f t="shared" si="5"/>
        <v>31522653.306467928</v>
      </c>
      <c r="M335">
        <f t="shared" si="5"/>
        <v>35661278.966755882</v>
      </c>
      <c r="N335">
        <f t="shared" si="5"/>
        <v>37101132.787355773</v>
      </c>
      <c r="O335">
        <f t="shared" si="5"/>
        <v>45522023.432242781</v>
      </c>
      <c r="P335">
        <f t="shared" si="5"/>
        <v>21008767.624268666</v>
      </c>
      <c r="Q335">
        <f t="shared" si="5"/>
        <v>34535255.143131435</v>
      </c>
      <c r="R335">
        <f t="shared" si="5"/>
        <v>40057826.068609826</v>
      </c>
      <c r="S335">
        <f t="shared" si="5"/>
        <v>19214103.603270512</v>
      </c>
      <c r="T335">
        <f t="shared" si="5"/>
        <v>18097679.152390298</v>
      </c>
      <c r="U335">
        <f t="shared" si="5"/>
        <v>25340312.057636172</v>
      </c>
      <c r="V335">
        <f t="shared" si="5"/>
        <v>35224219.457599021</v>
      </c>
      <c r="W335">
        <f t="shared" si="5"/>
        <v>32541293.541444115</v>
      </c>
      <c r="X335">
        <f t="shared" si="5"/>
        <v>232894167.769925</v>
      </c>
      <c r="Y335">
        <f t="shared" si="5"/>
        <v>21017885.835470937</v>
      </c>
    </row>
    <row r="336" spans="1:25" x14ac:dyDescent="0.45">
      <c r="A336" s="5" t="s">
        <v>40</v>
      </c>
      <c r="B336">
        <f t="shared" ref="B336:Y336" si="6">B8/B$326</f>
        <v>11868571.143101303</v>
      </c>
      <c r="C336">
        <f t="shared" si="6"/>
        <v>13196726.527962476</v>
      </c>
      <c r="D336">
        <f t="shared" si="6"/>
        <v>7185535.8459387068</v>
      </c>
      <c r="E336">
        <f t="shared" si="6"/>
        <v>9790273.8028868828</v>
      </c>
      <c r="F336">
        <f t="shared" si="6"/>
        <v>12354092.900182238</v>
      </c>
      <c r="G336">
        <f t="shared" si="6"/>
        <v>9717783.4832176957</v>
      </c>
      <c r="H336">
        <f t="shared" si="6"/>
        <v>7225256.8777295211</v>
      </c>
      <c r="I336">
        <f t="shared" si="6"/>
        <v>12111186.310150189</v>
      </c>
      <c r="J336">
        <f t="shared" si="6"/>
        <v>15896827.036122486</v>
      </c>
      <c r="K336">
        <f t="shared" si="6"/>
        <v>8156374.663893248</v>
      </c>
      <c r="L336">
        <f t="shared" si="6"/>
        <v>9735057.6486476604</v>
      </c>
      <c r="M336">
        <f t="shared" si="6"/>
        <v>8197658.0650748145</v>
      </c>
      <c r="N336">
        <f t="shared" si="6"/>
        <v>5553654.0150776068</v>
      </c>
      <c r="O336">
        <f t="shared" si="6"/>
        <v>13690730.97713718</v>
      </c>
      <c r="P336">
        <f t="shared" si="6"/>
        <v>13503679.651736021</v>
      </c>
      <c r="Q336">
        <f t="shared" si="6"/>
        <v>8423296.1556217037</v>
      </c>
      <c r="R336">
        <f t="shared" si="6"/>
        <v>14100588.444414329</v>
      </c>
      <c r="S336">
        <f t="shared" si="6"/>
        <v>11270856.163662955</v>
      </c>
      <c r="T336">
        <f t="shared" si="6"/>
        <v>13790476.067307187</v>
      </c>
      <c r="U336">
        <f t="shared" si="6"/>
        <v>14473059.03563942</v>
      </c>
      <c r="V336">
        <f t="shared" si="6"/>
        <v>14601091.460472092</v>
      </c>
      <c r="W336">
        <f t="shared" si="6"/>
        <v>12754895.057830373</v>
      </c>
      <c r="X336">
        <f t="shared" si="6"/>
        <v>4643799.0659681195</v>
      </c>
      <c r="Y336">
        <f t="shared" si="6"/>
        <v>13485528.295009436</v>
      </c>
    </row>
    <row r="337" spans="1:25" x14ac:dyDescent="0.45">
      <c r="A337" s="5" t="s">
        <v>269</v>
      </c>
      <c r="B337">
        <f t="shared" ref="B337:Y337" si="7">B9/B$326</f>
        <v>3506779.4853495583</v>
      </c>
      <c r="C337">
        <f t="shared" si="7"/>
        <v>3134511.9765865332</v>
      </c>
      <c r="D337">
        <f t="shared" si="7"/>
        <v>1952059.6495030606</v>
      </c>
      <c r="E337">
        <f t="shared" si="7"/>
        <v>2785708.800169629</v>
      </c>
      <c r="F337">
        <f t="shared" si="7"/>
        <v>4282422.3123420775</v>
      </c>
      <c r="G337">
        <f t="shared" si="7"/>
        <v>2240667.4898470193</v>
      </c>
      <c r="H337">
        <f t="shared" si="7"/>
        <v>2799134.2241079737</v>
      </c>
      <c r="I337">
        <f t="shared" si="7"/>
        <v>1905618.309596383</v>
      </c>
      <c r="J337">
        <f t="shared" si="7"/>
        <v>5229730.829321445</v>
      </c>
      <c r="K337">
        <f t="shared" si="7"/>
        <v>3343110.2149555762</v>
      </c>
      <c r="L337">
        <f t="shared" si="7"/>
        <v>3393630.988066298</v>
      </c>
      <c r="M337">
        <f t="shared" si="7"/>
        <v>2103496.6068496164</v>
      </c>
      <c r="N337">
        <f t="shared" si="7"/>
        <v>1445164.4728122754</v>
      </c>
      <c r="O337">
        <f t="shared" si="7"/>
        <v>3786726.4680923638</v>
      </c>
      <c r="P337">
        <f t="shared" si="7"/>
        <v>5129784.749524422</v>
      </c>
      <c r="Q337">
        <f t="shared" si="7"/>
        <v>1989122.0923329249</v>
      </c>
      <c r="R337">
        <f t="shared" si="7"/>
        <v>6834909.5978485765</v>
      </c>
      <c r="S337">
        <f t="shared" si="7"/>
        <v>3577086.3975091586</v>
      </c>
      <c r="T337">
        <f t="shared" si="7"/>
        <v>3452753.4398498232</v>
      </c>
      <c r="U337">
        <f t="shared" si="7"/>
        <v>5823598.8726651324</v>
      </c>
      <c r="V337">
        <f t="shared" si="7"/>
        <v>4215563.3468498727</v>
      </c>
      <c r="W337">
        <f t="shared" si="7"/>
        <v>5331847.7884975234</v>
      </c>
      <c r="X337">
        <f t="shared" si="7"/>
        <v>4309480.10757853</v>
      </c>
      <c r="Y337">
        <f t="shared" si="7"/>
        <v>4050871.7562126438</v>
      </c>
    </row>
    <row r="338" spans="1:25" x14ac:dyDescent="0.45">
      <c r="A338" s="5" t="s">
        <v>41</v>
      </c>
      <c r="B338">
        <f t="shared" ref="B338:Y338" si="8">B10/B$326</f>
        <v>2717663.6144145816</v>
      </c>
      <c r="C338">
        <f t="shared" si="8"/>
        <v>2135155.1593973096</v>
      </c>
      <c r="D338">
        <f t="shared" si="8"/>
        <v>1983032.1296426607</v>
      </c>
      <c r="E338">
        <f t="shared" si="8"/>
        <v>1113939.9830375891</v>
      </c>
      <c r="F338">
        <f t="shared" si="8"/>
        <v>1597788.1576104602</v>
      </c>
      <c r="G338">
        <f t="shared" si="8"/>
        <v>1051125.9336557549</v>
      </c>
      <c r="H338">
        <f t="shared" si="8"/>
        <v>735365.79418221058</v>
      </c>
      <c r="I338">
        <f t="shared" si="8"/>
        <v>9919244.9404494744</v>
      </c>
      <c r="J338">
        <f t="shared" si="8"/>
        <v>3266558.8484549904</v>
      </c>
      <c r="K338">
        <f t="shared" si="8"/>
        <v>1629979.4751658838</v>
      </c>
      <c r="L338">
        <f t="shared" si="8"/>
        <v>1291124.8035758724</v>
      </c>
      <c r="M338">
        <f t="shared" si="8"/>
        <v>1106990.1751944034</v>
      </c>
      <c r="N338">
        <f t="shared" si="8"/>
        <v>398879.62852424831</v>
      </c>
      <c r="O338">
        <f t="shared" si="8"/>
        <v>2617891.8946713745</v>
      </c>
      <c r="P338">
        <f t="shared" si="8"/>
        <v>822259.05933521141</v>
      </c>
      <c r="Q338">
        <f t="shared" si="8"/>
        <v>665812.19771699375</v>
      </c>
      <c r="R338">
        <f t="shared" si="8"/>
        <v>1855399.3192306801</v>
      </c>
      <c r="S338">
        <f t="shared" si="8"/>
        <v>1855536.2464071629</v>
      </c>
      <c r="T338">
        <f t="shared" si="8"/>
        <v>4027936.6777957748</v>
      </c>
      <c r="U338">
        <f t="shared" si="8"/>
        <v>1637504.4237296931</v>
      </c>
      <c r="V338">
        <f t="shared" si="8"/>
        <v>1155781.553879011</v>
      </c>
      <c r="W338">
        <f t="shared" si="8"/>
        <v>1358262.8613787533</v>
      </c>
      <c r="X338">
        <f t="shared" si="8"/>
        <v>4792460.1575963097</v>
      </c>
      <c r="Y338">
        <f t="shared" si="8"/>
        <v>1147360.918412325</v>
      </c>
    </row>
    <row r="339" spans="1:25" x14ac:dyDescent="0.45">
      <c r="A339" s="5" t="s">
        <v>42</v>
      </c>
      <c r="B339">
        <f t="shared" ref="B339:Y339" si="9">B11/B$326</f>
        <v>8638764.4451318495</v>
      </c>
      <c r="C339">
        <f t="shared" si="9"/>
        <v>12659532.663771791</v>
      </c>
      <c r="D339">
        <f t="shared" si="9"/>
        <v>9936417.592125522</v>
      </c>
      <c r="E339">
        <f t="shared" si="9"/>
        <v>12049937.364009179</v>
      </c>
      <c r="F339">
        <f t="shared" si="9"/>
        <v>14561094.713127103</v>
      </c>
      <c r="G339">
        <f t="shared" si="9"/>
        <v>11600893.15136358</v>
      </c>
      <c r="H339">
        <f t="shared" si="9"/>
        <v>11137789.753458964</v>
      </c>
      <c r="I339">
        <f t="shared" si="9"/>
        <v>23170922.75360145</v>
      </c>
      <c r="J339">
        <f t="shared" si="9"/>
        <v>25383933.130020425</v>
      </c>
      <c r="K339">
        <f t="shared" si="9"/>
        <v>12738593.508868752</v>
      </c>
      <c r="L339">
        <f t="shared" si="9"/>
        <v>13323523.730405638</v>
      </c>
      <c r="M339">
        <f t="shared" si="9"/>
        <v>9871412.8581167236</v>
      </c>
      <c r="N339">
        <f t="shared" si="9"/>
        <v>8296100.3985787565</v>
      </c>
      <c r="O339">
        <f t="shared" si="9"/>
        <v>16325508.482164977</v>
      </c>
      <c r="P339">
        <f t="shared" si="9"/>
        <v>16045354.474070834</v>
      </c>
      <c r="Q339">
        <f t="shared" si="9"/>
        <v>12556974.404165903</v>
      </c>
      <c r="R339">
        <f t="shared" si="9"/>
        <v>24112235.417195134</v>
      </c>
      <c r="S339">
        <f t="shared" si="9"/>
        <v>9137456.9663161393</v>
      </c>
      <c r="T339">
        <f t="shared" si="9"/>
        <v>17284220.616079088</v>
      </c>
      <c r="U339">
        <f t="shared" si="9"/>
        <v>20649399.220544677</v>
      </c>
      <c r="V339">
        <f t="shared" si="9"/>
        <v>15310779.574137831</v>
      </c>
      <c r="W339">
        <f t="shared" si="9"/>
        <v>24051084.279294185</v>
      </c>
      <c r="X339">
        <f t="shared" si="9"/>
        <v>34494254.410614997</v>
      </c>
      <c r="Y339">
        <f t="shared" si="9"/>
        <v>5544700.5577965314</v>
      </c>
    </row>
    <row r="340" spans="1:25" x14ac:dyDescent="0.45">
      <c r="A340" s="5" t="s">
        <v>43</v>
      </c>
      <c r="B340">
        <f t="shared" ref="B340:Y340" si="10">B12/B$326</f>
        <v>3216516.4646943263</v>
      </c>
      <c r="C340">
        <f t="shared" si="10"/>
        <v>3136197.4894054225</v>
      </c>
      <c r="D340">
        <f t="shared" si="10"/>
        <v>540157.10311309574</v>
      </c>
      <c r="E340">
        <f t="shared" si="10"/>
        <v>1312042.1839873011</v>
      </c>
      <c r="F340">
        <f t="shared" si="10"/>
        <v>4244502.6917987168</v>
      </c>
      <c r="G340">
        <f t="shared" si="10"/>
        <v>2273780.0766168381</v>
      </c>
      <c r="H340">
        <f t="shared" si="10"/>
        <v>899774.2067830374</v>
      </c>
      <c r="I340">
        <f t="shared" si="10"/>
        <v>2571153.8005880322</v>
      </c>
      <c r="J340">
        <f t="shared" si="10"/>
        <v>7983217.1233461648</v>
      </c>
      <c r="K340">
        <f t="shared" si="10"/>
        <v>2441492.6810292727</v>
      </c>
      <c r="L340">
        <f t="shared" si="10"/>
        <v>2566006.8240951276</v>
      </c>
      <c r="M340">
        <f t="shared" si="10"/>
        <v>1521569.9292686628</v>
      </c>
      <c r="N340">
        <f t="shared" si="10"/>
        <v>1064237.8715588809</v>
      </c>
      <c r="O340">
        <f t="shared" si="10"/>
        <v>2637059.2545388918</v>
      </c>
      <c r="P340">
        <f t="shared" si="10"/>
        <v>2540511.8417106969</v>
      </c>
      <c r="Q340">
        <f t="shared" si="10"/>
        <v>1229006.2552566256</v>
      </c>
      <c r="R340">
        <f t="shared" si="10"/>
        <v>4138330.4170832452</v>
      </c>
      <c r="S340">
        <f t="shared" si="10"/>
        <v>2136289.8903363589</v>
      </c>
      <c r="T340">
        <f t="shared" si="10"/>
        <v>4938814.7384166252</v>
      </c>
      <c r="U340">
        <f t="shared" si="10"/>
        <v>4209290.6581937103</v>
      </c>
      <c r="V340">
        <f t="shared" si="10"/>
        <v>3190800.1627819785</v>
      </c>
      <c r="W340">
        <f t="shared" si="10"/>
        <v>3124371.4082354414</v>
      </c>
      <c r="X340">
        <f t="shared" si="10"/>
        <v>3606678.9424799299</v>
      </c>
      <c r="Y340">
        <f t="shared" si="10"/>
        <v>2493771.7124584308</v>
      </c>
    </row>
    <row r="341" spans="1:25" x14ac:dyDescent="0.45">
      <c r="A341" s="5" t="s">
        <v>44</v>
      </c>
      <c r="B341">
        <f t="shared" ref="B341:Y341" si="11">B13/B$326</f>
        <v>1404961.4212657281</v>
      </c>
      <c r="C341">
        <f t="shared" si="11"/>
        <v>1819076.2694772615</v>
      </c>
      <c r="D341">
        <f t="shared" si="11"/>
        <v>1413732.1480822866</v>
      </c>
      <c r="E341">
        <f t="shared" si="11"/>
        <v>2464471.0214571673</v>
      </c>
      <c r="F341">
        <f t="shared" si="11"/>
        <v>2988666.1142947688</v>
      </c>
      <c r="G341">
        <f t="shared" si="11"/>
        <v>1878029.0318979754</v>
      </c>
      <c r="H341">
        <f t="shared" si="11"/>
        <v>1964006.0197041535</v>
      </c>
      <c r="I341">
        <f t="shared" si="11"/>
        <v>6490541.1582607999</v>
      </c>
      <c r="J341">
        <f t="shared" si="11"/>
        <v>5964540.7487367513</v>
      </c>
      <c r="K341">
        <f t="shared" si="11"/>
        <v>4331480.7472144822</v>
      </c>
      <c r="L341">
        <f t="shared" si="11"/>
        <v>2095905.8602008298</v>
      </c>
      <c r="M341">
        <f t="shared" si="11"/>
        <v>1576072.0069712328</v>
      </c>
      <c r="N341">
        <f t="shared" si="11"/>
        <v>1058488.3898896447</v>
      </c>
      <c r="O341">
        <f t="shared" si="11"/>
        <v>1602534.6937339797</v>
      </c>
      <c r="P341">
        <f t="shared" si="11"/>
        <v>1995529.1854703552</v>
      </c>
      <c r="Q341">
        <f t="shared" si="11"/>
        <v>1211016.6160526192</v>
      </c>
      <c r="R341">
        <f t="shared" si="11"/>
        <v>7177949.6619753139</v>
      </c>
      <c r="S341">
        <f t="shared" si="11"/>
        <v>1832078.6922090461</v>
      </c>
      <c r="T341">
        <f t="shared" si="11"/>
        <v>2481833.5671570748</v>
      </c>
      <c r="U341">
        <f t="shared" si="11"/>
        <v>3460320.7938704649</v>
      </c>
      <c r="V341">
        <f t="shared" si="11"/>
        <v>2248047.472849247</v>
      </c>
      <c r="W341">
        <f t="shared" si="11"/>
        <v>3491180.4068937586</v>
      </c>
      <c r="X341">
        <f t="shared" si="11"/>
        <v>5731471.99580542</v>
      </c>
      <c r="Y341">
        <f t="shared" si="11"/>
        <v>2184030.3118890375</v>
      </c>
    </row>
    <row r="342" spans="1:25" x14ac:dyDescent="0.45">
      <c r="A342" s="5" t="s">
        <v>45</v>
      </c>
      <c r="B342">
        <f t="shared" ref="B342:Y342" si="12">B14/B$326</f>
        <v>25168911.961881753</v>
      </c>
      <c r="C342">
        <f t="shared" si="12"/>
        <v>9204339.8504189439</v>
      </c>
      <c r="D342">
        <f t="shared" si="12"/>
        <v>6527168.976238206</v>
      </c>
      <c r="E342">
        <f t="shared" si="12"/>
        <v>8554801.2912012637</v>
      </c>
      <c r="F342">
        <f t="shared" si="12"/>
        <v>24557975.004643664</v>
      </c>
      <c r="G342">
        <f t="shared" si="12"/>
        <v>7597056.4413498035</v>
      </c>
      <c r="H342">
        <f t="shared" si="12"/>
        <v>14962652.788461136</v>
      </c>
      <c r="I342">
        <f t="shared" si="12"/>
        <v>61973112.939486794</v>
      </c>
      <c r="J342">
        <f t="shared" si="12"/>
        <v>46421951.39416299</v>
      </c>
      <c r="K342">
        <f t="shared" si="12"/>
        <v>12382141.69231182</v>
      </c>
      <c r="L342">
        <f t="shared" si="12"/>
        <v>8555367.1711422876</v>
      </c>
      <c r="M342">
        <f t="shared" si="12"/>
        <v>12765379.81587813</v>
      </c>
      <c r="N342">
        <f t="shared" si="12"/>
        <v>7973175.5186505606</v>
      </c>
      <c r="O342">
        <f t="shared" si="12"/>
        <v>24609563.86455645</v>
      </c>
      <c r="P342">
        <f t="shared" si="12"/>
        <v>24188336.779742043</v>
      </c>
      <c r="Q342">
        <f t="shared" si="12"/>
        <v>7323253.9727713177</v>
      </c>
      <c r="R342">
        <f t="shared" si="12"/>
        <v>27022239.152799387</v>
      </c>
      <c r="S342">
        <f t="shared" si="12"/>
        <v>13053995.575115185</v>
      </c>
      <c r="T342">
        <f t="shared" si="12"/>
        <v>7441257.1850311346</v>
      </c>
      <c r="U342">
        <f t="shared" si="12"/>
        <v>37403243.118861012</v>
      </c>
      <c r="V342">
        <f t="shared" si="12"/>
        <v>12399187.806800213</v>
      </c>
      <c r="W342">
        <f t="shared" si="12"/>
        <v>25888398.731492791</v>
      </c>
      <c r="X342">
        <f t="shared" si="12"/>
        <v>24654578.613026299</v>
      </c>
      <c r="Y342">
        <f t="shared" si="12"/>
        <v>11812252.860313188</v>
      </c>
    </row>
    <row r="343" spans="1:25" x14ac:dyDescent="0.45">
      <c r="A343" s="5" t="s">
        <v>46</v>
      </c>
      <c r="B343">
        <f t="shared" ref="B343:Y343" si="13">B15/B$326</f>
        <v>3554960.8485607742</v>
      </c>
      <c r="C343">
        <f t="shared" si="13"/>
        <v>3809803.1517319181</v>
      </c>
      <c r="D343">
        <f t="shared" si="13"/>
        <v>2415813.9710805584</v>
      </c>
      <c r="E343">
        <f t="shared" si="13"/>
        <v>2761026.205431228</v>
      </c>
      <c r="F343">
        <f t="shared" si="13"/>
        <v>4463829.2075987412</v>
      </c>
      <c r="G343">
        <f t="shared" si="13"/>
        <v>3764819.4989000051</v>
      </c>
      <c r="H343">
        <f t="shared" si="13"/>
        <v>2546453.7215823908</v>
      </c>
      <c r="I343">
        <f t="shared" si="13"/>
        <v>6572134.2381741218</v>
      </c>
      <c r="J343">
        <f t="shared" si="13"/>
        <v>5989290.7389764972</v>
      </c>
      <c r="K343">
        <f t="shared" si="13"/>
        <v>7550994.762627787</v>
      </c>
      <c r="L343">
        <f t="shared" si="13"/>
        <v>4415717.6110217823</v>
      </c>
      <c r="M343">
        <f t="shared" si="13"/>
        <v>2780153.613299665</v>
      </c>
      <c r="N343">
        <f t="shared" si="13"/>
        <v>4555636.1671783356</v>
      </c>
      <c r="O343">
        <f t="shared" si="13"/>
        <v>4805780.3125336999</v>
      </c>
      <c r="P343">
        <f t="shared" si="13"/>
        <v>6654047.1697398415</v>
      </c>
      <c r="Q343">
        <f t="shared" si="13"/>
        <v>2303999.0530518321</v>
      </c>
      <c r="R343">
        <f t="shared" si="13"/>
        <v>8883658.6614438277</v>
      </c>
      <c r="S343">
        <f t="shared" si="13"/>
        <v>3234149.6727605113</v>
      </c>
      <c r="T343">
        <f t="shared" si="13"/>
        <v>2197753.2187565938</v>
      </c>
      <c r="U343">
        <f t="shared" si="13"/>
        <v>4807709.4715127647</v>
      </c>
      <c r="V343">
        <f t="shared" si="13"/>
        <v>3345578.6116257166</v>
      </c>
      <c r="W343">
        <f t="shared" si="13"/>
        <v>7562056.5630992986</v>
      </c>
      <c r="X343">
        <f t="shared" si="13"/>
        <v>8030607.7262609098</v>
      </c>
      <c r="Y343">
        <f t="shared" si="13"/>
        <v>4438150.6741814436</v>
      </c>
    </row>
    <row r="344" spans="1:25" x14ac:dyDescent="0.45">
      <c r="A344" s="5" t="s">
        <v>270</v>
      </c>
      <c r="B344">
        <f t="shared" ref="B344:Y344" si="14">B16/B$326</f>
        <v>816279703.3220365</v>
      </c>
      <c r="C344">
        <f t="shared" si="14"/>
        <v>972431446.22411859</v>
      </c>
      <c r="D344">
        <f t="shared" si="14"/>
        <v>712799146.73077559</v>
      </c>
      <c r="E344">
        <f t="shared" si="14"/>
        <v>892867673.99714184</v>
      </c>
      <c r="F344">
        <f t="shared" si="14"/>
        <v>1332096733.5872447</v>
      </c>
      <c r="G344">
        <f t="shared" si="14"/>
        <v>1026327576.6116618</v>
      </c>
      <c r="H344">
        <f t="shared" si="14"/>
        <v>171703961.35841104</v>
      </c>
      <c r="I344">
        <f t="shared" si="14"/>
        <v>528726898.55622053</v>
      </c>
      <c r="J344">
        <f t="shared" si="14"/>
        <v>631628274.84286618</v>
      </c>
      <c r="K344">
        <f t="shared" si="14"/>
        <v>585931564.25497735</v>
      </c>
      <c r="L344">
        <f t="shared" si="14"/>
        <v>978569393.36878729</v>
      </c>
      <c r="M344">
        <f t="shared" si="14"/>
        <v>577087611.5363847</v>
      </c>
      <c r="N344">
        <f t="shared" si="14"/>
        <v>558691688.92198598</v>
      </c>
      <c r="O344">
        <f t="shared" si="14"/>
        <v>1303183825.6020601</v>
      </c>
      <c r="P344">
        <f t="shared" si="14"/>
        <v>1065144429.6019042</v>
      </c>
      <c r="Q344">
        <f t="shared" si="14"/>
        <v>721576791.00075054</v>
      </c>
      <c r="R344">
        <f t="shared" si="14"/>
        <v>1815939186.8840718</v>
      </c>
      <c r="S344">
        <f t="shared" si="14"/>
        <v>1063906306.4322977</v>
      </c>
      <c r="T344">
        <f t="shared" si="14"/>
        <v>1184902468.1681252</v>
      </c>
      <c r="U344">
        <f t="shared" si="14"/>
        <v>1339029753.7834013</v>
      </c>
      <c r="V344">
        <f t="shared" si="14"/>
        <v>1146023756.8884027</v>
      </c>
      <c r="W344">
        <f t="shared" si="14"/>
        <v>1262141952.263283</v>
      </c>
      <c r="X344">
        <f t="shared" si="14"/>
        <v>1573029899.8383801</v>
      </c>
      <c r="Y344">
        <f t="shared" si="14"/>
        <v>1156143311.9868999</v>
      </c>
    </row>
    <row r="345" spans="1:25" x14ac:dyDescent="0.45">
      <c r="A345" s="5" t="s">
        <v>51</v>
      </c>
      <c r="B345">
        <f t="shared" ref="B345:Y345" si="15">B17/B$326</f>
        <v>231424850.94778812</v>
      </c>
      <c r="C345">
        <f t="shared" si="15"/>
        <v>216358651.45673203</v>
      </c>
      <c r="D345">
        <f t="shared" si="15"/>
        <v>155825186.55540636</v>
      </c>
      <c r="E345">
        <f t="shared" si="15"/>
        <v>209704893.76948604</v>
      </c>
      <c r="F345">
        <f t="shared" si="15"/>
        <v>259540503.95949137</v>
      </c>
      <c r="G345">
        <f t="shared" si="15"/>
        <v>225585667.30097744</v>
      </c>
      <c r="H345">
        <f t="shared" si="15"/>
        <v>182071376.38906363</v>
      </c>
      <c r="I345">
        <f t="shared" si="15"/>
        <v>175031897.65961078</v>
      </c>
      <c r="J345">
        <f t="shared" si="15"/>
        <v>359282254.6234771</v>
      </c>
      <c r="K345">
        <f t="shared" si="15"/>
        <v>317757555.14845198</v>
      </c>
      <c r="L345">
        <f t="shared" si="15"/>
        <v>254289432.93768457</v>
      </c>
      <c r="M345">
        <f t="shared" si="15"/>
        <v>163183866.39725035</v>
      </c>
      <c r="N345">
        <f t="shared" si="15"/>
        <v>161577806.57286847</v>
      </c>
      <c r="O345">
        <f t="shared" si="15"/>
        <v>298777761.5398128</v>
      </c>
      <c r="P345">
        <f t="shared" si="15"/>
        <v>299330622.48490405</v>
      </c>
      <c r="Q345">
        <f t="shared" si="15"/>
        <v>151988371.52224493</v>
      </c>
      <c r="R345">
        <f t="shared" si="15"/>
        <v>449541557.66810924</v>
      </c>
      <c r="S345">
        <f t="shared" si="15"/>
        <v>223378497.1583178</v>
      </c>
      <c r="T345">
        <f t="shared" si="15"/>
        <v>291334306.51016796</v>
      </c>
      <c r="U345">
        <f t="shared" si="15"/>
        <v>366258124.90429211</v>
      </c>
      <c r="V345">
        <f t="shared" si="15"/>
        <v>354744003.7856828</v>
      </c>
      <c r="W345">
        <f t="shared" si="15"/>
        <v>397300174.87450272</v>
      </c>
      <c r="X345">
        <f t="shared" si="15"/>
        <v>272006541.92773497</v>
      </c>
      <c r="Y345">
        <f t="shared" si="15"/>
        <v>299525894.49478495</v>
      </c>
    </row>
    <row r="346" spans="1:25" x14ac:dyDescent="0.45">
      <c r="A346" s="5" t="s">
        <v>271</v>
      </c>
      <c r="B346">
        <f t="shared" ref="B346:Y346" si="16">B18/B$326</f>
        <v>55298968.736580253</v>
      </c>
      <c r="C346">
        <f t="shared" si="16"/>
        <v>43618503.77528587</v>
      </c>
      <c r="D346">
        <f t="shared" si="16"/>
        <v>25029464.653807167</v>
      </c>
      <c r="E346">
        <f t="shared" si="16"/>
        <v>33127435.92696619</v>
      </c>
      <c r="F346">
        <f t="shared" si="16"/>
        <v>62290547.766901262</v>
      </c>
      <c r="G346">
        <f t="shared" si="16"/>
        <v>38352593.597119555</v>
      </c>
      <c r="H346">
        <f t="shared" si="16"/>
        <v>40511245.501188606</v>
      </c>
      <c r="I346">
        <f t="shared" si="16"/>
        <v>320284479.97530502</v>
      </c>
      <c r="J346">
        <f t="shared" si="16"/>
        <v>169153815.42258814</v>
      </c>
      <c r="K346">
        <f t="shared" si="16"/>
        <v>42091570.564188994</v>
      </c>
      <c r="L346">
        <f t="shared" si="16"/>
        <v>63893537.00851436</v>
      </c>
      <c r="M346">
        <f t="shared" si="16"/>
        <v>42552656.222763516</v>
      </c>
      <c r="N346">
        <f t="shared" si="16"/>
        <v>8764215.2196982298</v>
      </c>
      <c r="O346">
        <f t="shared" si="16"/>
        <v>72907859.751274109</v>
      </c>
      <c r="P346">
        <f t="shared" si="16"/>
        <v>48949364.992965937</v>
      </c>
      <c r="Q346">
        <f t="shared" si="16"/>
        <v>13009621.871739144</v>
      </c>
      <c r="R346">
        <f t="shared" si="16"/>
        <v>41993213.14600829</v>
      </c>
      <c r="S346">
        <f t="shared" si="16"/>
        <v>32679223.53748076</v>
      </c>
      <c r="T346">
        <f t="shared" si="16"/>
        <v>52933896.220432959</v>
      </c>
      <c r="U346">
        <f t="shared" si="16"/>
        <v>120764885.57297219</v>
      </c>
      <c r="V346">
        <f t="shared" si="16"/>
        <v>179888991.64687887</v>
      </c>
      <c r="W346">
        <f t="shared" si="16"/>
        <v>91708807.837850004</v>
      </c>
      <c r="X346">
        <f t="shared" si="16"/>
        <v>154923691.372448</v>
      </c>
      <c r="Y346">
        <f t="shared" si="16"/>
        <v>69062333.530944988</v>
      </c>
    </row>
    <row r="347" spans="1:25" x14ac:dyDescent="0.45">
      <c r="A347" s="5" t="s">
        <v>272</v>
      </c>
      <c r="B347">
        <f t="shared" ref="B347:Y347" si="17">B19/B$326</f>
        <v>55272441.209475003</v>
      </c>
      <c r="C347">
        <f t="shared" si="17"/>
        <v>43618503.77528587</v>
      </c>
      <c r="D347">
        <f t="shared" si="17"/>
        <v>25029464.653807167</v>
      </c>
      <c r="E347">
        <f t="shared" si="17"/>
        <v>33127435.92696619</v>
      </c>
      <c r="F347">
        <f t="shared" si="17"/>
        <v>62290547.766901262</v>
      </c>
      <c r="G347">
        <f t="shared" si="17"/>
        <v>38352593.597119555</v>
      </c>
      <c r="H347">
        <f t="shared" si="17"/>
        <v>40761510.337053388</v>
      </c>
      <c r="I347">
        <f t="shared" si="17"/>
        <v>320284479.97530502</v>
      </c>
      <c r="J347">
        <f t="shared" si="17"/>
        <v>166571407.82643247</v>
      </c>
      <c r="K347">
        <f t="shared" si="17"/>
        <v>42116765.87403065</v>
      </c>
      <c r="L347">
        <f t="shared" si="17"/>
        <v>63893537.00851436</v>
      </c>
      <c r="M347">
        <f t="shared" si="17"/>
        <v>42552656.222763516</v>
      </c>
      <c r="N347">
        <f t="shared" si="17"/>
        <v>8764215.2196982298</v>
      </c>
      <c r="O347">
        <f t="shared" si="17"/>
        <v>72907859.751274109</v>
      </c>
      <c r="P347">
        <f t="shared" si="17"/>
        <v>50255699.754966564</v>
      </c>
      <c r="Q347">
        <f t="shared" si="17"/>
        <v>12699784.223934736</v>
      </c>
      <c r="R347">
        <f t="shared" si="17"/>
        <v>45671774.811866514</v>
      </c>
      <c r="S347">
        <f t="shared" si="17"/>
        <v>32679223.53748076</v>
      </c>
      <c r="T347">
        <f t="shared" si="17"/>
        <v>52916359.677209221</v>
      </c>
      <c r="U347">
        <f t="shared" si="17"/>
        <v>120764885.57297219</v>
      </c>
      <c r="V347">
        <f t="shared" si="17"/>
        <v>58642225.574988805</v>
      </c>
      <c r="W347">
        <f t="shared" si="17"/>
        <v>91432906.822041735</v>
      </c>
      <c r="X347">
        <f t="shared" si="17"/>
        <v>58160265.583743103</v>
      </c>
      <c r="Y347">
        <f t="shared" si="17"/>
        <v>69353038.421698123</v>
      </c>
    </row>
    <row r="348" spans="1:25" x14ac:dyDescent="0.45">
      <c r="A348" s="5" t="s">
        <v>52</v>
      </c>
      <c r="B348">
        <f t="shared" ref="B348:Y348" si="18">B20/B$326</f>
        <v>13633035.068571383</v>
      </c>
      <c r="C348">
        <f t="shared" si="18"/>
        <v>19415380.888258308</v>
      </c>
      <c r="D348">
        <f t="shared" si="18"/>
        <v>12413211.713013083</v>
      </c>
      <c r="E348">
        <f t="shared" si="18"/>
        <v>14850981.193357613</v>
      </c>
      <c r="F348">
        <f t="shared" si="18"/>
        <v>17718499.823142432</v>
      </c>
      <c r="G348">
        <f t="shared" si="18"/>
        <v>14837803.641419852</v>
      </c>
      <c r="H348">
        <f t="shared" si="18"/>
        <v>12166518.55139735</v>
      </c>
      <c r="I348">
        <f t="shared" si="18"/>
        <v>21367485.766512245</v>
      </c>
      <c r="J348">
        <f t="shared" si="18"/>
        <v>27651785.301646475</v>
      </c>
      <c r="K348">
        <f t="shared" si="18"/>
        <v>13878998.360230733</v>
      </c>
      <c r="L348">
        <f t="shared" si="18"/>
        <v>14773008.018052714</v>
      </c>
      <c r="M348">
        <f t="shared" si="18"/>
        <v>12263659.671592057</v>
      </c>
      <c r="N348">
        <f t="shared" si="18"/>
        <v>9629574.8764680214</v>
      </c>
      <c r="O348">
        <f t="shared" si="18"/>
        <v>21535732.912865009</v>
      </c>
      <c r="P348">
        <f t="shared" si="18"/>
        <v>21423478.767557126</v>
      </c>
      <c r="Q348">
        <f t="shared" si="18"/>
        <v>12865007.428708456</v>
      </c>
      <c r="R348">
        <f t="shared" si="18"/>
        <v>28726640.118452583</v>
      </c>
      <c r="S348">
        <f t="shared" si="18"/>
        <v>18091884.352458965</v>
      </c>
      <c r="T348">
        <f t="shared" si="18"/>
        <v>20373529.695630953</v>
      </c>
      <c r="U348">
        <f t="shared" si="18"/>
        <v>24336298.994679779</v>
      </c>
      <c r="V348">
        <f t="shared" si="18"/>
        <v>22387685.086360611</v>
      </c>
      <c r="W348">
        <f t="shared" si="18"/>
        <v>22894521.296020053</v>
      </c>
      <c r="X348">
        <f t="shared" si="18"/>
        <v>28537676.664080199</v>
      </c>
      <c r="Y348">
        <f t="shared" si="18"/>
        <v>21178695.23300356</v>
      </c>
    </row>
    <row r="349" spans="1:25" x14ac:dyDescent="0.45">
      <c r="A349" s="5" t="s">
        <v>53</v>
      </c>
      <c r="B349">
        <f t="shared" ref="B349:Y349" si="19">B21/B$326</f>
        <v>97260834.700677395</v>
      </c>
      <c r="C349">
        <f t="shared" si="19"/>
        <v>323640370.24235171</v>
      </c>
      <c r="D349">
        <f t="shared" si="19"/>
        <v>213964264.50500205</v>
      </c>
      <c r="E349">
        <f t="shared" si="19"/>
        <v>146933840.37736428</v>
      </c>
      <c r="F349">
        <f t="shared" si="19"/>
        <v>171347897.25349635</v>
      </c>
      <c r="G349">
        <f t="shared" si="19"/>
        <v>106512420.91927843</v>
      </c>
      <c r="H349">
        <f t="shared" si="19"/>
        <v>38093846.894945264</v>
      </c>
      <c r="I349">
        <f t="shared" si="19"/>
        <v>192835688.24438286</v>
      </c>
      <c r="J349">
        <f t="shared" si="19"/>
        <v>292082172.49077457</v>
      </c>
      <c r="K349">
        <f t="shared" si="19"/>
        <v>94117578.006465405</v>
      </c>
      <c r="L349">
        <f t="shared" si="19"/>
        <v>288581199.71887183</v>
      </c>
      <c r="M349">
        <f t="shared" si="19"/>
        <v>187588532.5419091</v>
      </c>
      <c r="N349">
        <f t="shared" si="19"/>
        <v>94473347.838708788</v>
      </c>
      <c r="O349">
        <f t="shared" si="19"/>
        <v>239339915.35367328</v>
      </c>
      <c r="P349">
        <f t="shared" si="19"/>
        <v>143586741.51735446</v>
      </c>
      <c r="Q349">
        <f t="shared" si="19"/>
        <v>135058478.04948369</v>
      </c>
      <c r="R349">
        <f t="shared" si="19"/>
        <v>185532986.93917108</v>
      </c>
      <c r="S349">
        <f t="shared" si="19"/>
        <v>157980284.86421931</v>
      </c>
      <c r="T349">
        <f t="shared" si="19"/>
        <v>238418555.88257599</v>
      </c>
      <c r="U349">
        <f t="shared" si="19"/>
        <v>160014358.92235178</v>
      </c>
      <c r="V349">
        <f t="shared" si="19"/>
        <v>226281778.101551</v>
      </c>
      <c r="W349">
        <f t="shared" si="19"/>
        <v>191825034.58988646</v>
      </c>
      <c r="X349">
        <f t="shared" si="19"/>
        <v>212092801.635187</v>
      </c>
      <c r="Y349">
        <f t="shared" si="19"/>
        <v>126578253.41923313</v>
      </c>
    </row>
    <row r="350" spans="1:25" x14ac:dyDescent="0.45">
      <c r="A350" s="5" t="s">
        <v>54</v>
      </c>
      <c r="B350">
        <f t="shared" ref="B350:Y350" si="20">B22/B$326</f>
        <v>5963250.6433773665</v>
      </c>
      <c r="C350">
        <f t="shared" si="20"/>
        <v>19464137.139461901</v>
      </c>
      <c r="D350">
        <f t="shared" si="20"/>
        <v>14512351.621034669</v>
      </c>
      <c r="E350">
        <f t="shared" si="20"/>
        <v>17359190.761777185</v>
      </c>
      <c r="F350">
        <f t="shared" si="20"/>
        <v>21483518.886339054</v>
      </c>
      <c r="G350">
        <f t="shared" si="20"/>
        <v>16861889.365243088</v>
      </c>
      <c r="H350">
        <f t="shared" si="20"/>
        <v>8326615.3816606561</v>
      </c>
      <c r="I350">
        <f t="shared" si="20"/>
        <v>16290951.955008244</v>
      </c>
      <c r="J350">
        <f t="shared" si="20"/>
        <v>34654860.261579826</v>
      </c>
      <c r="K350">
        <f t="shared" si="20"/>
        <v>17575677.510682993</v>
      </c>
      <c r="L350">
        <f t="shared" si="20"/>
        <v>18024356.653596438</v>
      </c>
      <c r="M350">
        <f t="shared" si="20"/>
        <v>13825565.031582896</v>
      </c>
      <c r="N350">
        <f t="shared" si="20"/>
        <v>11310237.28743697</v>
      </c>
      <c r="O350">
        <f t="shared" si="20"/>
        <v>23535313.450219892</v>
      </c>
      <c r="P350">
        <f t="shared" si="20"/>
        <v>23833707.082177415</v>
      </c>
      <c r="Q350">
        <f t="shared" si="20"/>
        <v>14853415.671569854</v>
      </c>
      <c r="R350">
        <f t="shared" si="20"/>
        <v>24212110.030838303</v>
      </c>
      <c r="S350">
        <f t="shared" si="20"/>
        <v>17910845.65160064</v>
      </c>
      <c r="T350">
        <f t="shared" si="20"/>
        <v>24401361.526029345</v>
      </c>
      <c r="U350">
        <f t="shared" si="20"/>
        <v>23738546.206377789</v>
      </c>
      <c r="V350">
        <f t="shared" si="20"/>
        <v>24226306.835675385</v>
      </c>
      <c r="W350">
        <f t="shared" si="20"/>
        <v>29350546.747148223</v>
      </c>
      <c r="X350">
        <f t="shared" si="20"/>
        <v>34981636.262085102</v>
      </c>
      <c r="Y350">
        <f t="shared" si="20"/>
        <v>26400112.354538433</v>
      </c>
    </row>
    <row r="351" spans="1:25" x14ac:dyDescent="0.45">
      <c r="A351" s="5" t="s">
        <v>55</v>
      </c>
      <c r="B351">
        <f t="shared" ref="B351:Y351" si="21">B23/B$326</f>
        <v>124863800.27562074</v>
      </c>
      <c r="C351">
        <f t="shared" si="21"/>
        <v>227646580.43898696</v>
      </c>
      <c r="D351">
        <f t="shared" si="21"/>
        <v>164022425.25639674</v>
      </c>
      <c r="E351">
        <f t="shared" si="21"/>
        <v>113944071.64613715</v>
      </c>
      <c r="F351">
        <f t="shared" si="21"/>
        <v>137383985.09168446</v>
      </c>
      <c r="G351">
        <f t="shared" si="21"/>
        <v>110109219.01612058</v>
      </c>
      <c r="H351">
        <f t="shared" si="21"/>
        <v>62248676.383543916</v>
      </c>
      <c r="I351">
        <f t="shared" si="21"/>
        <v>187523987.71380946</v>
      </c>
      <c r="J351">
        <f t="shared" si="21"/>
        <v>224064779.22425345</v>
      </c>
      <c r="K351">
        <f t="shared" si="21"/>
        <v>160060807.25790915</v>
      </c>
      <c r="L351">
        <f t="shared" si="21"/>
        <v>265783895.60937449</v>
      </c>
      <c r="M351">
        <f t="shared" si="21"/>
        <v>130735818.19637974</v>
      </c>
      <c r="N351">
        <f t="shared" si="21"/>
        <v>51846416.114129499</v>
      </c>
      <c r="O351">
        <f t="shared" si="21"/>
        <v>152071575.54843208</v>
      </c>
      <c r="P351">
        <f t="shared" si="21"/>
        <v>81959074.777131557</v>
      </c>
      <c r="Q351">
        <f t="shared" si="21"/>
        <v>77579926.256488085</v>
      </c>
      <c r="R351">
        <f t="shared" si="21"/>
        <v>80539697.991359457</v>
      </c>
      <c r="S351">
        <f t="shared" si="21"/>
        <v>89729489.468444154</v>
      </c>
      <c r="T351">
        <f t="shared" si="21"/>
        <v>282261874.35353905</v>
      </c>
      <c r="U351">
        <f t="shared" si="21"/>
        <v>130892631.64188506</v>
      </c>
      <c r="V351">
        <f t="shared" si="21"/>
        <v>59306946.955451995</v>
      </c>
      <c r="W351">
        <f t="shared" si="21"/>
        <v>141743551.92055953</v>
      </c>
      <c r="X351">
        <f t="shared" si="21"/>
        <v>536603168.85842502</v>
      </c>
      <c r="Y351">
        <f t="shared" si="21"/>
        <v>125052836.07108687</v>
      </c>
    </row>
    <row r="352" spans="1:25" x14ac:dyDescent="0.45">
      <c r="A352" s="5" t="s">
        <v>56</v>
      </c>
      <c r="B352">
        <f t="shared" ref="B352:Y352" si="22">B24/B$326</f>
        <v>822020.39075542148</v>
      </c>
      <c r="C352">
        <f t="shared" si="22"/>
        <v>548009.6981564383</v>
      </c>
      <c r="D352">
        <f t="shared" si="22"/>
        <v>397383.88561911572</v>
      </c>
      <c r="E352">
        <f t="shared" si="22"/>
        <v>757567.57906222972</v>
      </c>
      <c r="F352">
        <f t="shared" si="22"/>
        <v>717709.09570763086</v>
      </c>
      <c r="G352">
        <f t="shared" si="22"/>
        <v>662686.24353491166</v>
      </c>
      <c r="H352">
        <f t="shared" si="22"/>
        <v>1443006.5109388856</v>
      </c>
      <c r="I352">
        <f t="shared" si="22"/>
        <v>1512576.2397610191</v>
      </c>
      <c r="J352">
        <f t="shared" si="22"/>
        <v>2072285.847368811</v>
      </c>
      <c r="K352">
        <f t="shared" si="22"/>
        <v>459939.23974011233</v>
      </c>
      <c r="L352">
        <f t="shared" si="22"/>
        <v>492281.74175199791</v>
      </c>
      <c r="M352">
        <f t="shared" si="22"/>
        <v>589389.52269368863</v>
      </c>
      <c r="N352">
        <f t="shared" si="22"/>
        <v>345168.49121226906</v>
      </c>
      <c r="O352">
        <f t="shared" si="22"/>
        <v>1151984.696992181</v>
      </c>
      <c r="P352">
        <f t="shared" si="22"/>
        <v>1769645.9800383437</v>
      </c>
      <c r="Q352">
        <f t="shared" si="22"/>
        <v>332442.15924124635</v>
      </c>
      <c r="R352">
        <f t="shared" si="22"/>
        <v>2244486.7705040183</v>
      </c>
      <c r="S352">
        <f t="shared" si="22"/>
        <v>1615309.8921993654</v>
      </c>
      <c r="T352">
        <f t="shared" si="22"/>
        <v>1958293.082179144</v>
      </c>
      <c r="U352">
        <f t="shared" si="22"/>
        <v>2271613.0083078253</v>
      </c>
      <c r="V352">
        <f t="shared" si="22"/>
        <v>1471862.5525909017</v>
      </c>
      <c r="W352">
        <f t="shared" si="22"/>
        <v>865734.53579027182</v>
      </c>
      <c r="X352">
        <f t="shared" si="22"/>
        <v>1889925.8818764701</v>
      </c>
      <c r="Y352">
        <f t="shared" si="22"/>
        <v>593114.45123317244</v>
      </c>
    </row>
    <row r="353" spans="1:25" x14ac:dyDescent="0.45">
      <c r="A353" s="5" t="s">
        <v>57</v>
      </c>
      <c r="B353">
        <f t="shared" ref="B353:Y353" si="23">B25/B$326</f>
        <v>9967118.5382931121</v>
      </c>
      <c r="C353">
        <f t="shared" si="23"/>
        <v>14351150.167418355</v>
      </c>
      <c r="D353">
        <f t="shared" si="23"/>
        <v>14518130.826573718</v>
      </c>
      <c r="E353">
        <f t="shared" si="23"/>
        <v>12323627.640939223</v>
      </c>
      <c r="F353">
        <f t="shared" si="23"/>
        <v>21466950.548643757</v>
      </c>
      <c r="G353">
        <f t="shared" si="23"/>
        <v>12058540.277673528</v>
      </c>
      <c r="H353">
        <f t="shared" si="23"/>
        <v>4744163.5291189058</v>
      </c>
      <c r="I353">
        <f t="shared" si="23"/>
        <v>22449653.196040776</v>
      </c>
      <c r="J353">
        <f t="shared" si="23"/>
        <v>24113333.514816221</v>
      </c>
      <c r="K353">
        <f t="shared" si="23"/>
        <v>17575677.510682993</v>
      </c>
      <c r="L353">
        <f t="shared" si="23"/>
        <v>18008104.670875214</v>
      </c>
      <c r="M353">
        <f t="shared" si="23"/>
        <v>13822401.095551267</v>
      </c>
      <c r="N353">
        <f t="shared" si="23"/>
        <v>8061085.7776366426</v>
      </c>
      <c r="O353">
        <f t="shared" si="23"/>
        <v>23530053.040097889</v>
      </c>
      <c r="P353">
        <f t="shared" si="23"/>
        <v>23849888.348750845</v>
      </c>
      <c r="Q353">
        <f t="shared" si="23"/>
        <v>14845242.853392124</v>
      </c>
      <c r="R353">
        <f t="shared" si="23"/>
        <v>8154676.0614592331</v>
      </c>
      <c r="S353">
        <f t="shared" si="23"/>
        <v>20504672.24137729</v>
      </c>
      <c r="T353">
        <f t="shared" si="23"/>
        <v>24380550.240942426</v>
      </c>
      <c r="U353">
        <f t="shared" si="23"/>
        <v>16578528.632929044</v>
      </c>
      <c r="V353">
        <f t="shared" si="23"/>
        <v>20326138.445000045</v>
      </c>
      <c r="W353">
        <f t="shared" si="23"/>
        <v>29330738.483764272</v>
      </c>
      <c r="X353">
        <f t="shared" si="23"/>
        <v>39528578.212188803</v>
      </c>
      <c r="Y353">
        <f t="shared" si="23"/>
        <v>14898341.440868</v>
      </c>
    </row>
    <row r="354" spans="1:25" x14ac:dyDescent="0.45">
      <c r="A354" s="5" t="s">
        <v>58</v>
      </c>
      <c r="B354">
        <f t="shared" ref="B354:Y354" si="24">B26/B$326</f>
        <v>9152616.4696886372</v>
      </c>
      <c r="C354">
        <f t="shared" si="24"/>
        <v>13593228.515576614</v>
      </c>
      <c r="D354">
        <f t="shared" si="24"/>
        <v>9965904.9627082516</v>
      </c>
      <c r="E354">
        <f t="shared" si="24"/>
        <v>11159916.991833448</v>
      </c>
      <c r="F354">
        <f t="shared" si="24"/>
        <v>10795338.388637297</v>
      </c>
      <c r="G354">
        <f t="shared" si="24"/>
        <v>10820586.286875343</v>
      </c>
      <c r="H354">
        <f t="shared" si="24"/>
        <v>5224400.0559997521</v>
      </c>
      <c r="I354">
        <f t="shared" si="24"/>
        <v>21949517.652113002</v>
      </c>
      <c r="J354">
        <f t="shared" si="24"/>
        <v>22777893.39805093</v>
      </c>
      <c r="K354">
        <f t="shared" si="24"/>
        <v>10115095.7260371</v>
      </c>
      <c r="L354">
        <f t="shared" si="24"/>
        <v>11840035.925081171</v>
      </c>
      <c r="M354">
        <f t="shared" si="24"/>
        <v>9381444.2757785544</v>
      </c>
      <c r="N354">
        <f t="shared" si="24"/>
        <v>8117784.416825382</v>
      </c>
      <c r="O354">
        <f t="shared" si="24"/>
        <v>16157748.622809617</v>
      </c>
      <c r="P354">
        <f t="shared" si="24"/>
        <v>7219460.041423656</v>
      </c>
      <c r="Q354">
        <f t="shared" si="24"/>
        <v>10681587.797499625</v>
      </c>
      <c r="R354">
        <f t="shared" si="24"/>
        <v>22138457.979973231</v>
      </c>
      <c r="S354">
        <f t="shared" si="24"/>
        <v>14605614.379508104</v>
      </c>
      <c r="T354">
        <f t="shared" si="24"/>
        <v>15898983.800568692</v>
      </c>
      <c r="U354">
        <f t="shared" si="24"/>
        <v>17107122.514744401</v>
      </c>
      <c r="V354">
        <f t="shared" si="24"/>
        <v>16412356.465356575</v>
      </c>
      <c r="W354">
        <f t="shared" si="24"/>
        <v>20780742.050062779</v>
      </c>
      <c r="X354">
        <f t="shared" si="24"/>
        <v>26691780.924102999</v>
      </c>
      <c r="Y354">
        <f t="shared" si="24"/>
        <v>4089293.4468657314</v>
      </c>
    </row>
    <row r="355" spans="1:25" x14ac:dyDescent="0.45">
      <c r="A355" s="5" t="s">
        <v>273</v>
      </c>
      <c r="B355">
        <f t="shared" ref="B355:Y355" si="25">B27/B$326</f>
        <v>14419588.03142659</v>
      </c>
      <c r="C355">
        <f t="shared" si="25"/>
        <v>17630995.742720559</v>
      </c>
      <c r="D355">
        <f t="shared" si="25"/>
        <v>12868552.564991819</v>
      </c>
      <c r="E355">
        <f t="shared" si="25"/>
        <v>10323996.339401882</v>
      </c>
      <c r="F355">
        <f t="shared" si="25"/>
        <v>25317101.896094263</v>
      </c>
      <c r="G355">
        <f t="shared" si="25"/>
        <v>19992756.867765341</v>
      </c>
      <c r="H355">
        <f t="shared" si="25"/>
        <v>16568298.086663259</v>
      </c>
      <c r="I355">
        <f t="shared" si="25"/>
        <v>52796817.403160281</v>
      </c>
      <c r="J355">
        <f t="shared" si="25"/>
        <v>39993498.262957901</v>
      </c>
      <c r="K355">
        <f t="shared" si="25"/>
        <v>7775956.6952565331</v>
      </c>
      <c r="L355">
        <f t="shared" si="25"/>
        <v>23486135.784681011</v>
      </c>
      <c r="M355">
        <f t="shared" si="25"/>
        <v>9775780.1198341679</v>
      </c>
      <c r="N355">
        <f t="shared" si="25"/>
        <v>8842574.4664444607</v>
      </c>
      <c r="O355">
        <f t="shared" si="25"/>
        <v>46995121.41158209</v>
      </c>
      <c r="P355">
        <f t="shared" si="25"/>
        <v>45003386.279789433</v>
      </c>
      <c r="Q355">
        <f t="shared" si="25"/>
        <v>29226579.60930185</v>
      </c>
      <c r="R355">
        <f t="shared" si="25"/>
        <v>46129473.03562773</v>
      </c>
      <c r="S355">
        <f t="shared" si="25"/>
        <v>27235250.961600319</v>
      </c>
      <c r="T355">
        <f t="shared" si="25"/>
        <v>30585189.550451171</v>
      </c>
      <c r="U355">
        <f t="shared" si="25"/>
        <v>64215171.172773942</v>
      </c>
      <c r="V355">
        <f t="shared" si="25"/>
        <v>27956106.635369822</v>
      </c>
      <c r="W355">
        <f t="shared" si="25"/>
        <v>20791578.025630031</v>
      </c>
      <c r="X355">
        <f t="shared" si="25"/>
        <v>63604358.091474801</v>
      </c>
      <c r="Y355">
        <f t="shared" si="25"/>
        <v>30560496.316815935</v>
      </c>
    </row>
    <row r="356" spans="1:25" x14ac:dyDescent="0.45">
      <c r="A356" s="5" t="s">
        <v>59</v>
      </c>
      <c r="B356">
        <f t="shared" ref="B356:Y356" si="26">B28/B$326</f>
        <v>155860.99122601922</v>
      </c>
      <c r="C356">
        <f t="shared" si="26"/>
        <v>127678.35958916444</v>
      </c>
      <c r="D356">
        <f t="shared" si="26"/>
        <v>472668.21961831913</v>
      </c>
      <c r="E356">
        <f t="shared" si="26"/>
        <v>245616.31916932651</v>
      </c>
      <c r="F356">
        <f t="shared" si="26"/>
        <v>182796.89818625242</v>
      </c>
      <c r="G356">
        <f t="shared" si="26"/>
        <v>264128.20178356371</v>
      </c>
      <c r="H356">
        <f t="shared" si="26"/>
        <v>82526459.754413724</v>
      </c>
      <c r="I356">
        <f t="shared" si="26"/>
        <v>5572454.8570993533</v>
      </c>
      <c r="J356">
        <f t="shared" si="26"/>
        <v>3708469.6862128777</v>
      </c>
      <c r="K356">
        <f t="shared" si="26"/>
        <v>1465072.9023480695</v>
      </c>
      <c r="L356">
        <f t="shared" si="26"/>
        <v>1278417.7747478618</v>
      </c>
      <c r="M356">
        <f t="shared" si="26"/>
        <v>187591.04181677435</v>
      </c>
      <c r="N356">
        <f t="shared" si="26"/>
        <v>22017963.230842005</v>
      </c>
      <c r="O356">
        <f t="shared" si="26"/>
        <v>53724846.650854215</v>
      </c>
      <c r="P356">
        <f t="shared" si="26"/>
        <v>71185886.23130089</v>
      </c>
      <c r="Q356">
        <f t="shared" si="26"/>
        <v>99404.089096711337</v>
      </c>
      <c r="R356">
        <f t="shared" si="26"/>
        <v>1878299.447935357</v>
      </c>
      <c r="S356">
        <f t="shared" si="26"/>
        <v>308445.22384208225</v>
      </c>
      <c r="T356">
        <f t="shared" si="26"/>
        <v>840151.05444215541</v>
      </c>
      <c r="U356">
        <f t="shared" si="26"/>
        <v>1172721.2443729651</v>
      </c>
      <c r="V356">
        <f t="shared" si="26"/>
        <v>1019621.2478604639</v>
      </c>
      <c r="W356">
        <f t="shared" si="26"/>
        <v>908671.55814593087</v>
      </c>
      <c r="X356">
        <f t="shared" si="26"/>
        <v>68767011.225811899</v>
      </c>
      <c r="Y356">
        <f t="shared" si="26"/>
        <v>564974.60000393004</v>
      </c>
    </row>
    <row r="357" spans="1:25" x14ac:dyDescent="0.45">
      <c r="A357" s="5" t="s">
        <v>60</v>
      </c>
      <c r="B357">
        <f t="shared" ref="B357:Y357" si="27">B29/B$326</f>
        <v>320868.74141003721</v>
      </c>
      <c r="C357">
        <f t="shared" si="27"/>
        <v>851044.8866853331</v>
      </c>
      <c r="D357">
        <f t="shared" si="27"/>
        <v>636367.18285440479</v>
      </c>
      <c r="E357">
        <f t="shared" si="27"/>
        <v>352520.74750467786</v>
      </c>
      <c r="F357">
        <f t="shared" si="27"/>
        <v>1007452.450798636</v>
      </c>
      <c r="G357">
        <f t="shared" si="27"/>
        <v>827331.9626259068</v>
      </c>
      <c r="H357">
        <f t="shared" si="27"/>
        <v>9575472.6344583184</v>
      </c>
      <c r="I357">
        <f t="shared" si="27"/>
        <v>52247482.551355347</v>
      </c>
      <c r="J357">
        <f t="shared" si="27"/>
        <v>3894714.7377041583</v>
      </c>
      <c r="K357">
        <f t="shared" si="27"/>
        <v>5714979.8525640033</v>
      </c>
      <c r="L357">
        <f t="shared" si="27"/>
        <v>1014077.0150551384</v>
      </c>
      <c r="M357">
        <f t="shared" si="27"/>
        <v>608691.27128763567</v>
      </c>
      <c r="N357">
        <f t="shared" si="27"/>
        <v>7001612.7450529123</v>
      </c>
      <c r="O357">
        <f t="shared" si="27"/>
        <v>25532609.69155987</v>
      </c>
      <c r="P357">
        <f t="shared" si="27"/>
        <v>2041102.164120425</v>
      </c>
      <c r="Q357">
        <f t="shared" si="27"/>
        <v>269982.15311894205</v>
      </c>
      <c r="R357">
        <f t="shared" si="27"/>
        <v>1595321.9527867574</v>
      </c>
      <c r="S357">
        <f t="shared" si="27"/>
        <v>719739.43275929277</v>
      </c>
      <c r="T357">
        <f t="shared" si="27"/>
        <v>1335061.0821775191</v>
      </c>
      <c r="U357">
        <f t="shared" si="27"/>
        <v>2852293.1582323415</v>
      </c>
      <c r="V357">
        <f t="shared" si="27"/>
        <v>2855849.1930048754</v>
      </c>
      <c r="W357">
        <f t="shared" si="27"/>
        <v>944843.41251973237</v>
      </c>
      <c r="X357">
        <f t="shared" si="27"/>
        <v>60786966.549309798</v>
      </c>
      <c r="Y357">
        <f t="shared" si="27"/>
        <v>1509394.3134562313</v>
      </c>
    </row>
    <row r="358" spans="1:25" x14ac:dyDescent="0.45">
      <c r="A358" s="5" t="s">
        <v>61</v>
      </c>
      <c r="B358">
        <f t="shared" ref="B358:Y358" si="28">B30/B$326</f>
        <v>30763384.676233776</v>
      </c>
      <c r="C358">
        <f t="shared" si="28"/>
        <v>30054283.569162436</v>
      </c>
      <c r="D358">
        <f t="shared" si="28"/>
        <v>20996270.485935625</v>
      </c>
      <c r="E358">
        <f t="shared" si="28"/>
        <v>23328794.498081334</v>
      </c>
      <c r="F358">
        <f t="shared" si="28"/>
        <v>31882199.531892501</v>
      </c>
      <c r="G358">
        <f t="shared" si="28"/>
        <v>20596429.597012989</v>
      </c>
      <c r="H358">
        <f t="shared" si="28"/>
        <v>15944157.802705463</v>
      </c>
      <c r="I358">
        <f t="shared" si="28"/>
        <v>6326831.0323567931</v>
      </c>
      <c r="J358">
        <f t="shared" si="28"/>
        <v>57508005.088505663</v>
      </c>
      <c r="K358">
        <f t="shared" si="28"/>
        <v>21484359.508527651</v>
      </c>
      <c r="L358">
        <f t="shared" si="28"/>
        <v>25169128.394367822</v>
      </c>
      <c r="M358">
        <f t="shared" si="28"/>
        <v>19660064.876531083</v>
      </c>
      <c r="N358">
        <f t="shared" si="28"/>
        <v>18280255.024697166</v>
      </c>
      <c r="O358">
        <f t="shared" si="28"/>
        <v>80600395.016914606</v>
      </c>
      <c r="P358">
        <f t="shared" si="28"/>
        <v>60199479.170403421</v>
      </c>
      <c r="Q358">
        <f t="shared" si="28"/>
        <v>23006435.753895454</v>
      </c>
      <c r="R358">
        <f t="shared" si="28"/>
        <v>54532121.206604317</v>
      </c>
      <c r="S358">
        <f t="shared" si="28"/>
        <v>28623145.50086185</v>
      </c>
      <c r="T358">
        <f t="shared" si="28"/>
        <v>49167378.144698836</v>
      </c>
      <c r="U358">
        <f t="shared" si="28"/>
        <v>49160721.17523098</v>
      </c>
      <c r="V358">
        <f t="shared" si="28"/>
        <v>44083411.232750162</v>
      </c>
      <c r="W358">
        <f t="shared" si="28"/>
        <v>46314171.863681741</v>
      </c>
      <c r="X358">
        <f t="shared" si="28"/>
        <v>43477958.038361497</v>
      </c>
      <c r="Y358">
        <f t="shared" si="28"/>
        <v>33504514.945597995</v>
      </c>
    </row>
    <row r="359" spans="1:25" x14ac:dyDescent="0.45">
      <c r="A359" s="5" t="s">
        <v>62</v>
      </c>
      <c r="B359">
        <f t="shared" ref="B359:Y359" si="29">B31/B$326</f>
        <v>14967203.595964096</v>
      </c>
      <c r="C359">
        <f t="shared" si="29"/>
        <v>17138819.57275058</v>
      </c>
      <c r="D359">
        <f t="shared" si="29"/>
        <v>10606619.916496694</v>
      </c>
      <c r="E359">
        <f t="shared" si="29"/>
        <v>13053665.287382811</v>
      </c>
      <c r="F359">
        <f t="shared" si="29"/>
        <v>16989118.520953462</v>
      </c>
      <c r="G359">
        <f t="shared" si="29"/>
        <v>4088288.9503227598</v>
      </c>
      <c r="H359">
        <f t="shared" si="29"/>
        <v>15470635.599548597</v>
      </c>
      <c r="I359">
        <f t="shared" si="29"/>
        <v>9948926.6313993242</v>
      </c>
      <c r="J359">
        <f t="shared" si="29"/>
        <v>34680725.307778709</v>
      </c>
      <c r="K359">
        <f t="shared" si="29"/>
        <v>30889131.317597613</v>
      </c>
      <c r="L359">
        <f t="shared" si="29"/>
        <v>22104528.119641121</v>
      </c>
      <c r="M359">
        <f t="shared" si="29"/>
        <v>16472524.3000932</v>
      </c>
      <c r="N359">
        <f t="shared" si="29"/>
        <v>12727573.944890743</v>
      </c>
      <c r="O359">
        <f t="shared" si="29"/>
        <v>27549076.88833636</v>
      </c>
      <c r="P359">
        <f t="shared" si="29"/>
        <v>29473885.841376305</v>
      </c>
      <c r="Q359">
        <f t="shared" si="29"/>
        <v>19080795.154267382</v>
      </c>
      <c r="R359">
        <f t="shared" si="29"/>
        <v>7547927.9414803805</v>
      </c>
      <c r="S359">
        <f t="shared" si="29"/>
        <v>16107822.272625988</v>
      </c>
      <c r="T359">
        <f t="shared" si="29"/>
        <v>20373232.098510962</v>
      </c>
      <c r="U359">
        <f t="shared" si="29"/>
        <v>15311275.485298915</v>
      </c>
      <c r="V359">
        <f t="shared" si="29"/>
        <v>19859238.955938991</v>
      </c>
      <c r="W359">
        <f t="shared" si="29"/>
        <v>32112495.877072606</v>
      </c>
      <c r="X359">
        <f t="shared" si="29"/>
        <v>54899617.049534701</v>
      </c>
      <c r="Y359">
        <f t="shared" si="29"/>
        <v>8865630.9409381244</v>
      </c>
    </row>
    <row r="360" spans="1:25" x14ac:dyDescent="0.45">
      <c r="A360" s="5" t="s">
        <v>63</v>
      </c>
      <c r="B360">
        <f t="shared" ref="B360:Y360" si="30">B32/B$326</f>
        <v>889042.22882262303</v>
      </c>
      <c r="C360">
        <f t="shared" si="30"/>
        <v>2962681.0712161702</v>
      </c>
      <c r="D360">
        <f t="shared" si="30"/>
        <v>1722077.0103850083</v>
      </c>
      <c r="E360">
        <f t="shared" si="30"/>
        <v>1246476.1532735466</v>
      </c>
      <c r="F360">
        <f t="shared" si="30"/>
        <v>992711.08157908276</v>
      </c>
      <c r="G360">
        <f t="shared" si="30"/>
        <v>1515891.1726615785</v>
      </c>
      <c r="H360">
        <f t="shared" si="30"/>
        <v>1392455.7188574269</v>
      </c>
      <c r="I360">
        <f t="shared" si="30"/>
        <v>4029323.9076274661</v>
      </c>
      <c r="J360">
        <f t="shared" si="30"/>
        <v>2236661.5321841971</v>
      </c>
      <c r="K360">
        <f t="shared" si="30"/>
        <v>9756728.6055312231</v>
      </c>
      <c r="L360">
        <f t="shared" si="30"/>
        <v>2400457.1079281862</v>
      </c>
      <c r="M360">
        <f t="shared" si="30"/>
        <v>4403389.2489124611</v>
      </c>
      <c r="N360">
        <f t="shared" si="30"/>
        <v>1227425.0373705942</v>
      </c>
      <c r="O360">
        <f t="shared" si="30"/>
        <v>3447435.3496355228</v>
      </c>
      <c r="P360">
        <f t="shared" si="30"/>
        <v>2955142.5398398899</v>
      </c>
      <c r="Q360">
        <f t="shared" si="30"/>
        <v>2742234.9683422744</v>
      </c>
      <c r="R360">
        <f t="shared" si="30"/>
        <v>156024.73750123536</v>
      </c>
      <c r="S360">
        <f t="shared" si="30"/>
        <v>4252079.0956822895</v>
      </c>
      <c r="T360">
        <f t="shared" si="30"/>
        <v>112498.71028255321</v>
      </c>
      <c r="U360">
        <f t="shared" si="30"/>
        <v>209348.17890762814</v>
      </c>
      <c r="V360">
        <f t="shared" si="30"/>
        <v>188816.20181590185</v>
      </c>
      <c r="W360">
        <f t="shared" si="30"/>
        <v>2816198.2992570796</v>
      </c>
      <c r="X360">
        <f t="shared" si="30"/>
        <v>8795489.4618717507</v>
      </c>
      <c r="Y360">
        <f t="shared" si="30"/>
        <v>2931667.7918982436</v>
      </c>
    </row>
    <row r="361" spans="1:25" x14ac:dyDescent="0.45">
      <c r="A361" s="5" t="s">
        <v>64</v>
      </c>
      <c r="B361">
        <f t="shared" ref="B361:Y361" si="31">B33/B$326</f>
        <v>26771608.721795559</v>
      </c>
      <c r="C361">
        <f t="shared" si="31"/>
        <v>30040823.315044221</v>
      </c>
      <c r="D361">
        <f t="shared" si="31"/>
        <v>21542903.965363484</v>
      </c>
      <c r="E361">
        <f t="shared" si="31"/>
        <v>27428801.084027108</v>
      </c>
      <c r="F361">
        <f t="shared" si="31"/>
        <v>37489028.820391893</v>
      </c>
      <c r="G361">
        <f t="shared" si="31"/>
        <v>30141082.456296716</v>
      </c>
      <c r="H361">
        <f t="shared" si="31"/>
        <v>22337798.541801307</v>
      </c>
      <c r="I361">
        <f t="shared" si="31"/>
        <v>31817222.983365804</v>
      </c>
      <c r="J361">
        <f t="shared" si="31"/>
        <v>43558371.65472848</v>
      </c>
      <c r="K361">
        <f t="shared" si="31"/>
        <v>37950777.78376548</v>
      </c>
      <c r="L361">
        <f t="shared" si="31"/>
        <v>38549979.131346174</v>
      </c>
      <c r="M361">
        <f t="shared" si="31"/>
        <v>28908898.537037861</v>
      </c>
      <c r="N361">
        <f t="shared" si="31"/>
        <v>2740035.724936896</v>
      </c>
      <c r="O361">
        <f t="shared" si="31"/>
        <v>32032129.830638841</v>
      </c>
      <c r="P361">
        <f t="shared" si="31"/>
        <v>7449970.0173544483</v>
      </c>
      <c r="Q361">
        <f t="shared" si="31"/>
        <v>9107209.0653089751</v>
      </c>
      <c r="R361">
        <f t="shared" si="31"/>
        <v>64198767.808554098</v>
      </c>
      <c r="S361">
        <f t="shared" si="31"/>
        <v>35530356.296356224</v>
      </c>
      <c r="T361">
        <f t="shared" si="31"/>
        <v>39339013.06488125</v>
      </c>
      <c r="U361">
        <f t="shared" si="31"/>
        <v>46650437.959684022</v>
      </c>
      <c r="V361">
        <f t="shared" si="31"/>
        <v>39905351.323221803</v>
      </c>
      <c r="W361">
        <f t="shared" si="31"/>
        <v>15746728.860758493</v>
      </c>
      <c r="X361">
        <f t="shared" si="31"/>
        <v>29439039.2393439</v>
      </c>
      <c r="Y361">
        <f t="shared" si="31"/>
        <v>7255363.3230581246</v>
      </c>
    </row>
    <row r="362" spans="1:25" x14ac:dyDescent="0.45">
      <c r="A362" s="5" t="s">
        <v>65</v>
      </c>
      <c r="B362">
        <f t="shared" ref="B362:Y362" si="32">B34/B$326</f>
        <v>1350297.4862124582</v>
      </c>
      <c r="C362">
        <f t="shared" si="32"/>
        <v>3238071.7801368213</v>
      </c>
      <c r="D362">
        <f t="shared" si="32"/>
        <v>1317068.4617986567</v>
      </c>
      <c r="E362">
        <f t="shared" si="32"/>
        <v>950421.20463643386</v>
      </c>
      <c r="F362">
        <f t="shared" si="32"/>
        <v>1680200.2805138817</v>
      </c>
      <c r="G362">
        <f t="shared" si="32"/>
        <v>1032857.1768836371</v>
      </c>
      <c r="H362">
        <f t="shared" si="32"/>
        <v>847014.15338067</v>
      </c>
      <c r="I362">
        <f t="shared" si="32"/>
        <v>2200703.7783352239</v>
      </c>
      <c r="J362">
        <f t="shared" si="32"/>
        <v>3586068.7061720146</v>
      </c>
      <c r="K362">
        <f t="shared" si="32"/>
        <v>1928388.4591979012</v>
      </c>
      <c r="L362">
        <f t="shared" si="32"/>
        <v>1478680.8029442821</v>
      </c>
      <c r="M362">
        <f t="shared" si="32"/>
        <v>1287191.3598178306</v>
      </c>
      <c r="N362">
        <f t="shared" si="32"/>
        <v>638784.52166827209</v>
      </c>
      <c r="O362">
        <f t="shared" si="32"/>
        <v>1965035.2716292327</v>
      </c>
      <c r="P362">
        <f t="shared" si="32"/>
        <v>1382297.9675793094</v>
      </c>
      <c r="Q362">
        <f t="shared" si="32"/>
        <v>732048.33643311867</v>
      </c>
      <c r="R362">
        <f t="shared" si="32"/>
        <v>4242670.0276470566</v>
      </c>
      <c r="S362">
        <f t="shared" si="32"/>
        <v>1395632.6127182862</v>
      </c>
      <c r="T362">
        <f t="shared" si="32"/>
        <v>2434296.8326413198</v>
      </c>
      <c r="U362">
        <f t="shared" si="32"/>
        <v>2214892.0364152659</v>
      </c>
      <c r="V362">
        <f t="shared" si="32"/>
        <v>1294295.5680604768</v>
      </c>
      <c r="W362">
        <f t="shared" si="32"/>
        <v>1559398.6772933574</v>
      </c>
      <c r="X362">
        <f t="shared" si="32"/>
        <v>4453166.7427845905</v>
      </c>
      <c r="Y362">
        <f t="shared" si="32"/>
        <v>1456049.3288965437</v>
      </c>
    </row>
    <row r="363" spans="1:25" x14ac:dyDescent="0.45">
      <c r="A363" s="5" t="s">
        <v>66</v>
      </c>
      <c r="B363">
        <f t="shared" ref="B363:Y363" si="33">B35/B$326</f>
        <v>337609.92873550125</v>
      </c>
      <c r="C363">
        <f t="shared" si="33"/>
        <v>962389.37925946293</v>
      </c>
      <c r="D363">
        <f t="shared" si="33"/>
        <v>355102.67881624697</v>
      </c>
      <c r="E363">
        <f t="shared" si="33"/>
        <v>267309.68115635868</v>
      </c>
      <c r="F363">
        <f t="shared" si="33"/>
        <v>426659.64601311967</v>
      </c>
      <c r="G363">
        <f t="shared" si="33"/>
        <v>829262.75845690677</v>
      </c>
      <c r="H363">
        <f t="shared" si="33"/>
        <v>346248.56160790281</v>
      </c>
      <c r="I363">
        <f t="shared" si="33"/>
        <v>1147928.5066633336</v>
      </c>
      <c r="J363">
        <f t="shared" si="33"/>
        <v>416671.52257131477</v>
      </c>
      <c r="K363">
        <f t="shared" si="33"/>
        <v>435069.01076999475</v>
      </c>
      <c r="L363">
        <f t="shared" si="33"/>
        <v>536411.37984707986</v>
      </c>
      <c r="M363">
        <f t="shared" si="33"/>
        <v>364540.33729052567</v>
      </c>
      <c r="N363">
        <f t="shared" si="33"/>
        <v>943439.62565093511</v>
      </c>
      <c r="O363">
        <f t="shared" si="33"/>
        <v>1611235.1335910654</v>
      </c>
      <c r="P363">
        <f t="shared" si="33"/>
        <v>1986382.0351310249</v>
      </c>
      <c r="Q363">
        <f t="shared" si="33"/>
        <v>420908.95498638129</v>
      </c>
      <c r="R363">
        <f t="shared" si="33"/>
        <v>695289.14591061731</v>
      </c>
      <c r="S363">
        <f t="shared" si="33"/>
        <v>613592.44872072572</v>
      </c>
      <c r="T363">
        <f t="shared" si="33"/>
        <v>634650.35629266943</v>
      </c>
      <c r="U363">
        <f t="shared" si="33"/>
        <v>487710.50211760396</v>
      </c>
      <c r="V363">
        <f t="shared" si="33"/>
        <v>689427.58902008703</v>
      </c>
      <c r="W363">
        <f t="shared" si="33"/>
        <v>661957.87658969511</v>
      </c>
      <c r="X363">
        <f t="shared" si="33"/>
        <v>2376005.5817413302</v>
      </c>
      <c r="Y363">
        <f t="shared" si="33"/>
        <v>871450.2513853499</v>
      </c>
    </row>
    <row r="364" spans="1:25" x14ac:dyDescent="0.45">
      <c r="A364" s="5" t="s">
        <v>67</v>
      </c>
      <c r="B364">
        <f t="shared" ref="B364:Y364" si="34">B36/B$326</f>
        <v>950179.74747846741</v>
      </c>
      <c r="C364">
        <f t="shared" si="34"/>
        <v>185129.27410540386</v>
      </c>
      <c r="D364">
        <f t="shared" si="34"/>
        <v>1012867.4066820011</v>
      </c>
      <c r="E364">
        <f t="shared" si="34"/>
        <v>534043.29705933307</v>
      </c>
      <c r="F364">
        <f t="shared" si="34"/>
        <v>991784.89456833189</v>
      </c>
      <c r="G364">
        <f t="shared" si="34"/>
        <v>359669.0423684186</v>
      </c>
      <c r="H364">
        <f t="shared" si="34"/>
        <v>268951.12509444152</v>
      </c>
      <c r="I364">
        <f t="shared" si="34"/>
        <v>789379.21312509675</v>
      </c>
      <c r="J364">
        <f t="shared" si="34"/>
        <v>4280535.7750750752</v>
      </c>
      <c r="K364">
        <f t="shared" si="34"/>
        <v>960516.94301365176</v>
      </c>
      <c r="L364">
        <f t="shared" si="34"/>
        <v>815759.26879227674</v>
      </c>
      <c r="M364">
        <f t="shared" si="34"/>
        <v>282166.93975097296</v>
      </c>
      <c r="N364">
        <f t="shared" si="34"/>
        <v>28985.834966410745</v>
      </c>
      <c r="O364">
        <f t="shared" si="34"/>
        <v>56640.174867179951</v>
      </c>
      <c r="P364">
        <f t="shared" si="34"/>
        <v>118126.26611671812</v>
      </c>
      <c r="Q364">
        <f t="shared" si="34"/>
        <v>137469.70821368491</v>
      </c>
      <c r="R364">
        <f t="shared" si="34"/>
        <v>900270.7955324403</v>
      </c>
      <c r="S364">
        <f t="shared" si="34"/>
        <v>666829.24783617584</v>
      </c>
      <c r="T364">
        <f t="shared" si="34"/>
        <v>700427.08422039065</v>
      </c>
      <c r="U364">
        <f t="shared" si="34"/>
        <v>339777.1601306668</v>
      </c>
      <c r="V364">
        <f t="shared" si="34"/>
        <v>165639.63834173128</v>
      </c>
      <c r="W364">
        <f t="shared" si="34"/>
        <v>349321.13835821435</v>
      </c>
      <c r="X364">
        <f t="shared" si="34"/>
        <v>401101.43550133199</v>
      </c>
      <c r="Y364">
        <f t="shared" si="34"/>
        <v>306185.71090978122</v>
      </c>
    </row>
    <row r="365" spans="1:25" x14ac:dyDescent="0.45">
      <c r="A365" s="5" t="s">
        <v>68</v>
      </c>
      <c r="B365">
        <f t="shared" ref="B365:Y365" si="35">B37/B$326</f>
        <v>136529031.24814683</v>
      </c>
      <c r="C365">
        <f t="shared" si="35"/>
        <v>149631235.13777873</v>
      </c>
      <c r="D365">
        <f t="shared" si="35"/>
        <v>109464574.75433692</v>
      </c>
      <c r="E365">
        <f t="shared" si="35"/>
        <v>135934254.99679595</v>
      </c>
      <c r="F365">
        <f t="shared" si="35"/>
        <v>182215245.3416549</v>
      </c>
      <c r="G365">
        <f t="shared" si="35"/>
        <v>150435047.59818333</v>
      </c>
      <c r="H365">
        <f t="shared" si="35"/>
        <v>109993706.16137598</v>
      </c>
      <c r="I365">
        <f t="shared" si="35"/>
        <v>113618654.68872328</v>
      </c>
      <c r="J365">
        <f t="shared" si="35"/>
        <v>201405922.77904335</v>
      </c>
      <c r="K365">
        <f t="shared" si="35"/>
        <v>178625994.51426283</v>
      </c>
      <c r="L365">
        <f t="shared" si="35"/>
        <v>181827083.04436916</v>
      </c>
      <c r="M365">
        <f t="shared" si="35"/>
        <v>139092328.49127489</v>
      </c>
      <c r="N365">
        <f t="shared" si="35"/>
        <v>6363985.4604434725</v>
      </c>
      <c r="O365">
        <f t="shared" si="35"/>
        <v>146044411.40894318</v>
      </c>
      <c r="P365">
        <f t="shared" si="35"/>
        <v>11426699.342101604</v>
      </c>
      <c r="Q365">
        <f t="shared" si="35"/>
        <v>39277706.622125156</v>
      </c>
      <c r="R365">
        <f t="shared" si="35"/>
        <v>280135802.21648854</v>
      </c>
      <c r="S365">
        <f t="shared" si="35"/>
        <v>164539205.57608235</v>
      </c>
      <c r="T365">
        <f t="shared" si="35"/>
        <v>181305217.96919909</v>
      </c>
      <c r="U365">
        <f t="shared" si="35"/>
        <v>212948614.67364341</v>
      </c>
      <c r="V365">
        <f t="shared" si="35"/>
        <v>183638732.47200897</v>
      </c>
      <c r="W365">
        <f t="shared" si="35"/>
        <v>23823126.516301554</v>
      </c>
      <c r="X365">
        <f t="shared" si="35"/>
        <v>86134410.529138893</v>
      </c>
      <c r="Y365">
        <f t="shared" si="35"/>
        <v>21463984.183705002</v>
      </c>
    </row>
    <row r="366" spans="1:25" x14ac:dyDescent="0.45">
      <c r="A366" s="5" t="s">
        <v>373</v>
      </c>
      <c r="B366">
        <f t="shared" ref="B366:Y366" si="36">B38/B$326</f>
        <v>17294767.062502228</v>
      </c>
      <c r="C366">
        <f t="shared" si="36"/>
        <v>55291454.394111365</v>
      </c>
      <c r="D366">
        <f t="shared" si="36"/>
        <v>17267414.530667119</v>
      </c>
      <c r="E366">
        <f t="shared" si="36"/>
        <v>19144240.826297551</v>
      </c>
      <c r="F366">
        <f t="shared" si="36"/>
        <v>29064023.823559791</v>
      </c>
      <c r="G366">
        <f t="shared" si="36"/>
        <v>33724857.939737447</v>
      </c>
      <c r="H366">
        <f t="shared" si="36"/>
        <v>27344922.308209129</v>
      </c>
      <c r="I366">
        <f t="shared" si="36"/>
        <v>36998783.931318685</v>
      </c>
      <c r="J366">
        <f t="shared" si="36"/>
        <v>33674521.986961655</v>
      </c>
      <c r="K366">
        <f t="shared" si="36"/>
        <v>83199429.906879157</v>
      </c>
      <c r="L366">
        <f t="shared" si="36"/>
        <v>40448037.958037667</v>
      </c>
      <c r="M366">
        <f t="shared" si="36"/>
        <v>35800712.517920472</v>
      </c>
      <c r="N366">
        <f t="shared" si="36"/>
        <v>41246295.836180985</v>
      </c>
      <c r="O366">
        <f t="shared" si="36"/>
        <v>60647214.871438041</v>
      </c>
      <c r="P366">
        <f t="shared" si="36"/>
        <v>75891467.493925422</v>
      </c>
      <c r="Q366">
        <f t="shared" si="36"/>
        <v>34668594.365928337</v>
      </c>
      <c r="R366">
        <f t="shared" si="36"/>
        <v>31978112.39701084</v>
      </c>
      <c r="S366">
        <f t="shared" si="36"/>
        <v>46884704.81719774</v>
      </c>
      <c r="T366">
        <f t="shared" si="36"/>
        <v>28300567.931113202</v>
      </c>
      <c r="U366">
        <f t="shared" si="36"/>
        <v>34899884.946277305</v>
      </c>
      <c r="V366">
        <f t="shared" si="36"/>
        <v>33491434.15621208</v>
      </c>
      <c r="W366">
        <f t="shared" si="36"/>
        <v>26187875.588669993</v>
      </c>
      <c r="X366">
        <f t="shared" si="36"/>
        <v>80077011.826123998</v>
      </c>
      <c r="Y366">
        <f t="shared" si="36"/>
        <v>46387148.032392748</v>
      </c>
    </row>
    <row r="367" spans="1:25" x14ac:dyDescent="0.45">
      <c r="A367" s="5" t="s">
        <v>69</v>
      </c>
      <c r="B367">
        <f t="shared" ref="B367:Y367" si="37">B39/B$326</f>
        <v>7112311.0621870477</v>
      </c>
      <c r="C367">
        <f t="shared" si="37"/>
        <v>9554048.8207393866</v>
      </c>
      <c r="D367">
        <f t="shared" si="37"/>
        <v>6897127.756965681</v>
      </c>
      <c r="E367">
        <f t="shared" si="37"/>
        <v>8623190.4356210232</v>
      </c>
      <c r="F367">
        <f t="shared" si="37"/>
        <v>10016685.818944307</v>
      </c>
      <c r="G367">
        <f t="shared" si="37"/>
        <v>11368413.009807989</v>
      </c>
      <c r="H367">
        <f t="shared" si="37"/>
        <v>7117942.6269382788</v>
      </c>
      <c r="I367">
        <f t="shared" si="37"/>
        <v>6243928.6700980635</v>
      </c>
      <c r="J367">
        <f t="shared" si="37"/>
        <v>13193896.761017727</v>
      </c>
      <c r="K367">
        <f t="shared" si="37"/>
        <v>13853152.00448679</v>
      </c>
      <c r="L367">
        <f t="shared" si="37"/>
        <v>12144314.933081012</v>
      </c>
      <c r="M367">
        <f t="shared" si="37"/>
        <v>10281752.680738734</v>
      </c>
      <c r="N367">
        <f t="shared" si="37"/>
        <v>5951367.1058859127</v>
      </c>
      <c r="O367">
        <f t="shared" si="37"/>
        <v>9292258.6078536846</v>
      </c>
      <c r="P367">
        <f t="shared" si="37"/>
        <v>14796929.314724082</v>
      </c>
      <c r="Q367">
        <f t="shared" si="37"/>
        <v>8440760.3866513968</v>
      </c>
      <c r="R367">
        <f t="shared" si="37"/>
        <v>19353912.666892145</v>
      </c>
      <c r="S367">
        <f t="shared" si="37"/>
        <v>11054868.962030085</v>
      </c>
      <c r="T367">
        <f t="shared" si="37"/>
        <v>14337790.664020583</v>
      </c>
      <c r="U367">
        <f t="shared" si="37"/>
        <v>14317567.580901435</v>
      </c>
      <c r="V367">
        <f t="shared" si="37"/>
        <v>13004490.829590362</v>
      </c>
      <c r="W367">
        <f t="shared" si="37"/>
        <v>13386569.284377532</v>
      </c>
      <c r="X367">
        <f t="shared" si="37"/>
        <v>1587028.3730822799</v>
      </c>
      <c r="Y367">
        <f t="shared" si="37"/>
        <v>105992.81104006</v>
      </c>
    </row>
    <row r="368" spans="1:25" x14ac:dyDescent="0.45">
      <c r="A368" s="5" t="s">
        <v>70</v>
      </c>
      <c r="B368">
        <f t="shared" ref="B368:Y368" si="38">B40/B$326</f>
        <v>631305.22899564693</v>
      </c>
      <c r="C368">
        <f t="shared" si="38"/>
        <v>1279647.8780513636</v>
      </c>
      <c r="D368">
        <f t="shared" si="38"/>
        <v>716777.00653860066</v>
      </c>
      <c r="E368">
        <f t="shared" si="38"/>
        <v>662597.04712185892</v>
      </c>
      <c r="F368">
        <f t="shared" si="38"/>
        <v>955514.02247947128</v>
      </c>
      <c r="G368">
        <f t="shared" si="38"/>
        <v>923177.7668229558</v>
      </c>
      <c r="H368">
        <f t="shared" si="38"/>
        <v>608187.95733210444</v>
      </c>
      <c r="I368">
        <f t="shared" si="38"/>
        <v>15698820.011424234</v>
      </c>
      <c r="J368">
        <f t="shared" si="38"/>
        <v>1693596.4696853126</v>
      </c>
      <c r="K368">
        <f t="shared" si="38"/>
        <v>1907633.6520495983</v>
      </c>
      <c r="L368">
        <f t="shared" si="38"/>
        <v>839060.4382934256</v>
      </c>
      <c r="M368">
        <f t="shared" si="38"/>
        <v>1150714.5854542602</v>
      </c>
      <c r="N368">
        <f t="shared" si="38"/>
        <v>458617.39400976402</v>
      </c>
      <c r="O368">
        <f t="shared" si="38"/>
        <v>3375384.7141037965</v>
      </c>
      <c r="P368">
        <f t="shared" si="38"/>
        <v>768690.75653936563</v>
      </c>
      <c r="Q368">
        <f t="shared" si="38"/>
        <v>728020.66775537445</v>
      </c>
      <c r="R368">
        <f t="shared" si="38"/>
        <v>1929147.1857020743</v>
      </c>
      <c r="S368">
        <f t="shared" si="38"/>
        <v>545580.42953445367</v>
      </c>
      <c r="T368">
        <f t="shared" si="38"/>
        <v>1277110.0381101563</v>
      </c>
      <c r="U368">
        <f t="shared" si="38"/>
        <v>3504413.010046511</v>
      </c>
      <c r="V368">
        <f t="shared" si="38"/>
        <v>2294973.1690174267</v>
      </c>
      <c r="W368">
        <f t="shared" si="38"/>
        <v>1168138.592208622</v>
      </c>
      <c r="X368">
        <f t="shared" si="38"/>
        <v>4004903.4877889198</v>
      </c>
      <c r="Y368">
        <f t="shared" si="38"/>
        <v>1421659.2870020936</v>
      </c>
    </row>
    <row r="369" spans="1:25" x14ac:dyDescent="0.45">
      <c r="A369" s="5" t="s">
        <v>71</v>
      </c>
      <c r="B369">
        <f t="shared" ref="B369:Y369" si="39">B41/B$326</f>
        <v>1087878.6656584754</v>
      </c>
      <c r="C369">
        <f t="shared" si="39"/>
        <v>706192.96385018958</v>
      </c>
      <c r="D369">
        <f t="shared" si="39"/>
        <v>1141144.3455534305</v>
      </c>
      <c r="E369">
        <f t="shared" si="39"/>
        <v>698508.20537191222</v>
      </c>
      <c r="F369">
        <f t="shared" si="39"/>
        <v>803969.48342663515</v>
      </c>
      <c r="G369">
        <f t="shared" si="39"/>
        <v>585869.94833742653</v>
      </c>
      <c r="H369">
        <f t="shared" si="39"/>
        <v>575946.57315189799</v>
      </c>
      <c r="I369">
        <f t="shared" si="39"/>
        <v>1347096.7448984133</v>
      </c>
      <c r="J369">
        <f t="shared" si="39"/>
        <v>1390654.7768380546</v>
      </c>
      <c r="K369">
        <f t="shared" si="39"/>
        <v>1206228.4643910958</v>
      </c>
      <c r="L369">
        <f t="shared" si="39"/>
        <v>902225.16059587244</v>
      </c>
      <c r="M369">
        <f t="shared" si="39"/>
        <v>480265.85158318531</v>
      </c>
      <c r="N369">
        <f t="shared" si="39"/>
        <v>570486.19165011204</v>
      </c>
      <c r="O369">
        <f t="shared" si="39"/>
        <v>762243.11264234525</v>
      </c>
      <c r="P369">
        <f t="shared" si="39"/>
        <v>1222597.4606517293</v>
      </c>
      <c r="Q369">
        <f t="shared" si="39"/>
        <v>579639.69165552955</v>
      </c>
      <c r="R369">
        <f t="shared" si="39"/>
        <v>1971308.6329130293</v>
      </c>
      <c r="S369">
        <f t="shared" si="39"/>
        <v>1008978.1114102557</v>
      </c>
      <c r="T369">
        <f t="shared" si="39"/>
        <v>1196606.3079367781</v>
      </c>
      <c r="U369">
        <f t="shared" si="39"/>
        <v>1573512.8871966822</v>
      </c>
      <c r="V369">
        <f t="shared" si="39"/>
        <v>1028518.9978775444</v>
      </c>
      <c r="W369">
        <f t="shared" si="39"/>
        <v>1117900.8698535247</v>
      </c>
      <c r="X369">
        <f t="shared" si="39"/>
        <v>4108467.6433508201</v>
      </c>
      <c r="Y369">
        <f t="shared" si="39"/>
        <v>1118266.0274115812</v>
      </c>
    </row>
    <row r="370" spans="1:25" x14ac:dyDescent="0.45">
      <c r="A370" s="5" t="s">
        <v>72</v>
      </c>
      <c r="B370">
        <f t="shared" ref="B370:Y370" si="40">B42/B$326</f>
        <v>9253589.8336019088</v>
      </c>
      <c r="C370">
        <f t="shared" si="40"/>
        <v>7299614.1856294442</v>
      </c>
      <c r="D370">
        <f t="shared" si="40"/>
        <v>5093487.0010489831</v>
      </c>
      <c r="E370">
        <f t="shared" si="40"/>
        <v>3666354.055049628</v>
      </c>
      <c r="F370">
        <f t="shared" si="40"/>
        <v>10567520.14866152</v>
      </c>
      <c r="G370">
        <f t="shared" si="40"/>
        <v>2410112.65903376</v>
      </c>
      <c r="H370">
        <f t="shared" si="40"/>
        <v>4174782.5682256669</v>
      </c>
      <c r="I370">
        <f t="shared" si="40"/>
        <v>3299426.6497465842</v>
      </c>
      <c r="J370">
        <f t="shared" si="40"/>
        <v>6938896.8535869299</v>
      </c>
      <c r="K370">
        <f t="shared" si="40"/>
        <v>9944217.5091037005</v>
      </c>
      <c r="L370">
        <f t="shared" si="40"/>
        <v>3974021.0606352771</v>
      </c>
      <c r="M370">
        <f t="shared" si="40"/>
        <v>3841650.1807225808</v>
      </c>
      <c r="N370">
        <f t="shared" si="40"/>
        <v>3845978.7827724875</v>
      </c>
      <c r="O370">
        <f t="shared" si="40"/>
        <v>12161183.852797858</v>
      </c>
      <c r="P370">
        <f t="shared" si="40"/>
        <v>15011514.163573375</v>
      </c>
      <c r="Q370">
        <f t="shared" si="40"/>
        <v>4333308.8258992825</v>
      </c>
      <c r="R370">
        <f t="shared" si="40"/>
        <v>19417321.425458718</v>
      </c>
      <c r="S370">
        <f t="shared" si="40"/>
        <v>6497477.7110242518</v>
      </c>
      <c r="T370">
        <f t="shared" si="40"/>
        <v>7869030.741722961</v>
      </c>
      <c r="U370">
        <f t="shared" si="40"/>
        <v>13059616.827906005</v>
      </c>
      <c r="V370">
        <f t="shared" si="40"/>
        <v>13339956.851609953</v>
      </c>
      <c r="W370">
        <f t="shared" si="40"/>
        <v>13567979.095318874</v>
      </c>
      <c r="X370">
        <f t="shared" si="40"/>
        <v>7585306.2162661999</v>
      </c>
      <c r="Y370">
        <f t="shared" si="40"/>
        <v>14222750.933378873</v>
      </c>
    </row>
    <row r="371" spans="1:25" x14ac:dyDescent="0.45">
      <c r="A371" s="5" t="s">
        <v>73</v>
      </c>
      <c r="B371">
        <f t="shared" ref="B371:Y371" si="41">B43/B$326</f>
        <v>14343659.288551949</v>
      </c>
      <c r="C371">
        <f t="shared" si="41"/>
        <v>20485139.524513096</v>
      </c>
      <c r="D371">
        <f t="shared" si="41"/>
        <v>11655206.781599514</v>
      </c>
      <c r="E371">
        <f t="shared" si="41"/>
        <v>13539670.749550249</v>
      </c>
      <c r="F371">
        <f t="shared" si="41"/>
        <v>26139581.941732626</v>
      </c>
      <c r="G371">
        <f t="shared" si="41"/>
        <v>18856211.711854462</v>
      </c>
      <c r="H371">
        <f t="shared" si="41"/>
        <v>13404355.603645148</v>
      </c>
      <c r="I371">
        <f t="shared" si="41"/>
        <v>19689924.250853315</v>
      </c>
      <c r="J371">
        <f t="shared" si="41"/>
        <v>30519632.550954882</v>
      </c>
      <c r="K371">
        <f t="shared" si="41"/>
        <v>10546580.620813165</v>
      </c>
      <c r="L371">
        <f t="shared" si="41"/>
        <v>26221077.030539844</v>
      </c>
      <c r="M371">
        <f t="shared" si="41"/>
        <v>10228549.814283667</v>
      </c>
      <c r="N371">
        <f t="shared" si="41"/>
        <v>13175973.342599427</v>
      </c>
      <c r="O371">
        <f t="shared" si="41"/>
        <v>29301334.984898977</v>
      </c>
      <c r="P371">
        <f t="shared" si="41"/>
        <v>46029495.794183634</v>
      </c>
      <c r="Q371">
        <f t="shared" si="41"/>
        <v>15208537.77859319</v>
      </c>
      <c r="R371">
        <f t="shared" si="41"/>
        <v>75481321.833751962</v>
      </c>
      <c r="S371">
        <f t="shared" si="41"/>
        <v>14358649.509037135</v>
      </c>
      <c r="T371">
        <f t="shared" si="41"/>
        <v>10584586.273026142</v>
      </c>
      <c r="U371">
        <f t="shared" si="41"/>
        <v>23450602.120655805</v>
      </c>
      <c r="V371">
        <f t="shared" si="41"/>
        <v>22574132.249034528</v>
      </c>
      <c r="W371">
        <f t="shared" si="41"/>
        <v>36780453.177493803</v>
      </c>
      <c r="X371">
        <f t="shared" si="41"/>
        <v>41711505.347778901</v>
      </c>
      <c r="Y371">
        <f t="shared" si="41"/>
        <v>11519039.736730624</v>
      </c>
    </row>
    <row r="372" spans="1:25" x14ac:dyDescent="0.45">
      <c r="A372" s="5" t="s">
        <v>74</v>
      </c>
      <c r="B372">
        <f t="shared" ref="B372:Y372" si="42">B44/B$326</f>
        <v>14281238.665589474</v>
      </c>
      <c r="C372">
        <f t="shared" si="42"/>
        <v>11348944.405745201</v>
      </c>
      <c r="D372">
        <f t="shared" si="42"/>
        <v>9189426.81426505</v>
      </c>
      <c r="E372">
        <f t="shared" si="42"/>
        <v>15496922.698556511</v>
      </c>
      <c r="F372">
        <f t="shared" si="42"/>
        <v>21886129.064192049</v>
      </c>
      <c r="G372">
        <f t="shared" si="42"/>
        <v>14700558.027435441</v>
      </c>
      <c r="H372">
        <f t="shared" si="42"/>
        <v>13592132.865570635</v>
      </c>
      <c r="I372">
        <f t="shared" si="42"/>
        <v>4972190.9283729158</v>
      </c>
      <c r="J372">
        <f t="shared" si="42"/>
        <v>30806674.021401249</v>
      </c>
      <c r="K372">
        <f t="shared" si="42"/>
        <v>5931936.1893468201</v>
      </c>
      <c r="L372">
        <f t="shared" si="42"/>
        <v>15206252.15210399</v>
      </c>
      <c r="M372">
        <f t="shared" si="42"/>
        <v>9651461.7960671335</v>
      </c>
      <c r="N372">
        <f t="shared" si="42"/>
        <v>9344252.8274221383</v>
      </c>
      <c r="O372">
        <f t="shared" si="42"/>
        <v>16489348.227387264</v>
      </c>
      <c r="P372">
        <f t="shared" si="42"/>
        <v>20795129.466565344</v>
      </c>
      <c r="Q372">
        <f t="shared" si="42"/>
        <v>6726058.9083633488</v>
      </c>
      <c r="R372">
        <f t="shared" si="42"/>
        <v>30911304.893108841</v>
      </c>
      <c r="S372">
        <f t="shared" si="42"/>
        <v>11453171.852061551</v>
      </c>
      <c r="T372">
        <f t="shared" si="42"/>
        <v>16703757.446379177</v>
      </c>
      <c r="U372">
        <f t="shared" si="42"/>
        <v>21600862.555655297</v>
      </c>
      <c r="V372">
        <f t="shared" si="42"/>
        <v>6088004.9077788228</v>
      </c>
      <c r="W372">
        <f t="shared" si="42"/>
        <v>25570819.454555746</v>
      </c>
      <c r="X372">
        <f t="shared" si="42"/>
        <v>66474078.337384298</v>
      </c>
      <c r="Y372">
        <f t="shared" si="42"/>
        <v>22767914.178342123</v>
      </c>
    </row>
    <row r="373" spans="1:25" x14ac:dyDescent="0.45">
      <c r="A373" s="5" t="s">
        <v>75</v>
      </c>
      <c r="B373">
        <f t="shared" ref="B373:Y373" si="43">B45/B$326</f>
        <v>17905517.453153703</v>
      </c>
      <c r="C373">
        <f t="shared" si="43"/>
        <v>14996703.398508154</v>
      </c>
      <c r="D373">
        <f t="shared" si="43"/>
        <v>12170738.330860181</v>
      </c>
      <c r="E373">
        <f t="shared" si="43"/>
        <v>19121381.957315031</v>
      </c>
      <c r="F373">
        <f t="shared" si="43"/>
        <v>25661943.362044591</v>
      </c>
      <c r="G373">
        <f t="shared" si="43"/>
        <v>16099249.373490196</v>
      </c>
      <c r="H373">
        <f t="shared" si="43"/>
        <v>14316852.449597603</v>
      </c>
      <c r="I373">
        <f t="shared" si="43"/>
        <v>29379056.730085883</v>
      </c>
      <c r="J373">
        <f t="shared" si="43"/>
        <v>39347954.483259775</v>
      </c>
      <c r="K373">
        <f t="shared" si="43"/>
        <v>29140472.474071357</v>
      </c>
      <c r="L373">
        <f t="shared" si="43"/>
        <v>22595061.447362557</v>
      </c>
      <c r="M373">
        <f t="shared" si="43"/>
        <v>12980350.996365659</v>
      </c>
      <c r="N373">
        <f t="shared" si="43"/>
        <v>8288148.1971603828</v>
      </c>
      <c r="O373">
        <f t="shared" si="43"/>
        <v>24304154.000014901</v>
      </c>
      <c r="P373">
        <f t="shared" si="43"/>
        <v>35344161.592136472</v>
      </c>
      <c r="Q373">
        <f t="shared" si="43"/>
        <v>11250369.437525027</v>
      </c>
      <c r="R373">
        <f t="shared" si="43"/>
        <v>56029233.28352017</v>
      </c>
      <c r="S373">
        <f t="shared" si="43"/>
        <v>19439543.996557124</v>
      </c>
      <c r="T373">
        <f t="shared" si="43"/>
        <v>27877498.686233841</v>
      </c>
      <c r="U373">
        <f t="shared" si="43"/>
        <v>31155779.974291679</v>
      </c>
      <c r="V373">
        <f t="shared" si="43"/>
        <v>21615913.044395056</v>
      </c>
      <c r="W373">
        <f t="shared" si="43"/>
        <v>29297714.177034475</v>
      </c>
      <c r="X373">
        <f t="shared" si="43"/>
        <v>37362085.644812301</v>
      </c>
      <c r="Y373">
        <f t="shared" si="43"/>
        <v>29384519.423337437</v>
      </c>
    </row>
    <row r="374" spans="1:25" x14ac:dyDescent="0.45">
      <c r="A374" s="5" t="s">
        <v>76</v>
      </c>
      <c r="B374">
        <f t="shared" ref="B374:Y374" si="44">B46/B$326</f>
        <v>161448542.61941004</v>
      </c>
      <c r="C374">
        <f t="shared" si="44"/>
        <v>145780932.84585476</v>
      </c>
      <c r="D374">
        <f t="shared" si="44"/>
        <v>89367561.790727958</v>
      </c>
      <c r="E374">
        <f t="shared" si="44"/>
        <v>122218787.97381735</v>
      </c>
      <c r="F374">
        <f t="shared" si="44"/>
        <v>159864179.10116866</v>
      </c>
      <c r="G374">
        <f t="shared" si="44"/>
        <v>110167199.60132352</v>
      </c>
      <c r="H374">
        <f t="shared" si="44"/>
        <v>171310339.5484353</v>
      </c>
      <c r="I374">
        <f t="shared" si="44"/>
        <v>298135537.91305119</v>
      </c>
      <c r="J374">
        <f t="shared" si="44"/>
        <v>338891331.46840388</v>
      </c>
      <c r="K374">
        <f t="shared" si="44"/>
        <v>330189587.88342804</v>
      </c>
      <c r="L374">
        <f t="shared" si="44"/>
        <v>206697162.63959149</v>
      </c>
      <c r="M374">
        <f t="shared" si="44"/>
        <v>135154908.65945283</v>
      </c>
      <c r="N374">
        <f t="shared" si="44"/>
        <v>89920873.202119946</v>
      </c>
      <c r="O374">
        <f t="shared" si="44"/>
        <v>204622537.85161224</v>
      </c>
      <c r="P374">
        <f t="shared" si="44"/>
        <v>318001839.82287508</v>
      </c>
      <c r="Q374">
        <f t="shared" si="44"/>
        <v>139756906.78466645</v>
      </c>
      <c r="R374">
        <f t="shared" si="44"/>
        <v>454253160.69731581</v>
      </c>
      <c r="S374">
        <f t="shared" si="44"/>
        <v>168177068.65917718</v>
      </c>
      <c r="T374">
        <f t="shared" si="44"/>
        <v>189671107.29573068</v>
      </c>
      <c r="U374">
        <f t="shared" si="44"/>
        <v>275714101.36540306</v>
      </c>
      <c r="V374">
        <f t="shared" si="44"/>
        <v>204798681.22868001</v>
      </c>
      <c r="W374">
        <f t="shared" si="44"/>
        <v>286307316.58631712</v>
      </c>
      <c r="X374">
        <f t="shared" si="44"/>
        <v>372738473.450854</v>
      </c>
      <c r="Y374">
        <f t="shared" si="44"/>
        <v>315545277.21674371</v>
      </c>
    </row>
    <row r="375" spans="1:25" x14ac:dyDescent="0.45">
      <c r="A375" s="5" t="s">
        <v>274</v>
      </c>
      <c r="B375">
        <f t="shared" ref="B375:Y375" si="45">B47/B$326</f>
        <v>16787701.623204976</v>
      </c>
      <c r="C375">
        <f t="shared" si="45"/>
        <v>25496559.175202895</v>
      </c>
      <c r="D375">
        <f t="shared" si="45"/>
        <v>17573557.061702169</v>
      </c>
      <c r="E375">
        <f t="shared" si="45"/>
        <v>19066303.431713864</v>
      </c>
      <c r="F375">
        <f t="shared" si="45"/>
        <v>24067226.854685236</v>
      </c>
      <c r="G375">
        <f t="shared" si="45"/>
        <v>13795581.588238627</v>
      </c>
      <c r="H375">
        <f t="shared" si="45"/>
        <v>14442866.121992625</v>
      </c>
      <c r="I375">
        <f t="shared" si="45"/>
        <v>7799090.7331956755</v>
      </c>
      <c r="J375">
        <f t="shared" si="45"/>
        <v>32830181.546413589</v>
      </c>
      <c r="K375">
        <f t="shared" si="45"/>
        <v>28098884.113298256</v>
      </c>
      <c r="L375">
        <f t="shared" si="45"/>
        <v>17850804.708777234</v>
      </c>
      <c r="M375">
        <f t="shared" si="45"/>
        <v>24625013.985895216</v>
      </c>
      <c r="N375">
        <f t="shared" si="45"/>
        <v>15892316.328757135</v>
      </c>
      <c r="O375">
        <f t="shared" si="45"/>
        <v>26774305.776062377</v>
      </c>
      <c r="P375">
        <f t="shared" si="45"/>
        <v>29850001.551170208</v>
      </c>
      <c r="Q375">
        <f t="shared" si="45"/>
        <v>12631780.904760117</v>
      </c>
      <c r="R375">
        <f t="shared" si="45"/>
        <v>19506299.853624243</v>
      </c>
      <c r="S375">
        <f t="shared" si="45"/>
        <v>19120599.705125563</v>
      </c>
      <c r="T375">
        <f t="shared" si="45"/>
        <v>23760716.899882581</v>
      </c>
      <c r="U375">
        <f t="shared" si="45"/>
        <v>29947389.878877018</v>
      </c>
      <c r="V375">
        <f t="shared" si="45"/>
        <v>23264330.075949471</v>
      </c>
      <c r="W375">
        <f t="shared" si="45"/>
        <v>24274626.983114555</v>
      </c>
      <c r="X375">
        <f t="shared" si="45"/>
        <v>69133847.724545702</v>
      </c>
      <c r="Y375">
        <f t="shared" si="45"/>
        <v>21626455.978031185</v>
      </c>
    </row>
    <row r="376" spans="1:25" x14ac:dyDescent="0.45">
      <c r="A376" s="5" t="s">
        <v>77</v>
      </c>
      <c r="B376">
        <f t="shared" ref="B376:Y376" si="46">B48/B$326</f>
        <v>45362683.797092669</v>
      </c>
      <c r="C376">
        <f t="shared" si="46"/>
        <v>42672304.554335415</v>
      </c>
      <c r="D376">
        <f t="shared" si="46"/>
        <v>21767141.625579905</v>
      </c>
      <c r="E376">
        <f t="shared" si="46"/>
        <v>67957151.269215286</v>
      </c>
      <c r="F376">
        <f t="shared" si="46"/>
        <v>113392296.17209138</v>
      </c>
      <c r="G376">
        <f t="shared" si="46"/>
        <v>51214992.929886766</v>
      </c>
      <c r="H376">
        <f t="shared" si="46"/>
        <v>44557556.601754464</v>
      </c>
      <c r="I376">
        <f t="shared" si="46"/>
        <v>154520668.92051631</v>
      </c>
      <c r="J376">
        <f t="shared" si="46"/>
        <v>119865369.25178245</v>
      </c>
      <c r="K376">
        <f t="shared" si="46"/>
        <v>24205750.852375437</v>
      </c>
      <c r="L376">
        <f t="shared" si="46"/>
        <v>109401545.70052607</v>
      </c>
      <c r="M376">
        <f t="shared" si="46"/>
        <v>91163540.965073705</v>
      </c>
      <c r="N376">
        <f t="shared" si="46"/>
        <v>39049144.429113291</v>
      </c>
      <c r="O376">
        <f t="shared" si="46"/>
        <v>38633916.234945081</v>
      </c>
      <c r="P376">
        <f t="shared" si="46"/>
        <v>63965936.51142785</v>
      </c>
      <c r="Q376">
        <f t="shared" si="46"/>
        <v>44889672.715243876</v>
      </c>
      <c r="R376">
        <f t="shared" si="46"/>
        <v>37043371.224550039</v>
      </c>
      <c r="S376">
        <f t="shared" si="46"/>
        <v>77375901.31634751</v>
      </c>
      <c r="T376">
        <f t="shared" si="46"/>
        <v>137084090.61784005</v>
      </c>
      <c r="U376">
        <f t="shared" si="46"/>
        <v>34231566.971000135</v>
      </c>
      <c r="V376">
        <f t="shared" si="46"/>
        <v>44753190.104375012</v>
      </c>
      <c r="W376">
        <f t="shared" si="46"/>
        <v>95094377.848242357</v>
      </c>
      <c r="X376">
        <f t="shared" si="46"/>
        <v>1125795480.0392201</v>
      </c>
      <c r="Y376">
        <f t="shared" si="46"/>
        <v>56227776.931659624</v>
      </c>
    </row>
    <row r="377" spans="1:25" x14ac:dyDescent="0.45">
      <c r="A377" s="5" t="s">
        <v>275</v>
      </c>
      <c r="B377">
        <f t="shared" ref="B377:Y377" si="47">B49/B$326</f>
        <v>24172934.629383471</v>
      </c>
      <c r="C377">
        <f t="shared" si="47"/>
        <v>20684048.765938532</v>
      </c>
      <c r="D377">
        <f t="shared" si="47"/>
        <v>13127804.868722627</v>
      </c>
      <c r="E377">
        <f t="shared" si="47"/>
        <v>34723952.004717506</v>
      </c>
      <c r="F377">
        <f t="shared" si="47"/>
        <v>43033374.154486194</v>
      </c>
      <c r="G377">
        <f t="shared" si="47"/>
        <v>26976576.866287302</v>
      </c>
      <c r="H377">
        <f t="shared" si="47"/>
        <v>20165547.036543079</v>
      </c>
      <c r="I377">
        <f t="shared" si="47"/>
        <v>39133907.432555571</v>
      </c>
      <c r="J377">
        <f t="shared" si="47"/>
        <v>63261335.753522575</v>
      </c>
      <c r="K377">
        <f t="shared" si="47"/>
        <v>31355553.130208533</v>
      </c>
      <c r="L377">
        <f t="shared" si="47"/>
        <v>32632843.885103725</v>
      </c>
      <c r="M377">
        <f t="shared" si="47"/>
        <v>17687701.422145102</v>
      </c>
      <c r="N377">
        <f t="shared" si="47"/>
        <v>20824477.899523005</v>
      </c>
      <c r="O377">
        <f t="shared" si="47"/>
        <v>50396535.428994998</v>
      </c>
      <c r="P377">
        <f t="shared" si="47"/>
        <v>56610743.645159014</v>
      </c>
      <c r="Q377">
        <f t="shared" si="47"/>
        <v>10633144.632207025</v>
      </c>
      <c r="R377">
        <f t="shared" si="47"/>
        <v>35749926.620370097</v>
      </c>
      <c r="S377">
        <f t="shared" si="47"/>
        <v>22317703.123120688</v>
      </c>
      <c r="T377">
        <f t="shared" si="47"/>
        <v>22492827.664437234</v>
      </c>
      <c r="U377">
        <f t="shared" si="47"/>
        <v>30267900.669885237</v>
      </c>
      <c r="V377">
        <f t="shared" si="47"/>
        <v>27997685.636806149</v>
      </c>
      <c r="W377">
        <f t="shared" si="47"/>
        <v>53923768.071666524</v>
      </c>
      <c r="X377">
        <f t="shared" si="47"/>
        <v>230413413.14984399</v>
      </c>
      <c r="Y377">
        <f t="shared" si="47"/>
        <v>48670394.872714996</v>
      </c>
    </row>
    <row r="378" spans="1:25" x14ac:dyDescent="0.45">
      <c r="A378" s="5" t="s">
        <v>78</v>
      </c>
      <c r="B378">
        <f t="shared" ref="B378:Y378" si="48">B50/B$326</f>
        <v>17006992.786650293</v>
      </c>
      <c r="C378">
        <f t="shared" si="48"/>
        <v>29641911.715250991</v>
      </c>
      <c r="D378">
        <f t="shared" si="48"/>
        <v>8372473.7232400402</v>
      </c>
      <c r="E378">
        <f t="shared" si="48"/>
        <v>14191245.123211289</v>
      </c>
      <c r="F378">
        <f t="shared" si="48"/>
        <v>16424222.416569104</v>
      </c>
      <c r="G378">
        <f t="shared" si="48"/>
        <v>17354371.527232941</v>
      </c>
      <c r="H378">
        <f t="shared" si="48"/>
        <v>11657780.387780774</v>
      </c>
      <c r="I378">
        <f t="shared" si="48"/>
        <v>13722562.638940876</v>
      </c>
      <c r="J378">
        <f t="shared" si="48"/>
        <v>18904151.256112222</v>
      </c>
      <c r="K378">
        <f t="shared" si="48"/>
        <v>8862917.9518676661</v>
      </c>
      <c r="L378">
        <f t="shared" si="48"/>
        <v>14203471.010117978</v>
      </c>
      <c r="M378">
        <f t="shared" si="48"/>
        <v>18528892.840082131</v>
      </c>
      <c r="N378">
        <f t="shared" si="48"/>
        <v>11411450.556041617</v>
      </c>
      <c r="O378">
        <f t="shared" si="48"/>
        <v>23202892.526783682</v>
      </c>
      <c r="P378">
        <f t="shared" si="48"/>
        <v>28713480.564430449</v>
      </c>
      <c r="Q378">
        <f t="shared" si="48"/>
        <v>9581816.9789083283</v>
      </c>
      <c r="R378">
        <f t="shared" si="48"/>
        <v>17097552.964942645</v>
      </c>
      <c r="S378">
        <f t="shared" si="48"/>
        <v>15689402.299354708</v>
      </c>
      <c r="T378">
        <f t="shared" si="48"/>
        <v>12522247.721144162</v>
      </c>
      <c r="U378">
        <f t="shared" si="48"/>
        <v>16728408.306692339</v>
      </c>
      <c r="V378">
        <f t="shared" si="48"/>
        <v>20961708.750679664</v>
      </c>
      <c r="W378">
        <f t="shared" si="48"/>
        <v>21396623.103277821</v>
      </c>
      <c r="X378">
        <f t="shared" si="48"/>
        <v>109664984.736719</v>
      </c>
      <c r="Y378">
        <f t="shared" si="48"/>
        <v>20371072.642428063</v>
      </c>
    </row>
    <row r="379" spans="1:25" x14ac:dyDescent="0.45">
      <c r="A379" s="5" t="s">
        <v>276</v>
      </c>
      <c r="B379">
        <f t="shared" ref="B379:Y379" si="49">B51/B$326</f>
        <v>378886254.86743724</v>
      </c>
      <c r="C379">
        <f t="shared" si="49"/>
        <v>405424721.08540672</v>
      </c>
      <c r="D379">
        <f t="shared" si="49"/>
        <v>359846382.39580858</v>
      </c>
      <c r="E379">
        <f t="shared" si="49"/>
        <v>205025678.91720331</v>
      </c>
      <c r="F379">
        <f t="shared" si="49"/>
        <v>220264794.58947</v>
      </c>
      <c r="G379">
        <f t="shared" si="49"/>
        <v>220454126.34713626</v>
      </c>
      <c r="H379">
        <f t="shared" si="49"/>
        <v>91557775.5449972</v>
      </c>
      <c r="I379">
        <f t="shared" si="49"/>
        <v>177923183.09803569</v>
      </c>
      <c r="J379">
        <f t="shared" si="49"/>
        <v>331410667.66146928</v>
      </c>
      <c r="K379">
        <f t="shared" si="49"/>
        <v>104362836.18597884</v>
      </c>
      <c r="L379">
        <f t="shared" si="49"/>
        <v>223220001.25097021</v>
      </c>
      <c r="M379">
        <f t="shared" si="49"/>
        <v>245238795.988969</v>
      </c>
      <c r="N379">
        <f t="shared" si="49"/>
        <v>170397585.67404556</v>
      </c>
      <c r="O379">
        <f t="shared" si="49"/>
        <v>218524275.8314274</v>
      </c>
      <c r="P379">
        <f t="shared" si="49"/>
        <v>255578857.81521407</v>
      </c>
      <c r="Q379">
        <f t="shared" si="49"/>
        <v>219032653.90108052</v>
      </c>
      <c r="R379">
        <f t="shared" si="49"/>
        <v>368914077.57328373</v>
      </c>
      <c r="S379">
        <f t="shared" si="49"/>
        <v>279356213.24342608</v>
      </c>
      <c r="T379">
        <f t="shared" si="49"/>
        <v>309948180.56961089</v>
      </c>
      <c r="U379">
        <f t="shared" si="49"/>
        <v>203930723.14925605</v>
      </c>
      <c r="V379">
        <f t="shared" si="49"/>
        <v>268323450.54783916</v>
      </c>
      <c r="W379">
        <f t="shared" si="49"/>
        <v>316097366.4888404</v>
      </c>
      <c r="X379">
        <f t="shared" si="49"/>
        <v>456832064.71261299</v>
      </c>
      <c r="Y379">
        <f t="shared" si="49"/>
        <v>352533504.66354877</v>
      </c>
    </row>
    <row r="380" spans="1:25" x14ac:dyDescent="0.45">
      <c r="A380" s="5" t="s">
        <v>277</v>
      </c>
      <c r="B380">
        <f t="shared" ref="B380:Y380" si="50">B52/B$326</f>
        <v>441073.88128495897</v>
      </c>
      <c r="C380">
        <f t="shared" si="50"/>
        <v>900231.70275762503</v>
      </c>
      <c r="D380">
        <f t="shared" si="50"/>
        <v>207925.81813790629</v>
      </c>
      <c r="E380">
        <f t="shared" si="50"/>
        <v>394131.61875703547</v>
      </c>
      <c r="F380">
        <f t="shared" si="50"/>
        <v>501152.35822166409</v>
      </c>
      <c r="G380">
        <f t="shared" si="50"/>
        <v>585132.3588035343</v>
      </c>
      <c r="H380">
        <f t="shared" si="50"/>
        <v>148591.4388499074</v>
      </c>
      <c r="I380">
        <f t="shared" si="50"/>
        <v>321859.49773098424</v>
      </c>
      <c r="J380">
        <f t="shared" si="50"/>
        <v>494328.14040676743</v>
      </c>
      <c r="K380">
        <f t="shared" si="50"/>
        <v>637818.76577390404</v>
      </c>
      <c r="L380">
        <f t="shared" si="50"/>
        <v>605836.90431798948</v>
      </c>
      <c r="M380">
        <f t="shared" si="50"/>
        <v>143285.9730192897</v>
      </c>
      <c r="N380">
        <f t="shared" si="50"/>
        <v>29144.318647308184</v>
      </c>
      <c r="O380">
        <f t="shared" si="50"/>
        <v>460215.4702864057</v>
      </c>
      <c r="P380">
        <f t="shared" si="50"/>
        <v>557907.47593933623</v>
      </c>
      <c r="Q380">
        <f t="shared" si="50"/>
        <v>33132.668513957775</v>
      </c>
      <c r="R380">
        <f t="shared" si="50"/>
        <v>295059.17396563746</v>
      </c>
      <c r="S380">
        <f t="shared" si="50"/>
        <v>170898.02634729751</v>
      </c>
      <c r="T380">
        <f t="shared" si="50"/>
        <v>362625.77534847171</v>
      </c>
      <c r="U380">
        <f t="shared" si="50"/>
        <v>223348.92172687984</v>
      </c>
      <c r="V380">
        <f t="shared" si="50"/>
        <v>154852.94881801045</v>
      </c>
      <c r="W380">
        <f t="shared" si="50"/>
        <v>488375.18651136541</v>
      </c>
      <c r="X380">
        <f t="shared" si="50"/>
        <v>3733337.4665907598</v>
      </c>
      <c r="Y380">
        <f t="shared" si="50"/>
        <v>377189.31976943871</v>
      </c>
    </row>
    <row r="381" spans="1:25" x14ac:dyDescent="0.45">
      <c r="A381" s="5" t="s">
        <v>278</v>
      </c>
      <c r="B381">
        <f t="shared" ref="B381:Y381" si="51">B53/B$326</f>
        <v>6335336.1813655784</v>
      </c>
      <c r="C381">
        <f t="shared" si="51"/>
        <v>14533152.486886645</v>
      </c>
      <c r="D381">
        <f t="shared" si="51"/>
        <v>5758724.5638704365</v>
      </c>
      <c r="E381">
        <f t="shared" si="51"/>
        <v>4938658.6335099572</v>
      </c>
      <c r="F381">
        <f t="shared" si="51"/>
        <v>5965418.7492801854</v>
      </c>
      <c r="G381">
        <f t="shared" si="51"/>
        <v>13268152.620254999</v>
      </c>
      <c r="H381">
        <f t="shared" si="51"/>
        <v>4816867.555676857</v>
      </c>
      <c r="I381">
        <f t="shared" si="51"/>
        <v>117838663.17936702</v>
      </c>
      <c r="J381">
        <f t="shared" si="51"/>
        <v>7483119.2524464829</v>
      </c>
      <c r="K381">
        <f t="shared" si="51"/>
        <v>3120594.1912372555</v>
      </c>
      <c r="L381">
        <f t="shared" si="51"/>
        <v>12118778.936488617</v>
      </c>
      <c r="M381">
        <f t="shared" si="51"/>
        <v>15649545.742589831</v>
      </c>
      <c r="N381">
        <f t="shared" si="51"/>
        <v>1516938.9682713198</v>
      </c>
      <c r="O381">
        <f t="shared" si="51"/>
        <v>14730511.440134309</v>
      </c>
      <c r="P381">
        <f t="shared" si="51"/>
        <v>8293336.7675712612</v>
      </c>
      <c r="Q381">
        <f t="shared" si="51"/>
        <v>9233638.1507489383</v>
      </c>
      <c r="R381">
        <f t="shared" si="51"/>
        <v>11732746.986708572</v>
      </c>
      <c r="S381">
        <f t="shared" si="51"/>
        <v>9944350.8138477914</v>
      </c>
      <c r="T381">
        <f t="shared" si="51"/>
        <v>8341855.1787008885</v>
      </c>
      <c r="U381">
        <f t="shared" si="51"/>
        <v>7860643.5332023399</v>
      </c>
      <c r="V381">
        <f t="shared" si="51"/>
        <v>7754556.5761724543</v>
      </c>
      <c r="W381">
        <f t="shared" si="51"/>
        <v>8254507.907591952</v>
      </c>
      <c r="X381">
        <f t="shared" si="51"/>
        <v>16223533.07877</v>
      </c>
      <c r="Y381">
        <f t="shared" si="51"/>
        <v>6311103.6510828119</v>
      </c>
    </row>
    <row r="382" spans="1:25" x14ac:dyDescent="0.45">
      <c r="A382" s="5" t="s">
        <v>279</v>
      </c>
      <c r="B382">
        <f t="shared" ref="B382:Y382" si="52">B54/B$326</f>
        <v>180570553.78008911</v>
      </c>
      <c r="C382">
        <f t="shared" si="52"/>
        <v>170254522.93072945</v>
      </c>
      <c r="D382">
        <f t="shared" si="52"/>
        <v>146929702.96989813</v>
      </c>
      <c r="E382">
        <f t="shared" si="52"/>
        <v>172578905.85067511</v>
      </c>
      <c r="F382">
        <f t="shared" si="52"/>
        <v>212343449.42032474</v>
      </c>
      <c r="G382">
        <f t="shared" si="52"/>
        <v>187330649.41351813</v>
      </c>
      <c r="H382">
        <f t="shared" si="52"/>
        <v>109968847.66374849</v>
      </c>
      <c r="I382">
        <f t="shared" si="52"/>
        <v>143141533.8903375</v>
      </c>
      <c r="J382">
        <f t="shared" si="52"/>
        <v>288950257.16778713</v>
      </c>
      <c r="K382">
        <f t="shared" si="52"/>
        <v>197901458.99361646</v>
      </c>
      <c r="L382">
        <f t="shared" si="52"/>
        <v>194706259.71678349</v>
      </c>
      <c r="M382">
        <f t="shared" si="52"/>
        <v>130759078.64088245</v>
      </c>
      <c r="N382">
        <f t="shared" si="52"/>
        <v>104411788.26866023</v>
      </c>
      <c r="O382">
        <f t="shared" si="52"/>
        <v>231647767.88285688</v>
      </c>
      <c r="P382">
        <f t="shared" si="52"/>
        <v>243095425.87683937</v>
      </c>
      <c r="Q382">
        <f t="shared" si="52"/>
        <v>73902395.480801046</v>
      </c>
      <c r="R382">
        <f t="shared" si="52"/>
        <v>323400830.37212402</v>
      </c>
      <c r="S382">
        <f t="shared" si="52"/>
        <v>130076130.60464565</v>
      </c>
      <c r="T382">
        <f t="shared" si="52"/>
        <v>166687116.46043658</v>
      </c>
      <c r="U382">
        <f t="shared" si="52"/>
        <v>224127538.40320379</v>
      </c>
      <c r="V382">
        <f t="shared" si="52"/>
        <v>168478886.80720416</v>
      </c>
      <c r="W382">
        <f t="shared" si="52"/>
        <v>269092335.02610022</v>
      </c>
      <c r="X382">
        <f t="shared" si="52"/>
        <v>479597444.46562999</v>
      </c>
      <c r="Y382">
        <f t="shared" si="52"/>
        <v>209072385.058575</v>
      </c>
    </row>
    <row r="383" spans="1:25" x14ac:dyDescent="0.45">
      <c r="A383" s="5" t="s">
        <v>79</v>
      </c>
      <c r="B383">
        <f t="shared" ref="B383:Y383" si="53">B55/B$326</f>
        <v>3671251.0481991121</v>
      </c>
      <c r="C383">
        <f t="shared" si="53"/>
        <v>3107737.97000953</v>
      </c>
      <c r="D383">
        <f t="shared" si="53"/>
        <v>2759045.5309997317</v>
      </c>
      <c r="E383">
        <f t="shared" si="53"/>
        <v>3614034.9606073215</v>
      </c>
      <c r="F383">
        <f t="shared" si="53"/>
        <v>2541123.9133893326</v>
      </c>
      <c r="G383">
        <f t="shared" si="53"/>
        <v>3403498.2151238136</v>
      </c>
      <c r="H383">
        <f t="shared" si="53"/>
        <v>3265822.5450232518</v>
      </c>
      <c r="I383">
        <f t="shared" si="53"/>
        <v>11165996.227195291</v>
      </c>
      <c r="J383">
        <f t="shared" si="53"/>
        <v>7750163.1837460957</v>
      </c>
      <c r="K383">
        <f t="shared" si="53"/>
        <v>9380069.2175055817</v>
      </c>
      <c r="L383">
        <f t="shared" si="53"/>
        <v>4335836.2758918945</v>
      </c>
      <c r="M383">
        <f t="shared" si="53"/>
        <v>5325145.0225009797</v>
      </c>
      <c r="N383">
        <f t="shared" si="53"/>
        <v>2722657.022861409</v>
      </c>
      <c r="O383">
        <f t="shared" si="53"/>
        <v>4035024.2592301616</v>
      </c>
      <c r="P383">
        <f t="shared" si="53"/>
        <v>4319078.4625743199</v>
      </c>
      <c r="Q383">
        <f t="shared" si="53"/>
        <v>2657925.5033091619</v>
      </c>
      <c r="R383">
        <f t="shared" si="53"/>
        <v>7523267.4330990622</v>
      </c>
      <c r="S383">
        <f t="shared" si="53"/>
        <v>4850903.1404555598</v>
      </c>
      <c r="T383">
        <f t="shared" si="53"/>
        <v>4666604.4637772143</v>
      </c>
      <c r="U383">
        <f t="shared" si="53"/>
        <v>4853029.0725705437</v>
      </c>
      <c r="V383">
        <f t="shared" si="53"/>
        <v>4422085.7770703966</v>
      </c>
      <c r="W383">
        <f t="shared" si="53"/>
        <v>6591980.2288246937</v>
      </c>
      <c r="X383">
        <f t="shared" si="53"/>
        <v>176829348.68492201</v>
      </c>
      <c r="Y383">
        <f t="shared" si="53"/>
        <v>4285110.950864506</v>
      </c>
    </row>
    <row r="384" spans="1:25" x14ac:dyDescent="0.45">
      <c r="A384" s="5" t="s">
        <v>280</v>
      </c>
      <c r="B384">
        <f t="shared" ref="B384:Y384" si="54">B56/B$326</f>
        <v>13468201.789531516</v>
      </c>
      <c r="C384">
        <f t="shared" si="54"/>
        <v>17305372.088322897</v>
      </c>
      <c r="D384">
        <f t="shared" si="54"/>
        <v>9245014.4325890783</v>
      </c>
      <c r="E384">
        <f t="shared" si="54"/>
        <v>10512215.583411146</v>
      </c>
      <c r="F384">
        <f t="shared" si="54"/>
        <v>14805131.617887363</v>
      </c>
      <c r="G384">
        <f t="shared" si="54"/>
        <v>13395845.110590098</v>
      </c>
      <c r="H384">
        <f t="shared" si="54"/>
        <v>12242557.961401943</v>
      </c>
      <c r="I384">
        <f t="shared" si="54"/>
        <v>11837876.994497649</v>
      </c>
      <c r="J384">
        <f t="shared" si="54"/>
        <v>38420861.077698283</v>
      </c>
      <c r="K384">
        <f t="shared" si="54"/>
        <v>17273490.293953836</v>
      </c>
      <c r="L384">
        <f t="shared" si="54"/>
        <v>13395686.883071013</v>
      </c>
      <c r="M384">
        <f t="shared" si="54"/>
        <v>9241208.7471941784</v>
      </c>
      <c r="N384">
        <f t="shared" si="54"/>
        <v>62300634.664912015</v>
      </c>
      <c r="O384">
        <f t="shared" si="54"/>
        <v>118070665.68026534</v>
      </c>
      <c r="P384">
        <f t="shared" si="54"/>
        <v>137169814.06908426</v>
      </c>
      <c r="Q384">
        <f t="shared" si="54"/>
        <v>8467672.9181545246</v>
      </c>
      <c r="R384">
        <f t="shared" si="54"/>
        <v>22611890.159304034</v>
      </c>
      <c r="S384">
        <f t="shared" si="54"/>
        <v>12428629.051419858</v>
      </c>
      <c r="T384">
        <f t="shared" si="54"/>
        <v>13979361.795558676</v>
      </c>
      <c r="U384">
        <f t="shared" si="54"/>
        <v>15573650.758765897</v>
      </c>
      <c r="V384">
        <f t="shared" si="54"/>
        <v>15586295.474694518</v>
      </c>
      <c r="W384">
        <f t="shared" si="54"/>
        <v>17834525.969537325</v>
      </c>
      <c r="X384">
        <f t="shared" si="54"/>
        <v>26682078.717165601</v>
      </c>
      <c r="Y384">
        <f t="shared" si="54"/>
        <v>14453149.184119686</v>
      </c>
    </row>
    <row r="385" spans="1:25" x14ac:dyDescent="0.45">
      <c r="A385" s="5" t="s">
        <v>80</v>
      </c>
      <c r="B385">
        <f t="shared" ref="B385:Y385" si="55">B57/B$326</f>
        <v>25353943.653751515</v>
      </c>
      <c r="C385">
        <f t="shared" si="55"/>
        <v>23531092.462373603</v>
      </c>
      <c r="D385">
        <f t="shared" si="55"/>
        <v>15600766.159531707</v>
      </c>
      <c r="E385">
        <f t="shared" si="55"/>
        <v>23669953.139429059</v>
      </c>
      <c r="F385">
        <f t="shared" si="55"/>
        <v>26919282.860925235</v>
      </c>
      <c r="G385">
        <f t="shared" si="55"/>
        <v>21126680.299755096</v>
      </c>
      <c r="H385">
        <f t="shared" si="55"/>
        <v>19441961.423460934</v>
      </c>
      <c r="I385">
        <f t="shared" si="55"/>
        <v>25581350.941799026</v>
      </c>
      <c r="J385">
        <f t="shared" si="55"/>
        <v>37425340.22296302</v>
      </c>
      <c r="K385">
        <f t="shared" si="55"/>
        <v>57483307.927984819</v>
      </c>
      <c r="L385">
        <f t="shared" si="55"/>
        <v>32672751.086662076</v>
      </c>
      <c r="M385">
        <f t="shared" si="55"/>
        <v>21081148.798046064</v>
      </c>
      <c r="N385">
        <f t="shared" si="55"/>
        <v>12323933.838966249</v>
      </c>
      <c r="O385">
        <f t="shared" si="55"/>
        <v>22264038.053891122</v>
      </c>
      <c r="P385">
        <f t="shared" si="55"/>
        <v>26469524.951708853</v>
      </c>
      <c r="Q385">
        <f t="shared" si="55"/>
        <v>16717410.894283123</v>
      </c>
      <c r="R385">
        <f t="shared" si="55"/>
        <v>44122547.785995767</v>
      </c>
      <c r="S385">
        <f t="shared" si="55"/>
        <v>24358547.883245714</v>
      </c>
      <c r="T385">
        <f t="shared" si="55"/>
        <v>32514694.918483865</v>
      </c>
      <c r="U385">
        <f t="shared" si="55"/>
        <v>34670205.52596958</v>
      </c>
      <c r="V385">
        <f t="shared" si="55"/>
        <v>41801399.765007749</v>
      </c>
      <c r="W385">
        <f t="shared" si="55"/>
        <v>53114099.345981419</v>
      </c>
      <c r="X385">
        <f t="shared" si="55"/>
        <v>25125731.269500401</v>
      </c>
      <c r="Y385">
        <f t="shared" si="55"/>
        <v>47441208.062721178</v>
      </c>
    </row>
    <row r="386" spans="1:25" x14ac:dyDescent="0.45">
      <c r="A386" s="5" t="s">
        <v>281</v>
      </c>
      <c r="B386">
        <f t="shared" ref="B386:Y386" si="56">B58/B$326</f>
        <v>3656681.3630142612</v>
      </c>
      <c r="C386">
        <f t="shared" si="56"/>
        <v>5681302.0399260316</v>
      </c>
      <c r="D386">
        <f t="shared" si="56"/>
        <v>3444512.7729620757</v>
      </c>
      <c r="E386">
        <f t="shared" si="56"/>
        <v>2894760.5415404812</v>
      </c>
      <c r="F386">
        <f t="shared" si="56"/>
        <v>5240111.1033756258</v>
      </c>
      <c r="G386">
        <f t="shared" si="56"/>
        <v>3573745.1104686814</v>
      </c>
      <c r="H386">
        <f t="shared" si="56"/>
        <v>2635345.0319840279</v>
      </c>
      <c r="I386">
        <f t="shared" si="56"/>
        <v>352398602.75659657</v>
      </c>
      <c r="J386">
        <f t="shared" si="56"/>
        <v>17378818.713506438</v>
      </c>
      <c r="K386">
        <f t="shared" si="56"/>
        <v>4532033.5971870599</v>
      </c>
      <c r="L386">
        <f t="shared" si="56"/>
        <v>16071253.655818777</v>
      </c>
      <c r="M386">
        <f t="shared" si="56"/>
        <v>1919705.1278561279</v>
      </c>
      <c r="N386">
        <f t="shared" si="56"/>
        <v>2346079.4589161179</v>
      </c>
      <c r="O386">
        <f t="shared" si="56"/>
        <v>9044836.9025884625</v>
      </c>
      <c r="P386">
        <f t="shared" si="56"/>
        <v>6616362.2572976239</v>
      </c>
      <c r="Q386">
        <f t="shared" si="56"/>
        <v>2446077.6706047202</v>
      </c>
      <c r="R386">
        <f t="shared" si="56"/>
        <v>9072579.921466805</v>
      </c>
      <c r="S386">
        <f t="shared" si="56"/>
        <v>4184156.4163731262</v>
      </c>
      <c r="T386">
        <f t="shared" si="56"/>
        <v>3955261.0610718084</v>
      </c>
      <c r="U386">
        <f t="shared" si="56"/>
        <v>2717926.5269030835</v>
      </c>
      <c r="V386">
        <f t="shared" si="56"/>
        <v>4622262.1739295488</v>
      </c>
      <c r="W386">
        <f t="shared" si="56"/>
        <v>4694717.5119650839</v>
      </c>
      <c r="X386">
        <f t="shared" si="56"/>
        <v>59823986.056018703</v>
      </c>
      <c r="Y386">
        <f t="shared" si="56"/>
        <v>3658349.7932177121</v>
      </c>
    </row>
    <row r="387" spans="1:25" x14ac:dyDescent="0.45">
      <c r="A387" s="5" t="s">
        <v>81</v>
      </c>
      <c r="B387">
        <f t="shared" ref="B387:Y387" si="57">B59/B$326</f>
        <v>9234526.2644184381</v>
      </c>
      <c r="C387">
        <f t="shared" si="57"/>
        <v>18785490.067204114</v>
      </c>
      <c r="D387">
        <f t="shared" si="57"/>
        <v>7283297.3126536319</v>
      </c>
      <c r="E387">
        <f t="shared" si="57"/>
        <v>8370674.3088986017</v>
      </c>
      <c r="F387">
        <f t="shared" si="57"/>
        <v>11371380.490443749</v>
      </c>
      <c r="G387">
        <f t="shared" si="57"/>
        <v>15662365.434516324</v>
      </c>
      <c r="H387">
        <f t="shared" si="57"/>
        <v>9568254.7870159205</v>
      </c>
      <c r="I387">
        <f t="shared" si="57"/>
        <v>24124201.218833212</v>
      </c>
      <c r="J387">
        <f t="shared" si="57"/>
        <v>16623281.584967434</v>
      </c>
      <c r="K387">
        <f t="shared" si="57"/>
        <v>2830033.8859938467</v>
      </c>
      <c r="L387">
        <f t="shared" si="57"/>
        <v>3323514.7075892985</v>
      </c>
      <c r="M387">
        <f t="shared" si="57"/>
        <v>4085122.3813260477</v>
      </c>
      <c r="N387">
        <f t="shared" si="57"/>
        <v>16172320.447514411</v>
      </c>
      <c r="O387">
        <f t="shared" si="57"/>
        <v>35783678.255810544</v>
      </c>
      <c r="P387">
        <f t="shared" si="57"/>
        <v>36542431.879419379</v>
      </c>
      <c r="Q387">
        <f t="shared" si="57"/>
        <v>12819856.903073728</v>
      </c>
      <c r="R387">
        <f t="shared" si="57"/>
        <v>5761340.7258613324</v>
      </c>
      <c r="S387">
        <f t="shared" si="57"/>
        <v>5666973.906570876</v>
      </c>
      <c r="T387">
        <f t="shared" si="57"/>
        <v>3643689.6030336339</v>
      </c>
      <c r="U387">
        <f t="shared" si="57"/>
        <v>17649135.288891394</v>
      </c>
      <c r="V387">
        <f t="shared" si="57"/>
        <v>23771576.821145155</v>
      </c>
      <c r="W387">
        <f t="shared" si="57"/>
        <v>24105340.802132819</v>
      </c>
      <c r="X387">
        <f t="shared" si="57"/>
        <v>26475649.038741</v>
      </c>
      <c r="Y387">
        <f t="shared" si="57"/>
        <v>19037346.259010434</v>
      </c>
    </row>
    <row r="388" spans="1:25" x14ac:dyDescent="0.45">
      <c r="A388" s="5" t="s">
        <v>82</v>
      </c>
      <c r="B388">
        <f t="shared" ref="B388:Y388" si="58">B60/B$326</f>
        <v>2449489.2957270825</v>
      </c>
      <c r="C388">
        <f t="shared" si="58"/>
        <v>19350178.511555895</v>
      </c>
      <c r="D388">
        <f t="shared" si="58"/>
        <v>7693859.5302677611</v>
      </c>
      <c r="E388">
        <f t="shared" si="58"/>
        <v>5852092.3725984665</v>
      </c>
      <c r="F388">
        <f t="shared" si="58"/>
        <v>4430908.378527537</v>
      </c>
      <c r="G388">
        <f t="shared" si="58"/>
        <v>15955949.774037549</v>
      </c>
      <c r="H388">
        <f t="shared" si="58"/>
        <v>11101149.539552806</v>
      </c>
      <c r="I388">
        <f t="shared" si="58"/>
        <v>7481449.1159950998</v>
      </c>
      <c r="J388">
        <f t="shared" si="58"/>
        <v>4279804.9848804921</v>
      </c>
      <c r="K388">
        <f t="shared" si="58"/>
        <v>9194579.1852031648</v>
      </c>
      <c r="L388">
        <f t="shared" si="58"/>
        <v>9583137.5131022353</v>
      </c>
      <c r="M388">
        <f t="shared" si="58"/>
        <v>17050515.644209903</v>
      </c>
      <c r="N388">
        <f t="shared" si="58"/>
        <v>11983044.969399797</v>
      </c>
      <c r="O388">
        <f t="shared" si="58"/>
        <v>31200121.994021181</v>
      </c>
      <c r="P388">
        <f t="shared" si="58"/>
        <v>18691755.968305364</v>
      </c>
      <c r="Q388">
        <f t="shared" si="58"/>
        <v>16699303.090472398</v>
      </c>
      <c r="R388">
        <f t="shared" si="58"/>
        <v>14416992.82656722</v>
      </c>
      <c r="S388">
        <f t="shared" si="58"/>
        <v>15651764.576974615</v>
      </c>
      <c r="T388">
        <f t="shared" si="58"/>
        <v>6652376.3362187669</v>
      </c>
      <c r="U388">
        <f t="shared" si="58"/>
        <v>16581736.514776483</v>
      </c>
      <c r="V388">
        <f t="shared" si="58"/>
        <v>23222244.022247151</v>
      </c>
      <c r="W388">
        <f t="shared" si="58"/>
        <v>15578912.114429783</v>
      </c>
      <c r="X388">
        <f t="shared" si="58"/>
        <v>26499952.660358999</v>
      </c>
      <c r="Y388">
        <f t="shared" si="58"/>
        <v>11360822.262586061</v>
      </c>
    </row>
    <row r="389" spans="1:25" x14ac:dyDescent="0.45">
      <c r="A389" s="5" t="s">
        <v>83</v>
      </c>
      <c r="B389">
        <f t="shared" ref="B389:Y389" si="59">B61/B$326</f>
        <v>8017938.7716045808</v>
      </c>
      <c r="C389">
        <f t="shared" si="59"/>
        <v>21890043.264747225</v>
      </c>
      <c r="D389">
        <f t="shared" si="59"/>
        <v>12908706.120681148</v>
      </c>
      <c r="E389">
        <f t="shared" si="59"/>
        <v>11028731.453672385</v>
      </c>
      <c r="F389">
        <f t="shared" si="59"/>
        <v>16173445.467188234</v>
      </c>
      <c r="G389">
        <f t="shared" si="59"/>
        <v>11318599.655317795</v>
      </c>
      <c r="H389">
        <f t="shared" si="59"/>
        <v>9139875.168571135</v>
      </c>
      <c r="I389">
        <f t="shared" si="59"/>
        <v>5161399.8986243112</v>
      </c>
      <c r="J389">
        <f t="shared" si="59"/>
        <v>24078339.681761395</v>
      </c>
      <c r="K389">
        <f t="shared" si="59"/>
        <v>10326757.132332569</v>
      </c>
      <c r="L389">
        <f t="shared" si="59"/>
        <v>17455227.91247128</v>
      </c>
      <c r="M389">
        <f t="shared" si="59"/>
        <v>15083624.809251726</v>
      </c>
      <c r="N389">
        <f t="shared" si="59"/>
        <v>8684233.9605407938</v>
      </c>
      <c r="O389">
        <f t="shared" si="59"/>
        <v>10513655.983275507</v>
      </c>
      <c r="P389">
        <f t="shared" si="59"/>
        <v>18534433.388456415</v>
      </c>
      <c r="Q389">
        <f t="shared" si="59"/>
        <v>13507258.741254641</v>
      </c>
      <c r="R389">
        <f t="shared" si="59"/>
        <v>7596768.8150186082</v>
      </c>
      <c r="S389">
        <f t="shared" si="59"/>
        <v>15532255.154743155</v>
      </c>
      <c r="T389">
        <f t="shared" si="59"/>
        <v>24147950.599448424</v>
      </c>
      <c r="U389">
        <f t="shared" si="59"/>
        <v>5773705.0125716655</v>
      </c>
      <c r="V389">
        <f t="shared" si="59"/>
        <v>21057133.551349066</v>
      </c>
      <c r="W389">
        <f t="shared" si="59"/>
        <v>21193162.940714907</v>
      </c>
      <c r="X389">
        <f t="shared" si="59"/>
        <v>25492999.285643801</v>
      </c>
      <c r="Y389">
        <f t="shared" si="59"/>
        <v>7718921.2837363128</v>
      </c>
    </row>
    <row r="390" spans="1:25" x14ac:dyDescent="0.45">
      <c r="A390" s="5" t="s">
        <v>84</v>
      </c>
      <c r="B390">
        <f t="shared" ref="B390:Y390" si="60">B62/B$326</f>
        <v>17677125.183419865</v>
      </c>
      <c r="C390">
        <f t="shared" si="60"/>
        <v>50387653.926020198</v>
      </c>
      <c r="D390">
        <f t="shared" si="60"/>
        <v>28231342.585913002</v>
      </c>
      <c r="E390">
        <f t="shared" si="60"/>
        <v>26513838.443707205</v>
      </c>
      <c r="F390">
        <f t="shared" si="60"/>
        <v>4384621.6914234487</v>
      </c>
      <c r="G390">
        <f t="shared" si="60"/>
        <v>18967658.488845047</v>
      </c>
      <c r="H390">
        <f t="shared" si="60"/>
        <v>12914127.035089301</v>
      </c>
      <c r="I390">
        <f t="shared" si="60"/>
        <v>106727126.4833255</v>
      </c>
      <c r="J390">
        <f t="shared" si="60"/>
        <v>36059590.840106122</v>
      </c>
      <c r="K390">
        <f t="shared" si="60"/>
        <v>24420540.72127948</v>
      </c>
      <c r="L390">
        <f t="shared" si="60"/>
        <v>9428629.2990307976</v>
      </c>
      <c r="M390">
        <f t="shared" si="60"/>
        <v>44497112.904343359</v>
      </c>
      <c r="N390">
        <f t="shared" si="60"/>
        <v>11590118.677595785</v>
      </c>
      <c r="O390">
        <f t="shared" si="60"/>
        <v>22929467.257848162</v>
      </c>
      <c r="P390">
        <f t="shared" si="60"/>
        <v>20317505.823993873</v>
      </c>
      <c r="Q390">
        <f t="shared" si="60"/>
        <v>36237192.91336187</v>
      </c>
      <c r="R390">
        <f t="shared" si="60"/>
        <v>53402607.292395435</v>
      </c>
      <c r="S390">
        <f t="shared" si="60"/>
        <v>34829467.455975369</v>
      </c>
      <c r="T390">
        <f t="shared" si="60"/>
        <v>2206607.8884830489</v>
      </c>
      <c r="U390">
        <f t="shared" si="60"/>
        <v>13749817.386962121</v>
      </c>
      <c r="V390">
        <f t="shared" si="60"/>
        <v>22975032.752837278</v>
      </c>
      <c r="W390">
        <f t="shared" si="60"/>
        <v>19363255.237869121</v>
      </c>
      <c r="X390">
        <f t="shared" si="60"/>
        <v>597797994.979599</v>
      </c>
      <c r="Y390">
        <f t="shared" si="60"/>
        <v>3075230.9964736747</v>
      </c>
    </row>
    <row r="391" spans="1:25" x14ac:dyDescent="0.45">
      <c r="A391" s="5" t="s">
        <v>85</v>
      </c>
      <c r="B391">
        <f t="shared" ref="B391:Y391" si="61">B63/B$326</f>
        <v>7942104.524006662</v>
      </c>
      <c r="C391">
        <f t="shared" si="61"/>
        <v>27280289.223034639</v>
      </c>
      <c r="D391">
        <f t="shared" si="61"/>
        <v>21046696.103514981</v>
      </c>
      <c r="E391">
        <f t="shared" si="61"/>
        <v>13583576.519167013</v>
      </c>
      <c r="F391">
        <f t="shared" si="61"/>
        <v>14685426.90617761</v>
      </c>
      <c r="G391">
        <f t="shared" si="61"/>
        <v>13908642.791916078</v>
      </c>
      <c r="H391">
        <f t="shared" si="61"/>
        <v>4452252.9083828898</v>
      </c>
      <c r="I391">
        <f t="shared" si="61"/>
        <v>17164696.868426792</v>
      </c>
      <c r="J391">
        <f t="shared" si="61"/>
        <v>28610632.964287035</v>
      </c>
      <c r="K391">
        <f t="shared" si="61"/>
        <v>12319186.087293988</v>
      </c>
      <c r="L391">
        <f t="shared" si="61"/>
        <v>23899839.908090852</v>
      </c>
      <c r="M391">
        <f t="shared" si="61"/>
        <v>19627937.119296793</v>
      </c>
      <c r="N391">
        <f t="shared" si="61"/>
        <v>6370419.2732349234</v>
      </c>
      <c r="O391">
        <f t="shared" si="61"/>
        <v>20534947.349456552</v>
      </c>
      <c r="P391">
        <f t="shared" si="61"/>
        <v>12106480.265428646</v>
      </c>
      <c r="Q391">
        <f t="shared" si="61"/>
        <v>13112949.699361958</v>
      </c>
      <c r="R391">
        <f t="shared" si="61"/>
        <v>20795947.031206012</v>
      </c>
      <c r="S391">
        <f t="shared" si="61"/>
        <v>16544209.342510669</v>
      </c>
      <c r="T391">
        <f t="shared" si="61"/>
        <v>34233863.663578331</v>
      </c>
      <c r="U391">
        <f t="shared" si="61"/>
        <v>18843650.933665369</v>
      </c>
      <c r="V391">
        <f t="shared" si="61"/>
        <v>21255946.020343028</v>
      </c>
      <c r="W391">
        <f t="shared" si="61"/>
        <v>13795953.47776372</v>
      </c>
      <c r="X391">
        <f t="shared" si="61"/>
        <v>50629697.211312398</v>
      </c>
      <c r="Y391">
        <f t="shared" si="61"/>
        <v>18267565.352574375</v>
      </c>
    </row>
    <row r="392" spans="1:25" x14ac:dyDescent="0.45">
      <c r="A392" s="5" t="s">
        <v>86</v>
      </c>
      <c r="B392">
        <f t="shared" ref="B392:Y392" si="62">B64/B$326</f>
        <v>17167023.698484261</v>
      </c>
      <c r="C392">
        <f t="shared" si="62"/>
        <v>17954914.917417429</v>
      </c>
      <c r="D392">
        <f t="shared" si="62"/>
        <v>20910684.69149746</v>
      </c>
      <c r="E392">
        <f t="shared" si="62"/>
        <v>18432704.268578313</v>
      </c>
      <c r="F392">
        <f t="shared" si="62"/>
        <v>23591292.177996408</v>
      </c>
      <c r="G392">
        <f t="shared" si="62"/>
        <v>16578629.608949069</v>
      </c>
      <c r="H392">
        <f t="shared" si="62"/>
        <v>16430354.57018397</v>
      </c>
      <c r="I392">
        <f t="shared" si="62"/>
        <v>95303038.428505644</v>
      </c>
      <c r="J392">
        <f t="shared" si="62"/>
        <v>72071724.247228399</v>
      </c>
      <c r="K392">
        <f t="shared" si="62"/>
        <v>13419723.444101177</v>
      </c>
      <c r="L392">
        <f t="shared" si="62"/>
        <v>30744642.815898724</v>
      </c>
      <c r="M392">
        <f t="shared" si="62"/>
        <v>10731720.483900918</v>
      </c>
      <c r="N392">
        <f t="shared" si="62"/>
        <v>17499563.993434791</v>
      </c>
      <c r="O392">
        <f t="shared" si="62"/>
        <v>61982484.240568772</v>
      </c>
      <c r="P392">
        <f t="shared" si="62"/>
        <v>69259243.339235023</v>
      </c>
      <c r="Q392">
        <f t="shared" si="62"/>
        <v>12202218.007070296</v>
      </c>
      <c r="R392">
        <f t="shared" si="62"/>
        <v>39862829.488750644</v>
      </c>
      <c r="S392">
        <f t="shared" si="62"/>
        <v>29304376.28336376</v>
      </c>
      <c r="T392">
        <f t="shared" si="62"/>
        <v>41631401.298573956</v>
      </c>
      <c r="U392">
        <f t="shared" si="62"/>
        <v>32130827.121543415</v>
      </c>
      <c r="V392">
        <f t="shared" si="62"/>
        <v>45860160.327013604</v>
      </c>
      <c r="W392">
        <f t="shared" si="62"/>
        <v>37547565.982336067</v>
      </c>
      <c r="X392">
        <f t="shared" si="62"/>
        <v>100400968.714499</v>
      </c>
      <c r="Y392">
        <f t="shared" si="62"/>
        <v>39190925.570837624</v>
      </c>
    </row>
    <row r="393" spans="1:25" x14ac:dyDescent="0.45">
      <c r="A393" s="5" t="s">
        <v>282</v>
      </c>
      <c r="B393">
        <f t="shared" ref="B393:Y393" si="63">B65/B$326</f>
        <v>30700282.923755925</v>
      </c>
      <c r="C393">
        <f t="shared" si="63"/>
        <v>18691012.336171791</v>
      </c>
      <c r="D393">
        <f t="shared" si="63"/>
        <v>21453302.925873827</v>
      </c>
      <c r="E393">
        <f t="shared" si="63"/>
        <v>24751808.023319658</v>
      </c>
      <c r="F393">
        <f t="shared" si="63"/>
        <v>15079006.674140759</v>
      </c>
      <c r="G393">
        <f t="shared" si="63"/>
        <v>19290693.567469705</v>
      </c>
      <c r="H393">
        <f t="shared" si="63"/>
        <v>22134989.885419082</v>
      </c>
      <c r="I393">
        <f t="shared" si="63"/>
        <v>64412955.735959396</v>
      </c>
      <c r="J393">
        <f t="shared" si="63"/>
        <v>21017834.575932663</v>
      </c>
      <c r="K393">
        <f t="shared" si="63"/>
        <v>40676552.022660963</v>
      </c>
      <c r="L393">
        <f t="shared" si="63"/>
        <v>16839829.144221012</v>
      </c>
      <c r="M393">
        <f t="shared" si="63"/>
        <v>12667975.434494894</v>
      </c>
      <c r="N393">
        <f t="shared" si="63"/>
        <v>11614750.203686571</v>
      </c>
      <c r="O393">
        <f t="shared" si="63"/>
        <v>87947409.932898507</v>
      </c>
      <c r="P393">
        <f t="shared" si="63"/>
        <v>102118965.62545489</v>
      </c>
      <c r="Q393">
        <f t="shared" si="63"/>
        <v>3416708.403466743</v>
      </c>
      <c r="R393">
        <f t="shared" si="63"/>
        <v>44911948.229483061</v>
      </c>
      <c r="S393">
        <f t="shared" si="63"/>
        <v>43194627.26728119</v>
      </c>
      <c r="T393">
        <f t="shared" si="63"/>
        <v>12381134.452574482</v>
      </c>
      <c r="U393">
        <f t="shared" si="63"/>
        <v>51804085.432225555</v>
      </c>
      <c r="V393">
        <f t="shared" si="63"/>
        <v>44382510.999831468</v>
      </c>
      <c r="W393">
        <f t="shared" si="63"/>
        <v>52135470.927811839</v>
      </c>
      <c r="X393">
        <f t="shared" si="63"/>
        <v>104611886.64763799</v>
      </c>
      <c r="Y393">
        <f t="shared" si="63"/>
        <v>38536392.274913877</v>
      </c>
    </row>
    <row r="394" spans="1:25" x14ac:dyDescent="0.45">
      <c r="A394" s="5" t="s">
        <v>87</v>
      </c>
      <c r="B394">
        <f t="shared" ref="B394:Y394" si="64">B66/B$326</f>
        <v>366117551.72665173</v>
      </c>
      <c r="C394">
        <f t="shared" si="64"/>
        <v>324493420.09485996</v>
      </c>
      <c r="D394">
        <f t="shared" si="64"/>
        <v>241911853.92904884</v>
      </c>
      <c r="E394">
        <f t="shared" si="64"/>
        <v>315213578.75619304</v>
      </c>
      <c r="F394">
        <f t="shared" si="64"/>
        <v>491761939.82125115</v>
      </c>
      <c r="G394">
        <f t="shared" si="64"/>
        <v>352005058.07393771</v>
      </c>
      <c r="H394">
        <f t="shared" si="64"/>
        <v>311793197.64182293</v>
      </c>
      <c r="I394">
        <f t="shared" si="64"/>
        <v>603989059.62152112</v>
      </c>
      <c r="J394">
        <f t="shared" si="64"/>
        <v>783335324.56448448</v>
      </c>
      <c r="K394">
        <f t="shared" si="64"/>
        <v>315741067.13291544</v>
      </c>
      <c r="L394">
        <f t="shared" si="64"/>
        <v>463960180.92001599</v>
      </c>
      <c r="M394">
        <f t="shared" si="64"/>
        <v>281658844.17714405</v>
      </c>
      <c r="N394">
        <f t="shared" si="64"/>
        <v>200806638.21156543</v>
      </c>
      <c r="O394">
        <f t="shared" si="64"/>
        <v>443355172.72298253</v>
      </c>
      <c r="P394">
        <f t="shared" si="64"/>
        <v>520975699.93464261</v>
      </c>
      <c r="Q394">
        <f t="shared" si="64"/>
        <v>233563528.73468104</v>
      </c>
      <c r="R394">
        <f t="shared" si="64"/>
        <v>844497969.82802153</v>
      </c>
      <c r="S394">
        <f t="shared" si="64"/>
        <v>418240733.69008023</v>
      </c>
      <c r="T394">
        <f t="shared" si="64"/>
        <v>555598012.99631155</v>
      </c>
      <c r="U394">
        <f t="shared" si="64"/>
        <v>620381607.67740667</v>
      </c>
      <c r="V394">
        <f t="shared" si="64"/>
        <v>430062193.76477194</v>
      </c>
      <c r="W394">
        <f t="shared" si="64"/>
        <v>702556488.93230128</v>
      </c>
      <c r="X394">
        <f t="shared" si="64"/>
        <v>945271706.48527503</v>
      </c>
      <c r="Y394">
        <f t="shared" si="64"/>
        <v>597320338.45681119</v>
      </c>
    </row>
    <row r="395" spans="1:25" x14ac:dyDescent="0.45">
      <c r="A395" s="5" t="s">
        <v>88</v>
      </c>
      <c r="B395">
        <f t="shared" ref="B395:Y395" si="65">B67/B$326</f>
        <v>33650636.58207456</v>
      </c>
      <c r="C395">
        <f t="shared" si="65"/>
        <v>39482345.79526379</v>
      </c>
      <c r="D395">
        <f t="shared" si="65"/>
        <v>24783938.835930817</v>
      </c>
      <c r="E395">
        <f t="shared" si="65"/>
        <v>8229847.1344027789</v>
      </c>
      <c r="F395">
        <f t="shared" si="65"/>
        <v>3945308.4717568979</v>
      </c>
      <c r="G395">
        <f t="shared" si="65"/>
        <v>3894833.590424059</v>
      </c>
      <c r="H395">
        <f t="shared" si="65"/>
        <v>2301079.2781120166</v>
      </c>
      <c r="I395">
        <f t="shared" si="65"/>
        <v>17649175.658466864</v>
      </c>
      <c r="J395">
        <f t="shared" si="65"/>
        <v>14810100.676002605</v>
      </c>
      <c r="K395">
        <f t="shared" si="65"/>
        <v>24736979.176721785</v>
      </c>
      <c r="L395">
        <f t="shared" si="65"/>
        <v>4147337.1032254044</v>
      </c>
      <c r="M395">
        <f t="shared" si="65"/>
        <v>2167011.3331429791</v>
      </c>
      <c r="N395">
        <f t="shared" si="65"/>
        <v>10940713.655902734</v>
      </c>
      <c r="O395">
        <f t="shared" si="65"/>
        <v>16057980.65505523</v>
      </c>
      <c r="P395">
        <f t="shared" si="65"/>
        <v>17525254.887691904</v>
      </c>
      <c r="Q395">
        <f t="shared" si="65"/>
        <v>2504541.1071058316</v>
      </c>
      <c r="R395">
        <f t="shared" si="65"/>
        <v>6673039.5310940351</v>
      </c>
      <c r="S395">
        <f t="shared" si="65"/>
        <v>2976778.3724274416</v>
      </c>
      <c r="T395">
        <f t="shared" si="65"/>
        <v>4621853.7608391726</v>
      </c>
      <c r="U395">
        <f t="shared" si="65"/>
        <v>15295540.613333017</v>
      </c>
      <c r="V395">
        <f t="shared" si="65"/>
        <v>5924281.044833757</v>
      </c>
      <c r="W395">
        <f t="shared" si="65"/>
        <v>4187139.7314168867</v>
      </c>
      <c r="X395">
        <f t="shared" si="65"/>
        <v>22396562.429322001</v>
      </c>
      <c r="Y395">
        <f t="shared" si="65"/>
        <v>13964298.084490061</v>
      </c>
    </row>
    <row r="396" spans="1:25" x14ac:dyDescent="0.45">
      <c r="A396" s="5" t="s">
        <v>89</v>
      </c>
      <c r="B396">
        <f t="shared" ref="B396:Y396" si="66">B68/B$326</f>
        <v>1228417.5718836037</v>
      </c>
      <c r="C396">
        <f t="shared" si="66"/>
        <v>1683882.4418823074</v>
      </c>
      <c r="D396">
        <f t="shared" si="66"/>
        <v>814999.55304581416</v>
      </c>
      <c r="E396">
        <f t="shared" si="66"/>
        <v>3870739.0145235909</v>
      </c>
      <c r="F396">
        <f t="shared" si="66"/>
        <v>4510763.0450501218</v>
      </c>
      <c r="G396">
        <f t="shared" si="66"/>
        <v>2858524.3145323722</v>
      </c>
      <c r="H396">
        <f t="shared" si="66"/>
        <v>1617269.9099811553</v>
      </c>
      <c r="I396">
        <f t="shared" si="66"/>
        <v>1025901.0895899767</v>
      </c>
      <c r="J396">
        <f t="shared" si="66"/>
        <v>3430008.8517234414</v>
      </c>
      <c r="K396">
        <f t="shared" si="66"/>
        <v>1309148.1385002544</v>
      </c>
      <c r="L396">
        <f t="shared" si="66"/>
        <v>2255801.0531783244</v>
      </c>
      <c r="M396">
        <f t="shared" si="66"/>
        <v>1980700.8961397412</v>
      </c>
      <c r="N396">
        <f t="shared" si="66"/>
        <v>2837180.7907337719</v>
      </c>
      <c r="O396">
        <f t="shared" si="66"/>
        <v>2205784.1330590104</v>
      </c>
      <c r="P396">
        <f t="shared" si="66"/>
        <v>4641076.0916136606</v>
      </c>
      <c r="Q396">
        <f t="shared" si="66"/>
        <v>2337672.940603517</v>
      </c>
      <c r="R396">
        <f t="shared" si="66"/>
        <v>6757679.6357752075</v>
      </c>
      <c r="S396">
        <f t="shared" si="66"/>
        <v>3299206.5575121306</v>
      </c>
      <c r="T396">
        <f t="shared" si="66"/>
        <v>3788068.6991585731</v>
      </c>
      <c r="U396">
        <f t="shared" si="66"/>
        <v>3530481.5484163505</v>
      </c>
      <c r="V396">
        <f t="shared" si="66"/>
        <v>6461979.6967969434</v>
      </c>
      <c r="W396">
        <f t="shared" si="66"/>
        <v>2966302.608829427</v>
      </c>
      <c r="X396">
        <f t="shared" si="66"/>
        <v>2754468.2559858798</v>
      </c>
      <c r="Y396">
        <f t="shared" si="66"/>
        <v>4240674.3381278059</v>
      </c>
    </row>
    <row r="397" spans="1:25" x14ac:dyDescent="0.45">
      <c r="A397" s="5" t="s">
        <v>283</v>
      </c>
      <c r="B397">
        <f t="shared" ref="B397:Y397" si="67">B69/B$326</f>
        <v>30659026.646659456</v>
      </c>
      <c r="C397">
        <f t="shared" si="67"/>
        <v>138225388.75398692</v>
      </c>
      <c r="D397">
        <f t="shared" si="67"/>
        <v>58421764.091826901</v>
      </c>
      <c r="E397">
        <f t="shared" si="67"/>
        <v>40137831.508107498</v>
      </c>
      <c r="F397">
        <f t="shared" si="67"/>
        <v>41519045.373249479</v>
      </c>
      <c r="G397">
        <f t="shared" si="67"/>
        <v>70062868.547970101</v>
      </c>
      <c r="H397">
        <f t="shared" si="67"/>
        <v>59476821.268952936</v>
      </c>
      <c r="I397">
        <f t="shared" si="67"/>
        <v>132698000.9344514</v>
      </c>
      <c r="J397">
        <f t="shared" si="67"/>
        <v>98814840.845214099</v>
      </c>
      <c r="K397">
        <f t="shared" si="67"/>
        <v>97887016.777793199</v>
      </c>
      <c r="L397">
        <f t="shared" si="67"/>
        <v>48453549.61321032</v>
      </c>
      <c r="M397">
        <f t="shared" si="67"/>
        <v>92363880.84110637</v>
      </c>
      <c r="N397">
        <f t="shared" si="67"/>
        <v>135628515.1423195</v>
      </c>
      <c r="O397">
        <f t="shared" si="67"/>
        <v>387909684.21865845</v>
      </c>
      <c r="P397">
        <f t="shared" si="67"/>
        <v>157836763.41808885</v>
      </c>
      <c r="Q397">
        <f t="shared" si="67"/>
        <v>139908007.29985127</v>
      </c>
      <c r="R397">
        <f t="shared" si="67"/>
        <v>87455234.699573651</v>
      </c>
      <c r="S397">
        <f t="shared" si="67"/>
        <v>115025717.82760762</v>
      </c>
      <c r="T397">
        <f t="shared" si="67"/>
        <v>63938810.103257902</v>
      </c>
      <c r="U397">
        <f t="shared" si="67"/>
        <v>155973994.25503236</v>
      </c>
      <c r="V397">
        <f t="shared" si="67"/>
        <v>301240904.04481691</v>
      </c>
      <c r="W397">
        <f t="shared" si="67"/>
        <v>134227104.97096831</v>
      </c>
      <c r="X397">
        <f t="shared" si="67"/>
        <v>276753628.27002603</v>
      </c>
      <c r="Y397">
        <f t="shared" si="67"/>
        <v>76634775.733645618</v>
      </c>
    </row>
    <row r="398" spans="1:25" x14ac:dyDescent="0.45">
      <c r="A398" s="5" t="s">
        <v>90</v>
      </c>
      <c r="B398">
        <f t="shared" ref="B398:Y398" si="68">B70/B$326</f>
        <v>32344993.662108704</v>
      </c>
      <c r="C398">
        <f t="shared" si="68"/>
        <v>32823125.59673322</v>
      </c>
      <c r="D398">
        <f t="shared" si="68"/>
        <v>21220445.131030016</v>
      </c>
      <c r="E398">
        <f t="shared" si="68"/>
        <v>34329659.950662211</v>
      </c>
      <c r="F398">
        <f t="shared" si="68"/>
        <v>55787327.863917194</v>
      </c>
      <c r="G398">
        <f t="shared" si="68"/>
        <v>33954182.178682007</v>
      </c>
      <c r="H398">
        <f t="shared" si="68"/>
        <v>32068166.341153145</v>
      </c>
      <c r="I398">
        <f t="shared" si="68"/>
        <v>89807673.347913802</v>
      </c>
      <c r="J398">
        <f t="shared" si="68"/>
        <v>89230585.51524511</v>
      </c>
      <c r="K398">
        <f t="shared" si="68"/>
        <v>58305268.125901133</v>
      </c>
      <c r="L398">
        <f t="shared" si="68"/>
        <v>17712429.239579469</v>
      </c>
      <c r="M398">
        <f t="shared" si="68"/>
        <v>34815639.018892877</v>
      </c>
      <c r="N398">
        <f t="shared" si="68"/>
        <v>15840204.640559461</v>
      </c>
      <c r="O398">
        <f t="shared" si="68"/>
        <v>45381787.858724408</v>
      </c>
      <c r="P398">
        <f t="shared" si="68"/>
        <v>42428932.399437644</v>
      </c>
      <c r="Q398">
        <f t="shared" si="68"/>
        <v>21495780.668426439</v>
      </c>
      <c r="R398">
        <f t="shared" si="68"/>
        <v>70802131.120898291</v>
      </c>
      <c r="S398">
        <f t="shared" si="68"/>
        <v>37572945.469803981</v>
      </c>
      <c r="T398">
        <f t="shared" si="68"/>
        <v>59347490.982147127</v>
      </c>
      <c r="U398">
        <f t="shared" si="68"/>
        <v>74571106.472524598</v>
      </c>
      <c r="V398">
        <f t="shared" si="68"/>
        <v>43677016.488279931</v>
      </c>
      <c r="W398">
        <f t="shared" si="68"/>
        <v>55209640.97668872</v>
      </c>
      <c r="X398">
        <f t="shared" si="68"/>
        <v>134348602.03304699</v>
      </c>
      <c r="Y398">
        <f t="shared" si="68"/>
        <v>18127226.640968811</v>
      </c>
    </row>
    <row r="399" spans="1:25" x14ac:dyDescent="0.45">
      <c r="A399" s="5" t="s">
        <v>284</v>
      </c>
      <c r="B399">
        <f t="shared" ref="B399:Y399" si="69">B71/B$326</f>
        <v>22995053.331606425</v>
      </c>
      <c r="C399">
        <f t="shared" si="69"/>
        <v>20949306.037244629</v>
      </c>
      <c r="D399">
        <f t="shared" si="69"/>
        <v>14370085.41063752</v>
      </c>
      <c r="E399">
        <f t="shared" si="69"/>
        <v>18530736.516099997</v>
      </c>
      <c r="F399">
        <f t="shared" si="69"/>
        <v>27507327.541319415</v>
      </c>
      <c r="G399">
        <f t="shared" si="69"/>
        <v>21859028.822169263</v>
      </c>
      <c r="H399">
        <f t="shared" si="69"/>
        <v>15826164.638911735</v>
      </c>
      <c r="I399">
        <f t="shared" si="69"/>
        <v>26564325.196614239</v>
      </c>
      <c r="J399">
        <f t="shared" si="69"/>
        <v>38510155.009904929</v>
      </c>
      <c r="K399">
        <f t="shared" si="69"/>
        <v>17727331.623393867</v>
      </c>
      <c r="L399">
        <f t="shared" si="69"/>
        <v>22184795.369528621</v>
      </c>
      <c r="M399">
        <f t="shared" si="69"/>
        <v>14632475.283309618</v>
      </c>
      <c r="N399">
        <f t="shared" si="69"/>
        <v>10488535.3872838</v>
      </c>
      <c r="O399">
        <f t="shared" si="69"/>
        <v>21735801.914661236</v>
      </c>
      <c r="P399">
        <f t="shared" si="69"/>
        <v>29297914.901097354</v>
      </c>
      <c r="Q399">
        <f t="shared" si="69"/>
        <v>11502504.36841145</v>
      </c>
      <c r="R399">
        <f t="shared" si="69"/>
        <v>35480577.974528193</v>
      </c>
      <c r="S399">
        <f t="shared" si="69"/>
        <v>21399712.532589052</v>
      </c>
      <c r="T399">
        <f t="shared" si="69"/>
        <v>30837469.380293835</v>
      </c>
      <c r="U399">
        <f t="shared" si="69"/>
        <v>31244825.986058801</v>
      </c>
      <c r="V399">
        <f t="shared" si="69"/>
        <v>26306931.242629983</v>
      </c>
      <c r="W399">
        <f t="shared" si="69"/>
        <v>29028221.465998668</v>
      </c>
      <c r="X399">
        <f t="shared" si="69"/>
        <v>40631909.505008303</v>
      </c>
      <c r="Y399">
        <f t="shared" si="69"/>
        <v>30199291.275677372</v>
      </c>
    </row>
    <row r="400" spans="1:25" x14ac:dyDescent="0.45">
      <c r="A400" s="5" t="s">
        <v>285</v>
      </c>
      <c r="B400">
        <f t="shared" ref="B400:Y400" si="70">B72/B$326</f>
        <v>28707016.727079641</v>
      </c>
      <c r="C400">
        <f t="shared" si="70"/>
        <v>34972928.558612823</v>
      </c>
      <c r="D400">
        <f t="shared" si="70"/>
        <v>20688007.250664357</v>
      </c>
      <c r="E400">
        <f t="shared" si="70"/>
        <v>33883038.491594404</v>
      </c>
      <c r="F400">
        <f t="shared" si="70"/>
        <v>26143753.997330543</v>
      </c>
      <c r="G400">
        <f t="shared" si="70"/>
        <v>24126801.001952942</v>
      </c>
      <c r="H400">
        <f t="shared" si="70"/>
        <v>22379013.199553043</v>
      </c>
      <c r="I400">
        <f t="shared" si="70"/>
        <v>24926736.775878083</v>
      </c>
      <c r="J400">
        <f t="shared" si="70"/>
        <v>38260413.232706875</v>
      </c>
      <c r="K400">
        <f t="shared" si="70"/>
        <v>28531548.785458732</v>
      </c>
      <c r="L400">
        <f t="shared" si="70"/>
        <v>15363347.75852431</v>
      </c>
      <c r="M400">
        <f t="shared" si="70"/>
        <v>23064767.115603037</v>
      </c>
      <c r="N400">
        <f t="shared" si="70"/>
        <v>22529796.151310146</v>
      </c>
      <c r="O400">
        <f t="shared" si="70"/>
        <v>36523110.651432805</v>
      </c>
      <c r="P400">
        <f t="shared" si="70"/>
        <v>7138190.1937448299</v>
      </c>
      <c r="Q400">
        <f t="shared" si="70"/>
        <v>30142835.418445762</v>
      </c>
      <c r="R400">
        <f t="shared" si="70"/>
        <v>80724415.856649026</v>
      </c>
      <c r="S400">
        <f t="shared" si="70"/>
        <v>45052790.077461571</v>
      </c>
      <c r="T400">
        <f t="shared" si="70"/>
        <v>30171718.934471924</v>
      </c>
      <c r="U400">
        <f t="shared" si="70"/>
        <v>44987090.192748263</v>
      </c>
      <c r="V400">
        <f t="shared" si="70"/>
        <v>51566251.995499566</v>
      </c>
      <c r="W400">
        <f t="shared" si="70"/>
        <v>47345088.737315349</v>
      </c>
      <c r="X400">
        <f t="shared" si="70"/>
        <v>237320762.41631699</v>
      </c>
      <c r="Y400">
        <f t="shared" si="70"/>
        <v>40032431.526648246</v>
      </c>
    </row>
    <row r="401" spans="1:25" x14ac:dyDescent="0.45">
      <c r="A401" s="5" t="s">
        <v>286</v>
      </c>
      <c r="B401">
        <f t="shared" ref="B401:Y401" si="71">B73/B$326</f>
        <v>3101943.5003642756</v>
      </c>
      <c r="C401">
        <f t="shared" si="71"/>
        <v>6046160.94456675</v>
      </c>
      <c r="D401">
        <f t="shared" si="71"/>
        <v>3115870.8006715407</v>
      </c>
      <c r="E401">
        <f t="shared" si="71"/>
        <v>2810910.995533241</v>
      </c>
      <c r="F401">
        <f t="shared" si="71"/>
        <v>5589613.4692706931</v>
      </c>
      <c r="G401">
        <f t="shared" si="71"/>
        <v>5057045.3863182841</v>
      </c>
      <c r="H401">
        <f t="shared" si="71"/>
        <v>3567499.7732634591</v>
      </c>
      <c r="I401">
        <f t="shared" si="71"/>
        <v>34941360.132027373</v>
      </c>
      <c r="J401">
        <f t="shared" si="71"/>
        <v>16115138.713261874</v>
      </c>
      <c r="K401">
        <f t="shared" si="71"/>
        <v>3468171.8427113951</v>
      </c>
      <c r="L401">
        <f t="shared" si="71"/>
        <v>5265142.5430471124</v>
      </c>
      <c r="M401">
        <f t="shared" si="71"/>
        <v>3080580.8847952853</v>
      </c>
      <c r="N401">
        <f t="shared" si="71"/>
        <v>3243483.3256073981</v>
      </c>
      <c r="O401">
        <f t="shared" si="71"/>
        <v>10212620.678012256</v>
      </c>
      <c r="P401">
        <f t="shared" si="71"/>
        <v>6027654.1975057255</v>
      </c>
      <c r="Q401">
        <f t="shared" si="71"/>
        <v>3569250.6651580012</v>
      </c>
      <c r="R401">
        <f t="shared" si="71"/>
        <v>10005095.820280964</v>
      </c>
      <c r="S401">
        <f t="shared" si="71"/>
        <v>4540386.1199725056</v>
      </c>
      <c r="T401">
        <f t="shared" si="71"/>
        <v>6069836.3464043997</v>
      </c>
      <c r="U401">
        <f t="shared" si="71"/>
        <v>8730268.9493060354</v>
      </c>
      <c r="V401">
        <f t="shared" si="71"/>
        <v>9525240.5302830078</v>
      </c>
      <c r="W401">
        <f t="shared" si="71"/>
        <v>6801703.3503610734</v>
      </c>
      <c r="X401">
        <f t="shared" si="71"/>
        <v>49187465.171255603</v>
      </c>
      <c r="Y401">
        <f t="shared" si="71"/>
        <v>4340421.5759363184</v>
      </c>
    </row>
    <row r="402" spans="1:25" x14ac:dyDescent="0.45">
      <c r="A402" s="5" t="s">
        <v>91</v>
      </c>
      <c r="B402">
        <f t="shared" ref="B402:Y402" si="72">B74/B$326</f>
        <v>10781663.666608782</v>
      </c>
      <c r="C402">
        <f t="shared" si="72"/>
        <v>14234942.485896379</v>
      </c>
      <c r="D402">
        <f t="shared" si="72"/>
        <v>8419144.3012735024</v>
      </c>
      <c r="E402">
        <f t="shared" si="72"/>
        <v>7135872.8490417153</v>
      </c>
      <c r="F402">
        <f t="shared" si="72"/>
        <v>11775723.488368377</v>
      </c>
      <c r="G402">
        <f t="shared" si="72"/>
        <v>7431320.5629459796</v>
      </c>
      <c r="H402">
        <f t="shared" si="72"/>
        <v>11682212.633229358</v>
      </c>
      <c r="I402">
        <f t="shared" si="72"/>
        <v>27637230.075609885</v>
      </c>
      <c r="J402">
        <f t="shared" si="72"/>
        <v>24434442.980602022</v>
      </c>
      <c r="K402">
        <f t="shared" si="72"/>
        <v>8475534.9422208909</v>
      </c>
      <c r="L402">
        <f t="shared" si="72"/>
        <v>17393153.656778727</v>
      </c>
      <c r="M402">
        <f t="shared" si="72"/>
        <v>9262405.9163299222</v>
      </c>
      <c r="N402">
        <f t="shared" si="72"/>
        <v>7843447.4604216255</v>
      </c>
      <c r="O402">
        <f t="shared" si="72"/>
        <v>32364234.218774758</v>
      </c>
      <c r="P402">
        <f t="shared" si="72"/>
        <v>34628562.731420368</v>
      </c>
      <c r="Q402">
        <f t="shared" si="72"/>
        <v>7041195.3918783125</v>
      </c>
      <c r="R402">
        <f t="shared" si="72"/>
        <v>20795573.329238281</v>
      </c>
      <c r="S402">
        <f t="shared" si="72"/>
        <v>11781069.248318063</v>
      </c>
      <c r="T402">
        <f t="shared" si="72"/>
        <v>18208277.292743873</v>
      </c>
      <c r="U402">
        <f t="shared" si="72"/>
        <v>32352656.986263879</v>
      </c>
      <c r="V402">
        <f t="shared" si="72"/>
        <v>22762749.840062298</v>
      </c>
      <c r="W402">
        <f t="shared" si="72"/>
        <v>24687067.562476065</v>
      </c>
      <c r="X402">
        <f t="shared" si="72"/>
        <v>46236041.467570297</v>
      </c>
      <c r="Y402">
        <f t="shared" si="72"/>
        <v>20969856.552118372</v>
      </c>
    </row>
    <row r="403" spans="1:25" x14ac:dyDescent="0.45">
      <c r="A403" s="5" t="s">
        <v>92</v>
      </c>
      <c r="B403">
        <f t="shared" ref="B403:Y403" si="73">B75/B$326</f>
        <v>6238567.258059389</v>
      </c>
      <c r="C403">
        <f t="shared" si="73"/>
        <v>7860354.0847038068</v>
      </c>
      <c r="D403">
        <f t="shared" si="73"/>
        <v>2747736.1755544245</v>
      </c>
      <c r="E403">
        <f t="shared" si="73"/>
        <v>2962028.1225497229</v>
      </c>
      <c r="F403">
        <f t="shared" si="73"/>
        <v>9284456.2858370021</v>
      </c>
      <c r="G403">
        <f t="shared" si="73"/>
        <v>4268424.7315694308</v>
      </c>
      <c r="H403">
        <f t="shared" si="73"/>
        <v>3580793.9556268901</v>
      </c>
      <c r="I403">
        <f t="shared" si="73"/>
        <v>9593314.3764697574</v>
      </c>
      <c r="J403">
        <f t="shared" si="73"/>
        <v>5178872.1654521255</v>
      </c>
      <c r="K403">
        <f t="shared" si="73"/>
        <v>4358192.2978797508</v>
      </c>
      <c r="L403">
        <f t="shared" si="73"/>
        <v>8199479.6643788833</v>
      </c>
      <c r="M403">
        <f t="shared" si="73"/>
        <v>2780570.6915238067</v>
      </c>
      <c r="N403">
        <f t="shared" si="73"/>
        <v>3248932.9875770886</v>
      </c>
      <c r="O403">
        <f t="shared" si="73"/>
        <v>13529882.396980265</v>
      </c>
      <c r="P403">
        <f t="shared" si="73"/>
        <v>7522231.4227528861</v>
      </c>
      <c r="Q403">
        <f t="shared" si="73"/>
        <v>5154343.7710132487</v>
      </c>
      <c r="R403">
        <f t="shared" si="73"/>
        <v>5122082.9296311243</v>
      </c>
      <c r="S403">
        <f t="shared" si="73"/>
        <v>5776266.7504231259</v>
      </c>
      <c r="T403">
        <f t="shared" si="73"/>
        <v>8596880.0643285122</v>
      </c>
      <c r="U403">
        <f t="shared" si="73"/>
        <v>10538176.887200309</v>
      </c>
      <c r="V403">
        <f t="shared" si="73"/>
        <v>9591388.596832389</v>
      </c>
      <c r="W403">
        <f t="shared" si="73"/>
        <v>6511602.5324219773</v>
      </c>
      <c r="X403">
        <f t="shared" si="73"/>
        <v>9540326.4783353601</v>
      </c>
      <c r="Y403">
        <f t="shared" si="73"/>
        <v>6521053.3269688124</v>
      </c>
    </row>
    <row r="404" spans="1:25" x14ac:dyDescent="0.45">
      <c r="A404" s="5" t="s">
        <v>93</v>
      </c>
      <c r="B404">
        <f t="shared" ref="B404:Y404" si="74">B76/B$326</f>
        <v>1058345674.8347493</v>
      </c>
      <c r="C404">
        <f t="shared" si="74"/>
        <v>822649011.66985083</v>
      </c>
      <c r="D404">
        <f t="shared" si="74"/>
        <v>670266076.7383548</v>
      </c>
      <c r="E404">
        <f t="shared" si="74"/>
        <v>877225168.17370868</v>
      </c>
      <c r="F404">
        <f t="shared" si="74"/>
        <v>986148059.36041212</v>
      </c>
      <c r="G404">
        <f t="shared" si="74"/>
        <v>936189451.93096566</v>
      </c>
      <c r="H404">
        <f t="shared" si="74"/>
        <v>756464143.49856496</v>
      </c>
      <c r="I404">
        <f t="shared" si="74"/>
        <v>1574288832.5272923</v>
      </c>
      <c r="J404">
        <f t="shared" si="74"/>
        <v>1869623031.1272407</v>
      </c>
      <c r="K404">
        <f t="shared" si="74"/>
        <v>1964519643.9450333</v>
      </c>
      <c r="L404">
        <f t="shared" si="74"/>
        <v>981791418.4037447</v>
      </c>
      <c r="M404">
        <f t="shared" si="74"/>
        <v>786030967.67718196</v>
      </c>
      <c r="N404">
        <f t="shared" si="74"/>
        <v>25082922.314167298</v>
      </c>
      <c r="O404">
        <f t="shared" si="74"/>
        <v>117043053.41824001</v>
      </c>
      <c r="P404">
        <f t="shared" si="74"/>
        <v>80475575.913863227</v>
      </c>
      <c r="Q404">
        <f t="shared" si="74"/>
        <v>666280162.63122845</v>
      </c>
      <c r="R404">
        <f t="shared" si="74"/>
        <v>3052114967.9784875</v>
      </c>
      <c r="S404">
        <f t="shared" si="74"/>
        <v>1260169383.7994072</v>
      </c>
      <c r="T404">
        <f t="shared" si="74"/>
        <v>1492520783.1573939</v>
      </c>
      <c r="U404">
        <f t="shared" si="74"/>
        <v>1634131412.593771</v>
      </c>
      <c r="V404">
        <f t="shared" si="74"/>
        <v>1089470063.6976333</v>
      </c>
      <c r="W404">
        <f t="shared" si="74"/>
        <v>1586326156.1698844</v>
      </c>
      <c r="X404">
        <f t="shared" si="74"/>
        <v>2236364610.6201401</v>
      </c>
      <c r="Y404">
        <f t="shared" si="74"/>
        <v>1136188855.843925</v>
      </c>
    </row>
    <row r="405" spans="1:25" x14ac:dyDescent="0.45">
      <c r="A405" s="5" t="s">
        <v>94</v>
      </c>
      <c r="B405">
        <f t="shared" ref="B405:Y405" si="75">B77/B$326</f>
        <v>191010062.20030975</v>
      </c>
      <c r="C405">
        <f t="shared" si="75"/>
        <v>253816261.98282856</v>
      </c>
      <c r="D405">
        <f t="shared" si="75"/>
        <v>204941517.40802553</v>
      </c>
      <c r="E405">
        <f t="shared" si="75"/>
        <v>222670580.2760168</v>
      </c>
      <c r="F405">
        <f t="shared" si="75"/>
        <v>123177468.98042001</v>
      </c>
      <c r="G405">
        <f t="shared" si="75"/>
        <v>157658101.39652106</v>
      </c>
      <c r="H405">
        <f t="shared" si="75"/>
        <v>167294732.17009261</v>
      </c>
      <c r="I405">
        <f t="shared" si="75"/>
        <v>124011576.6185879</v>
      </c>
      <c r="J405">
        <f t="shared" si="75"/>
        <v>431160714.66093999</v>
      </c>
      <c r="K405">
        <f t="shared" si="75"/>
        <v>231471608.47854447</v>
      </c>
      <c r="L405">
        <f t="shared" si="75"/>
        <v>173735123.62081063</v>
      </c>
      <c r="M405">
        <f t="shared" si="75"/>
        <v>192892981.35783726</v>
      </c>
      <c r="N405">
        <f t="shared" si="75"/>
        <v>121332375.10339087</v>
      </c>
      <c r="O405">
        <f t="shared" si="75"/>
        <v>345404275.23756498</v>
      </c>
      <c r="P405">
        <f t="shared" si="75"/>
        <v>174026506.56376198</v>
      </c>
      <c r="Q405">
        <f t="shared" si="75"/>
        <v>123496002.1074847</v>
      </c>
      <c r="R405">
        <f t="shared" si="75"/>
        <v>299221439.63087291</v>
      </c>
      <c r="S405">
        <f t="shared" si="75"/>
        <v>278805268.84592855</v>
      </c>
      <c r="T405">
        <f t="shared" si="75"/>
        <v>207525399.75324467</v>
      </c>
      <c r="U405">
        <f t="shared" si="75"/>
        <v>299034300.13461781</v>
      </c>
      <c r="V405">
        <f t="shared" si="75"/>
        <v>228176429.74342418</v>
      </c>
      <c r="W405">
        <f t="shared" si="75"/>
        <v>261039140.68037635</v>
      </c>
      <c r="X405">
        <f t="shared" si="75"/>
        <v>438483687.32617998</v>
      </c>
      <c r="Y405">
        <f t="shared" si="75"/>
        <v>246675472.9406625</v>
      </c>
    </row>
    <row r="406" spans="1:25" x14ac:dyDescent="0.45">
      <c r="A406" s="5" t="s">
        <v>95</v>
      </c>
      <c r="B406">
        <f t="shared" ref="B406:Y406" si="76">B78/B$326</f>
        <v>2544504.4164557452</v>
      </c>
      <c r="C406">
        <f t="shared" si="76"/>
        <v>5986721.6393085727</v>
      </c>
      <c r="D406">
        <f t="shared" si="76"/>
        <v>3811202.6072304607</v>
      </c>
      <c r="E406">
        <f t="shared" si="76"/>
        <v>680857.68785439047</v>
      </c>
      <c r="F406">
        <f t="shared" si="76"/>
        <v>771235.03049484699</v>
      </c>
      <c r="G406">
        <f t="shared" si="76"/>
        <v>9642120.2006241176</v>
      </c>
      <c r="H406">
        <f t="shared" si="76"/>
        <v>317875.71016312105</v>
      </c>
      <c r="I406">
        <f t="shared" si="76"/>
        <v>12591964.281885553</v>
      </c>
      <c r="J406">
        <f t="shared" si="76"/>
        <v>895645.71379831759</v>
      </c>
      <c r="K406">
        <f t="shared" si="76"/>
        <v>13989855.940452296</v>
      </c>
      <c r="L406">
        <f t="shared" si="76"/>
        <v>469971.59746758564</v>
      </c>
      <c r="M406">
        <f t="shared" si="76"/>
        <v>1724585.3202213442</v>
      </c>
      <c r="N406">
        <f t="shared" si="76"/>
        <v>2705045.4029729189</v>
      </c>
      <c r="O406">
        <f t="shared" si="76"/>
        <v>1432753.5554834723</v>
      </c>
      <c r="P406">
        <f t="shared" si="76"/>
        <v>3101103.6523649581</v>
      </c>
      <c r="Q406">
        <f t="shared" si="76"/>
        <v>296992.92535238608</v>
      </c>
      <c r="R406">
        <f t="shared" si="76"/>
        <v>1231140.6705738085</v>
      </c>
      <c r="S406">
        <f t="shared" si="76"/>
        <v>714705.10894523363</v>
      </c>
      <c r="T406">
        <f t="shared" si="76"/>
        <v>648977.77715832891</v>
      </c>
      <c r="U406">
        <f t="shared" si="76"/>
        <v>695608.627236448</v>
      </c>
      <c r="V406">
        <f t="shared" si="76"/>
        <v>639679.75591251731</v>
      </c>
      <c r="W406">
        <f t="shared" si="76"/>
        <v>1231195.4959856798</v>
      </c>
      <c r="X406">
        <f t="shared" si="76"/>
        <v>17721247.750460301</v>
      </c>
      <c r="Y406">
        <f t="shared" si="76"/>
        <v>2178616.3366644434</v>
      </c>
    </row>
    <row r="407" spans="1:25" x14ac:dyDescent="0.45">
      <c r="A407" s="5" t="s">
        <v>96</v>
      </c>
      <c r="B407">
        <f t="shared" ref="B407:Y407" si="77">B79/B$326</f>
        <v>40006128.660131119</v>
      </c>
      <c r="C407">
        <f t="shared" si="77"/>
        <v>56435338.037312955</v>
      </c>
      <c r="D407">
        <f t="shared" si="77"/>
        <v>45662616.208127454</v>
      </c>
      <c r="E407">
        <f t="shared" si="77"/>
        <v>28782097.956735387</v>
      </c>
      <c r="F407">
        <f t="shared" si="77"/>
        <v>61294348.965466894</v>
      </c>
      <c r="G407">
        <f t="shared" si="77"/>
        <v>35235550.434296615</v>
      </c>
      <c r="H407">
        <f t="shared" si="77"/>
        <v>35420709.528817594</v>
      </c>
      <c r="I407">
        <f t="shared" si="77"/>
        <v>20092989.997743305</v>
      </c>
      <c r="J407">
        <f t="shared" si="77"/>
        <v>105926209.36760253</v>
      </c>
      <c r="K407">
        <f t="shared" si="77"/>
        <v>21356976.29340823</v>
      </c>
      <c r="L407">
        <f t="shared" si="77"/>
        <v>46055246.71926479</v>
      </c>
      <c r="M407">
        <f t="shared" si="77"/>
        <v>37637021.422958799</v>
      </c>
      <c r="N407">
        <f t="shared" si="77"/>
        <v>16668526.275280466</v>
      </c>
      <c r="O407">
        <f t="shared" si="77"/>
        <v>36060498.271435641</v>
      </c>
      <c r="P407">
        <f t="shared" si="77"/>
        <v>36838162.955505773</v>
      </c>
      <c r="Q407">
        <f t="shared" si="77"/>
        <v>25225284.341502454</v>
      </c>
      <c r="R407">
        <f t="shared" si="77"/>
        <v>39242929.272965379</v>
      </c>
      <c r="S407">
        <f t="shared" si="77"/>
        <v>56891835.111959115</v>
      </c>
      <c r="T407">
        <f t="shared" si="77"/>
        <v>75800218.957813323</v>
      </c>
      <c r="U407">
        <f t="shared" si="77"/>
        <v>67915457.15585722</v>
      </c>
      <c r="V407">
        <f t="shared" si="77"/>
        <v>54997659.341688775</v>
      </c>
      <c r="W407">
        <f t="shared" si="77"/>
        <v>48297244.723748885</v>
      </c>
      <c r="X407">
        <f t="shared" si="77"/>
        <v>30560433.714767601</v>
      </c>
      <c r="Y407">
        <f t="shared" si="77"/>
        <v>30282194.817389123</v>
      </c>
    </row>
    <row r="408" spans="1:25" x14ac:dyDescent="0.45">
      <c r="A408" s="5" t="s">
        <v>97</v>
      </c>
      <c r="B408">
        <f t="shared" ref="B408:Y408" si="78">B80/B$326</f>
        <v>8719199.5288210642</v>
      </c>
      <c r="C408">
        <f t="shared" si="78"/>
        <v>11844177.9958985</v>
      </c>
      <c r="D408">
        <f t="shared" si="78"/>
        <v>9538801.7448672187</v>
      </c>
      <c r="E408">
        <f t="shared" si="78"/>
        <v>11024619.871692929</v>
      </c>
      <c r="F408">
        <f t="shared" si="78"/>
        <v>13139622.873283859</v>
      </c>
      <c r="G408">
        <f t="shared" si="78"/>
        <v>9741838.813371323</v>
      </c>
      <c r="H408">
        <f t="shared" si="78"/>
        <v>5494100.1445785556</v>
      </c>
      <c r="I408">
        <f t="shared" si="78"/>
        <v>7712260.4066952923</v>
      </c>
      <c r="J408">
        <f t="shared" si="78"/>
        <v>21247673.953840677</v>
      </c>
      <c r="K408">
        <f t="shared" si="78"/>
        <v>9249068.3340238668</v>
      </c>
      <c r="L408">
        <f t="shared" si="78"/>
        <v>10690578.162419574</v>
      </c>
      <c r="M408">
        <f t="shared" si="78"/>
        <v>8172814.1767791109</v>
      </c>
      <c r="N408">
        <f t="shared" si="78"/>
        <v>6226914.8468078608</v>
      </c>
      <c r="O408">
        <f t="shared" si="78"/>
        <v>15378104.655381078</v>
      </c>
      <c r="P408">
        <f t="shared" si="78"/>
        <v>10903297.179411948</v>
      </c>
      <c r="Q408">
        <f t="shared" si="78"/>
        <v>8772861.603723539</v>
      </c>
      <c r="R408">
        <f t="shared" si="78"/>
        <v>20817548.335204888</v>
      </c>
      <c r="S408">
        <f t="shared" si="78"/>
        <v>12842762.104220243</v>
      </c>
      <c r="T408">
        <f t="shared" si="78"/>
        <v>15473324.398331292</v>
      </c>
      <c r="U408">
        <f t="shared" si="78"/>
        <v>18539543.415424332</v>
      </c>
      <c r="V408">
        <f t="shared" si="78"/>
        <v>17500275.513024434</v>
      </c>
      <c r="W408">
        <f t="shared" si="78"/>
        <v>17362524.68427996</v>
      </c>
      <c r="X408">
        <f t="shared" si="78"/>
        <v>20645468.6127734</v>
      </c>
      <c r="Y408">
        <f t="shared" si="78"/>
        <v>12376817.956222374</v>
      </c>
    </row>
    <row r="409" spans="1:25" x14ac:dyDescent="0.45">
      <c r="A409" s="5" t="s">
        <v>287</v>
      </c>
      <c r="B409">
        <f t="shared" ref="B409:Y409" si="79">B81/B$326</f>
        <v>17931747.148432706</v>
      </c>
      <c r="C409">
        <f t="shared" si="79"/>
        <v>26694506.569287628</v>
      </c>
      <c r="D409">
        <f t="shared" si="79"/>
        <v>25365713.105664738</v>
      </c>
      <c r="E409">
        <f t="shared" si="79"/>
        <v>60612751.374602981</v>
      </c>
      <c r="F409">
        <f t="shared" si="79"/>
        <v>117934714.24302347</v>
      </c>
      <c r="G409">
        <f t="shared" si="79"/>
        <v>91945606.97582598</v>
      </c>
      <c r="H409">
        <f t="shared" si="79"/>
        <v>42130949.292044193</v>
      </c>
      <c r="I409">
        <f t="shared" si="79"/>
        <v>417273326.59826583</v>
      </c>
      <c r="J409">
        <f t="shared" si="79"/>
        <v>20553123.495677777</v>
      </c>
      <c r="K409">
        <f t="shared" si="79"/>
        <v>285908250.59518248</v>
      </c>
      <c r="L409">
        <f t="shared" si="79"/>
        <v>30211379.534628566</v>
      </c>
      <c r="M409">
        <f t="shared" si="79"/>
        <v>40996446.97373829</v>
      </c>
      <c r="N409">
        <f t="shared" si="79"/>
        <v>19349597.142011136</v>
      </c>
      <c r="O409">
        <f t="shared" si="79"/>
        <v>128770056.16592234</v>
      </c>
      <c r="P409">
        <f t="shared" si="79"/>
        <v>201909853.41902155</v>
      </c>
      <c r="Q409">
        <f t="shared" si="79"/>
        <v>18930260.319821406</v>
      </c>
      <c r="R409">
        <f t="shared" si="79"/>
        <v>167525331.6369406</v>
      </c>
      <c r="S409">
        <f t="shared" si="79"/>
        <v>17154958.618221067</v>
      </c>
      <c r="T409">
        <f t="shared" si="79"/>
        <v>20491234.857039385</v>
      </c>
      <c r="U409">
        <f t="shared" si="79"/>
        <v>199167291.87526652</v>
      </c>
      <c r="V409">
        <f t="shared" si="79"/>
        <v>16886140.379888434</v>
      </c>
      <c r="W409">
        <f t="shared" si="79"/>
        <v>117286747.14670672</v>
      </c>
      <c r="X409">
        <f t="shared" si="79"/>
        <v>282074327.754673</v>
      </c>
      <c r="Y409">
        <f t="shared" si="79"/>
        <v>22554514.932485435</v>
      </c>
    </row>
    <row r="410" spans="1:25" x14ac:dyDescent="0.45">
      <c r="A410" s="5" t="s">
        <v>98</v>
      </c>
      <c r="B410">
        <f t="shared" ref="B410:Y410" si="80">B82/B$326</f>
        <v>709270.99565792154</v>
      </c>
      <c r="C410">
        <f t="shared" si="80"/>
        <v>1849859.8174406961</v>
      </c>
      <c r="D410">
        <f t="shared" si="80"/>
        <v>656992.41533250455</v>
      </c>
      <c r="E410">
        <f t="shared" si="80"/>
        <v>656299.77874749631</v>
      </c>
      <c r="F410">
        <f t="shared" si="80"/>
        <v>457464.99564906576</v>
      </c>
      <c r="G410">
        <f t="shared" si="80"/>
        <v>959230.65060604911</v>
      </c>
      <c r="H410">
        <f t="shared" si="80"/>
        <v>1002462.3031486846</v>
      </c>
      <c r="I410">
        <f t="shared" si="80"/>
        <v>929047.44224022073</v>
      </c>
      <c r="J410">
        <f t="shared" si="80"/>
        <v>1097332.4797539907</v>
      </c>
      <c r="K410">
        <f t="shared" si="80"/>
        <v>317435.95523792267</v>
      </c>
      <c r="L410">
        <f t="shared" si="80"/>
        <v>566703.70809863298</v>
      </c>
      <c r="M410">
        <f t="shared" si="80"/>
        <v>892264.53551601246</v>
      </c>
      <c r="N410">
        <f t="shared" si="80"/>
        <v>842853.43228511501</v>
      </c>
      <c r="O410">
        <f t="shared" si="80"/>
        <v>1788094.6196876946</v>
      </c>
      <c r="P410">
        <f t="shared" si="80"/>
        <v>1303732.5016664958</v>
      </c>
      <c r="Q410">
        <f t="shared" si="80"/>
        <v>694520.85876844404</v>
      </c>
      <c r="R410">
        <f t="shared" si="80"/>
        <v>914157.89373844629</v>
      </c>
      <c r="S410">
        <f t="shared" si="80"/>
        <v>814151.52244294505</v>
      </c>
      <c r="T410">
        <f t="shared" si="80"/>
        <v>505899.35632959782</v>
      </c>
      <c r="U410">
        <f t="shared" si="80"/>
        <v>794057.72959407466</v>
      </c>
      <c r="V410">
        <f t="shared" si="80"/>
        <v>1066124.00421566</v>
      </c>
      <c r="W410">
        <f t="shared" si="80"/>
        <v>1506497.1148999836</v>
      </c>
      <c r="X410">
        <f t="shared" si="80"/>
        <v>1246008.7150673999</v>
      </c>
      <c r="Y410">
        <f t="shared" si="80"/>
        <v>692168.12363774364</v>
      </c>
    </row>
    <row r="411" spans="1:25" x14ac:dyDescent="0.45">
      <c r="A411" s="5" t="s">
        <v>99</v>
      </c>
      <c r="B411">
        <f t="shared" ref="B411:Y411" si="81">B83/B$326</f>
        <v>57131219.772807844</v>
      </c>
      <c r="C411">
        <f t="shared" si="81"/>
        <v>49195999.380993053</v>
      </c>
      <c r="D411">
        <f t="shared" si="81"/>
        <v>35104719.650971092</v>
      </c>
      <c r="E411">
        <f t="shared" si="81"/>
        <v>52768528.41498027</v>
      </c>
      <c r="F411">
        <f t="shared" si="81"/>
        <v>70638169.700824156</v>
      </c>
      <c r="G411">
        <f t="shared" si="81"/>
        <v>51895545.436508335</v>
      </c>
      <c r="H411">
        <f t="shared" si="81"/>
        <v>43439455.951950736</v>
      </c>
      <c r="I411">
        <f t="shared" si="81"/>
        <v>267333780.60435683</v>
      </c>
      <c r="J411">
        <f t="shared" si="81"/>
        <v>109153913.46383403</v>
      </c>
      <c r="K411">
        <f t="shared" si="81"/>
        <v>89200688.362989262</v>
      </c>
      <c r="L411">
        <f t="shared" si="81"/>
        <v>59658427.869102664</v>
      </c>
      <c r="M411">
        <f t="shared" si="81"/>
        <v>49497239.072388969</v>
      </c>
      <c r="N411">
        <f t="shared" si="81"/>
        <v>29726639.079842061</v>
      </c>
      <c r="O411">
        <f t="shared" si="81"/>
        <v>64984319.731219821</v>
      </c>
      <c r="P411">
        <f t="shared" si="81"/>
        <v>67196415.198858604</v>
      </c>
      <c r="Q411">
        <f t="shared" si="81"/>
        <v>33629283.490368217</v>
      </c>
      <c r="R411">
        <f t="shared" si="81"/>
        <v>162053178.61174709</v>
      </c>
      <c r="S411">
        <f t="shared" si="81"/>
        <v>57784274.050872363</v>
      </c>
      <c r="T411">
        <f t="shared" si="81"/>
        <v>79899043.15326719</v>
      </c>
      <c r="U411">
        <f t="shared" si="81"/>
        <v>82704171.655816421</v>
      </c>
      <c r="V411">
        <f t="shared" si="81"/>
        <v>70322845.572891206</v>
      </c>
      <c r="W411">
        <f t="shared" si="81"/>
        <v>100591287.75944588</v>
      </c>
      <c r="X411">
        <f t="shared" si="81"/>
        <v>553388700.87680304</v>
      </c>
      <c r="Y411">
        <f t="shared" si="81"/>
        <v>83693297.780480623</v>
      </c>
    </row>
    <row r="412" spans="1:25" x14ac:dyDescent="0.45">
      <c r="A412" s="5" t="s">
        <v>100</v>
      </c>
      <c r="B412">
        <f t="shared" ref="B412:Y412" si="82">B84/B$326</f>
        <v>43192027.646455534</v>
      </c>
      <c r="C412">
        <f t="shared" si="82"/>
        <v>59144260.763807826</v>
      </c>
      <c r="D412">
        <f t="shared" si="82"/>
        <v>39764588.566568039</v>
      </c>
      <c r="E412">
        <f t="shared" si="82"/>
        <v>57922838.718445428</v>
      </c>
      <c r="F412">
        <f t="shared" si="82"/>
        <v>26465723.495151453</v>
      </c>
      <c r="G412">
        <f t="shared" si="82"/>
        <v>35314632.136705145</v>
      </c>
      <c r="H412">
        <f t="shared" si="82"/>
        <v>21423860.006839771</v>
      </c>
      <c r="I412">
        <f t="shared" si="82"/>
        <v>64551944.464211904</v>
      </c>
      <c r="J412">
        <f t="shared" si="82"/>
        <v>76353783.424773559</v>
      </c>
      <c r="K412">
        <f t="shared" si="82"/>
        <v>34965507.861434214</v>
      </c>
      <c r="L412">
        <f t="shared" si="82"/>
        <v>9700498.8165318612</v>
      </c>
      <c r="M412">
        <f t="shared" si="82"/>
        <v>33149454.195815027</v>
      </c>
      <c r="N412">
        <f t="shared" si="82"/>
        <v>45788675.183739133</v>
      </c>
      <c r="O412">
        <f t="shared" si="82"/>
        <v>70769520.314255729</v>
      </c>
      <c r="P412">
        <f t="shared" si="82"/>
        <v>48289876.491271332</v>
      </c>
      <c r="Q412">
        <f t="shared" si="82"/>
        <v>41094739.182662711</v>
      </c>
      <c r="R412">
        <f t="shared" si="82"/>
        <v>70979874.811964571</v>
      </c>
      <c r="S412">
        <f t="shared" si="82"/>
        <v>37233435.930842407</v>
      </c>
      <c r="T412">
        <f t="shared" si="82"/>
        <v>47668297.053840719</v>
      </c>
      <c r="U412">
        <f t="shared" si="82"/>
        <v>98841714.912369624</v>
      </c>
      <c r="V412">
        <f t="shared" si="82"/>
        <v>70194295.753094077</v>
      </c>
      <c r="W412">
        <f t="shared" si="82"/>
        <v>72506827.288814262</v>
      </c>
      <c r="X412">
        <f t="shared" si="82"/>
        <v>89167491.508837104</v>
      </c>
      <c r="Y412">
        <f t="shared" si="82"/>
        <v>44848840.675656624</v>
      </c>
    </row>
    <row r="413" spans="1:25" x14ac:dyDescent="0.45">
      <c r="A413" s="5" t="s">
        <v>435</v>
      </c>
      <c r="B413">
        <f t="shared" ref="B413:Y413" si="83">B85/B$326</f>
        <v>36818534.0450368</v>
      </c>
      <c r="C413">
        <f t="shared" si="83"/>
        <v>65115540.397194117</v>
      </c>
      <c r="D413">
        <f t="shared" si="83"/>
        <v>73804605.492944837</v>
      </c>
      <c r="E413">
        <f t="shared" si="83"/>
        <v>41154640.661674894</v>
      </c>
      <c r="F413">
        <f t="shared" si="83"/>
        <v>85108280.051931918</v>
      </c>
      <c r="G413">
        <f t="shared" si="83"/>
        <v>45101799.33354985</v>
      </c>
      <c r="H413">
        <f t="shared" si="83"/>
        <v>22321823.107288223</v>
      </c>
      <c r="I413">
        <f t="shared" si="83"/>
        <v>62530744.346058004</v>
      </c>
      <c r="J413">
        <f t="shared" si="83"/>
        <v>74345274.909531832</v>
      </c>
      <c r="K413">
        <f t="shared" si="83"/>
        <v>130337846.24682818</v>
      </c>
      <c r="L413">
        <f t="shared" si="83"/>
        <v>129842603.51796331</v>
      </c>
      <c r="M413">
        <f t="shared" si="83"/>
        <v>45876416.280128382</v>
      </c>
      <c r="N413">
        <f t="shared" si="83"/>
        <v>13562586.330283362</v>
      </c>
      <c r="O413">
        <f t="shared" si="83"/>
        <v>64529404.183832482</v>
      </c>
      <c r="P413">
        <f t="shared" si="83"/>
        <v>15315332.231211543</v>
      </c>
      <c r="Q413">
        <f t="shared" si="83"/>
        <v>14747290.435725028</v>
      </c>
      <c r="R413">
        <f t="shared" si="83"/>
        <v>36134955.840512954</v>
      </c>
      <c r="S413">
        <f t="shared" si="83"/>
        <v>19311558.415981732</v>
      </c>
      <c r="T413">
        <f t="shared" si="83"/>
        <v>133174938.04001004</v>
      </c>
      <c r="U413">
        <f t="shared" si="83"/>
        <v>36201051.726105839</v>
      </c>
      <c r="V413">
        <f t="shared" si="83"/>
        <v>36479348.807293586</v>
      </c>
      <c r="W413">
        <f t="shared" si="83"/>
        <v>49847927.781951688</v>
      </c>
      <c r="X413">
        <f t="shared" si="83"/>
        <v>485889742.57856399</v>
      </c>
      <c r="Y413">
        <f t="shared" si="83"/>
        <v>46374272.581013054</v>
      </c>
    </row>
    <row r="414" spans="1:25" x14ac:dyDescent="0.45">
      <c r="A414" s="5" t="s">
        <v>101</v>
      </c>
      <c r="B414">
        <f t="shared" ref="B414:Y414" si="84">B86/B$326</f>
        <v>6969688.7298955191</v>
      </c>
      <c r="C414">
        <f t="shared" si="84"/>
        <v>28840800.455323387</v>
      </c>
      <c r="D414">
        <f t="shared" si="84"/>
        <v>14442135.534873201</v>
      </c>
      <c r="E414">
        <f t="shared" si="84"/>
        <v>41211761.59580978</v>
      </c>
      <c r="F414">
        <f t="shared" si="84"/>
        <v>401259822.51532185</v>
      </c>
      <c r="G414">
        <f t="shared" si="84"/>
        <v>55130474.686773039</v>
      </c>
      <c r="H414">
        <f t="shared" si="84"/>
        <v>4160327.7936718063</v>
      </c>
      <c r="I414">
        <f t="shared" si="84"/>
        <v>29259197.454630792</v>
      </c>
      <c r="J414">
        <f t="shared" si="84"/>
        <v>8086210.0716504958</v>
      </c>
      <c r="K414">
        <f t="shared" si="84"/>
        <v>646038739.22167063</v>
      </c>
      <c r="L414">
        <f t="shared" si="84"/>
        <v>84390187.124652654</v>
      </c>
      <c r="M414">
        <f t="shared" si="84"/>
        <v>13782290.531561347</v>
      </c>
      <c r="N414">
        <f t="shared" si="84"/>
        <v>9853845.0561506711</v>
      </c>
      <c r="O414">
        <f t="shared" si="84"/>
        <v>13255163.197306607</v>
      </c>
      <c r="P414">
        <f t="shared" si="84"/>
        <v>51091148.727403976</v>
      </c>
      <c r="Q414">
        <f t="shared" si="84"/>
        <v>128767184.65197062</v>
      </c>
      <c r="R414">
        <f t="shared" si="84"/>
        <v>218644153.21728683</v>
      </c>
      <c r="S414">
        <f t="shared" si="84"/>
        <v>49704750.730125003</v>
      </c>
      <c r="T414">
        <f t="shared" si="84"/>
        <v>58376240.274289392</v>
      </c>
      <c r="U414">
        <f t="shared" si="84"/>
        <v>656791855.57571137</v>
      </c>
      <c r="V414">
        <f t="shared" si="84"/>
        <v>16039387.27849824</v>
      </c>
      <c r="W414">
        <f t="shared" si="84"/>
        <v>10996802.457376158</v>
      </c>
      <c r="X414">
        <f t="shared" si="84"/>
        <v>36100967.771447703</v>
      </c>
      <c r="Y414">
        <f t="shared" si="84"/>
        <v>8608323.2901544366</v>
      </c>
    </row>
    <row r="415" spans="1:25" x14ac:dyDescent="0.45">
      <c r="A415" s="5" t="s">
        <v>102</v>
      </c>
      <c r="B415">
        <f t="shared" ref="B415:Y415" si="85">B87/B$326</f>
        <v>56947190.974771142</v>
      </c>
      <c r="C415">
        <f t="shared" si="85"/>
        <v>194244602.27494171</v>
      </c>
      <c r="D415">
        <f t="shared" si="85"/>
        <v>122977695.04326968</v>
      </c>
      <c r="E415">
        <f t="shared" si="85"/>
        <v>4381023.6276071845</v>
      </c>
      <c r="F415">
        <f t="shared" si="85"/>
        <v>7916810.8321513506</v>
      </c>
      <c r="G415">
        <f t="shared" si="85"/>
        <v>6549962.9091260778</v>
      </c>
      <c r="H415">
        <f t="shared" si="85"/>
        <v>7569198.0171075733</v>
      </c>
      <c r="I415">
        <f t="shared" si="85"/>
        <v>23783877.63935665</v>
      </c>
      <c r="J415">
        <f t="shared" si="85"/>
        <v>14543315.713051144</v>
      </c>
      <c r="K415">
        <f t="shared" si="85"/>
        <v>10342953.54051142</v>
      </c>
      <c r="L415">
        <f t="shared" si="85"/>
        <v>403450678.83613038</v>
      </c>
      <c r="M415">
        <f t="shared" si="85"/>
        <v>287286244.30582118</v>
      </c>
      <c r="N415">
        <f t="shared" si="85"/>
        <v>8855037.6634992268</v>
      </c>
      <c r="O415">
        <f t="shared" si="85"/>
        <v>15532499.46575932</v>
      </c>
      <c r="P415">
        <f t="shared" si="85"/>
        <v>35402584.880033799</v>
      </c>
      <c r="Q415">
        <f t="shared" si="85"/>
        <v>8825511.492843654</v>
      </c>
      <c r="R415">
        <f t="shared" si="85"/>
        <v>15567869.902700756</v>
      </c>
      <c r="S415">
        <f t="shared" si="85"/>
        <v>12053983.38479252</v>
      </c>
      <c r="T415">
        <f t="shared" si="85"/>
        <v>502589719.90856218</v>
      </c>
      <c r="U415">
        <f t="shared" si="85"/>
        <v>792219755.09107077</v>
      </c>
      <c r="V415">
        <f t="shared" si="85"/>
        <v>634918948.97566271</v>
      </c>
      <c r="W415">
        <f t="shared" si="85"/>
        <v>40059867.695208587</v>
      </c>
      <c r="X415">
        <f t="shared" si="85"/>
        <v>45921208.739255801</v>
      </c>
      <c r="Y415">
        <f t="shared" si="85"/>
        <v>19898639.719552938</v>
      </c>
    </row>
    <row r="416" spans="1:25" x14ac:dyDescent="0.45">
      <c r="A416" s="5" t="s">
        <v>103</v>
      </c>
      <c r="B416">
        <f t="shared" ref="B416:Y416" si="86">B88/B$326</f>
        <v>13510511.645328697</v>
      </c>
      <c r="C416">
        <f t="shared" si="86"/>
        <v>17446066.834539283</v>
      </c>
      <c r="D416">
        <f t="shared" si="86"/>
        <v>6539976.5941376807</v>
      </c>
      <c r="E416">
        <f t="shared" si="86"/>
        <v>172935392.15746838</v>
      </c>
      <c r="F416">
        <f t="shared" si="86"/>
        <v>278660186.04656893</v>
      </c>
      <c r="G416">
        <f t="shared" si="86"/>
        <v>155143664.36679313</v>
      </c>
      <c r="H416">
        <f t="shared" si="86"/>
        <v>149349142.07068112</v>
      </c>
      <c r="I416">
        <f t="shared" si="86"/>
        <v>168030523.27165535</v>
      </c>
      <c r="J416">
        <f t="shared" si="86"/>
        <v>416935750.17474216</v>
      </c>
      <c r="K416">
        <f t="shared" si="86"/>
        <v>575054972.83616316</v>
      </c>
      <c r="L416">
        <f t="shared" si="86"/>
        <v>24961712.757568885</v>
      </c>
      <c r="M416">
        <f t="shared" si="86"/>
        <v>15098001.336873461</v>
      </c>
      <c r="N416">
        <f t="shared" si="86"/>
        <v>96446050.248708785</v>
      </c>
      <c r="O416">
        <f t="shared" si="86"/>
        <v>187028807.47531703</v>
      </c>
      <c r="P416">
        <f t="shared" si="86"/>
        <v>250738909.75402135</v>
      </c>
      <c r="Q416">
        <f t="shared" si="86"/>
        <v>92328875.243763611</v>
      </c>
      <c r="R416">
        <f t="shared" si="86"/>
        <v>657816101.9836179</v>
      </c>
      <c r="S416">
        <f t="shared" si="86"/>
        <v>182091750.86683717</v>
      </c>
      <c r="T416">
        <f t="shared" si="86"/>
        <v>29998786.209496964</v>
      </c>
      <c r="U416">
        <f t="shared" si="86"/>
        <v>34570811.347607985</v>
      </c>
      <c r="V416">
        <f t="shared" si="86"/>
        <v>26611084.963684924</v>
      </c>
      <c r="W416">
        <f t="shared" si="86"/>
        <v>490834591.47162336</v>
      </c>
      <c r="X416">
        <f t="shared" si="86"/>
        <v>344587925.58174402</v>
      </c>
      <c r="Y416">
        <f t="shared" si="86"/>
        <v>308153292.94538808</v>
      </c>
    </row>
    <row r="417" spans="1:25" x14ac:dyDescent="0.45">
      <c r="A417" s="5" t="s">
        <v>104</v>
      </c>
      <c r="B417">
        <f t="shared" ref="B417:Y417" si="87">B89/B$326</f>
        <v>1063830.1388250599</v>
      </c>
      <c r="C417">
        <f t="shared" si="87"/>
        <v>948577.59997457266</v>
      </c>
      <c r="D417">
        <f t="shared" si="87"/>
        <v>630950.58118243585</v>
      </c>
      <c r="E417">
        <f t="shared" si="87"/>
        <v>540482.68372576556</v>
      </c>
      <c r="F417">
        <f t="shared" si="87"/>
        <v>1777336.3847841816</v>
      </c>
      <c r="G417">
        <f t="shared" si="87"/>
        <v>673833.61757555883</v>
      </c>
      <c r="H417">
        <f t="shared" si="87"/>
        <v>629942.26851627999</v>
      </c>
      <c r="I417">
        <f t="shared" si="87"/>
        <v>628129.67920988868</v>
      </c>
      <c r="J417">
        <f t="shared" si="87"/>
        <v>1778077.7010284693</v>
      </c>
      <c r="K417">
        <f t="shared" si="87"/>
        <v>1788906.4736922099</v>
      </c>
      <c r="L417">
        <f t="shared" si="87"/>
        <v>1427536.6279153777</v>
      </c>
      <c r="M417">
        <f t="shared" si="87"/>
        <v>549722.14083783387</v>
      </c>
      <c r="N417">
        <f t="shared" si="87"/>
        <v>640712.6388308442</v>
      </c>
      <c r="O417">
        <f t="shared" si="87"/>
        <v>171357815.5200966</v>
      </c>
      <c r="P417">
        <f t="shared" si="87"/>
        <v>2640449.1624300051</v>
      </c>
      <c r="Q417">
        <f t="shared" si="87"/>
        <v>658187.63519208645</v>
      </c>
      <c r="R417">
        <f t="shared" si="87"/>
        <v>1895413.0187405767</v>
      </c>
      <c r="S417">
        <f t="shared" si="87"/>
        <v>945864.87074180774</v>
      </c>
      <c r="T417">
        <f t="shared" si="87"/>
        <v>1319850.681792574</v>
      </c>
      <c r="U417">
        <f t="shared" si="87"/>
        <v>2286153.4219536982</v>
      </c>
      <c r="V417">
        <f t="shared" si="87"/>
        <v>1362713.1244376155</v>
      </c>
      <c r="W417">
        <f t="shared" si="87"/>
        <v>2127359.1424134462</v>
      </c>
      <c r="X417">
        <f t="shared" si="87"/>
        <v>7997686.2383701103</v>
      </c>
      <c r="Y417">
        <f t="shared" si="87"/>
        <v>1709123.1602780875</v>
      </c>
    </row>
    <row r="418" spans="1:25" x14ac:dyDescent="0.45">
      <c r="A418" s="5" t="s">
        <v>105</v>
      </c>
      <c r="B418">
        <f t="shared" ref="B418:Y418" si="88">B90/B$326</f>
        <v>12279209.92334252</v>
      </c>
      <c r="C418">
        <f t="shared" si="88"/>
        <v>23398984.292996008</v>
      </c>
      <c r="D418">
        <f t="shared" si="88"/>
        <v>9464934.5330578517</v>
      </c>
      <c r="E418">
        <f t="shared" si="88"/>
        <v>13088861.301294228</v>
      </c>
      <c r="F418">
        <f t="shared" si="88"/>
        <v>15138237.221181115</v>
      </c>
      <c r="G418">
        <f t="shared" si="88"/>
        <v>13461763.264555098</v>
      </c>
      <c r="H418">
        <f t="shared" si="88"/>
        <v>18148061.043332461</v>
      </c>
      <c r="I418">
        <f t="shared" si="88"/>
        <v>68785854.841110304</v>
      </c>
      <c r="J418">
        <f t="shared" si="88"/>
        <v>37940459.401391402</v>
      </c>
      <c r="K418">
        <f t="shared" si="88"/>
        <v>44887706.321544833</v>
      </c>
      <c r="L418">
        <f t="shared" si="88"/>
        <v>23178409.550399419</v>
      </c>
      <c r="M418">
        <f t="shared" si="88"/>
        <v>22767076.586741745</v>
      </c>
      <c r="N418">
        <f t="shared" si="88"/>
        <v>7042580.119167597</v>
      </c>
      <c r="O418">
        <f t="shared" si="88"/>
        <v>33753954.632420637</v>
      </c>
      <c r="P418">
        <f t="shared" si="88"/>
        <v>27009287.833816163</v>
      </c>
      <c r="Q418">
        <f t="shared" si="88"/>
        <v>12908028.79397692</v>
      </c>
      <c r="R418">
        <f t="shared" si="88"/>
        <v>64348953.600703306</v>
      </c>
      <c r="S418">
        <f t="shared" si="88"/>
        <v>24039697.127017964</v>
      </c>
      <c r="T418">
        <f t="shared" si="88"/>
        <v>18580356.031063348</v>
      </c>
      <c r="U418">
        <f t="shared" si="88"/>
        <v>40296453.5675238</v>
      </c>
      <c r="V418">
        <f t="shared" si="88"/>
        <v>31446341.186916444</v>
      </c>
      <c r="W418">
        <f t="shared" si="88"/>
        <v>38040736.229918793</v>
      </c>
      <c r="X418">
        <f t="shared" si="88"/>
        <v>181589200.18011501</v>
      </c>
      <c r="Y418">
        <f t="shared" si="88"/>
        <v>25405545.179973751</v>
      </c>
    </row>
    <row r="419" spans="1:25" x14ac:dyDescent="0.45">
      <c r="A419" s="5" t="s">
        <v>106</v>
      </c>
      <c r="B419">
        <f t="shared" ref="B419:Y419" si="89">B91/B$326</f>
        <v>1763354.0440760851</v>
      </c>
      <c r="C419">
        <f t="shared" si="89"/>
        <v>4767894.4731377978</v>
      </c>
      <c r="D419">
        <f t="shared" si="89"/>
        <v>2871687.1706849001</v>
      </c>
      <c r="E419">
        <f t="shared" si="89"/>
        <v>1124883.6619190844</v>
      </c>
      <c r="F419">
        <f t="shared" si="89"/>
        <v>856593.81168947881</v>
      </c>
      <c r="G419">
        <f t="shared" si="89"/>
        <v>7542120.0731330393</v>
      </c>
      <c r="H419">
        <f t="shared" si="89"/>
        <v>6143010.0814667167</v>
      </c>
      <c r="I419">
        <f t="shared" si="89"/>
        <v>3875612.0287043164</v>
      </c>
      <c r="J419">
        <f t="shared" si="89"/>
        <v>3342724.7089771088</v>
      </c>
      <c r="K419">
        <f t="shared" si="89"/>
        <v>1239248.4681343187</v>
      </c>
      <c r="L419">
        <f t="shared" si="89"/>
        <v>972894.11927680334</v>
      </c>
      <c r="M419">
        <f t="shared" si="89"/>
        <v>2557799.4929095278</v>
      </c>
      <c r="N419">
        <f t="shared" si="89"/>
        <v>4501328.0932076992</v>
      </c>
      <c r="O419">
        <f t="shared" si="89"/>
        <v>11934591.681850707</v>
      </c>
      <c r="P419">
        <f t="shared" si="89"/>
        <v>5038031.2982933717</v>
      </c>
      <c r="Q419">
        <f t="shared" si="89"/>
        <v>3532245.5285639544</v>
      </c>
      <c r="R419">
        <f t="shared" si="89"/>
        <v>2487965.6638017232</v>
      </c>
      <c r="S419">
        <f t="shared" si="89"/>
        <v>4773576.3379361695</v>
      </c>
      <c r="T419">
        <f t="shared" si="89"/>
        <v>1669753.6355362074</v>
      </c>
      <c r="U419">
        <f t="shared" si="89"/>
        <v>9491272.649989251</v>
      </c>
      <c r="V419">
        <f t="shared" si="89"/>
        <v>10131480.598734833</v>
      </c>
      <c r="W419">
        <f t="shared" si="89"/>
        <v>9014467.1488329452</v>
      </c>
      <c r="X419">
        <f t="shared" si="89"/>
        <v>4093546.36533943</v>
      </c>
      <c r="Y419">
        <f t="shared" si="89"/>
        <v>6246955.2922824314</v>
      </c>
    </row>
    <row r="420" spans="1:25" x14ac:dyDescent="0.45">
      <c r="A420" s="5" t="s">
        <v>107</v>
      </c>
      <c r="B420">
        <f t="shared" ref="B420:Y420" si="90">B92/B$326</f>
        <v>22830.104706714235</v>
      </c>
      <c r="C420">
        <f t="shared" si="90"/>
        <v>701284.2030907775</v>
      </c>
      <c r="D420">
        <f t="shared" si="90"/>
        <v>19237.504113571831</v>
      </c>
      <c r="E420">
        <f t="shared" si="90"/>
        <v>20675.181817315341</v>
      </c>
      <c r="F420">
        <f t="shared" si="90"/>
        <v>27669.19364482733</v>
      </c>
      <c r="G420">
        <f t="shared" si="90"/>
        <v>243186.14597311718</v>
      </c>
      <c r="H420">
        <f t="shared" si="90"/>
        <v>299822.9122368393</v>
      </c>
      <c r="I420">
        <f t="shared" si="90"/>
        <v>59422.764789265151</v>
      </c>
      <c r="J420">
        <f t="shared" si="90"/>
        <v>38468.597788490624</v>
      </c>
      <c r="K420">
        <f t="shared" si="90"/>
        <v>305182.73817186378</v>
      </c>
      <c r="L420">
        <f t="shared" si="90"/>
        <v>31644.390556294366</v>
      </c>
      <c r="M420">
        <f t="shared" si="90"/>
        <v>102832.19259659083</v>
      </c>
      <c r="N420">
        <f t="shared" si="90"/>
        <v>758653.84049413889</v>
      </c>
      <c r="O420">
        <f t="shared" si="90"/>
        <v>2406332.0739201978</v>
      </c>
      <c r="P420">
        <f t="shared" si="90"/>
        <v>514370.59426543658</v>
      </c>
      <c r="Q420">
        <f t="shared" si="90"/>
        <v>485096.68538815505</v>
      </c>
      <c r="R420">
        <f t="shared" si="90"/>
        <v>35519.335012878153</v>
      </c>
      <c r="S420">
        <f t="shared" si="90"/>
        <v>418926.23157579987</v>
      </c>
      <c r="T420">
        <f t="shared" si="90"/>
        <v>85884.06908676587</v>
      </c>
      <c r="U420">
        <f t="shared" si="90"/>
        <v>889595.39498581365</v>
      </c>
      <c r="V420">
        <f t="shared" si="90"/>
        <v>1276979.5205684223</v>
      </c>
      <c r="W420">
        <f t="shared" si="90"/>
        <v>381036.08897696226</v>
      </c>
      <c r="X420">
        <f t="shared" si="90"/>
        <v>461870.01719051303</v>
      </c>
      <c r="Y420">
        <f t="shared" si="90"/>
        <v>349330.17012943618</v>
      </c>
    </row>
    <row r="421" spans="1:25" x14ac:dyDescent="0.45">
      <c r="A421" s="5" t="s">
        <v>108</v>
      </c>
      <c r="B421">
        <f t="shared" ref="B421:Y421" si="91">B93/B$326</f>
        <v>11908334.654155532</v>
      </c>
      <c r="C421">
        <f t="shared" si="91"/>
        <v>11695796.137507154</v>
      </c>
      <c r="D421">
        <f t="shared" si="91"/>
        <v>8744667.377965115</v>
      </c>
      <c r="E421">
        <f t="shared" si="91"/>
        <v>9374299.4375048038</v>
      </c>
      <c r="F421">
        <f t="shared" si="91"/>
        <v>14180124.453147424</v>
      </c>
      <c r="G421">
        <f t="shared" si="91"/>
        <v>11079777.827887744</v>
      </c>
      <c r="H421">
        <f t="shared" si="91"/>
        <v>9660502.0742606558</v>
      </c>
      <c r="I421">
        <f t="shared" si="91"/>
        <v>18829827.679509744</v>
      </c>
      <c r="J421">
        <f t="shared" si="91"/>
        <v>21612189.226222444</v>
      </c>
      <c r="K421">
        <f t="shared" si="91"/>
        <v>9705729.6964485794</v>
      </c>
      <c r="L421">
        <f t="shared" si="91"/>
        <v>5496007.2229973413</v>
      </c>
      <c r="M421">
        <f t="shared" si="91"/>
        <v>10882704.13619655</v>
      </c>
      <c r="N421">
        <f t="shared" si="91"/>
        <v>2358991.135672993</v>
      </c>
      <c r="O421">
        <f t="shared" si="91"/>
        <v>6536834.0946548553</v>
      </c>
      <c r="P421">
        <f t="shared" si="91"/>
        <v>8468779.8873738237</v>
      </c>
      <c r="Q421">
        <f t="shared" si="91"/>
        <v>2649911.8804749735</v>
      </c>
      <c r="R421">
        <f t="shared" si="91"/>
        <v>18886256.759465523</v>
      </c>
      <c r="S421">
        <f t="shared" si="91"/>
        <v>14154876.443962542</v>
      </c>
      <c r="T421">
        <f t="shared" si="91"/>
        <v>15638023.654724384</v>
      </c>
      <c r="U421">
        <f t="shared" si="91"/>
        <v>20439031.274806362</v>
      </c>
      <c r="V421">
        <f t="shared" si="91"/>
        <v>17120409.237614147</v>
      </c>
      <c r="W421">
        <f t="shared" si="91"/>
        <v>18875373.235422976</v>
      </c>
      <c r="X421">
        <f t="shared" si="91"/>
        <v>46637170.952535599</v>
      </c>
      <c r="Y421">
        <f t="shared" si="91"/>
        <v>18887361.30981975</v>
      </c>
    </row>
    <row r="422" spans="1:25" x14ac:dyDescent="0.45">
      <c r="A422" s="5" t="s">
        <v>109</v>
      </c>
      <c r="B422">
        <f t="shared" ref="B422:Y422" si="92">B94/B$326</f>
        <v>561166.7075476317</v>
      </c>
      <c r="C422">
        <f t="shared" si="92"/>
        <v>222500.30005752726</v>
      </c>
      <c r="D422">
        <f t="shared" si="92"/>
        <v>118317.42760703246</v>
      </c>
      <c r="E422">
        <f t="shared" si="92"/>
        <v>212361.90101931573</v>
      </c>
      <c r="F422">
        <f t="shared" si="92"/>
        <v>555253.25152233895</v>
      </c>
      <c r="G422">
        <f t="shared" si="92"/>
        <v>242667.76736758137</v>
      </c>
      <c r="H422">
        <f t="shared" si="92"/>
        <v>202216.70649001922</v>
      </c>
      <c r="I422">
        <f t="shared" si="92"/>
        <v>532362.49921595247</v>
      </c>
      <c r="J422">
        <f t="shared" si="92"/>
        <v>604159.8732350861</v>
      </c>
      <c r="K422">
        <f t="shared" si="92"/>
        <v>351819.56377219391</v>
      </c>
      <c r="L422">
        <f t="shared" si="92"/>
        <v>280709.20124919788</v>
      </c>
      <c r="M422">
        <f t="shared" si="92"/>
        <v>113027.52129847344</v>
      </c>
      <c r="N422">
        <f t="shared" si="92"/>
        <v>71489.356211250764</v>
      </c>
      <c r="O422">
        <f t="shared" si="92"/>
        <v>505790.15572699939</v>
      </c>
      <c r="P422">
        <f t="shared" si="92"/>
        <v>889620.96083767083</v>
      </c>
      <c r="Q422">
        <f t="shared" si="92"/>
        <v>58384.982803649793</v>
      </c>
      <c r="R422">
        <f t="shared" si="92"/>
        <v>1179485.7401375147</v>
      </c>
      <c r="S422">
        <f t="shared" si="92"/>
        <v>252470.8099784395</v>
      </c>
      <c r="T422">
        <f t="shared" si="92"/>
        <v>212972.03774164003</v>
      </c>
      <c r="U422">
        <f t="shared" si="92"/>
        <v>424633.43181397195</v>
      </c>
      <c r="V422">
        <f t="shared" si="92"/>
        <v>93145.565970625641</v>
      </c>
      <c r="W422">
        <f t="shared" si="92"/>
        <v>854865.96135278</v>
      </c>
      <c r="X422">
        <f t="shared" si="92"/>
        <v>381966.259188784</v>
      </c>
      <c r="Y422">
        <f t="shared" si="92"/>
        <v>588042.18011576938</v>
      </c>
    </row>
    <row r="423" spans="1:25" x14ac:dyDescent="0.45">
      <c r="A423" s="5" t="s">
        <v>110</v>
      </c>
      <c r="B423">
        <f t="shared" ref="B423:Y423" si="93">B95/B$326</f>
        <v>11033080.965453798</v>
      </c>
      <c r="C423">
        <f t="shared" si="93"/>
        <v>16390887.450922985</v>
      </c>
      <c r="D423">
        <f t="shared" si="93"/>
        <v>6824976.5410667229</v>
      </c>
      <c r="E423">
        <f t="shared" si="93"/>
        <v>16449820.961863521</v>
      </c>
      <c r="F423">
        <f t="shared" si="93"/>
        <v>22458447.943093691</v>
      </c>
      <c r="G423">
        <f t="shared" si="93"/>
        <v>6647729.9706129413</v>
      </c>
      <c r="H423">
        <f t="shared" si="93"/>
        <v>11322676.524997959</v>
      </c>
      <c r="I423">
        <f t="shared" si="93"/>
        <v>23259932.018817458</v>
      </c>
      <c r="J423">
        <f t="shared" si="93"/>
        <v>26231971.705546807</v>
      </c>
      <c r="K423">
        <f t="shared" si="93"/>
        <v>11954201.04753883</v>
      </c>
      <c r="L423">
        <f t="shared" si="93"/>
        <v>16546571.105723511</v>
      </c>
      <c r="M423">
        <f t="shared" si="93"/>
        <v>12764168.713592483</v>
      </c>
      <c r="N423">
        <f t="shared" si="93"/>
        <v>9335529.533074392</v>
      </c>
      <c r="O423">
        <f t="shared" si="93"/>
        <v>7236836.1239092285</v>
      </c>
      <c r="P423">
        <f t="shared" si="93"/>
        <v>22140186.429266647</v>
      </c>
      <c r="Q423">
        <f t="shared" si="93"/>
        <v>16700992.938399252</v>
      </c>
      <c r="R423">
        <f t="shared" si="93"/>
        <v>5901944.0946749672</v>
      </c>
      <c r="S423">
        <f t="shared" si="93"/>
        <v>22306117.087946881</v>
      </c>
      <c r="T423">
        <f t="shared" si="93"/>
        <v>11078155.514156085</v>
      </c>
      <c r="U423">
        <f t="shared" si="93"/>
        <v>24934922.795991704</v>
      </c>
      <c r="V423">
        <f t="shared" si="93"/>
        <v>24896955.044253573</v>
      </c>
      <c r="W423">
        <f t="shared" si="93"/>
        <v>29081359.17333746</v>
      </c>
      <c r="X423">
        <f t="shared" si="93"/>
        <v>69538836.644035205</v>
      </c>
      <c r="Y423">
        <f t="shared" si="93"/>
        <v>7663533.6022997489</v>
      </c>
    </row>
    <row r="424" spans="1:25" x14ac:dyDescent="0.45">
      <c r="A424" s="5" t="s">
        <v>368</v>
      </c>
      <c r="B424">
        <f t="shared" ref="B424:Y424" si="94">B96/B$326</f>
        <v>9540016.1055679191</v>
      </c>
      <c r="C424">
        <f t="shared" si="94"/>
        <v>12551169.629173903</v>
      </c>
      <c r="D424">
        <f t="shared" si="94"/>
        <v>3728735.0239238627</v>
      </c>
      <c r="E424">
        <f t="shared" si="94"/>
        <v>11088051.924554389</v>
      </c>
      <c r="F424">
        <f t="shared" si="94"/>
        <v>13884452.460289806</v>
      </c>
      <c r="G424">
        <f t="shared" si="94"/>
        <v>11256892.715536322</v>
      </c>
      <c r="H424">
        <f t="shared" si="94"/>
        <v>14011233.757090511</v>
      </c>
      <c r="I424">
        <f t="shared" si="94"/>
        <v>25190395.377913527</v>
      </c>
      <c r="J424">
        <f t="shared" si="94"/>
        <v>28233541.453420438</v>
      </c>
      <c r="K424">
        <f t="shared" si="94"/>
        <v>26532526.274940107</v>
      </c>
      <c r="L424">
        <f t="shared" si="94"/>
        <v>13072639.150374895</v>
      </c>
      <c r="M424">
        <f t="shared" si="94"/>
        <v>9157013.7597974669</v>
      </c>
      <c r="N424">
        <f t="shared" si="94"/>
        <v>4756224.3100778824</v>
      </c>
      <c r="O424">
        <f t="shared" si="94"/>
        <v>31745511.762443706</v>
      </c>
      <c r="P424">
        <f t="shared" si="94"/>
        <v>19107091.474605095</v>
      </c>
      <c r="Q424">
        <f t="shared" si="94"/>
        <v>4885762.7908451948</v>
      </c>
      <c r="R424">
        <f t="shared" si="94"/>
        <v>29283285.118789304</v>
      </c>
      <c r="S424">
        <f t="shared" si="94"/>
        <v>15452792.106557235</v>
      </c>
      <c r="T424">
        <f t="shared" si="94"/>
        <v>15149714.3303743</v>
      </c>
      <c r="U424">
        <f t="shared" si="94"/>
        <v>26848762.788069937</v>
      </c>
      <c r="V424">
        <f t="shared" si="94"/>
        <v>18221342.55969112</v>
      </c>
      <c r="W424">
        <f t="shared" si="94"/>
        <v>27320327.766324814</v>
      </c>
      <c r="X424">
        <f t="shared" si="94"/>
        <v>26432585.377848901</v>
      </c>
      <c r="Y424">
        <f t="shared" si="94"/>
        <v>18609735.740765184</v>
      </c>
    </row>
    <row r="425" spans="1:25" x14ac:dyDescent="0.45">
      <c r="A425" s="5" t="s">
        <v>111</v>
      </c>
      <c r="B425">
        <f t="shared" ref="B425:Y425" si="95">B97/B$326</f>
        <v>18828427.758020803</v>
      </c>
      <c r="C425">
        <f t="shared" si="95"/>
        <v>48366757.485238552</v>
      </c>
      <c r="D425">
        <f t="shared" si="95"/>
        <v>16875606.253216259</v>
      </c>
      <c r="E425">
        <f t="shared" si="95"/>
        <v>11282387.092213949</v>
      </c>
      <c r="F425">
        <f t="shared" si="95"/>
        <v>14562787.074892862</v>
      </c>
      <c r="G425">
        <f t="shared" si="95"/>
        <v>19232560.857040145</v>
      </c>
      <c r="H425">
        <f t="shared" si="95"/>
        <v>22973590.48240792</v>
      </c>
      <c r="I425">
        <f t="shared" si="95"/>
        <v>13556469.21559776</v>
      </c>
      <c r="J425">
        <f t="shared" si="95"/>
        <v>28669404.346704215</v>
      </c>
      <c r="K425">
        <f t="shared" si="95"/>
        <v>5321697.3126318352</v>
      </c>
      <c r="L425">
        <f t="shared" si="95"/>
        <v>9326913.980027182</v>
      </c>
      <c r="M425">
        <f t="shared" si="95"/>
        <v>16644198.4131044</v>
      </c>
      <c r="N425">
        <f t="shared" si="95"/>
        <v>18007083.778448384</v>
      </c>
      <c r="O425">
        <f t="shared" si="95"/>
        <v>91462795.902814075</v>
      </c>
      <c r="P425">
        <f t="shared" si="95"/>
        <v>51481554.768964976</v>
      </c>
      <c r="Q425">
        <f t="shared" si="95"/>
        <v>24095184.570249598</v>
      </c>
      <c r="R425">
        <f t="shared" si="95"/>
        <v>19906312.971313573</v>
      </c>
      <c r="S425">
        <f t="shared" si="95"/>
        <v>23753459.517721411</v>
      </c>
      <c r="T425">
        <f t="shared" si="95"/>
        <v>19063762.25022598</v>
      </c>
      <c r="U425">
        <f t="shared" si="95"/>
        <v>50792184.144885331</v>
      </c>
      <c r="V425">
        <f t="shared" si="95"/>
        <v>72706236.984612137</v>
      </c>
      <c r="W425">
        <f t="shared" si="95"/>
        <v>46496284.852907352</v>
      </c>
      <c r="X425">
        <f t="shared" si="95"/>
        <v>39775611.770606503</v>
      </c>
      <c r="Y425">
        <f t="shared" si="95"/>
        <v>34029967.030722871</v>
      </c>
    </row>
    <row r="426" spans="1:25" x14ac:dyDescent="0.45">
      <c r="A426" s="5" t="s">
        <v>288</v>
      </c>
      <c r="B426">
        <f t="shared" ref="B426:Y426" si="96">B98/B$326</f>
        <v>203070733.41146916</v>
      </c>
      <c r="C426">
        <f t="shared" si="96"/>
        <v>460528331.52903783</v>
      </c>
      <c r="D426">
        <f t="shared" si="96"/>
        <v>169813435.87078857</v>
      </c>
      <c r="E426">
        <f t="shared" si="96"/>
        <v>369089051.81883246</v>
      </c>
      <c r="F426">
        <f t="shared" si="96"/>
        <v>355968637.38553226</v>
      </c>
      <c r="G426">
        <f t="shared" si="96"/>
        <v>401803153.09456468</v>
      </c>
      <c r="H426">
        <f t="shared" si="96"/>
        <v>139136875.97609481</v>
      </c>
      <c r="I426">
        <f t="shared" si="96"/>
        <v>328422245.48638749</v>
      </c>
      <c r="J426">
        <f t="shared" si="96"/>
        <v>751023442.50120962</v>
      </c>
      <c r="K426">
        <f t="shared" si="96"/>
        <v>631511529.94915938</v>
      </c>
      <c r="L426">
        <f t="shared" si="96"/>
        <v>428786195.75766653</v>
      </c>
      <c r="M426">
        <f t="shared" si="96"/>
        <v>641615593.82192123</v>
      </c>
      <c r="N426">
        <f t="shared" si="96"/>
        <v>283939524.06818873</v>
      </c>
      <c r="O426">
        <f t="shared" si="96"/>
        <v>750618282.10831344</v>
      </c>
      <c r="P426">
        <f t="shared" si="96"/>
        <v>546049763.41283882</v>
      </c>
      <c r="Q426">
        <f t="shared" si="96"/>
        <v>662463333.60890031</v>
      </c>
      <c r="R426">
        <f t="shared" si="96"/>
        <v>1159260935.3389363</v>
      </c>
      <c r="S426">
        <f t="shared" si="96"/>
        <v>969387550.68677211</v>
      </c>
      <c r="T426">
        <f t="shared" si="96"/>
        <v>354709982.78932226</v>
      </c>
      <c r="U426">
        <f t="shared" si="96"/>
        <v>530990260.77895135</v>
      </c>
      <c r="V426">
        <f t="shared" si="96"/>
        <v>399514187.47013789</v>
      </c>
      <c r="W426">
        <f t="shared" si="96"/>
        <v>554952159.91489792</v>
      </c>
      <c r="X426">
        <f t="shared" si="96"/>
        <v>896359320.55029595</v>
      </c>
      <c r="Y426">
        <f t="shared" si="96"/>
        <v>553618219.35220563</v>
      </c>
    </row>
    <row r="427" spans="1:25" x14ac:dyDescent="0.45">
      <c r="A427" s="5" t="s">
        <v>112</v>
      </c>
      <c r="B427">
        <f t="shared" ref="B427:Y427" si="97">B99/B$326</f>
        <v>4328290.7170864837</v>
      </c>
      <c r="C427">
        <f t="shared" si="97"/>
        <v>10064283.378938589</v>
      </c>
      <c r="D427">
        <f t="shared" si="97"/>
        <v>3642014.6460840227</v>
      </c>
      <c r="E427">
        <f t="shared" si="97"/>
        <v>5566029.3109825812</v>
      </c>
      <c r="F427">
        <f t="shared" si="97"/>
        <v>9318642.0142513346</v>
      </c>
      <c r="G427">
        <f t="shared" si="97"/>
        <v>10002047.919624656</v>
      </c>
      <c r="H427">
        <f t="shared" si="97"/>
        <v>8548335.0195482671</v>
      </c>
      <c r="I427">
        <f t="shared" si="97"/>
        <v>31901142.791343436</v>
      </c>
      <c r="J427">
        <f t="shared" si="97"/>
        <v>9282840.31674085</v>
      </c>
      <c r="K427">
        <f t="shared" si="97"/>
        <v>16888099.403814413</v>
      </c>
      <c r="L427">
        <f t="shared" si="97"/>
        <v>7319874.7016713833</v>
      </c>
      <c r="M427">
        <f t="shared" si="97"/>
        <v>9686669.1335025188</v>
      </c>
      <c r="N427">
        <f t="shared" si="97"/>
        <v>35298622.744992062</v>
      </c>
      <c r="O427">
        <f t="shared" si="97"/>
        <v>19909888.72045242</v>
      </c>
      <c r="P427">
        <f t="shared" si="97"/>
        <v>29289366.130424965</v>
      </c>
      <c r="Q427">
        <f t="shared" si="97"/>
        <v>5450392.4442262817</v>
      </c>
      <c r="R427">
        <f t="shared" si="97"/>
        <v>11005246.128009938</v>
      </c>
      <c r="S427">
        <f t="shared" si="97"/>
        <v>6094839.7679036539</v>
      </c>
      <c r="T427">
        <f t="shared" si="97"/>
        <v>7375741.6358543178</v>
      </c>
      <c r="U427">
        <f t="shared" si="97"/>
        <v>20695992.513606712</v>
      </c>
      <c r="V427">
        <f t="shared" si="97"/>
        <v>22034830.89173197</v>
      </c>
      <c r="W427">
        <f t="shared" si="97"/>
        <v>16014568.734528709</v>
      </c>
      <c r="X427">
        <f t="shared" si="97"/>
        <v>27325272.2128403</v>
      </c>
      <c r="Y427">
        <f t="shared" si="97"/>
        <v>12438853.454737125</v>
      </c>
    </row>
    <row r="428" spans="1:25" x14ac:dyDescent="0.45">
      <c r="A428" s="5" t="s">
        <v>113</v>
      </c>
      <c r="B428">
        <f t="shared" ref="B428:Y428" si="98">B100/B$326</f>
        <v>2987455.9500389122</v>
      </c>
      <c r="C428">
        <f t="shared" si="98"/>
        <v>6838049.1351638632</v>
      </c>
      <c r="D428">
        <f t="shared" si="98"/>
        <v>2313827.1481652698</v>
      </c>
      <c r="E428">
        <f t="shared" si="98"/>
        <v>1938605.905227328</v>
      </c>
      <c r="F428">
        <f t="shared" si="98"/>
        <v>3746745.1927788691</v>
      </c>
      <c r="G428">
        <f t="shared" si="98"/>
        <v>4704144.6667356966</v>
      </c>
      <c r="H428">
        <f t="shared" si="98"/>
        <v>2057650.3586513526</v>
      </c>
      <c r="I428">
        <f t="shared" si="98"/>
        <v>3738978.9032315249</v>
      </c>
      <c r="J428">
        <f t="shared" si="98"/>
        <v>4826123.3621509438</v>
      </c>
      <c r="K428">
        <f t="shared" si="98"/>
        <v>1025695.6380220377</v>
      </c>
      <c r="L428">
        <f t="shared" si="98"/>
        <v>1038029.6974504256</v>
      </c>
      <c r="M428">
        <f t="shared" si="98"/>
        <v>1436326.8824170001</v>
      </c>
      <c r="N428">
        <f t="shared" si="98"/>
        <v>3867468.8759743082</v>
      </c>
      <c r="O428">
        <f t="shared" si="98"/>
        <v>16737024.591933651</v>
      </c>
      <c r="P428">
        <f t="shared" si="98"/>
        <v>11202651.04929797</v>
      </c>
      <c r="Q428">
        <f t="shared" si="98"/>
        <v>1351436.753716764</v>
      </c>
      <c r="R428">
        <f t="shared" si="98"/>
        <v>2490532.4524265495</v>
      </c>
      <c r="S428">
        <f t="shared" si="98"/>
        <v>2739157.4035925106</v>
      </c>
      <c r="T428">
        <f t="shared" si="98"/>
        <v>3316808.1321021719</v>
      </c>
      <c r="U428">
        <f t="shared" si="98"/>
        <v>3280689.3985213949</v>
      </c>
      <c r="V428">
        <f t="shared" si="98"/>
        <v>6554929.3715835083</v>
      </c>
      <c r="W428">
        <f t="shared" si="98"/>
        <v>6128164.3309946675</v>
      </c>
      <c r="X428">
        <f t="shared" si="98"/>
        <v>2730261.49176133</v>
      </c>
      <c r="Y428">
        <f t="shared" si="98"/>
        <v>7956888.0498185623</v>
      </c>
    </row>
    <row r="429" spans="1:25" x14ac:dyDescent="0.45">
      <c r="A429" s="5" t="s">
        <v>114</v>
      </c>
      <c r="B429">
        <f t="shared" ref="B429:Y429" si="99">B101/B$326</f>
        <v>62458349.583587363</v>
      </c>
      <c r="C429">
        <f t="shared" si="99"/>
        <v>46872104.727017783</v>
      </c>
      <c r="D429">
        <f t="shared" si="99"/>
        <v>50689421.750388972</v>
      </c>
      <c r="E429">
        <f t="shared" si="99"/>
        <v>52402458.205017149</v>
      </c>
      <c r="F429">
        <f t="shared" si="99"/>
        <v>65148711.595639184</v>
      </c>
      <c r="G429">
        <f t="shared" si="99"/>
        <v>60711849.309272543</v>
      </c>
      <c r="H429">
        <f t="shared" si="99"/>
        <v>29443859.109298728</v>
      </c>
      <c r="I429">
        <f t="shared" si="99"/>
        <v>166291241.1635541</v>
      </c>
      <c r="J429">
        <f t="shared" si="99"/>
        <v>160238876.38990837</v>
      </c>
      <c r="K429">
        <f t="shared" si="99"/>
        <v>81971208.723718956</v>
      </c>
      <c r="L429">
        <f t="shared" si="99"/>
        <v>69150130.806377128</v>
      </c>
      <c r="M429">
        <f t="shared" si="99"/>
        <v>71625113.212656543</v>
      </c>
      <c r="N429">
        <f t="shared" si="99"/>
        <v>28892327.18541358</v>
      </c>
      <c r="O429">
        <f t="shared" si="99"/>
        <v>65255848.226436272</v>
      </c>
      <c r="P429">
        <f t="shared" si="99"/>
        <v>51949805.203343615</v>
      </c>
      <c r="Q429">
        <f t="shared" si="99"/>
        <v>50991613.512783803</v>
      </c>
      <c r="R429">
        <f t="shared" si="99"/>
        <v>156307066.94043937</v>
      </c>
      <c r="S429">
        <f t="shared" si="99"/>
        <v>53445374.385921933</v>
      </c>
      <c r="T429">
        <f t="shared" si="99"/>
        <v>54291628.995768398</v>
      </c>
      <c r="U429">
        <f t="shared" si="99"/>
        <v>53577255.33447627</v>
      </c>
      <c r="V429">
        <f t="shared" si="99"/>
        <v>56378071.144595988</v>
      </c>
      <c r="W429">
        <f t="shared" si="99"/>
        <v>77420694.30788058</v>
      </c>
      <c r="X429">
        <f t="shared" si="99"/>
        <v>126616202.33033</v>
      </c>
      <c r="Y429">
        <f t="shared" si="99"/>
        <v>49313807.25699874</v>
      </c>
    </row>
    <row r="430" spans="1:25" x14ac:dyDescent="0.45">
      <c r="A430" s="5" t="s">
        <v>351</v>
      </c>
      <c r="B430">
        <f t="shared" ref="B430:Y430" si="100">B102/B$326</f>
        <v>104671984.45277493</v>
      </c>
      <c r="C430">
        <f t="shared" si="100"/>
        <v>110916951.67682105</v>
      </c>
      <c r="D430">
        <f t="shared" si="100"/>
        <v>74845782.00632374</v>
      </c>
      <c r="E430">
        <f t="shared" si="100"/>
        <v>33417642.670117423</v>
      </c>
      <c r="F430">
        <f t="shared" si="100"/>
        <v>71834942.818781078</v>
      </c>
      <c r="G430">
        <f t="shared" si="100"/>
        <v>46309491.976696223</v>
      </c>
      <c r="H430">
        <f t="shared" si="100"/>
        <v>79978733.078448534</v>
      </c>
      <c r="I430">
        <f t="shared" si="100"/>
        <v>244404889.82944012</v>
      </c>
      <c r="J430">
        <f t="shared" si="100"/>
        <v>176025450.25268856</v>
      </c>
      <c r="K430">
        <f t="shared" si="100"/>
        <v>113003190.85153075</v>
      </c>
      <c r="L430">
        <f t="shared" si="100"/>
        <v>159121334.2908133</v>
      </c>
      <c r="M430">
        <f t="shared" si="100"/>
        <v>106093981.24936634</v>
      </c>
      <c r="N430">
        <f t="shared" si="100"/>
        <v>86045149.715607002</v>
      </c>
      <c r="O430">
        <f t="shared" si="100"/>
        <v>139155000.50877309</v>
      </c>
      <c r="P430">
        <f t="shared" si="100"/>
        <v>185735600.1556949</v>
      </c>
      <c r="Q430">
        <f t="shared" si="100"/>
        <v>38049351.400352105</v>
      </c>
      <c r="R430">
        <f t="shared" si="100"/>
        <v>127308331.42450842</v>
      </c>
      <c r="S430">
        <f t="shared" si="100"/>
        <v>73370264.251425847</v>
      </c>
      <c r="T430">
        <f t="shared" si="100"/>
        <v>34677046.042727411</v>
      </c>
      <c r="U430">
        <f t="shared" si="100"/>
        <v>36188124.200266235</v>
      </c>
      <c r="V430">
        <f t="shared" si="100"/>
        <v>18767410.889656916</v>
      </c>
      <c r="W430">
        <f t="shared" si="100"/>
        <v>140336551.31523669</v>
      </c>
      <c r="X430">
        <f t="shared" si="100"/>
        <v>134843191.35451099</v>
      </c>
      <c r="Y430">
        <f t="shared" si="100"/>
        <v>9046529.6956886239</v>
      </c>
    </row>
    <row r="431" spans="1:25" x14ac:dyDescent="0.45">
      <c r="A431" s="5" t="s">
        <v>289</v>
      </c>
      <c r="B431">
        <f t="shared" ref="B431:Y431" si="101">B103/B$326</f>
        <v>18501712.735943072</v>
      </c>
      <c r="C431">
        <f t="shared" si="101"/>
        <v>26852249.708890915</v>
      </c>
      <c r="D431">
        <f t="shared" si="101"/>
        <v>9662281.8976799548</v>
      </c>
      <c r="E431">
        <f t="shared" si="101"/>
        <v>16713021.837091109</v>
      </c>
      <c r="F431">
        <f t="shared" si="101"/>
        <v>25519699.110662937</v>
      </c>
      <c r="G431">
        <f t="shared" si="101"/>
        <v>15732700.390956715</v>
      </c>
      <c r="H431">
        <f t="shared" si="101"/>
        <v>27459483.866241928</v>
      </c>
      <c r="I431">
        <f t="shared" si="101"/>
        <v>4469760.9891782999</v>
      </c>
      <c r="J431">
        <f t="shared" si="101"/>
        <v>71415298.641386494</v>
      </c>
      <c r="K431">
        <f t="shared" si="101"/>
        <v>24109227.378221765</v>
      </c>
      <c r="L431">
        <f t="shared" si="101"/>
        <v>34125384.138954043</v>
      </c>
      <c r="M431">
        <f t="shared" si="101"/>
        <v>23552539.177795757</v>
      </c>
      <c r="N431">
        <f t="shared" si="101"/>
        <v>5223097.0360015612</v>
      </c>
      <c r="O431">
        <f t="shared" si="101"/>
        <v>61015194.596987091</v>
      </c>
      <c r="P431">
        <f t="shared" si="101"/>
        <v>36259463.00022871</v>
      </c>
      <c r="Q431">
        <f t="shared" si="101"/>
        <v>4085524.927021387</v>
      </c>
      <c r="R431">
        <f t="shared" si="101"/>
        <v>39000852.266944282</v>
      </c>
      <c r="S431">
        <f t="shared" si="101"/>
        <v>21233662.7156852</v>
      </c>
      <c r="T431">
        <f t="shared" si="101"/>
        <v>23920611.412824277</v>
      </c>
      <c r="U431">
        <f t="shared" si="101"/>
        <v>61880935.772550769</v>
      </c>
      <c r="V431">
        <f t="shared" si="101"/>
        <v>34830821.169567823</v>
      </c>
      <c r="W431">
        <f t="shared" si="101"/>
        <v>33646586.038266398</v>
      </c>
      <c r="X431">
        <f t="shared" si="101"/>
        <v>58082237.527580298</v>
      </c>
      <c r="Y431">
        <f t="shared" si="101"/>
        <v>26208116.860328</v>
      </c>
    </row>
    <row r="432" spans="1:25" x14ac:dyDescent="0.45">
      <c r="A432" s="5" t="s">
        <v>438</v>
      </c>
      <c r="B432">
        <f t="shared" ref="B432:Y432" si="102">B104/B$326</f>
        <v>87058571.304662839</v>
      </c>
      <c r="C432">
        <f t="shared" si="102"/>
        <v>855392593.78291547</v>
      </c>
      <c r="D432">
        <f t="shared" si="102"/>
        <v>944000986.07071447</v>
      </c>
      <c r="E432">
        <f t="shared" si="102"/>
        <v>593539322.90194011</v>
      </c>
      <c r="F432">
        <f t="shared" si="102"/>
        <v>499638814.97235161</v>
      </c>
      <c r="G432">
        <f t="shared" si="102"/>
        <v>723874196.2658236</v>
      </c>
      <c r="H432">
        <f t="shared" si="102"/>
        <v>871246376.54883242</v>
      </c>
      <c r="I432">
        <f t="shared" si="102"/>
        <v>4729060124.982996</v>
      </c>
      <c r="J432">
        <f t="shared" si="102"/>
        <v>2732995938.0261793</v>
      </c>
      <c r="K432">
        <f t="shared" si="102"/>
        <v>78013514.436049312</v>
      </c>
      <c r="L432">
        <f t="shared" si="102"/>
        <v>1398420840.3082235</v>
      </c>
      <c r="M432">
        <f t="shared" si="102"/>
        <v>687726402.67731035</v>
      </c>
      <c r="N432">
        <f t="shared" si="102"/>
        <v>770690677.22231114</v>
      </c>
      <c r="O432">
        <f t="shared" si="102"/>
        <v>2076720190.2447932</v>
      </c>
      <c r="P432">
        <f t="shared" si="102"/>
        <v>2174484779.0179353</v>
      </c>
      <c r="Q432">
        <f t="shared" si="102"/>
        <v>706230238.34256804</v>
      </c>
      <c r="R432">
        <f t="shared" si="102"/>
        <v>386620534.7251603</v>
      </c>
      <c r="S432">
        <f t="shared" si="102"/>
        <v>1633547956.5761282</v>
      </c>
      <c r="T432">
        <f t="shared" si="102"/>
        <v>199317984.53935099</v>
      </c>
      <c r="U432">
        <f t="shared" si="102"/>
        <v>153358366.50248703</v>
      </c>
      <c r="V432">
        <f t="shared" si="102"/>
        <v>171657592.94215778</v>
      </c>
      <c r="W432">
        <f t="shared" si="102"/>
        <v>191607858.9227843</v>
      </c>
      <c r="X432">
        <f t="shared" si="102"/>
        <v>3658772937.8090601</v>
      </c>
      <c r="Y432">
        <f t="shared" si="102"/>
        <v>224081101.16181186</v>
      </c>
    </row>
    <row r="433" spans="1:25" x14ac:dyDescent="0.45">
      <c r="A433" s="5" t="s">
        <v>115</v>
      </c>
      <c r="B433">
        <f t="shared" ref="B433:Y433" si="103">B105/B$326</f>
        <v>14039794.921260657</v>
      </c>
      <c r="C433">
        <f t="shared" si="103"/>
        <v>27653057.173318107</v>
      </c>
      <c r="D433">
        <f t="shared" si="103"/>
        <v>22509754.664404623</v>
      </c>
      <c r="E433">
        <f t="shared" si="103"/>
        <v>24639205.388080355</v>
      </c>
      <c r="F433">
        <f t="shared" si="103"/>
        <v>57773788.349502578</v>
      </c>
      <c r="G433">
        <f t="shared" si="103"/>
        <v>30746182.527255636</v>
      </c>
      <c r="H433">
        <f t="shared" si="103"/>
        <v>16500425.395034224</v>
      </c>
      <c r="I433">
        <f t="shared" si="103"/>
        <v>238472716.21598235</v>
      </c>
      <c r="J433">
        <f t="shared" si="103"/>
        <v>87772607.139142796</v>
      </c>
      <c r="K433">
        <f t="shared" si="103"/>
        <v>27571966.954096276</v>
      </c>
      <c r="L433">
        <f t="shared" si="103"/>
        <v>40638182.523131706</v>
      </c>
      <c r="M433">
        <f t="shared" si="103"/>
        <v>17465599.987839833</v>
      </c>
      <c r="N433">
        <f t="shared" si="103"/>
        <v>23531134.750072535</v>
      </c>
      <c r="O433">
        <f t="shared" si="103"/>
        <v>55830093.862779498</v>
      </c>
      <c r="P433">
        <f t="shared" si="103"/>
        <v>25421055.79641775</v>
      </c>
      <c r="Q433">
        <f t="shared" si="103"/>
        <v>17305391.058390468</v>
      </c>
      <c r="R433">
        <f t="shared" si="103"/>
        <v>41976566.36018949</v>
      </c>
      <c r="S433">
        <f t="shared" si="103"/>
        <v>19342846.543241914</v>
      </c>
      <c r="T433">
        <f t="shared" si="103"/>
        <v>48816840.150013901</v>
      </c>
      <c r="U433">
        <f t="shared" si="103"/>
        <v>69632395.98870036</v>
      </c>
      <c r="V433">
        <f t="shared" si="103"/>
        <v>49133485.007677451</v>
      </c>
      <c r="W433">
        <f t="shared" si="103"/>
        <v>19056334.531564433</v>
      </c>
      <c r="X433">
        <f t="shared" si="103"/>
        <v>142249592.21183199</v>
      </c>
      <c r="Y433">
        <f t="shared" si="103"/>
        <v>20481163.036327623</v>
      </c>
    </row>
    <row r="434" spans="1:25" x14ac:dyDescent="0.45">
      <c r="A434" s="5" t="s">
        <v>374</v>
      </c>
      <c r="B434">
        <f t="shared" ref="B434:Y434" si="104">B106/B$326</f>
        <v>12519839.244989116</v>
      </c>
      <c r="C434">
        <f t="shared" si="104"/>
        <v>50360590.507374562</v>
      </c>
      <c r="D434">
        <f t="shared" si="104"/>
        <v>25725525.053511493</v>
      </c>
      <c r="E434">
        <f t="shared" si="104"/>
        <v>16509910.082335329</v>
      </c>
      <c r="F434">
        <f t="shared" si="104"/>
        <v>33616502.337754361</v>
      </c>
      <c r="G434">
        <f t="shared" si="104"/>
        <v>27965374.120393235</v>
      </c>
      <c r="H434">
        <f t="shared" si="104"/>
        <v>21635294.777786814</v>
      </c>
      <c r="I434">
        <f t="shared" si="104"/>
        <v>305651415.9615677</v>
      </c>
      <c r="J434">
        <f t="shared" si="104"/>
        <v>65820097.635091014</v>
      </c>
      <c r="K434">
        <f t="shared" si="104"/>
        <v>82357155.704580426</v>
      </c>
      <c r="L434">
        <f t="shared" si="104"/>
        <v>24145362.891980637</v>
      </c>
      <c r="M434">
        <f t="shared" si="104"/>
        <v>33597805.54809469</v>
      </c>
      <c r="N434">
        <f t="shared" si="104"/>
        <v>56186460.599618249</v>
      </c>
      <c r="O434">
        <f t="shared" si="104"/>
        <v>124804126.18590666</v>
      </c>
      <c r="P434">
        <f t="shared" si="104"/>
        <v>96726513.173924372</v>
      </c>
      <c r="Q434">
        <f t="shared" si="104"/>
        <v>47912520.745896831</v>
      </c>
      <c r="R434">
        <f t="shared" si="104"/>
        <v>47561546.788012803</v>
      </c>
      <c r="S434">
        <f t="shared" si="104"/>
        <v>29187078.648307819</v>
      </c>
      <c r="T434">
        <f t="shared" si="104"/>
        <v>26943575.955209091</v>
      </c>
      <c r="U434">
        <f t="shared" si="104"/>
        <v>50588787.662156031</v>
      </c>
      <c r="V434">
        <f t="shared" si="104"/>
        <v>64106323.18400605</v>
      </c>
      <c r="W434">
        <f t="shared" si="104"/>
        <v>41174968.321135648</v>
      </c>
      <c r="X434">
        <f t="shared" si="104"/>
        <v>221673819.20947099</v>
      </c>
      <c r="Y434">
        <f t="shared" si="104"/>
        <v>24703866.991388686</v>
      </c>
    </row>
    <row r="435" spans="1:25" x14ac:dyDescent="0.45">
      <c r="A435" s="5" t="s">
        <v>116</v>
      </c>
      <c r="B435">
        <f t="shared" ref="B435:Y435" si="105">B107/B$326</f>
        <v>6564066.248510126</v>
      </c>
      <c r="C435">
        <f t="shared" si="105"/>
        <v>5159562.6474050749</v>
      </c>
      <c r="D435">
        <f t="shared" si="105"/>
        <v>4363735.5866354359</v>
      </c>
      <c r="E435">
        <f t="shared" si="105"/>
        <v>4124903.6148810959</v>
      </c>
      <c r="F435">
        <f t="shared" si="105"/>
        <v>7776936.9693955742</v>
      </c>
      <c r="G435">
        <f t="shared" si="105"/>
        <v>1414729.2721438627</v>
      </c>
      <c r="H435">
        <f t="shared" si="105"/>
        <v>3539906.3519522701</v>
      </c>
      <c r="I435">
        <f t="shared" si="105"/>
        <v>1653443.1559821379</v>
      </c>
      <c r="J435">
        <f t="shared" si="105"/>
        <v>10746550.548024002</v>
      </c>
      <c r="K435">
        <f t="shared" si="105"/>
        <v>7622580.4519876214</v>
      </c>
      <c r="L435">
        <f t="shared" si="105"/>
        <v>4408992.7350537553</v>
      </c>
      <c r="M435">
        <f t="shared" si="105"/>
        <v>2729693.7112819953</v>
      </c>
      <c r="N435">
        <f t="shared" si="105"/>
        <v>3028024.0863344781</v>
      </c>
      <c r="O435">
        <f t="shared" si="105"/>
        <v>5957498.6020598933</v>
      </c>
      <c r="P435">
        <f t="shared" si="105"/>
        <v>6258887.6800152129</v>
      </c>
      <c r="Q435">
        <f t="shared" si="105"/>
        <v>2558524.1646764046</v>
      </c>
      <c r="R435">
        <f t="shared" si="105"/>
        <v>9213029.0966099016</v>
      </c>
      <c r="S435">
        <f t="shared" si="105"/>
        <v>5893943.2983938893</v>
      </c>
      <c r="T435">
        <f t="shared" si="105"/>
        <v>5731437.2847545445</v>
      </c>
      <c r="U435">
        <f t="shared" si="105"/>
        <v>9339231.9579586536</v>
      </c>
      <c r="V435">
        <f t="shared" si="105"/>
        <v>6667525.2266959902</v>
      </c>
      <c r="W435">
        <f t="shared" si="105"/>
        <v>10119391.403900011</v>
      </c>
      <c r="X435">
        <f t="shared" si="105"/>
        <v>11074903.028266501</v>
      </c>
      <c r="Y435">
        <f t="shared" si="105"/>
        <v>6227002.2798317997</v>
      </c>
    </row>
    <row r="436" spans="1:25" x14ac:dyDescent="0.45">
      <c r="A436" s="5" t="s">
        <v>117</v>
      </c>
      <c r="B436">
        <f t="shared" ref="B436:Y436" si="106">B108/B$326</f>
        <v>294022320.03261906</v>
      </c>
      <c r="C436">
        <f t="shared" si="106"/>
        <v>918132926.9054985</v>
      </c>
      <c r="D436">
        <f t="shared" si="106"/>
        <v>513350174.78842288</v>
      </c>
      <c r="E436">
        <f t="shared" si="106"/>
        <v>218122480.89871779</v>
      </c>
      <c r="F436">
        <f t="shared" si="106"/>
        <v>78722896.194524318</v>
      </c>
      <c r="G436">
        <f t="shared" si="106"/>
        <v>205082553.39885196</v>
      </c>
      <c r="H436">
        <f t="shared" si="106"/>
        <v>103601634.50841226</v>
      </c>
      <c r="I436">
        <f t="shared" si="106"/>
        <v>218008940.59381118</v>
      </c>
      <c r="J436">
        <f t="shared" si="106"/>
        <v>269102104.78234351</v>
      </c>
      <c r="K436">
        <f t="shared" si="106"/>
        <v>57832373.254315563</v>
      </c>
      <c r="L436">
        <f t="shared" si="106"/>
        <v>138265043.76269522</v>
      </c>
      <c r="M436">
        <f t="shared" si="106"/>
        <v>369476246.71852636</v>
      </c>
      <c r="N436">
        <f t="shared" si="106"/>
        <v>237690301.23957959</v>
      </c>
      <c r="O436">
        <f t="shared" si="106"/>
        <v>338606331.38409829</v>
      </c>
      <c r="P436">
        <f t="shared" si="106"/>
        <v>118153557.39950874</v>
      </c>
      <c r="Q436">
        <f t="shared" si="106"/>
        <v>397267760.6205222</v>
      </c>
      <c r="R436">
        <f t="shared" si="106"/>
        <v>244656401.70701644</v>
      </c>
      <c r="S436">
        <f t="shared" si="106"/>
        <v>366628022.90584266</v>
      </c>
      <c r="T436">
        <f t="shared" si="106"/>
        <v>256994196.98574883</v>
      </c>
      <c r="U436">
        <f t="shared" si="106"/>
        <v>144146220.52414611</v>
      </c>
      <c r="V436">
        <f t="shared" si="106"/>
        <v>404755936.02446204</v>
      </c>
      <c r="W436">
        <f t="shared" si="106"/>
        <v>259724806.29284394</v>
      </c>
      <c r="X436">
        <f t="shared" si="106"/>
        <v>871472510.30868399</v>
      </c>
      <c r="Y436">
        <f t="shared" si="106"/>
        <v>127424820.56712374</v>
      </c>
    </row>
    <row r="437" spans="1:25" x14ac:dyDescent="0.45">
      <c r="A437" s="5" t="s">
        <v>118</v>
      </c>
      <c r="B437">
        <f t="shared" ref="B437:Y437" si="107">B109/B$326</f>
        <v>5351674.6558361109</v>
      </c>
      <c r="C437">
        <f t="shared" si="107"/>
        <v>10197281.586929217</v>
      </c>
      <c r="D437">
        <f t="shared" si="107"/>
        <v>4647342.4024386266</v>
      </c>
      <c r="E437">
        <f t="shared" si="107"/>
        <v>3329905.8473980939</v>
      </c>
      <c r="F437">
        <f t="shared" si="107"/>
        <v>4824240.860796378</v>
      </c>
      <c r="G437">
        <f t="shared" si="107"/>
        <v>5083037.8082033824</v>
      </c>
      <c r="H437">
        <f t="shared" si="107"/>
        <v>2852531.3886906616</v>
      </c>
      <c r="I437">
        <f t="shared" si="107"/>
        <v>10185665.731384274</v>
      </c>
      <c r="J437">
        <f t="shared" si="107"/>
        <v>6157153.5775004579</v>
      </c>
      <c r="K437">
        <f t="shared" si="107"/>
        <v>4359073.8043486103</v>
      </c>
      <c r="L437">
        <f t="shared" si="107"/>
        <v>4420447.2382633938</v>
      </c>
      <c r="M437">
        <f t="shared" si="107"/>
        <v>3927281.4094922645</v>
      </c>
      <c r="N437">
        <f t="shared" si="107"/>
        <v>3757552.9815251189</v>
      </c>
      <c r="O437">
        <f t="shared" si="107"/>
        <v>7327992.9741288228</v>
      </c>
      <c r="P437">
        <f t="shared" si="107"/>
        <v>8995608.4146387074</v>
      </c>
      <c r="Q437">
        <f t="shared" si="107"/>
        <v>3244340.2469973559</v>
      </c>
      <c r="R437">
        <f t="shared" si="107"/>
        <v>7635825.2446587402</v>
      </c>
      <c r="S437">
        <f t="shared" si="107"/>
        <v>5291864.5903191017</v>
      </c>
      <c r="T437">
        <f t="shared" si="107"/>
        <v>4408240.3796153655</v>
      </c>
      <c r="U437">
        <f t="shared" si="107"/>
        <v>5330261.3893161165</v>
      </c>
      <c r="V437">
        <f t="shared" si="107"/>
        <v>7627353.2561058523</v>
      </c>
      <c r="W437">
        <f t="shared" si="107"/>
        <v>7588829.4756292254</v>
      </c>
      <c r="X437">
        <f t="shared" si="107"/>
        <v>4519325.8993883803</v>
      </c>
      <c r="Y437">
        <f t="shared" si="107"/>
        <v>5169597.2160237627</v>
      </c>
    </row>
    <row r="438" spans="1:25" x14ac:dyDescent="0.45">
      <c r="A438" s="5" t="s">
        <v>119</v>
      </c>
      <c r="B438">
        <f t="shared" ref="B438:Y438" si="108">B110/B$326</f>
        <v>9780728.8354911562</v>
      </c>
      <c r="C438">
        <f t="shared" si="108"/>
        <v>9405647.5861094184</v>
      </c>
      <c r="D438">
        <f t="shared" si="108"/>
        <v>6561792.9956113929</v>
      </c>
      <c r="E438">
        <f t="shared" si="108"/>
        <v>9274862.6586411949</v>
      </c>
      <c r="F438">
        <f t="shared" si="108"/>
        <v>10397187.216555219</v>
      </c>
      <c r="G438">
        <f t="shared" si="108"/>
        <v>3816342.1660881862</v>
      </c>
      <c r="H438">
        <f t="shared" si="108"/>
        <v>7575369.7589481045</v>
      </c>
      <c r="I438">
        <f t="shared" si="108"/>
        <v>2253582.0734942388</v>
      </c>
      <c r="J438">
        <f t="shared" si="108"/>
        <v>14960038.425910598</v>
      </c>
      <c r="K438">
        <f t="shared" si="108"/>
        <v>5658176.6685339808</v>
      </c>
      <c r="L438">
        <f t="shared" si="108"/>
        <v>7506609.0069890432</v>
      </c>
      <c r="M438">
        <f t="shared" si="108"/>
        <v>2312877.8628211394</v>
      </c>
      <c r="N438">
        <f t="shared" si="108"/>
        <v>7077673.3565569185</v>
      </c>
      <c r="O438">
        <f t="shared" si="108"/>
        <v>11421917.113383397</v>
      </c>
      <c r="P438">
        <f t="shared" si="108"/>
        <v>15732608.400366666</v>
      </c>
      <c r="Q438">
        <f t="shared" si="108"/>
        <v>5579885.1227844348</v>
      </c>
      <c r="R438">
        <f t="shared" si="108"/>
        <v>4781788.343518055</v>
      </c>
      <c r="S438">
        <f t="shared" si="108"/>
        <v>5747414.1903077206</v>
      </c>
      <c r="T438">
        <f t="shared" si="108"/>
        <v>13056642.456652584</v>
      </c>
      <c r="U438">
        <f t="shared" si="108"/>
        <v>8861158.6039407756</v>
      </c>
      <c r="V438">
        <f t="shared" si="108"/>
        <v>13754797.914668739</v>
      </c>
      <c r="W438">
        <f t="shared" si="108"/>
        <v>9234158.9725046288</v>
      </c>
      <c r="X438">
        <f t="shared" si="108"/>
        <v>4770018.2747352002</v>
      </c>
      <c r="Y438">
        <f t="shared" si="108"/>
        <v>13042308.731975874</v>
      </c>
    </row>
    <row r="439" spans="1:25" x14ac:dyDescent="0.45">
      <c r="A439" s="5" t="s">
        <v>120</v>
      </c>
      <c r="B439">
        <f t="shared" ref="B439:Y439" si="109">B111/B$326</f>
        <v>16399561.820028272</v>
      </c>
      <c r="C439">
        <f t="shared" si="109"/>
        <v>19724921.456632905</v>
      </c>
      <c r="D439">
        <f t="shared" si="109"/>
        <v>10871982.251914904</v>
      </c>
      <c r="E439">
        <f t="shared" si="109"/>
        <v>15039907.210551456</v>
      </c>
      <c r="F439">
        <f t="shared" si="109"/>
        <v>17379889.309939813</v>
      </c>
      <c r="G439">
        <f t="shared" si="109"/>
        <v>16392682.394421518</v>
      </c>
      <c r="H439">
        <f t="shared" si="109"/>
        <v>12617613.218465906</v>
      </c>
      <c r="I439">
        <f t="shared" si="109"/>
        <v>9960820.4405897986</v>
      </c>
      <c r="J439">
        <f t="shared" si="109"/>
        <v>22737272.398892049</v>
      </c>
      <c r="K439">
        <f t="shared" si="109"/>
        <v>15740903.794683503</v>
      </c>
      <c r="L439">
        <f t="shared" si="109"/>
        <v>21335588.659379043</v>
      </c>
      <c r="M439">
        <f t="shared" si="109"/>
        <v>16854559.993946534</v>
      </c>
      <c r="N439">
        <f t="shared" si="109"/>
        <v>7299877.4553683186</v>
      </c>
      <c r="O439">
        <f t="shared" si="109"/>
        <v>22746347.627770729</v>
      </c>
      <c r="P439">
        <f t="shared" si="109"/>
        <v>22892310.654461209</v>
      </c>
      <c r="Q439">
        <f t="shared" si="109"/>
        <v>11023975.915083706</v>
      </c>
      <c r="R439">
        <f t="shared" si="109"/>
        <v>25729075.042753462</v>
      </c>
      <c r="S439">
        <f t="shared" si="109"/>
        <v>17769096.962445118</v>
      </c>
      <c r="T439">
        <f t="shared" si="109"/>
        <v>20814026.307792988</v>
      </c>
      <c r="U439">
        <f t="shared" si="109"/>
        <v>25548138.727788113</v>
      </c>
      <c r="V439">
        <f t="shared" si="109"/>
        <v>18782188.73813346</v>
      </c>
      <c r="W439">
        <f t="shared" si="109"/>
        <v>17532839.981013637</v>
      </c>
      <c r="X439">
        <f t="shared" si="109"/>
        <v>21089959.6962975</v>
      </c>
      <c r="Y439">
        <f t="shared" si="109"/>
        <v>22985406.028243687</v>
      </c>
    </row>
    <row r="440" spans="1:25" x14ac:dyDescent="0.45">
      <c r="A440" s="5" t="s">
        <v>121</v>
      </c>
      <c r="B440">
        <f t="shared" ref="B440:Y440" si="110">B112/B$326</f>
        <v>1527107.8171728982</v>
      </c>
      <c r="C440">
        <f t="shared" si="110"/>
        <v>286264.74320500903</v>
      </c>
      <c r="D440">
        <f t="shared" si="110"/>
        <v>1790344.3923937238</v>
      </c>
      <c r="E440">
        <f t="shared" si="110"/>
        <v>1873379.0730597954</v>
      </c>
      <c r="F440">
        <f t="shared" si="110"/>
        <v>7763598.8115984369</v>
      </c>
      <c r="G440">
        <f t="shared" si="110"/>
        <v>3606361.500471157</v>
      </c>
      <c r="H440">
        <f t="shared" si="110"/>
        <v>1542597.7554328896</v>
      </c>
      <c r="I440">
        <f t="shared" si="110"/>
        <v>5400094.5466126828</v>
      </c>
      <c r="J440">
        <f t="shared" si="110"/>
        <v>5088808.5020216554</v>
      </c>
      <c r="K440">
        <f t="shared" si="110"/>
        <v>9869030.8554229382</v>
      </c>
      <c r="L440">
        <f t="shared" si="110"/>
        <v>8455937.3768611178</v>
      </c>
      <c r="M440">
        <f t="shared" si="110"/>
        <v>1475355.3885497253</v>
      </c>
      <c r="N440">
        <f t="shared" si="110"/>
        <v>1433994.1145536506</v>
      </c>
      <c r="O440">
        <f t="shared" si="110"/>
        <v>2934035.2144466522</v>
      </c>
      <c r="P440">
        <f t="shared" si="110"/>
        <v>2722660.3739013872</v>
      </c>
      <c r="Q440">
        <f t="shared" si="110"/>
        <v>2729502.32278874</v>
      </c>
      <c r="R440">
        <f t="shared" si="110"/>
        <v>7380833.8993288865</v>
      </c>
      <c r="S440">
        <f t="shared" si="110"/>
        <v>2279256.5975694489</v>
      </c>
      <c r="T440">
        <f t="shared" si="110"/>
        <v>2251149.9562874795</v>
      </c>
      <c r="U440">
        <f t="shared" si="110"/>
        <v>2611324.7906069481</v>
      </c>
      <c r="V440">
        <f t="shared" si="110"/>
        <v>2615467.1990586286</v>
      </c>
      <c r="W440">
        <f t="shared" si="110"/>
        <v>3446326.5402176273</v>
      </c>
      <c r="X440">
        <f t="shared" si="110"/>
        <v>2519998.6450687801</v>
      </c>
      <c r="Y440">
        <f t="shared" si="110"/>
        <v>3141155.9748048498</v>
      </c>
    </row>
    <row r="441" spans="1:25" x14ac:dyDescent="0.45">
      <c r="A441" s="5" t="s">
        <v>122</v>
      </c>
      <c r="B441">
        <f t="shared" ref="B441:Y441" si="111">B113/B$326</f>
        <v>3709439.0747241196</v>
      </c>
      <c r="C441">
        <f t="shared" si="111"/>
        <v>5282328.2790144328</v>
      </c>
      <c r="D441">
        <f t="shared" si="111"/>
        <v>2712615.5244662976</v>
      </c>
      <c r="E441">
        <f t="shared" si="111"/>
        <v>2029001.4757221502</v>
      </c>
      <c r="F441">
        <f t="shared" si="111"/>
        <v>3638186.8141192864</v>
      </c>
      <c r="G441">
        <f t="shared" si="111"/>
        <v>4459723.156248034</v>
      </c>
      <c r="H441">
        <f t="shared" si="111"/>
        <v>1929648.4701049493</v>
      </c>
      <c r="I441">
        <f t="shared" si="111"/>
        <v>2672510.7685650373</v>
      </c>
      <c r="J441">
        <f t="shared" si="111"/>
        <v>3289258.7498376356</v>
      </c>
      <c r="K441">
        <f t="shared" si="111"/>
        <v>314449.25611774164</v>
      </c>
      <c r="L441">
        <f t="shared" si="111"/>
        <v>2936461.6060763989</v>
      </c>
      <c r="M441">
        <f t="shared" si="111"/>
        <v>1452962.7751924393</v>
      </c>
      <c r="N441">
        <f t="shared" si="111"/>
        <v>2542755.739915207</v>
      </c>
      <c r="O441">
        <f t="shared" si="111"/>
        <v>631708.49686470046</v>
      </c>
      <c r="P441">
        <f t="shared" si="111"/>
        <v>414419.69168746052</v>
      </c>
      <c r="Q441">
        <f t="shared" si="111"/>
        <v>1891500.8098298756</v>
      </c>
      <c r="R441">
        <f t="shared" si="111"/>
        <v>2724570.0515889814</v>
      </c>
      <c r="S441">
        <f t="shared" si="111"/>
        <v>3866650.8329763561</v>
      </c>
      <c r="T441">
        <f t="shared" si="111"/>
        <v>4575508.8095308365</v>
      </c>
      <c r="U441">
        <f t="shared" si="111"/>
        <v>2704664.4047081047</v>
      </c>
      <c r="V441">
        <f t="shared" si="111"/>
        <v>4086165.7407950684</v>
      </c>
      <c r="W441">
        <f t="shared" si="111"/>
        <v>4159278.4694216694</v>
      </c>
      <c r="X441">
        <f t="shared" si="111"/>
        <v>7150663.0469617201</v>
      </c>
      <c r="Y441">
        <f t="shared" si="111"/>
        <v>5365910.2879862254</v>
      </c>
    </row>
    <row r="442" spans="1:25" x14ac:dyDescent="0.45">
      <c r="A442" s="5" t="s">
        <v>123</v>
      </c>
      <c r="B442">
        <f t="shared" ref="B442:Y442" si="112">B114/B$326</f>
        <v>3302253.5111498642</v>
      </c>
      <c r="C442">
        <f t="shared" si="112"/>
        <v>3447688.7920870446</v>
      </c>
      <c r="D442">
        <f t="shared" si="112"/>
        <v>2286306.1013713973</v>
      </c>
      <c r="E442">
        <f t="shared" si="112"/>
        <v>3688988.6887779795</v>
      </c>
      <c r="F442">
        <f t="shared" si="112"/>
        <v>3471843.8770744912</v>
      </c>
      <c r="G442">
        <f t="shared" si="112"/>
        <v>3434129.0110155297</v>
      </c>
      <c r="H442">
        <f t="shared" si="112"/>
        <v>28670258.94679438</v>
      </c>
      <c r="I442">
        <f t="shared" si="112"/>
        <v>35092686.722909369</v>
      </c>
      <c r="J442">
        <f t="shared" si="112"/>
        <v>57099074.497896545</v>
      </c>
      <c r="K442">
        <f t="shared" si="112"/>
        <v>39134447.163859457</v>
      </c>
      <c r="L442">
        <f t="shared" si="112"/>
        <v>25293497.938944735</v>
      </c>
      <c r="M442">
        <f t="shared" si="112"/>
        <v>38976081.713812575</v>
      </c>
      <c r="N442">
        <f t="shared" si="112"/>
        <v>22180175.472648602</v>
      </c>
      <c r="O442">
        <f t="shared" si="112"/>
        <v>17958643.185890645</v>
      </c>
      <c r="P442">
        <f t="shared" si="112"/>
        <v>20160110.794338591</v>
      </c>
      <c r="Q442">
        <f t="shared" si="112"/>
        <v>4082971.6291372892</v>
      </c>
      <c r="R442">
        <f t="shared" si="112"/>
        <v>4511333.7613614602</v>
      </c>
      <c r="S442">
        <f t="shared" si="112"/>
        <v>3501851.6193595128</v>
      </c>
      <c r="T442">
        <f t="shared" si="112"/>
        <v>10981850.261522541</v>
      </c>
      <c r="U442">
        <f t="shared" si="112"/>
        <v>7154590.7747843126</v>
      </c>
      <c r="V442">
        <f t="shared" si="112"/>
        <v>6257202.6366362786</v>
      </c>
      <c r="W442">
        <f t="shared" si="112"/>
        <v>53305988.069968008</v>
      </c>
      <c r="X442">
        <f t="shared" si="112"/>
        <v>60621980.995545797</v>
      </c>
      <c r="Y442">
        <f t="shared" si="112"/>
        <v>48994262.947997935</v>
      </c>
    </row>
    <row r="443" spans="1:25" x14ac:dyDescent="0.45">
      <c r="A443" s="5" t="s">
        <v>434</v>
      </c>
      <c r="B443">
        <f t="shared" ref="B443:Y443" si="113">B115/B$326</f>
        <v>5223364.4416202856</v>
      </c>
      <c r="C443">
        <f t="shared" si="113"/>
        <v>31613396.962051261</v>
      </c>
      <c r="D443">
        <f t="shared" si="113"/>
        <v>15797509.54053295</v>
      </c>
      <c r="E443">
        <f t="shared" si="113"/>
        <v>11857421.38595468</v>
      </c>
      <c r="F443">
        <f t="shared" si="113"/>
        <v>11017286.000303175</v>
      </c>
      <c r="G443">
        <f t="shared" si="113"/>
        <v>13558268.270884559</v>
      </c>
      <c r="H443">
        <f t="shared" si="113"/>
        <v>4312262.0439640246</v>
      </c>
      <c r="I443">
        <f t="shared" si="113"/>
        <v>8595823.9298924282</v>
      </c>
      <c r="J443">
        <f t="shared" si="113"/>
        <v>24559989.844463632</v>
      </c>
      <c r="K443">
        <f t="shared" si="113"/>
        <v>9500787.3424283992</v>
      </c>
      <c r="L443">
        <f t="shared" si="113"/>
        <v>11053265.60980165</v>
      </c>
      <c r="M443">
        <f t="shared" si="113"/>
        <v>14720874.017357675</v>
      </c>
      <c r="N443">
        <f t="shared" si="113"/>
        <v>9857457.1149188206</v>
      </c>
      <c r="O443">
        <f t="shared" si="113"/>
        <v>21874662.786990166</v>
      </c>
      <c r="P443">
        <f t="shared" si="113"/>
        <v>14986656.476853177</v>
      </c>
      <c r="Q443">
        <f t="shared" si="113"/>
        <v>15080491.665619044</v>
      </c>
      <c r="R443">
        <f t="shared" si="113"/>
        <v>19232373.156891573</v>
      </c>
      <c r="S443">
        <f t="shared" si="113"/>
        <v>9720856.0415517166</v>
      </c>
      <c r="T443">
        <f t="shared" si="113"/>
        <v>23495245.574471217</v>
      </c>
      <c r="U443">
        <f t="shared" si="113"/>
        <v>16565083.899708992</v>
      </c>
      <c r="V443">
        <f t="shared" si="113"/>
        <v>22774741.691915497</v>
      </c>
      <c r="W443">
        <f t="shared" si="113"/>
        <v>18716850.537640344</v>
      </c>
      <c r="X443">
        <f t="shared" si="113"/>
        <v>9193461.5920003597</v>
      </c>
      <c r="Y443">
        <f t="shared" si="113"/>
        <v>19307060.528699249</v>
      </c>
    </row>
    <row r="444" spans="1:25" x14ac:dyDescent="0.45">
      <c r="A444" s="5" t="s">
        <v>124</v>
      </c>
      <c r="B444">
        <f t="shared" ref="B444:Y444" si="114">B116/B$326</f>
        <v>60071799.152145877</v>
      </c>
      <c r="C444">
        <f t="shared" si="114"/>
        <v>49613484.338824287</v>
      </c>
      <c r="D444">
        <f t="shared" si="114"/>
        <v>38435849.457511976</v>
      </c>
      <c r="E444">
        <f t="shared" si="114"/>
        <v>60997833.862283729</v>
      </c>
      <c r="F444">
        <f t="shared" si="114"/>
        <v>64481840.921997719</v>
      </c>
      <c r="G444">
        <f t="shared" si="114"/>
        <v>45578681.987385631</v>
      </c>
      <c r="H444">
        <f t="shared" si="114"/>
        <v>61724884.722678386</v>
      </c>
      <c r="I444">
        <f t="shared" si="114"/>
        <v>24070674.336116299</v>
      </c>
      <c r="J444">
        <f t="shared" si="114"/>
        <v>116805877.8687472</v>
      </c>
      <c r="K444">
        <f t="shared" si="114"/>
        <v>31948548.151075311</v>
      </c>
      <c r="L444">
        <f t="shared" si="114"/>
        <v>43109124.380935058</v>
      </c>
      <c r="M444">
        <f t="shared" si="114"/>
        <v>41936734.260824889</v>
      </c>
      <c r="N444">
        <f t="shared" si="114"/>
        <v>27731825.270107247</v>
      </c>
      <c r="O444">
        <f t="shared" si="114"/>
        <v>57635436.381611407</v>
      </c>
      <c r="P444">
        <f t="shared" si="114"/>
        <v>88671375.55639489</v>
      </c>
      <c r="Q444">
        <f t="shared" si="114"/>
        <v>18845073.226593338</v>
      </c>
      <c r="R444">
        <f t="shared" si="114"/>
        <v>106765454.42229219</v>
      </c>
      <c r="S444">
        <f t="shared" si="114"/>
        <v>44708175.748000361</v>
      </c>
      <c r="T444">
        <f t="shared" si="114"/>
        <v>98043705.55419828</v>
      </c>
      <c r="U444">
        <f t="shared" si="114"/>
        <v>126370760.40438345</v>
      </c>
      <c r="V444">
        <f t="shared" si="114"/>
        <v>110766143.78290287</v>
      </c>
      <c r="W444">
        <f t="shared" si="114"/>
        <v>79229855.802135125</v>
      </c>
      <c r="X444">
        <f t="shared" si="114"/>
        <v>55521538.516889699</v>
      </c>
      <c r="Y444">
        <f t="shared" si="114"/>
        <v>75422014.014429376</v>
      </c>
    </row>
    <row r="445" spans="1:25" x14ac:dyDescent="0.45">
      <c r="A445" s="5" t="s">
        <v>357</v>
      </c>
      <c r="B445">
        <f t="shared" ref="B445:Y445" si="115">B117/B$326</f>
        <v>17378693.326677486</v>
      </c>
      <c r="C445">
        <f t="shared" si="115"/>
        <v>14952572.666203968</v>
      </c>
      <c r="D445">
        <f t="shared" si="115"/>
        <v>12759819.022698184</v>
      </c>
      <c r="E445">
        <f t="shared" si="115"/>
        <v>79252159.15126802</v>
      </c>
      <c r="F445">
        <f t="shared" si="115"/>
        <v>297643902.65003055</v>
      </c>
      <c r="G445">
        <f t="shared" si="115"/>
        <v>100676650.24001862</v>
      </c>
      <c r="H445">
        <f t="shared" si="115"/>
        <v>96744032.2998631</v>
      </c>
      <c r="I445">
        <f t="shared" si="115"/>
        <v>48280753.155690387</v>
      </c>
      <c r="J445">
        <f t="shared" si="115"/>
        <v>361736967.7028774</v>
      </c>
      <c r="K445">
        <f t="shared" si="115"/>
        <v>317186397.28162694</v>
      </c>
      <c r="L445">
        <f t="shared" si="115"/>
        <v>59358983.149383515</v>
      </c>
      <c r="M445">
        <f t="shared" si="115"/>
        <v>5667280.4446054846</v>
      </c>
      <c r="N445">
        <f t="shared" si="115"/>
        <v>28935575.29685938</v>
      </c>
      <c r="O445">
        <f t="shared" si="115"/>
        <v>244960717.58284089</v>
      </c>
      <c r="P445">
        <f t="shared" si="115"/>
        <v>536196765.49244529</v>
      </c>
      <c r="Q445">
        <f t="shared" si="115"/>
        <v>45167282.040159337</v>
      </c>
      <c r="R445">
        <f t="shared" si="115"/>
        <v>746768561.54803336</v>
      </c>
      <c r="S445">
        <f t="shared" si="115"/>
        <v>110145326.12365912</v>
      </c>
      <c r="T445">
        <f t="shared" si="115"/>
        <v>58124405.050672531</v>
      </c>
      <c r="U445">
        <f t="shared" si="115"/>
        <v>75533480.230130076</v>
      </c>
      <c r="V445">
        <f t="shared" si="115"/>
        <v>16019060.905337127</v>
      </c>
      <c r="W445">
        <f t="shared" si="115"/>
        <v>726719690.42527997</v>
      </c>
      <c r="X445">
        <f t="shared" si="115"/>
        <v>202312843.65443099</v>
      </c>
      <c r="Y445">
        <f t="shared" si="115"/>
        <v>324553369.34321123</v>
      </c>
    </row>
    <row r="446" spans="1:25" x14ac:dyDescent="0.45">
      <c r="A446" s="5" t="s">
        <v>125</v>
      </c>
      <c r="B446">
        <f t="shared" ref="B446:Y446" si="116">B118/B$326</f>
        <v>6589148.386347048</v>
      </c>
      <c r="C446">
        <f t="shared" si="116"/>
        <v>6830049.712523032</v>
      </c>
      <c r="D446">
        <f t="shared" si="116"/>
        <v>6924159.214224169</v>
      </c>
      <c r="E446">
        <f t="shared" si="116"/>
        <v>6678714.7389427423</v>
      </c>
      <c r="F446">
        <f t="shared" si="116"/>
        <v>10338093.362632863</v>
      </c>
      <c r="G446">
        <f t="shared" si="116"/>
        <v>5696905.8474255884</v>
      </c>
      <c r="H446">
        <f t="shared" si="116"/>
        <v>2719286.8218480623</v>
      </c>
      <c r="I446">
        <f t="shared" si="116"/>
        <v>22156229.455110129</v>
      </c>
      <c r="J446">
        <f t="shared" si="116"/>
        <v>26496977.844976012</v>
      </c>
      <c r="K446">
        <f t="shared" si="116"/>
        <v>11733545.103223376</v>
      </c>
      <c r="L446">
        <f t="shared" si="116"/>
        <v>12189056.277305745</v>
      </c>
      <c r="M446">
        <f t="shared" si="116"/>
        <v>3877160.9949739585</v>
      </c>
      <c r="N446">
        <f t="shared" si="116"/>
        <v>1918522.0030649505</v>
      </c>
      <c r="O446">
        <f t="shared" si="116"/>
        <v>16661028.395006906</v>
      </c>
      <c r="P446">
        <f t="shared" si="116"/>
        <v>5640830.7780388081</v>
      </c>
      <c r="Q446">
        <f t="shared" si="116"/>
        <v>3741465.0842356961</v>
      </c>
      <c r="R446">
        <f t="shared" si="116"/>
        <v>19758333.552661352</v>
      </c>
      <c r="S446">
        <f t="shared" si="116"/>
        <v>6695344.2557763951</v>
      </c>
      <c r="T446">
        <f t="shared" si="116"/>
        <v>9601934.2479834948</v>
      </c>
      <c r="U446">
        <f t="shared" si="116"/>
        <v>7525646.7339833062</v>
      </c>
      <c r="V446">
        <f t="shared" si="116"/>
        <v>5747168.2309856238</v>
      </c>
      <c r="W446">
        <f t="shared" si="116"/>
        <v>8710095.4550336376</v>
      </c>
      <c r="X446">
        <f t="shared" si="116"/>
        <v>70788550.618041903</v>
      </c>
      <c r="Y446">
        <f t="shared" si="116"/>
        <v>7290880.1568343742</v>
      </c>
    </row>
    <row r="447" spans="1:25" x14ac:dyDescent="0.45">
      <c r="A447" s="5" t="s">
        <v>126</v>
      </c>
      <c r="B447">
        <f t="shared" ref="B447:Y447" si="117">B119/B$326</f>
        <v>2438246620.3859973</v>
      </c>
      <c r="C447">
        <f t="shared" si="117"/>
        <v>4554122264.1340494</v>
      </c>
      <c r="D447">
        <f t="shared" si="117"/>
        <v>2461899724.9631262</v>
      </c>
      <c r="E447">
        <f t="shared" si="117"/>
        <v>258005127.00386959</v>
      </c>
      <c r="F447">
        <f t="shared" si="117"/>
        <v>537047105.55698955</v>
      </c>
      <c r="G447">
        <f t="shared" si="117"/>
        <v>234057893.63791862</v>
      </c>
      <c r="H447">
        <f t="shared" si="117"/>
        <v>165029730.78176576</v>
      </c>
      <c r="I447">
        <f t="shared" si="117"/>
        <v>18195517854.815067</v>
      </c>
      <c r="J447">
        <f t="shared" si="117"/>
        <v>1910734900.5631809</v>
      </c>
      <c r="K447">
        <f t="shared" si="117"/>
        <v>968976386.33119941</v>
      </c>
      <c r="L447">
        <f t="shared" si="117"/>
        <v>1708118604.2463777</v>
      </c>
      <c r="M447">
        <f t="shared" si="117"/>
        <v>436696462.32213521</v>
      </c>
      <c r="N447">
        <f t="shared" si="117"/>
        <v>76545861.15186584</v>
      </c>
      <c r="O447">
        <f t="shared" si="117"/>
        <v>6880978489.7031727</v>
      </c>
      <c r="P447">
        <f t="shared" si="117"/>
        <v>172003113.10453907</v>
      </c>
      <c r="Q447">
        <f t="shared" si="117"/>
        <v>5386608137.384161</v>
      </c>
      <c r="R447">
        <f t="shared" si="117"/>
        <v>2566927889.0925465</v>
      </c>
      <c r="S447">
        <f t="shared" si="117"/>
        <v>7838306177.8862038</v>
      </c>
      <c r="T447">
        <f t="shared" si="117"/>
        <v>337471346.86110324</v>
      </c>
      <c r="U447">
        <f t="shared" si="117"/>
        <v>194166929.84921324</v>
      </c>
      <c r="V447">
        <f t="shared" si="117"/>
        <v>60506999.385106161</v>
      </c>
      <c r="W447">
        <f t="shared" si="117"/>
        <v>444927622.54900694</v>
      </c>
      <c r="X447">
        <f t="shared" si="117"/>
        <v>2485813188.3221598</v>
      </c>
      <c r="Y447">
        <f t="shared" si="117"/>
        <v>271703857.41004372</v>
      </c>
    </row>
    <row r="448" spans="1:25" x14ac:dyDescent="0.45">
      <c r="A448" s="5" t="s">
        <v>127</v>
      </c>
      <c r="B448">
        <f t="shared" ref="B448:Y448" si="118">B120/B$326</f>
        <v>41698022.564157896</v>
      </c>
      <c r="C448">
        <f t="shared" si="118"/>
        <v>112324025.99996686</v>
      </c>
      <c r="D448">
        <f t="shared" si="118"/>
        <v>43854619.694053404</v>
      </c>
      <c r="E448">
        <f t="shared" si="118"/>
        <v>22606100.203150801</v>
      </c>
      <c r="F448">
        <f t="shared" si="118"/>
        <v>29999682.103655439</v>
      </c>
      <c r="G448">
        <f t="shared" si="118"/>
        <v>41411549.634521373</v>
      </c>
      <c r="H448">
        <f t="shared" si="118"/>
        <v>46094871.858201869</v>
      </c>
      <c r="I448">
        <f t="shared" si="118"/>
        <v>32834889.979122475</v>
      </c>
      <c r="J448">
        <f t="shared" si="118"/>
        <v>43905200.749486335</v>
      </c>
      <c r="K448">
        <f t="shared" si="118"/>
        <v>22029472.522018384</v>
      </c>
      <c r="L448">
        <f t="shared" si="118"/>
        <v>13702736.291975586</v>
      </c>
      <c r="M448">
        <f t="shared" si="118"/>
        <v>144097718.3917309</v>
      </c>
      <c r="N448">
        <f t="shared" si="118"/>
        <v>37712467.291787818</v>
      </c>
      <c r="O448">
        <f t="shared" si="118"/>
        <v>266728726.58508047</v>
      </c>
      <c r="P448">
        <f t="shared" si="118"/>
        <v>47718531.43415641</v>
      </c>
      <c r="Q448">
        <f t="shared" si="118"/>
        <v>107869718.60464856</v>
      </c>
      <c r="R448">
        <f t="shared" si="118"/>
        <v>35798655.240615532</v>
      </c>
      <c r="S448">
        <f t="shared" si="118"/>
        <v>94633000.241195366</v>
      </c>
      <c r="T448">
        <f t="shared" si="118"/>
        <v>30616938.613399573</v>
      </c>
      <c r="U448">
        <f t="shared" si="118"/>
        <v>129342793.24061295</v>
      </c>
      <c r="V448">
        <f t="shared" si="118"/>
        <v>186797850.97163811</v>
      </c>
      <c r="W448">
        <f t="shared" si="118"/>
        <v>75885840.445391431</v>
      </c>
      <c r="X448">
        <f t="shared" si="118"/>
        <v>301437852.18618399</v>
      </c>
      <c r="Y448">
        <f t="shared" si="118"/>
        <v>33080824.386414059</v>
      </c>
    </row>
    <row r="449" spans="1:25" x14ac:dyDescent="0.45">
      <c r="A449" s="5" t="s">
        <v>369</v>
      </c>
      <c r="B449">
        <f t="shared" ref="B449:Y449" si="119">B121/B$326</f>
        <v>137561712.11691049</v>
      </c>
      <c r="C449">
        <f t="shared" si="119"/>
        <v>79910116.356541365</v>
      </c>
      <c r="D449">
        <f t="shared" si="119"/>
        <v>16895061.032383043</v>
      </c>
      <c r="E449">
        <f t="shared" si="119"/>
        <v>30642268.555001944</v>
      </c>
      <c r="F449">
        <f t="shared" si="119"/>
        <v>78953678.913085297</v>
      </c>
      <c r="G449">
        <f t="shared" si="119"/>
        <v>25003859.776107796</v>
      </c>
      <c r="H449">
        <f t="shared" si="119"/>
        <v>19507180.85146657</v>
      </c>
      <c r="I449">
        <f t="shared" si="119"/>
        <v>106216658.79825069</v>
      </c>
      <c r="J449">
        <f t="shared" si="119"/>
        <v>43565491.34993805</v>
      </c>
      <c r="K449">
        <f t="shared" si="119"/>
        <v>69672031.730729073</v>
      </c>
      <c r="L449">
        <f t="shared" si="119"/>
        <v>25933425.786159042</v>
      </c>
      <c r="M449">
        <f t="shared" si="119"/>
        <v>16364057.043705909</v>
      </c>
      <c r="N449">
        <f t="shared" si="119"/>
        <v>1403820.5313692903</v>
      </c>
      <c r="O449">
        <f t="shared" si="119"/>
        <v>139581739.0669165</v>
      </c>
      <c r="P449">
        <f t="shared" si="119"/>
        <v>78960154.322435305</v>
      </c>
      <c r="Q449">
        <f t="shared" si="119"/>
        <v>29720451.902702004</v>
      </c>
      <c r="R449">
        <f t="shared" si="119"/>
        <v>142351292.26216415</v>
      </c>
      <c r="S449">
        <f t="shared" si="119"/>
        <v>30049530.249167442</v>
      </c>
      <c r="T449">
        <f t="shared" si="119"/>
        <v>224601072.12178701</v>
      </c>
      <c r="U449">
        <f t="shared" si="119"/>
        <v>432390018.02041161</v>
      </c>
      <c r="V449">
        <f t="shared" si="119"/>
        <v>518551055.84337997</v>
      </c>
      <c r="W449">
        <f t="shared" si="119"/>
        <v>375939002.1305365</v>
      </c>
      <c r="X449">
        <f t="shared" si="119"/>
        <v>246646769.897701</v>
      </c>
      <c r="Y449">
        <f t="shared" si="119"/>
        <v>257714587.53396812</v>
      </c>
    </row>
    <row r="450" spans="1:25" x14ac:dyDescent="0.45">
      <c r="A450" s="5" t="s">
        <v>290</v>
      </c>
      <c r="B450">
        <f t="shared" ref="B450:Y450" si="120">B122/B$326</f>
        <v>17843815.201433986</v>
      </c>
      <c r="C450">
        <f t="shared" si="120"/>
        <v>11618059.139066089</v>
      </c>
      <c r="D450">
        <f t="shared" si="120"/>
        <v>14182601.570570411</v>
      </c>
      <c r="E450">
        <f t="shared" si="120"/>
        <v>10116163.679665033</v>
      </c>
      <c r="F450">
        <f t="shared" si="120"/>
        <v>23060540.690213285</v>
      </c>
      <c r="G450">
        <f t="shared" si="120"/>
        <v>14698189.156176079</v>
      </c>
      <c r="H450">
        <f t="shared" si="120"/>
        <v>12796540.715482932</v>
      </c>
      <c r="I450">
        <f t="shared" si="120"/>
        <v>21473393.553661097</v>
      </c>
      <c r="J450">
        <f t="shared" si="120"/>
        <v>41312632.937683925</v>
      </c>
      <c r="K450">
        <f t="shared" si="120"/>
        <v>4629165.1740808683</v>
      </c>
      <c r="L450">
        <f t="shared" si="120"/>
        <v>19453220.214940798</v>
      </c>
      <c r="M450">
        <f t="shared" si="120"/>
        <v>11802005.13326014</v>
      </c>
      <c r="N450">
        <f t="shared" si="120"/>
        <v>8242690.5574711505</v>
      </c>
      <c r="O450">
        <f t="shared" si="120"/>
        <v>17393121.086975727</v>
      </c>
      <c r="P450">
        <f t="shared" si="120"/>
        <v>14193470.47635402</v>
      </c>
      <c r="Q450">
        <f t="shared" si="120"/>
        <v>3966288.0054121097</v>
      </c>
      <c r="R450">
        <f t="shared" si="120"/>
        <v>8420354.7180292532</v>
      </c>
      <c r="S450">
        <f t="shared" si="120"/>
        <v>13123271.546180934</v>
      </c>
      <c r="T450">
        <f t="shared" si="120"/>
        <v>19633434.72705194</v>
      </c>
      <c r="U450">
        <f t="shared" si="120"/>
        <v>21879634.605175029</v>
      </c>
      <c r="V450">
        <f t="shared" si="120"/>
        <v>14188483.645885436</v>
      </c>
      <c r="W450">
        <f t="shared" si="120"/>
        <v>20966019.553517066</v>
      </c>
      <c r="X450">
        <f t="shared" si="120"/>
        <v>43238116.217008799</v>
      </c>
      <c r="Y450">
        <f t="shared" si="120"/>
        <v>13984216.2860405</v>
      </c>
    </row>
    <row r="451" spans="1:25" x14ac:dyDescent="0.45">
      <c r="A451" s="5" t="s">
        <v>128</v>
      </c>
      <c r="B451">
        <f t="shared" ref="B451:Y451" si="121">B123/B$326</f>
        <v>10516923.450391443</v>
      </c>
      <c r="C451">
        <f t="shared" si="121"/>
        <v>10399116.030542413</v>
      </c>
      <c r="D451">
        <f t="shared" si="121"/>
        <v>12123841.489077009</v>
      </c>
      <c r="E451">
        <f t="shared" si="121"/>
        <v>11541413.874769792</v>
      </c>
      <c r="F451">
        <f t="shared" si="121"/>
        <v>14570253.156593159</v>
      </c>
      <c r="G451">
        <f t="shared" si="121"/>
        <v>10309735.784371519</v>
      </c>
      <c r="H451">
        <f t="shared" si="121"/>
        <v>11187072.677599302</v>
      </c>
      <c r="I451">
        <f t="shared" si="121"/>
        <v>78038575.03563638</v>
      </c>
      <c r="J451">
        <f t="shared" si="121"/>
        <v>50126351.156143256</v>
      </c>
      <c r="K451">
        <f t="shared" si="121"/>
        <v>13113235.345287718</v>
      </c>
      <c r="L451">
        <f t="shared" si="121"/>
        <v>21040258.880575001</v>
      </c>
      <c r="M451">
        <f t="shared" si="121"/>
        <v>8175132.1028301585</v>
      </c>
      <c r="N451">
        <f t="shared" si="121"/>
        <v>11229874.751180718</v>
      </c>
      <c r="O451">
        <f t="shared" si="121"/>
        <v>43669553.765737027</v>
      </c>
      <c r="P451">
        <f t="shared" si="121"/>
        <v>46396647.012844771</v>
      </c>
      <c r="Q451">
        <f t="shared" si="121"/>
        <v>7832654.6298461137</v>
      </c>
      <c r="R451">
        <f t="shared" si="121"/>
        <v>30017219.550858788</v>
      </c>
      <c r="S451">
        <f t="shared" si="121"/>
        <v>20053303.643360753</v>
      </c>
      <c r="T451">
        <f t="shared" si="121"/>
        <v>27649386.276695196</v>
      </c>
      <c r="U451">
        <f t="shared" si="121"/>
        <v>22931769.072404053</v>
      </c>
      <c r="V451">
        <f t="shared" si="121"/>
        <v>31891597.712230407</v>
      </c>
      <c r="W451">
        <f t="shared" si="121"/>
        <v>28897045.826622132</v>
      </c>
      <c r="X451">
        <f t="shared" si="121"/>
        <v>73171337.706157804</v>
      </c>
      <c r="Y451">
        <f t="shared" si="121"/>
        <v>28596089.881625064</v>
      </c>
    </row>
    <row r="452" spans="1:25" x14ac:dyDescent="0.45">
      <c r="A452" s="5" t="s">
        <v>129</v>
      </c>
      <c r="B452">
        <f t="shared" ref="B452:Y452" si="122">B124/B$326</f>
        <v>119371127.53851855</v>
      </c>
      <c r="C452">
        <f t="shared" si="122"/>
        <v>104463594.57134323</v>
      </c>
      <c r="D452">
        <f t="shared" si="122"/>
        <v>70623499.979298204</v>
      </c>
      <c r="E452">
        <f t="shared" si="122"/>
        <v>99153848.640219629</v>
      </c>
      <c r="F452">
        <f t="shared" si="122"/>
        <v>110712019.92582871</v>
      </c>
      <c r="G452">
        <f t="shared" si="122"/>
        <v>123688360.91755293</v>
      </c>
      <c r="H452">
        <f t="shared" si="122"/>
        <v>62134680.349161185</v>
      </c>
      <c r="I452">
        <f t="shared" si="122"/>
        <v>122029822.1684147</v>
      </c>
      <c r="J452">
        <f t="shared" si="122"/>
        <v>259436890.16493535</v>
      </c>
      <c r="K452">
        <f t="shared" si="122"/>
        <v>210662013.2611253</v>
      </c>
      <c r="L452">
        <f t="shared" si="122"/>
        <v>81299773.054400012</v>
      </c>
      <c r="M452">
        <f t="shared" si="122"/>
        <v>82416497.398638695</v>
      </c>
      <c r="N452">
        <f t="shared" si="122"/>
        <v>58210123.567580052</v>
      </c>
      <c r="O452">
        <f t="shared" si="122"/>
        <v>206035622.42766595</v>
      </c>
      <c r="P452">
        <f t="shared" si="122"/>
        <v>255776072.45743874</v>
      </c>
      <c r="Q452">
        <f t="shared" si="122"/>
        <v>98545063.479930699</v>
      </c>
      <c r="R452">
        <f t="shared" si="122"/>
        <v>1057213386.5567108</v>
      </c>
      <c r="S452">
        <f t="shared" si="122"/>
        <v>118208257.30162136</v>
      </c>
      <c r="T452">
        <f t="shared" si="122"/>
        <v>174535082.59586763</v>
      </c>
      <c r="U452">
        <f t="shared" si="122"/>
        <v>171210617.4550496</v>
      </c>
      <c r="V452">
        <f t="shared" si="122"/>
        <v>149306835.49677905</v>
      </c>
      <c r="W452">
        <f t="shared" si="122"/>
        <v>277236283.28791457</v>
      </c>
      <c r="X452">
        <f t="shared" si="122"/>
        <v>363311686.76738</v>
      </c>
      <c r="Y452">
        <f t="shared" si="122"/>
        <v>106444789.31449562</v>
      </c>
    </row>
    <row r="453" spans="1:25" x14ac:dyDescent="0.45">
      <c r="A453" s="5" t="s">
        <v>130</v>
      </c>
      <c r="B453">
        <f t="shared" ref="B453:Y453" si="123">B125/B$326</f>
        <v>320577218.60442144</v>
      </c>
      <c r="C453">
        <f t="shared" si="123"/>
        <v>239081515.70982847</v>
      </c>
      <c r="D453">
        <f t="shared" si="123"/>
        <v>162453429.11462539</v>
      </c>
      <c r="E453">
        <f t="shared" si="123"/>
        <v>514382077.55840224</v>
      </c>
      <c r="F453">
        <f t="shared" si="123"/>
        <v>747965692.46539772</v>
      </c>
      <c r="G453">
        <f t="shared" si="123"/>
        <v>374285485.17955345</v>
      </c>
      <c r="H453">
        <f t="shared" si="123"/>
        <v>231498018.61159432</v>
      </c>
      <c r="I453">
        <f t="shared" si="123"/>
        <v>674136003.51408315</v>
      </c>
      <c r="J453">
        <f t="shared" si="123"/>
        <v>616036255.64044845</v>
      </c>
      <c r="K453">
        <f t="shared" si="123"/>
        <v>209435883.92916781</v>
      </c>
      <c r="L453">
        <f t="shared" si="123"/>
        <v>528142168.31481224</v>
      </c>
      <c r="M453">
        <f t="shared" si="123"/>
        <v>382818207.23883414</v>
      </c>
      <c r="N453">
        <f t="shared" si="123"/>
        <v>171649591.44212389</v>
      </c>
      <c r="O453">
        <f t="shared" si="123"/>
        <v>225168068.09152454</v>
      </c>
      <c r="P453">
        <f t="shared" si="123"/>
        <v>283399917.39598435</v>
      </c>
      <c r="Q453">
        <f t="shared" si="123"/>
        <v>277766688.96086615</v>
      </c>
      <c r="R453">
        <f t="shared" si="123"/>
        <v>526473085.62482435</v>
      </c>
      <c r="S453">
        <f t="shared" si="123"/>
        <v>387220575.76270235</v>
      </c>
      <c r="T453">
        <f t="shared" si="123"/>
        <v>707391849.4802146</v>
      </c>
      <c r="U453">
        <f t="shared" si="123"/>
        <v>268410419.34449002</v>
      </c>
      <c r="V453">
        <f t="shared" si="123"/>
        <v>310850635.40444791</v>
      </c>
      <c r="W453">
        <f t="shared" si="123"/>
        <v>577745696.34709847</v>
      </c>
      <c r="X453">
        <f t="shared" si="123"/>
        <v>5823717000.5795002</v>
      </c>
      <c r="Y453">
        <f t="shared" si="123"/>
        <v>318499802.73192626</v>
      </c>
    </row>
    <row r="454" spans="1:25" x14ac:dyDescent="0.45">
      <c r="A454" s="5" t="s">
        <v>131</v>
      </c>
      <c r="B454">
        <f t="shared" ref="B454:Y454" si="124">B126/B$326</f>
        <v>266642542.3528246</v>
      </c>
      <c r="C454">
        <f t="shared" si="124"/>
        <v>338426313.4617756</v>
      </c>
      <c r="D454">
        <f t="shared" si="124"/>
        <v>180565775.60821694</v>
      </c>
      <c r="E454">
        <f t="shared" si="124"/>
        <v>235173838.07845691</v>
      </c>
      <c r="F454">
        <f t="shared" si="124"/>
        <v>383146156.02025712</v>
      </c>
      <c r="G454">
        <f t="shared" si="124"/>
        <v>402377463.87300342</v>
      </c>
      <c r="H454">
        <f t="shared" si="124"/>
        <v>244750861.80069026</v>
      </c>
      <c r="I454">
        <f t="shared" si="124"/>
        <v>898483688.61421359</v>
      </c>
      <c r="J454">
        <f t="shared" si="124"/>
        <v>377127328.34549481</v>
      </c>
      <c r="K454">
        <f t="shared" si="124"/>
        <v>87537297.912728861</v>
      </c>
      <c r="L454">
        <f t="shared" si="124"/>
        <v>259318963.89602289</v>
      </c>
      <c r="M454">
        <f t="shared" si="124"/>
        <v>135771671.17719066</v>
      </c>
      <c r="N454">
        <f t="shared" si="124"/>
        <v>156061758.52847365</v>
      </c>
      <c r="O454">
        <f t="shared" si="124"/>
        <v>441558889.92630988</v>
      </c>
      <c r="P454">
        <f t="shared" si="124"/>
        <v>400968470.39123291</v>
      </c>
      <c r="Q454">
        <f t="shared" si="124"/>
        <v>135049838.44092837</v>
      </c>
      <c r="R454">
        <f t="shared" si="124"/>
        <v>232157453.30373791</v>
      </c>
      <c r="S454">
        <f t="shared" si="124"/>
        <v>279443272.36373383</v>
      </c>
      <c r="T454">
        <f t="shared" si="124"/>
        <v>346996596.7472744</v>
      </c>
      <c r="U454">
        <f t="shared" si="124"/>
        <v>393116515.17895132</v>
      </c>
      <c r="V454">
        <f t="shared" si="124"/>
        <v>358475257.89661509</v>
      </c>
      <c r="W454">
        <f t="shared" si="124"/>
        <v>448520841.74531502</v>
      </c>
      <c r="X454">
        <f t="shared" si="124"/>
        <v>349030658.38551599</v>
      </c>
      <c r="Y454">
        <f t="shared" si="124"/>
        <v>465951663.16383064</v>
      </c>
    </row>
    <row r="455" spans="1:25" x14ac:dyDescent="0.45">
      <c r="A455" s="5" t="s">
        <v>375</v>
      </c>
      <c r="B455">
        <f t="shared" ref="B455:Y455" si="125">B127/B$326</f>
        <v>22034354.833857745</v>
      </c>
      <c r="C455">
        <f t="shared" si="125"/>
        <v>14303830.011460047</v>
      </c>
      <c r="D455">
        <f t="shared" si="125"/>
        <v>6896170.380390496</v>
      </c>
      <c r="E455">
        <f t="shared" si="125"/>
        <v>18697603.98856191</v>
      </c>
      <c r="F455">
        <f t="shared" si="125"/>
        <v>17924705.333625574</v>
      </c>
      <c r="G455">
        <f t="shared" si="125"/>
        <v>14869751.551519657</v>
      </c>
      <c r="H455">
        <f t="shared" si="125"/>
        <v>11364627.86180521</v>
      </c>
      <c r="I455">
        <f t="shared" si="125"/>
        <v>33175189.930581767</v>
      </c>
      <c r="J455">
        <f t="shared" si="125"/>
        <v>29609223.766307779</v>
      </c>
      <c r="K455">
        <f t="shared" si="125"/>
        <v>21600833.605140459</v>
      </c>
      <c r="L455">
        <f t="shared" si="125"/>
        <v>12222473.166027287</v>
      </c>
      <c r="M455">
        <f t="shared" si="125"/>
        <v>11212647.152415074</v>
      </c>
      <c r="N455">
        <f t="shared" si="125"/>
        <v>7936240.3139035786</v>
      </c>
      <c r="O455">
        <f t="shared" si="125"/>
        <v>17350372.348887179</v>
      </c>
      <c r="P455">
        <f t="shared" si="125"/>
        <v>22278549.734044261</v>
      </c>
      <c r="Q455">
        <f t="shared" si="125"/>
        <v>10349750.693334257</v>
      </c>
      <c r="R455">
        <f t="shared" si="125"/>
        <v>22267972.470376246</v>
      </c>
      <c r="S455">
        <f t="shared" si="125"/>
        <v>15205883.118760385</v>
      </c>
      <c r="T455">
        <f t="shared" si="125"/>
        <v>19694482.814569924</v>
      </c>
      <c r="U455">
        <f t="shared" si="125"/>
        <v>11650519.408806631</v>
      </c>
      <c r="V455">
        <f t="shared" si="125"/>
        <v>18841336.544918675</v>
      </c>
      <c r="W455">
        <f t="shared" si="125"/>
        <v>27063373.93049898</v>
      </c>
      <c r="X455">
        <f t="shared" si="125"/>
        <v>99319286.837889999</v>
      </c>
      <c r="Y455">
        <f t="shared" si="125"/>
        <v>25615267.288307745</v>
      </c>
    </row>
    <row r="456" spans="1:25" x14ac:dyDescent="0.45">
      <c r="A456" s="5" t="s">
        <v>132</v>
      </c>
      <c r="B456">
        <f t="shared" ref="B456:Y456" si="126">B128/B$326</f>
        <v>7936745.7127984837</v>
      </c>
      <c r="C456">
        <f t="shared" si="126"/>
        <v>3754730.5102907876</v>
      </c>
      <c r="D456">
        <f t="shared" si="126"/>
        <v>6272216.2364659524</v>
      </c>
      <c r="E456">
        <f t="shared" si="126"/>
        <v>5252545.5769110592</v>
      </c>
      <c r="F456">
        <f t="shared" si="126"/>
        <v>5125339.1602808069</v>
      </c>
      <c r="G456">
        <f t="shared" si="126"/>
        <v>4192037.6403011666</v>
      </c>
      <c r="H456">
        <f t="shared" si="126"/>
        <v>2512684.3546926794</v>
      </c>
      <c r="I456">
        <f t="shared" si="126"/>
        <v>6102566.7632824993</v>
      </c>
      <c r="J456">
        <f t="shared" si="126"/>
        <v>10063525.263980478</v>
      </c>
      <c r="K456">
        <f t="shared" si="126"/>
        <v>2336117.3435862022</v>
      </c>
      <c r="L456">
        <f t="shared" si="126"/>
        <v>3578076.0812933086</v>
      </c>
      <c r="M456">
        <f t="shared" si="126"/>
        <v>3750109.8752316809</v>
      </c>
      <c r="N456">
        <f t="shared" si="126"/>
        <v>555354.71729041857</v>
      </c>
      <c r="O456">
        <f t="shared" si="126"/>
        <v>1630759.0813099351</v>
      </c>
      <c r="P456">
        <f t="shared" si="126"/>
        <v>1151878.9309510584</v>
      </c>
      <c r="Q456">
        <f t="shared" si="126"/>
        <v>826088.19892214763</v>
      </c>
      <c r="R456">
        <f t="shared" si="126"/>
        <v>8773602.6822259277</v>
      </c>
      <c r="S456">
        <f t="shared" si="126"/>
        <v>1723023.384344839</v>
      </c>
      <c r="T456">
        <f t="shared" si="126"/>
        <v>2910995.7034353702</v>
      </c>
      <c r="U456">
        <f t="shared" si="126"/>
        <v>1876909.6847382875</v>
      </c>
      <c r="V456">
        <f t="shared" si="126"/>
        <v>1084998.9366231491</v>
      </c>
      <c r="W456">
        <f t="shared" si="126"/>
        <v>5913728.6647626972</v>
      </c>
      <c r="X456">
        <f t="shared" si="126"/>
        <v>62590840.817097299</v>
      </c>
      <c r="Y456">
        <f t="shared" si="126"/>
        <v>6724764.4345806874</v>
      </c>
    </row>
    <row r="457" spans="1:25" x14ac:dyDescent="0.45">
      <c r="A457" s="5" t="s">
        <v>133</v>
      </c>
      <c r="B457">
        <f t="shared" ref="B457:Y457" si="127">B129/B$326</f>
        <v>34413661.05231338</v>
      </c>
      <c r="C457">
        <f t="shared" si="127"/>
        <v>17442541.582184646</v>
      </c>
      <c r="D457">
        <f t="shared" si="127"/>
        <v>28835400.751163151</v>
      </c>
      <c r="E457">
        <f t="shared" si="127"/>
        <v>25017727.674059588</v>
      </c>
      <c r="F457">
        <f t="shared" si="127"/>
        <v>21838779.953444406</v>
      </c>
      <c r="G457">
        <f t="shared" si="127"/>
        <v>19905975.115981665</v>
      </c>
      <c r="H457">
        <f t="shared" si="127"/>
        <v>12755630.638131445</v>
      </c>
      <c r="I457">
        <f t="shared" si="127"/>
        <v>34958093.154763073</v>
      </c>
      <c r="J457">
        <f t="shared" si="127"/>
        <v>43693298.006835267</v>
      </c>
      <c r="K457">
        <f t="shared" si="127"/>
        <v>12324867.321652357</v>
      </c>
      <c r="L457">
        <f t="shared" si="127"/>
        <v>16680883.026563566</v>
      </c>
      <c r="M457">
        <f t="shared" si="127"/>
        <v>18245727.866681125</v>
      </c>
      <c r="N457">
        <f t="shared" si="127"/>
        <v>8749298.5873425081</v>
      </c>
      <c r="O457">
        <f t="shared" si="127"/>
        <v>8334588.6658545434</v>
      </c>
      <c r="P457">
        <f t="shared" si="127"/>
        <v>5545650.6389968107</v>
      </c>
      <c r="Q457">
        <f t="shared" si="127"/>
        <v>4475782.1138700685</v>
      </c>
      <c r="R457">
        <f t="shared" si="127"/>
        <v>39458731.540504925</v>
      </c>
      <c r="S457">
        <f t="shared" si="127"/>
        <v>8690630.7989086807</v>
      </c>
      <c r="T457">
        <f t="shared" si="127"/>
        <v>13970599.219390798</v>
      </c>
      <c r="U457">
        <f t="shared" si="127"/>
        <v>9629493.6932148896</v>
      </c>
      <c r="V457">
        <f t="shared" si="127"/>
        <v>5422030.5119913844</v>
      </c>
      <c r="W457">
        <f t="shared" si="127"/>
        <v>28251492.650292318</v>
      </c>
      <c r="X457">
        <f t="shared" si="127"/>
        <v>247511688.50434101</v>
      </c>
      <c r="Y457">
        <f t="shared" si="127"/>
        <v>34319963.544146374</v>
      </c>
    </row>
    <row r="458" spans="1:25" x14ac:dyDescent="0.45">
      <c r="A458" s="5" t="s">
        <v>140</v>
      </c>
      <c r="B458">
        <f t="shared" ref="B458:Y458" si="128">B130/B$326</f>
        <v>164241825.16693205</v>
      </c>
      <c r="C458">
        <f t="shared" si="128"/>
        <v>137360669.45241687</v>
      </c>
      <c r="D458">
        <f t="shared" si="128"/>
        <v>178537565.81757346</v>
      </c>
      <c r="E458">
        <f t="shared" si="128"/>
        <v>18517062.041573759</v>
      </c>
      <c r="F458">
        <f t="shared" si="128"/>
        <v>21156602.499939021</v>
      </c>
      <c r="G458">
        <f t="shared" si="128"/>
        <v>106531673.80725393</v>
      </c>
      <c r="H458">
        <f t="shared" si="128"/>
        <v>8060886.7444691323</v>
      </c>
      <c r="I458">
        <f t="shared" si="128"/>
        <v>1639943961.1211562</v>
      </c>
      <c r="J458">
        <f t="shared" si="128"/>
        <v>41777798.566505454</v>
      </c>
      <c r="K458">
        <f t="shared" si="128"/>
        <v>925694031.65233457</v>
      </c>
      <c r="L458">
        <f t="shared" si="128"/>
        <v>499465631.17913514</v>
      </c>
      <c r="M458">
        <f t="shared" si="128"/>
        <v>266841324.08757576</v>
      </c>
      <c r="N458">
        <f t="shared" si="128"/>
        <v>37276147.191242702</v>
      </c>
      <c r="O458">
        <f t="shared" si="128"/>
        <v>9355450.4635307509</v>
      </c>
      <c r="P458">
        <f t="shared" si="128"/>
        <v>17117408.594185445</v>
      </c>
      <c r="Q458">
        <f t="shared" si="128"/>
        <v>11847008.904977115</v>
      </c>
      <c r="R458">
        <f t="shared" si="128"/>
        <v>46109498.864120401</v>
      </c>
      <c r="S458">
        <f t="shared" si="128"/>
        <v>51194884.210776925</v>
      </c>
      <c r="T458">
        <f t="shared" si="128"/>
        <v>7054201.7758082161</v>
      </c>
      <c r="U458">
        <f t="shared" si="128"/>
        <v>14991564.258912288</v>
      </c>
      <c r="V458">
        <f t="shared" si="128"/>
        <v>17330166.004699852</v>
      </c>
      <c r="W458">
        <f t="shared" si="128"/>
        <v>17059291.640875112</v>
      </c>
      <c r="X458">
        <f t="shared" si="128"/>
        <v>296988782.30767</v>
      </c>
      <c r="Y458">
        <f t="shared" si="128"/>
        <v>4556423.7337569501</v>
      </c>
    </row>
    <row r="459" spans="1:25" x14ac:dyDescent="0.45">
      <c r="A459" s="5" t="s">
        <v>417</v>
      </c>
      <c r="B459">
        <f t="shared" ref="B459:Y459" si="129">B131/B$326</f>
        <v>46122755.713682905</v>
      </c>
      <c r="C459">
        <f t="shared" si="129"/>
        <v>79244533.635026291</v>
      </c>
      <c r="D459">
        <f t="shared" si="129"/>
        <v>38979754.092740834</v>
      </c>
      <c r="E459">
        <f t="shared" si="129"/>
        <v>56585444.25046894</v>
      </c>
      <c r="F459">
        <f t="shared" si="129"/>
        <v>60186946.714911312</v>
      </c>
      <c r="G459">
        <f t="shared" si="129"/>
        <v>114303037.81306715</v>
      </c>
      <c r="H459">
        <f t="shared" si="129"/>
        <v>77680056.144490987</v>
      </c>
      <c r="I459">
        <f t="shared" si="129"/>
        <v>32168918.013534848</v>
      </c>
      <c r="J459">
        <f t="shared" si="129"/>
        <v>113856786.87060013</v>
      </c>
      <c r="K459">
        <f t="shared" si="129"/>
        <v>106409812.63863587</v>
      </c>
      <c r="L459">
        <f t="shared" si="129"/>
        <v>69129835.588417023</v>
      </c>
      <c r="M459">
        <f t="shared" si="129"/>
        <v>47505714.699967124</v>
      </c>
      <c r="N459">
        <f t="shared" si="129"/>
        <v>72105198.653983861</v>
      </c>
      <c r="O459">
        <f t="shared" si="129"/>
        <v>207797714.97785759</v>
      </c>
      <c r="P459">
        <f t="shared" si="129"/>
        <v>142928629.975005</v>
      </c>
      <c r="Q459">
        <f t="shared" si="129"/>
        <v>42986728.633516088</v>
      </c>
      <c r="R459">
        <f t="shared" si="129"/>
        <v>44425526.9792355</v>
      </c>
      <c r="S459">
        <f t="shared" si="129"/>
        <v>65202440.5715198</v>
      </c>
      <c r="T459">
        <f t="shared" si="129"/>
        <v>50316070.48926644</v>
      </c>
      <c r="U459">
        <f t="shared" si="129"/>
        <v>146412221.66222659</v>
      </c>
      <c r="V459">
        <f t="shared" si="129"/>
        <v>172094484.76578686</v>
      </c>
      <c r="W459">
        <f t="shared" si="129"/>
        <v>126215656.92405497</v>
      </c>
      <c r="X459">
        <f t="shared" si="129"/>
        <v>103905623.657572</v>
      </c>
      <c r="Y459">
        <f t="shared" si="129"/>
        <v>120682304.45781687</v>
      </c>
    </row>
    <row r="460" spans="1:25" x14ac:dyDescent="0.45">
      <c r="A460" s="5" t="s">
        <v>418</v>
      </c>
      <c r="B460">
        <f t="shared" ref="B460:Y460" si="130">B132/B$326</f>
        <v>1699467.1247099848</v>
      </c>
      <c r="C460">
        <f t="shared" si="130"/>
        <v>8112718.6459993152</v>
      </c>
      <c r="D460">
        <f t="shared" si="130"/>
        <v>4515488.7430371093</v>
      </c>
      <c r="E460">
        <f t="shared" si="130"/>
        <v>2908628.9199466854</v>
      </c>
      <c r="F460">
        <f t="shared" si="130"/>
        <v>5371207.0508431913</v>
      </c>
      <c r="G460">
        <f t="shared" si="130"/>
        <v>4626787.3816128084</v>
      </c>
      <c r="H460">
        <f t="shared" si="130"/>
        <v>4033710.5561779914</v>
      </c>
      <c r="I460">
        <f t="shared" si="130"/>
        <v>58519735.687150016</v>
      </c>
      <c r="J460">
        <f t="shared" si="130"/>
        <v>9267431.3282822017</v>
      </c>
      <c r="K460">
        <f t="shared" si="130"/>
        <v>16280351.87808528</v>
      </c>
      <c r="L460">
        <f t="shared" si="130"/>
        <v>5284322.4444391867</v>
      </c>
      <c r="M460">
        <f t="shared" si="130"/>
        <v>8016935.9874039711</v>
      </c>
      <c r="N460">
        <f t="shared" si="130"/>
        <v>12538572.703682385</v>
      </c>
      <c r="O460">
        <f t="shared" si="130"/>
        <v>19234799.657302011</v>
      </c>
      <c r="P460">
        <f t="shared" si="130"/>
        <v>14294098.088148739</v>
      </c>
      <c r="Q460">
        <f t="shared" si="130"/>
        <v>10070249.254034948</v>
      </c>
      <c r="R460">
        <f t="shared" si="130"/>
        <v>7258773.8586295396</v>
      </c>
      <c r="S460">
        <f t="shared" si="130"/>
        <v>5287265.0993212042</v>
      </c>
      <c r="T460">
        <f t="shared" si="130"/>
        <v>4019407.2709067874</v>
      </c>
      <c r="U460">
        <f t="shared" si="130"/>
        <v>7072410.6571200294</v>
      </c>
      <c r="V460">
        <f t="shared" si="130"/>
        <v>9829054.4200796112</v>
      </c>
      <c r="W460">
        <f t="shared" si="130"/>
        <v>5613673.2578837788</v>
      </c>
      <c r="X460">
        <f t="shared" si="130"/>
        <v>47668848.551077597</v>
      </c>
      <c r="Y460">
        <f t="shared" si="130"/>
        <v>3983890.9040122</v>
      </c>
    </row>
    <row r="461" spans="1:25" x14ac:dyDescent="0.45">
      <c r="A461" s="5" t="s">
        <v>141</v>
      </c>
      <c r="B461">
        <f t="shared" ref="B461:Y461" si="131">B133/B$326</f>
        <v>10582028.289964827</v>
      </c>
      <c r="C461">
        <f t="shared" si="131"/>
        <v>13864644.459893951</v>
      </c>
      <c r="D461">
        <f t="shared" si="131"/>
        <v>5047949.990717019</v>
      </c>
      <c r="E461">
        <f t="shared" si="131"/>
        <v>5747309.4218108486</v>
      </c>
      <c r="F461">
        <f t="shared" si="131"/>
        <v>8182382.3893885054</v>
      </c>
      <c r="G461">
        <f t="shared" si="131"/>
        <v>6615031.3639296563</v>
      </c>
      <c r="H461">
        <f t="shared" si="131"/>
        <v>4972662.6466413774</v>
      </c>
      <c r="I461">
        <f t="shared" si="131"/>
        <v>10037282.627337549</v>
      </c>
      <c r="J461">
        <f t="shared" si="131"/>
        <v>10901783.410307925</v>
      </c>
      <c r="K461">
        <f t="shared" si="131"/>
        <v>15126184.79995719</v>
      </c>
      <c r="L461">
        <f t="shared" si="131"/>
        <v>7612204.5485678725</v>
      </c>
      <c r="M461">
        <f t="shared" si="131"/>
        <v>6170734.942925198</v>
      </c>
      <c r="N461">
        <f t="shared" si="131"/>
        <v>5009084.0641436037</v>
      </c>
      <c r="O461">
        <f t="shared" si="131"/>
        <v>17749566.214121949</v>
      </c>
      <c r="P461">
        <f t="shared" si="131"/>
        <v>16231937.774236189</v>
      </c>
      <c r="Q461">
        <f t="shared" si="131"/>
        <v>8883353.9032174628</v>
      </c>
      <c r="R461">
        <f t="shared" si="131"/>
        <v>14317829.177344427</v>
      </c>
      <c r="S461">
        <f t="shared" si="131"/>
        <v>9731053.0163658112</v>
      </c>
      <c r="T461">
        <f t="shared" si="131"/>
        <v>12741571.548967879</v>
      </c>
      <c r="U461">
        <f t="shared" si="131"/>
        <v>19715115.649075139</v>
      </c>
      <c r="V461">
        <f t="shared" si="131"/>
        <v>22134590.324062284</v>
      </c>
      <c r="W461">
        <f t="shared" si="131"/>
        <v>19065296.405093823</v>
      </c>
      <c r="X461">
        <f t="shared" si="131"/>
        <v>13666234.897907199</v>
      </c>
      <c r="Y461">
        <f t="shared" si="131"/>
        <v>15851092.174645435</v>
      </c>
    </row>
    <row r="462" spans="1:25" x14ac:dyDescent="0.45">
      <c r="A462" s="5" t="s">
        <v>142</v>
      </c>
      <c r="B462">
        <f t="shared" ref="B462:Y462" si="132">B134/B$326</f>
        <v>382966.6646493178</v>
      </c>
      <c r="C462">
        <f t="shared" si="132"/>
        <v>524033.61454814213</v>
      </c>
      <c r="D462">
        <f t="shared" si="132"/>
        <v>382107.68133442733</v>
      </c>
      <c r="E462">
        <f t="shared" si="132"/>
        <v>334882.59457594593</v>
      </c>
      <c r="F462">
        <f t="shared" si="132"/>
        <v>376653.7548381231</v>
      </c>
      <c r="G462">
        <f t="shared" si="132"/>
        <v>4400801.8516490394</v>
      </c>
      <c r="H462">
        <f t="shared" si="132"/>
        <v>225470.82832359272</v>
      </c>
      <c r="I462">
        <f t="shared" si="132"/>
        <v>314905.99002657813</v>
      </c>
      <c r="J462">
        <f t="shared" si="132"/>
        <v>775174.85537016508</v>
      </c>
      <c r="K462">
        <f t="shared" si="132"/>
        <v>173818.98067054796</v>
      </c>
      <c r="L462">
        <f t="shared" si="132"/>
        <v>497087.07578337076</v>
      </c>
      <c r="M462">
        <f t="shared" si="132"/>
        <v>267630.99890545267</v>
      </c>
      <c r="N462">
        <f t="shared" si="132"/>
        <v>210165.54156304261</v>
      </c>
      <c r="O462">
        <f t="shared" si="132"/>
        <v>448312.06367249653</v>
      </c>
      <c r="P462">
        <f t="shared" si="132"/>
        <v>249746.23197780375</v>
      </c>
      <c r="Q462">
        <f t="shared" si="132"/>
        <v>206616.24440975295</v>
      </c>
      <c r="R462">
        <f t="shared" si="132"/>
        <v>369071.33630722121</v>
      </c>
      <c r="S462">
        <f t="shared" si="132"/>
        <v>381402.76913401723</v>
      </c>
      <c r="T462">
        <f t="shared" si="132"/>
        <v>664382.26481701399</v>
      </c>
      <c r="U462">
        <f t="shared" si="132"/>
        <v>456536.6331009352</v>
      </c>
      <c r="V462">
        <f t="shared" si="132"/>
        <v>394006.55077836954</v>
      </c>
      <c r="W462">
        <f t="shared" si="132"/>
        <v>356544.96180174197</v>
      </c>
      <c r="X462">
        <f t="shared" si="132"/>
        <v>515111.39374693198</v>
      </c>
      <c r="Y462">
        <f t="shared" si="132"/>
        <v>373035.86011836992</v>
      </c>
    </row>
    <row r="463" spans="1:25" x14ac:dyDescent="0.45">
      <c r="A463" s="5" t="s">
        <v>143</v>
      </c>
      <c r="B463">
        <f t="shared" ref="B463:Y463" si="133">B135/B$326</f>
        <v>262487328.50318497</v>
      </c>
      <c r="C463">
        <f t="shared" si="133"/>
        <v>155105512.42818314</v>
      </c>
      <c r="D463">
        <f t="shared" si="133"/>
        <v>142241431.24491173</v>
      </c>
      <c r="E463">
        <f t="shared" si="133"/>
        <v>231259373.43653718</v>
      </c>
      <c r="F463">
        <f t="shared" si="133"/>
        <v>367232204.52099639</v>
      </c>
      <c r="G463">
        <f t="shared" si="133"/>
        <v>188185698.91551766</v>
      </c>
      <c r="H463">
        <f t="shared" si="133"/>
        <v>283681170.03811145</v>
      </c>
      <c r="I463">
        <f t="shared" si="133"/>
        <v>685425682.3562721</v>
      </c>
      <c r="J463">
        <f t="shared" si="133"/>
        <v>701302473.8002826</v>
      </c>
      <c r="K463">
        <f t="shared" si="133"/>
        <v>574542093.04635048</v>
      </c>
      <c r="L463">
        <f t="shared" si="133"/>
        <v>258353618.95292768</v>
      </c>
      <c r="M463">
        <f t="shared" si="133"/>
        <v>157150426.90236697</v>
      </c>
      <c r="N463">
        <f t="shared" si="133"/>
        <v>95301012.177795976</v>
      </c>
      <c r="O463">
        <f t="shared" si="133"/>
        <v>240292282.5905326</v>
      </c>
      <c r="P463">
        <f t="shared" si="133"/>
        <v>223703883.74023229</v>
      </c>
      <c r="Q463">
        <f t="shared" si="133"/>
        <v>123366398.29550099</v>
      </c>
      <c r="R463">
        <f t="shared" si="133"/>
        <v>850404996.36908269</v>
      </c>
      <c r="S463">
        <f t="shared" si="133"/>
        <v>256052829.18275875</v>
      </c>
      <c r="T463">
        <f t="shared" si="133"/>
        <v>350707022.90135777</v>
      </c>
      <c r="U463">
        <f t="shared" si="133"/>
        <v>396859845.82535231</v>
      </c>
      <c r="V463">
        <f t="shared" si="133"/>
        <v>225741868.67345166</v>
      </c>
      <c r="W463">
        <f t="shared" si="133"/>
        <v>419314959.26419431</v>
      </c>
      <c r="X463">
        <f t="shared" si="133"/>
        <v>674296739.65254498</v>
      </c>
      <c r="Y463">
        <f t="shared" si="133"/>
        <v>255646418.78775001</v>
      </c>
    </row>
    <row r="464" spans="1:25" x14ac:dyDescent="0.45">
      <c r="A464" s="5" t="s">
        <v>295</v>
      </c>
      <c r="B464">
        <f t="shared" ref="B464:Y464" si="134">B136/B$326</f>
        <v>4982458.7322115228</v>
      </c>
      <c r="C464">
        <f t="shared" si="134"/>
        <v>7798714.6225702344</v>
      </c>
      <c r="D464">
        <f t="shared" si="134"/>
        <v>5440344.4152912721</v>
      </c>
      <c r="E464">
        <f t="shared" si="134"/>
        <v>2234153.1777697336</v>
      </c>
      <c r="F464">
        <f t="shared" si="134"/>
        <v>4179085.9670026954</v>
      </c>
      <c r="G464">
        <f t="shared" si="134"/>
        <v>3168182.4831215884</v>
      </c>
      <c r="H464">
        <f t="shared" si="134"/>
        <v>3521239.6320696655</v>
      </c>
      <c r="I464">
        <f t="shared" si="134"/>
        <v>10487620.201987136</v>
      </c>
      <c r="J464">
        <f t="shared" si="134"/>
        <v>10814450.187378511</v>
      </c>
      <c r="K464">
        <f t="shared" si="134"/>
        <v>927725.3554640332</v>
      </c>
      <c r="L464">
        <f t="shared" si="134"/>
        <v>6495266.7066905322</v>
      </c>
      <c r="M464">
        <f t="shared" si="134"/>
        <v>2544203.008972846</v>
      </c>
      <c r="N464">
        <f t="shared" si="134"/>
        <v>3559443.7184173046</v>
      </c>
      <c r="O464">
        <f t="shared" si="134"/>
        <v>27332695.415136002</v>
      </c>
      <c r="P464">
        <f t="shared" si="134"/>
        <v>20431440.576084711</v>
      </c>
      <c r="Q464">
        <f t="shared" si="134"/>
        <v>4282549.818352595</v>
      </c>
      <c r="R464">
        <f t="shared" si="134"/>
        <v>7634428.1097000688</v>
      </c>
      <c r="S464">
        <f t="shared" si="134"/>
        <v>5323339.4879026916</v>
      </c>
      <c r="T464">
        <f t="shared" si="134"/>
        <v>9262350.95885255</v>
      </c>
      <c r="U464">
        <f t="shared" si="134"/>
        <v>10027489.400330387</v>
      </c>
      <c r="V464">
        <f t="shared" si="134"/>
        <v>8870481.7635062207</v>
      </c>
      <c r="W464">
        <f t="shared" si="134"/>
        <v>6624578.7931113215</v>
      </c>
      <c r="X464">
        <f t="shared" si="134"/>
        <v>40232270.028068297</v>
      </c>
      <c r="Y464">
        <f t="shared" si="134"/>
        <v>6649579.8928463748</v>
      </c>
    </row>
    <row r="465" spans="1:25" x14ac:dyDescent="0.45">
      <c r="A465" s="5" t="s">
        <v>382</v>
      </c>
      <c r="B465">
        <f t="shared" ref="B465:Y465" si="135">B137/B$326</f>
        <v>10185241.249523943</v>
      </c>
      <c r="C465">
        <f t="shared" si="135"/>
        <v>6148519.0923540331</v>
      </c>
      <c r="D465">
        <f t="shared" si="135"/>
        <v>3639074.8709837827</v>
      </c>
      <c r="E465">
        <f t="shared" si="135"/>
        <v>5159950.5542197404</v>
      </c>
      <c r="F465">
        <f t="shared" si="135"/>
        <v>8872262.6923198644</v>
      </c>
      <c r="G465">
        <f t="shared" si="135"/>
        <v>4848384.646763254</v>
      </c>
      <c r="H465">
        <f t="shared" si="135"/>
        <v>9321754.2212064508</v>
      </c>
      <c r="I465">
        <f t="shared" si="135"/>
        <v>51612580.99080202</v>
      </c>
      <c r="J465">
        <f t="shared" si="135"/>
        <v>22351325.570844188</v>
      </c>
      <c r="K465">
        <f t="shared" si="135"/>
        <v>2968118.3576052785</v>
      </c>
      <c r="L465">
        <f t="shared" si="135"/>
        <v>6657955.8095153198</v>
      </c>
      <c r="M465">
        <f t="shared" si="135"/>
        <v>1967463.4117586049</v>
      </c>
      <c r="N465">
        <f t="shared" si="135"/>
        <v>1808061.6941266204</v>
      </c>
      <c r="O465">
        <f t="shared" si="135"/>
        <v>14563269.375376036</v>
      </c>
      <c r="P465">
        <f t="shared" si="135"/>
        <v>15458833.584288426</v>
      </c>
      <c r="Q465">
        <f t="shared" si="135"/>
        <v>2694858.9686397999</v>
      </c>
      <c r="R465">
        <f t="shared" si="135"/>
        <v>7914859.3021844337</v>
      </c>
      <c r="S465">
        <f t="shared" si="135"/>
        <v>4376362.6647436908</v>
      </c>
      <c r="T465">
        <f t="shared" si="135"/>
        <v>12953683.820045419</v>
      </c>
      <c r="U465">
        <f t="shared" si="135"/>
        <v>33945845.056180961</v>
      </c>
      <c r="V465">
        <f t="shared" si="135"/>
        <v>13301914.773956407</v>
      </c>
      <c r="W465">
        <f t="shared" si="135"/>
        <v>12663189.379520694</v>
      </c>
      <c r="X465">
        <f t="shared" si="135"/>
        <v>7501240.2665676698</v>
      </c>
      <c r="Y465">
        <f t="shared" si="135"/>
        <v>7339613.4231081866</v>
      </c>
    </row>
    <row r="466" spans="1:25" x14ac:dyDescent="0.45">
      <c r="A466" s="5" t="s">
        <v>296</v>
      </c>
      <c r="B466">
        <f t="shared" ref="B466:Y466" si="136">B138/B$326</f>
        <v>780992.05152032711</v>
      </c>
      <c r="C466">
        <f t="shared" si="136"/>
        <v>73260289.7229525</v>
      </c>
      <c r="D466">
        <f t="shared" si="136"/>
        <v>4084383.4273944888</v>
      </c>
      <c r="E466">
        <f t="shared" si="136"/>
        <v>1157854.2742626672</v>
      </c>
      <c r="F466">
        <f t="shared" si="136"/>
        <v>500205.2623027995</v>
      </c>
      <c r="G466">
        <f t="shared" si="136"/>
        <v>22844522.629063629</v>
      </c>
      <c r="H466">
        <f t="shared" si="136"/>
        <v>22951846.998904359</v>
      </c>
      <c r="I466">
        <f t="shared" si="136"/>
        <v>222419.11501946399</v>
      </c>
      <c r="J466">
        <f t="shared" si="136"/>
        <v>1716464.2149224945</v>
      </c>
      <c r="K466">
        <f t="shared" si="136"/>
        <v>1041586.6122016752</v>
      </c>
      <c r="L466">
        <f t="shared" si="136"/>
        <v>1256765.1290385958</v>
      </c>
      <c r="M466">
        <f t="shared" si="136"/>
        <v>50303991.466770895</v>
      </c>
      <c r="N466">
        <f t="shared" si="136"/>
        <v>28236581.934195437</v>
      </c>
      <c r="O466">
        <f t="shared" si="136"/>
        <v>41484355.513397433</v>
      </c>
      <c r="P466">
        <f t="shared" si="136"/>
        <v>8850165.9884903133</v>
      </c>
      <c r="Q466">
        <f t="shared" si="136"/>
        <v>86723364.856047571</v>
      </c>
      <c r="R466">
        <f t="shared" si="136"/>
        <v>887084.91176336585</v>
      </c>
      <c r="S466">
        <f t="shared" si="136"/>
        <v>18040953.21054868</v>
      </c>
      <c r="T466">
        <f t="shared" si="136"/>
        <v>2036851.3434502648</v>
      </c>
      <c r="U466">
        <f t="shared" si="136"/>
        <v>17075100.113436185</v>
      </c>
      <c r="V466">
        <f t="shared" si="136"/>
        <v>30505461.702032398</v>
      </c>
      <c r="W466">
        <f t="shared" si="136"/>
        <v>10938874.013542263</v>
      </c>
      <c r="X466">
        <f t="shared" si="136"/>
        <v>262878.51002977102</v>
      </c>
      <c r="Y466">
        <f t="shared" si="136"/>
        <v>5815307.6106271064</v>
      </c>
    </row>
    <row r="467" spans="1:25" x14ac:dyDescent="0.45">
      <c r="A467" s="5" t="s">
        <v>144</v>
      </c>
      <c r="B467">
        <f t="shared" ref="B467:Y467" si="137">B139/B$326</f>
        <v>13436203.04955278</v>
      </c>
      <c r="C467">
        <f t="shared" si="137"/>
        <v>19413769.486084584</v>
      </c>
      <c r="D467">
        <f t="shared" si="137"/>
        <v>9925419.5363810677</v>
      </c>
      <c r="E467">
        <f t="shared" si="137"/>
        <v>11857440.59428744</v>
      </c>
      <c r="F467">
        <f t="shared" si="137"/>
        <v>15579390.647551512</v>
      </c>
      <c r="G467">
        <f t="shared" si="137"/>
        <v>14858050.256187694</v>
      </c>
      <c r="H467">
        <f t="shared" si="137"/>
        <v>12019858.67893854</v>
      </c>
      <c r="I467">
        <f t="shared" si="137"/>
        <v>21380669.788526773</v>
      </c>
      <c r="J467">
        <f t="shared" si="137"/>
        <v>27651259.023861356</v>
      </c>
      <c r="K467">
        <f t="shared" si="137"/>
        <v>13878998.360230733</v>
      </c>
      <c r="L467">
        <f t="shared" si="137"/>
        <v>14758873.506408459</v>
      </c>
      <c r="M467">
        <f t="shared" si="137"/>
        <v>12260288.478148645</v>
      </c>
      <c r="N467">
        <f t="shared" si="137"/>
        <v>7083513.3085513664</v>
      </c>
      <c r="O467">
        <f t="shared" si="137"/>
        <v>21597030.434072223</v>
      </c>
      <c r="P467">
        <f t="shared" si="137"/>
        <v>21404292.135415219</v>
      </c>
      <c r="Q467">
        <f t="shared" si="137"/>
        <v>12852944.143514778</v>
      </c>
      <c r="R467">
        <f t="shared" si="137"/>
        <v>23519206.699014205</v>
      </c>
      <c r="S467">
        <f t="shared" si="137"/>
        <v>13886647.939850049</v>
      </c>
      <c r="T467">
        <f t="shared" si="137"/>
        <v>16405237.273928931</v>
      </c>
      <c r="U467">
        <f t="shared" si="137"/>
        <v>24393275.153832</v>
      </c>
      <c r="V467">
        <f t="shared" si="137"/>
        <v>22384884.788373072</v>
      </c>
      <c r="W467">
        <f t="shared" si="137"/>
        <v>22995607.292682648</v>
      </c>
      <c r="X467">
        <f t="shared" si="137"/>
        <v>28544050.176762599</v>
      </c>
      <c r="Y467">
        <f t="shared" si="137"/>
        <v>21176855.718313437</v>
      </c>
    </row>
    <row r="468" spans="1:25" x14ac:dyDescent="0.45">
      <c r="A468" s="5" t="s">
        <v>145</v>
      </c>
      <c r="B468">
        <f t="shared" ref="B468:Y468" si="138">B140/B$326</f>
        <v>55311503.716798209</v>
      </c>
      <c r="C468">
        <f t="shared" si="138"/>
        <v>73691920.41632919</v>
      </c>
      <c r="D468">
        <f t="shared" si="138"/>
        <v>34171194.57626754</v>
      </c>
      <c r="E468">
        <f t="shared" si="138"/>
        <v>40968889.78722547</v>
      </c>
      <c r="F468">
        <f t="shared" si="138"/>
        <v>86066961.5777255</v>
      </c>
      <c r="G468">
        <f t="shared" si="138"/>
        <v>28877817.646953482</v>
      </c>
      <c r="H468">
        <f t="shared" si="138"/>
        <v>112880662.97760871</v>
      </c>
      <c r="I468">
        <f t="shared" si="138"/>
        <v>257752644.72538856</v>
      </c>
      <c r="J468">
        <f t="shared" si="138"/>
        <v>306493923.52155614</v>
      </c>
      <c r="K468">
        <f t="shared" si="138"/>
        <v>50969849.233598143</v>
      </c>
      <c r="L468">
        <f t="shared" si="138"/>
        <v>44365828.014281489</v>
      </c>
      <c r="M468">
        <f t="shared" si="138"/>
        <v>47216615.69890102</v>
      </c>
      <c r="N468">
        <f t="shared" si="138"/>
        <v>72974292.773031831</v>
      </c>
      <c r="O468">
        <f t="shared" si="138"/>
        <v>159761372.07850271</v>
      </c>
      <c r="P468">
        <f t="shared" si="138"/>
        <v>131648647.96938677</v>
      </c>
      <c r="Q468">
        <f t="shared" si="138"/>
        <v>45862081.326954424</v>
      </c>
      <c r="R468">
        <f t="shared" si="138"/>
        <v>173182008.29341316</v>
      </c>
      <c r="S468">
        <f t="shared" si="138"/>
        <v>75635599.938126564</v>
      </c>
      <c r="T468">
        <f t="shared" si="138"/>
        <v>44674683.492151335</v>
      </c>
      <c r="U468">
        <f t="shared" si="138"/>
        <v>133557560.70740218</v>
      </c>
      <c r="V468">
        <f t="shared" si="138"/>
        <v>91041952.87584962</v>
      </c>
      <c r="W468">
        <f t="shared" si="138"/>
        <v>82587810.969140187</v>
      </c>
      <c r="X468">
        <f t="shared" si="138"/>
        <v>119094066.613297</v>
      </c>
      <c r="Y468">
        <f t="shared" si="138"/>
        <v>50209015.225947686</v>
      </c>
    </row>
    <row r="469" spans="1:25" x14ac:dyDescent="0.45">
      <c r="A469" s="5" t="s">
        <v>146</v>
      </c>
      <c r="B469">
        <f t="shared" ref="B469:Y469" si="139">B141/B$326</f>
        <v>3021314.2489320883</v>
      </c>
      <c r="C469">
        <f t="shared" si="139"/>
        <v>3163308.4549830244</v>
      </c>
      <c r="D469">
        <f t="shared" si="139"/>
        <v>2373760.1802142826</v>
      </c>
      <c r="E469">
        <f t="shared" si="139"/>
        <v>2374227.5944265863</v>
      </c>
      <c r="F469">
        <f t="shared" si="139"/>
        <v>1434444.3982993758</v>
      </c>
      <c r="G469">
        <f t="shared" si="139"/>
        <v>5598857.9485009806</v>
      </c>
      <c r="H469">
        <f t="shared" si="139"/>
        <v>2182062.119260422</v>
      </c>
      <c r="I469">
        <f t="shared" si="139"/>
        <v>5419303.947579748</v>
      </c>
      <c r="J469">
        <f t="shared" si="139"/>
        <v>6382040.2477559056</v>
      </c>
      <c r="K469">
        <f t="shared" si="139"/>
        <v>5464495.6783760954</v>
      </c>
      <c r="L469">
        <f t="shared" si="139"/>
        <v>2198893.658560399</v>
      </c>
      <c r="M469">
        <f t="shared" si="139"/>
        <v>2921043.9668463171</v>
      </c>
      <c r="N469">
        <f t="shared" si="139"/>
        <v>1886945.8983030438</v>
      </c>
      <c r="O469">
        <f t="shared" si="139"/>
        <v>3935183.5893918131</v>
      </c>
      <c r="P469">
        <f t="shared" si="139"/>
        <v>4878280.1810920043</v>
      </c>
      <c r="Q469">
        <f t="shared" si="139"/>
        <v>1798626.3168936423</v>
      </c>
      <c r="R469">
        <f t="shared" si="139"/>
        <v>5206718.4423884163</v>
      </c>
      <c r="S469">
        <f t="shared" si="139"/>
        <v>4122163.6938762176</v>
      </c>
      <c r="T469">
        <f t="shared" si="139"/>
        <v>3498070.0044470299</v>
      </c>
      <c r="U469">
        <f t="shared" si="139"/>
        <v>4934072.4161577364</v>
      </c>
      <c r="V469">
        <f t="shared" si="139"/>
        <v>4531466.545985912</v>
      </c>
      <c r="W469">
        <f t="shared" si="139"/>
        <v>4416998.913289954</v>
      </c>
      <c r="X469">
        <f t="shared" si="139"/>
        <v>16635324.7684674</v>
      </c>
      <c r="Y469">
        <f t="shared" si="139"/>
        <v>3308004.2211337308</v>
      </c>
    </row>
    <row r="470" spans="1:25" x14ac:dyDescent="0.45">
      <c r="A470" s="5" t="s">
        <v>420</v>
      </c>
      <c r="B470">
        <f t="shared" ref="B470:Y470" si="140">B142/B$326</f>
        <v>3084719.4370625098</v>
      </c>
      <c r="C470">
        <f t="shared" si="140"/>
        <v>7448995.0615300173</v>
      </c>
      <c r="D470">
        <f t="shared" si="140"/>
        <v>3395404.7009056383</v>
      </c>
      <c r="E470">
        <f t="shared" si="140"/>
        <v>3754285.4696819345</v>
      </c>
      <c r="F470">
        <f t="shared" si="140"/>
        <v>3942625.8924624156</v>
      </c>
      <c r="G470">
        <f t="shared" si="140"/>
        <v>4606177.1512468876</v>
      </c>
      <c r="H470">
        <f t="shared" si="140"/>
        <v>913358.54433772247</v>
      </c>
      <c r="I470">
        <f t="shared" si="140"/>
        <v>71932179.183875293</v>
      </c>
      <c r="J470">
        <f t="shared" si="140"/>
        <v>7941916.2319640415</v>
      </c>
      <c r="K470">
        <f t="shared" si="140"/>
        <v>64668576.028998181</v>
      </c>
      <c r="L470">
        <f t="shared" si="140"/>
        <v>3681386.0589210163</v>
      </c>
      <c r="M470">
        <f t="shared" si="140"/>
        <v>1165858.0336694613</v>
      </c>
      <c r="N470">
        <f t="shared" si="140"/>
        <v>3919006.2669986291</v>
      </c>
      <c r="O470">
        <f t="shared" si="140"/>
        <v>9360690.9694420956</v>
      </c>
      <c r="P470">
        <f t="shared" si="140"/>
        <v>9700111.4193361159</v>
      </c>
      <c r="Q470">
        <f t="shared" si="140"/>
        <v>4035775.4243710656</v>
      </c>
      <c r="R470">
        <f t="shared" si="140"/>
        <v>4690877.6334230136</v>
      </c>
      <c r="S470">
        <f t="shared" si="140"/>
        <v>3970665.442545108</v>
      </c>
      <c r="T470">
        <f t="shared" si="140"/>
        <v>5614560.3573365705</v>
      </c>
      <c r="U470">
        <f t="shared" si="140"/>
        <v>2361084.6110956413</v>
      </c>
      <c r="V470">
        <f t="shared" si="140"/>
        <v>9162980.1918988787</v>
      </c>
      <c r="W470">
        <f t="shared" si="140"/>
        <v>58149872.250696637</v>
      </c>
      <c r="X470">
        <f t="shared" si="140"/>
        <v>60505189.371210501</v>
      </c>
      <c r="Y470">
        <f t="shared" si="140"/>
        <v>66151014.326737501</v>
      </c>
    </row>
    <row r="471" spans="1:25" x14ac:dyDescent="0.45">
      <c r="A471" s="5" t="s">
        <v>298</v>
      </c>
      <c r="B471">
        <f t="shared" ref="B471:Y471" si="141">B143/B$326</f>
        <v>32750605.6901282</v>
      </c>
      <c r="C471">
        <f t="shared" si="141"/>
        <v>7552576.0770494444</v>
      </c>
      <c r="D471">
        <f t="shared" si="141"/>
        <v>11214179.184842581</v>
      </c>
      <c r="E471">
        <f t="shared" si="141"/>
        <v>14279095.242436277</v>
      </c>
      <c r="F471">
        <f t="shared" si="141"/>
        <v>40656378.841555133</v>
      </c>
      <c r="G471">
        <f t="shared" si="141"/>
        <v>10089892.718008187</v>
      </c>
      <c r="H471">
        <f t="shared" si="141"/>
        <v>10969473.972946797</v>
      </c>
      <c r="I471">
        <f t="shared" si="141"/>
        <v>684385583.82300794</v>
      </c>
      <c r="J471">
        <f t="shared" si="141"/>
        <v>71565351.887182638</v>
      </c>
      <c r="K471">
        <f t="shared" si="141"/>
        <v>102294947.42974108</v>
      </c>
      <c r="L471">
        <f t="shared" si="141"/>
        <v>28766887.830712926</v>
      </c>
      <c r="M471">
        <f t="shared" si="141"/>
        <v>11847930.934880283</v>
      </c>
      <c r="N471">
        <f t="shared" si="141"/>
        <v>2642183.066077</v>
      </c>
      <c r="O471">
        <f t="shared" si="141"/>
        <v>15715411.123851394</v>
      </c>
      <c r="P471">
        <f t="shared" si="141"/>
        <v>14548848.648664022</v>
      </c>
      <c r="Q471">
        <f t="shared" si="141"/>
        <v>4965645.0840968508</v>
      </c>
      <c r="R471">
        <f t="shared" si="141"/>
        <v>31850300.673654448</v>
      </c>
      <c r="S471">
        <f t="shared" si="141"/>
        <v>10483239.454792321</v>
      </c>
      <c r="T471">
        <f t="shared" si="141"/>
        <v>33264395.792097565</v>
      </c>
      <c r="U471">
        <f t="shared" si="141"/>
        <v>55281767.835740924</v>
      </c>
      <c r="V471">
        <f t="shared" si="141"/>
        <v>15014611.946804943</v>
      </c>
      <c r="W471">
        <f t="shared" si="141"/>
        <v>35100552.506300479</v>
      </c>
      <c r="X471">
        <f t="shared" si="141"/>
        <v>100403629.62026601</v>
      </c>
      <c r="Y471">
        <f t="shared" si="141"/>
        <v>15413398.159208251</v>
      </c>
    </row>
    <row r="472" spans="1:25" x14ac:dyDescent="0.45">
      <c r="A472" s="5" t="s">
        <v>155</v>
      </c>
      <c r="B472">
        <f t="shared" ref="B472:Y472" si="142">B144/B$326</f>
        <v>51841579.375385903</v>
      </c>
      <c r="C472">
        <f t="shared" si="142"/>
        <v>65459393.68500565</v>
      </c>
      <c r="D472">
        <f t="shared" si="142"/>
        <v>29862507.730768394</v>
      </c>
      <c r="E472">
        <f t="shared" si="142"/>
        <v>48863940.211360343</v>
      </c>
      <c r="F472">
        <f t="shared" si="142"/>
        <v>67866726.82943894</v>
      </c>
      <c r="G472">
        <f t="shared" si="142"/>
        <v>45365189.317894854</v>
      </c>
      <c r="H472">
        <f t="shared" si="142"/>
        <v>59157997.768995151</v>
      </c>
      <c r="I472">
        <f t="shared" si="142"/>
        <v>273848696.10020459</v>
      </c>
      <c r="J472">
        <f t="shared" si="142"/>
        <v>139707899.87330452</v>
      </c>
      <c r="K472">
        <f t="shared" si="142"/>
        <v>110899958.31384343</v>
      </c>
      <c r="L472">
        <f t="shared" si="142"/>
        <v>75757574.664798945</v>
      </c>
      <c r="M472">
        <f t="shared" si="142"/>
        <v>57880961.106664754</v>
      </c>
      <c r="N472">
        <f t="shared" si="142"/>
        <v>18255373.896593023</v>
      </c>
      <c r="O472">
        <f t="shared" si="142"/>
        <v>103294123.5867165</v>
      </c>
      <c r="P472">
        <f t="shared" si="142"/>
        <v>84652748.210192606</v>
      </c>
      <c r="Q472">
        <f t="shared" si="142"/>
        <v>33152925.027875494</v>
      </c>
      <c r="R472">
        <f t="shared" si="142"/>
        <v>191064806.30765927</v>
      </c>
      <c r="S472">
        <f t="shared" si="142"/>
        <v>67447479.664069012</v>
      </c>
      <c r="T472">
        <f t="shared" si="142"/>
        <v>65828867.934653044</v>
      </c>
      <c r="U472">
        <f t="shared" si="142"/>
        <v>121267062.18782797</v>
      </c>
      <c r="V472">
        <f t="shared" si="142"/>
        <v>89767423.711679891</v>
      </c>
      <c r="W472">
        <f t="shared" si="142"/>
        <v>122969105.45481633</v>
      </c>
      <c r="X472">
        <f t="shared" si="142"/>
        <v>518229077.95553797</v>
      </c>
      <c r="Y472">
        <f t="shared" si="142"/>
        <v>79689334.908335</v>
      </c>
    </row>
    <row r="473" spans="1:25" x14ac:dyDescent="0.45">
      <c r="A473" s="5" t="s">
        <v>300</v>
      </c>
      <c r="B473">
        <f t="shared" ref="B473:Y473" si="143">B145/B$326</f>
        <v>1773002.7846758908</v>
      </c>
      <c r="C473">
        <f t="shared" si="143"/>
        <v>1569611.627247774</v>
      </c>
      <c r="D473">
        <f t="shared" si="143"/>
        <v>1125957.0643928912</v>
      </c>
      <c r="E473">
        <f t="shared" si="143"/>
        <v>82429347.657501861</v>
      </c>
      <c r="F473">
        <f t="shared" si="143"/>
        <v>72767203.423637837</v>
      </c>
      <c r="G473">
        <f t="shared" si="143"/>
        <v>1572722.3704439069</v>
      </c>
      <c r="H473">
        <f t="shared" si="143"/>
        <v>58391192.427949898</v>
      </c>
      <c r="I473">
        <f t="shared" si="143"/>
        <v>7693410.9334353022</v>
      </c>
      <c r="J473">
        <f t="shared" si="143"/>
        <v>218730802.09635505</v>
      </c>
      <c r="K473">
        <f t="shared" si="143"/>
        <v>2549194.1303769476</v>
      </c>
      <c r="L473">
        <f t="shared" si="143"/>
        <v>2785641.8193506757</v>
      </c>
      <c r="M473">
        <f t="shared" si="143"/>
        <v>1327821.6458473753</v>
      </c>
      <c r="N473">
        <f t="shared" si="143"/>
        <v>22449749.14500723</v>
      </c>
      <c r="O473">
        <f t="shared" si="143"/>
        <v>77623585.61390613</v>
      </c>
      <c r="P473">
        <f t="shared" si="143"/>
        <v>21851474.667272687</v>
      </c>
      <c r="Q473">
        <f t="shared" si="143"/>
        <v>33123858.816975228</v>
      </c>
      <c r="R473">
        <f t="shared" si="143"/>
        <v>149060528.12559059</v>
      </c>
      <c r="S473">
        <f t="shared" si="143"/>
        <v>80026732.509715378</v>
      </c>
      <c r="T473">
        <f t="shared" si="143"/>
        <v>92912064.627495304</v>
      </c>
      <c r="U473">
        <f t="shared" si="143"/>
        <v>113365130.46925946</v>
      </c>
      <c r="V473">
        <f t="shared" si="143"/>
        <v>34482353.606199786</v>
      </c>
      <c r="W473">
        <f t="shared" si="143"/>
        <v>106875027.27876633</v>
      </c>
      <c r="X473">
        <f t="shared" si="143"/>
        <v>315110355.34034997</v>
      </c>
      <c r="Y473">
        <f t="shared" si="143"/>
        <v>58036987.29852131</v>
      </c>
    </row>
    <row r="474" spans="1:25" x14ac:dyDescent="0.45">
      <c r="A474" s="5" t="s">
        <v>421</v>
      </c>
      <c r="B474">
        <f t="shared" ref="B474:Y474" si="144">B146/B$326</f>
        <v>3220441.6917278618</v>
      </c>
      <c r="C474">
        <f t="shared" si="144"/>
        <v>2064394.4309520565</v>
      </c>
      <c r="D474">
        <f t="shared" si="144"/>
        <v>2257360.6313905101</v>
      </c>
      <c r="E474">
        <f t="shared" si="144"/>
        <v>96238.971451434903</v>
      </c>
      <c r="F474">
        <f t="shared" si="144"/>
        <v>209592.20421391638</v>
      </c>
      <c r="G474">
        <f t="shared" si="144"/>
        <v>187548.27388240246</v>
      </c>
      <c r="H474">
        <f t="shared" si="144"/>
        <v>2218905.1162067931</v>
      </c>
      <c r="I474">
        <f t="shared" si="144"/>
        <v>7152742.0872221766</v>
      </c>
      <c r="J474">
        <f t="shared" si="144"/>
        <v>10339605.891141383</v>
      </c>
      <c r="K474">
        <f t="shared" si="144"/>
        <v>122161.87732745944</v>
      </c>
      <c r="L474">
        <f t="shared" si="144"/>
        <v>3793462.5339421863</v>
      </c>
      <c r="M474">
        <f t="shared" si="144"/>
        <v>1559314.2045868451</v>
      </c>
      <c r="N474">
        <f t="shared" si="144"/>
        <v>2400010.4123321883</v>
      </c>
      <c r="O474">
        <f t="shared" si="144"/>
        <v>4080888.2062406586</v>
      </c>
      <c r="P474">
        <f t="shared" si="144"/>
        <v>4227413.5076912008</v>
      </c>
      <c r="Q474">
        <f t="shared" si="144"/>
        <v>75959.341698675576</v>
      </c>
      <c r="R474">
        <f t="shared" si="144"/>
        <v>165555.02485440989</v>
      </c>
      <c r="S474">
        <f t="shared" si="144"/>
        <v>1176338.9046336417</v>
      </c>
      <c r="T474">
        <f t="shared" si="144"/>
        <v>3959359.4866712894</v>
      </c>
      <c r="U474">
        <f t="shared" si="144"/>
        <v>786768.45580003387</v>
      </c>
      <c r="V474">
        <f t="shared" si="144"/>
        <v>4190917.467215396</v>
      </c>
      <c r="W474">
        <f t="shared" si="144"/>
        <v>5123355.1233058479</v>
      </c>
      <c r="X474">
        <f t="shared" si="144"/>
        <v>7253721.2718449403</v>
      </c>
      <c r="Y474">
        <f t="shared" si="144"/>
        <v>5070862.4428030932</v>
      </c>
    </row>
    <row r="475" spans="1:25" x14ac:dyDescent="0.45">
      <c r="A475" s="5" t="s">
        <v>157</v>
      </c>
      <c r="B475">
        <f t="shared" ref="B475:Y475" si="145">B147/B$326</f>
        <v>169977.69786449004</v>
      </c>
      <c r="C475">
        <f t="shared" si="145"/>
        <v>344040.10519230261</v>
      </c>
      <c r="D475">
        <f t="shared" si="145"/>
        <v>315111.64156064816</v>
      </c>
      <c r="E475">
        <f t="shared" si="145"/>
        <v>492424.74071165477</v>
      </c>
      <c r="F475">
        <f t="shared" si="145"/>
        <v>806684.18917849066</v>
      </c>
      <c r="G475">
        <f t="shared" si="145"/>
        <v>491865.67488749023</v>
      </c>
      <c r="H475">
        <f t="shared" si="145"/>
        <v>447360.3827285096</v>
      </c>
      <c r="I475">
        <f t="shared" si="145"/>
        <v>3771576.4228283539</v>
      </c>
      <c r="J475">
        <f t="shared" si="145"/>
        <v>1039410.1392067526</v>
      </c>
      <c r="K475">
        <f t="shared" si="145"/>
        <v>4452348.0382457497</v>
      </c>
      <c r="L475">
        <f t="shared" si="145"/>
        <v>583700.0343928776</v>
      </c>
      <c r="M475">
        <f t="shared" si="145"/>
        <v>447680.60261304618</v>
      </c>
      <c r="N475">
        <f t="shared" si="145"/>
        <v>1984162.6452070042</v>
      </c>
      <c r="O475">
        <f t="shared" si="145"/>
        <v>3729460.8783244728</v>
      </c>
      <c r="P475">
        <f t="shared" si="145"/>
        <v>673861.64969343937</v>
      </c>
      <c r="Q475">
        <f t="shared" si="145"/>
        <v>360805.0051704428</v>
      </c>
      <c r="R475">
        <f t="shared" si="145"/>
        <v>1882197.625104778</v>
      </c>
      <c r="S475">
        <f t="shared" si="145"/>
        <v>1020285.7903324523</v>
      </c>
      <c r="T475">
        <f t="shared" si="145"/>
        <v>190403.86200433914</v>
      </c>
      <c r="U475">
        <f t="shared" si="145"/>
        <v>968909.22160614131</v>
      </c>
      <c r="V475">
        <f t="shared" si="145"/>
        <v>968780.83464448608</v>
      </c>
      <c r="W475">
        <f t="shared" si="145"/>
        <v>447419.89526362607</v>
      </c>
      <c r="X475">
        <f t="shared" si="145"/>
        <v>2551244.5068129702</v>
      </c>
      <c r="Y475">
        <f t="shared" si="145"/>
        <v>449154.24215186189</v>
      </c>
    </row>
    <row r="476" spans="1:25" x14ac:dyDescent="0.45">
      <c r="A476" s="5" t="s">
        <v>301</v>
      </c>
      <c r="B476">
        <f t="shared" ref="B476:Y476" si="146">B148/B$326</f>
        <v>1141219037.6501389</v>
      </c>
      <c r="C476">
        <f t="shared" si="146"/>
        <v>1069377529.5663137</v>
      </c>
      <c r="D476">
        <f t="shared" si="146"/>
        <v>657673623.96376145</v>
      </c>
      <c r="E476">
        <f t="shared" si="146"/>
        <v>746536826.11587703</v>
      </c>
      <c r="F476">
        <f t="shared" si="146"/>
        <v>1216633347.7591326</v>
      </c>
      <c r="G476">
        <f t="shared" si="146"/>
        <v>865133426.43364704</v>
      </c>
      <c r="H476">
        <f t="shared" si="146"/>
        <v>903597604.21613097</v>
      </c>
      <c r="I476">
        <f t="shared" si="146"/>
        <v>3246667143.7106009</v>
      </c>
      <c r="J476">
        <f t="shared" si="146"/>
        <v>2792634151.2429671</v>
      </c>
      <c r="K476">
        <f t="shared" si="146"/>
        <v>1221509070.0394289</v>
      </c>
      <c r="L476">
        <f t="shared" si="146"/>
        <v>1452043843.9649522</v>
      </c>
      <c r="M476">
        <f t="shared" si="146"/>
        <v>798423431.2066251</v>
      </c>
      <c r="N476">
        <f t="shared" si="146"/>
        <v>285502702.63146937</v>
      </c>
      <c r="O476">
        <f t="shared" si="146"/>
        <v>1306988826.407932</v>
      </c>
      <c r="P476">
        <f t="shared" si="146"/>
        <v>1027792280.0275084</v>
      </c>
      <c r="Q476">
        <f t="shared" si="146"/>
        <v>476798520.66718829</v>
      </c>
      <c r="R476">
        <f t="shared" si="146"/>
        <v>1754513224.0987279</v>
      </c>
      <c r="S476">
        <f t="shared" si="146"/>
        <v>1010727160.0136167</v>
      </c>
      <c r="T476">
        <f t="shared" si="146"/>
        <v>1317487482.8642647</v>
      </c>
      <c r="U476">
        <f t="shared" si="146"/>
        <v>1946314532.2270844</v>
      </c>
      <c r="V476">
        <f t="shared" si="146"/>
        <v>1116813894.6334934</v>
      </c>
      <c r="W476">
        <f t="shared" si="146"/>
        <v>718404632.38409674</v>
      </c>
      <c r="X476">
        <f t="shared" si="146"/>
        <v>3563394258.9503798</v>
      </c>
      <c r="Y476">
        <f t="shared" si="146"/>
        <v>1080534126.3570936</v>
      </c>
    </row>
    <row r="477" spans="1:25" x14ac:dyDescent="0.45">
      <c r="A477" s="5" t="s">
        <v>302</v>
      </c>
      <c r="B477">
        <f t="shared" ref="B477:Y477" si="147">B149/B$326</f>
        <v>44019289.785888381</v>
      </c>
      <c r="C477">
        <f t="shared" si="147"/>
        <v>30372619.932466056</v>
      </c>
      <c r="D477">
        <f t="shared" si="147"/>
        <v>30031225.950003948</v>
      </c>
      <c r="E477">
        <f t="shared" si="147"/>
        <v>74467357.036463439</v>
      </c>
      <c r="F477">
        <f t="shared" si="147"/>
        <v>94510165.203972206</v>
      </c>
      <c r="G477">
        <f t="shared" si="147"/>
        <v>61743189.205631375</v>
      </c>
      <c r="H477">
        <f t="shared" si="147"/>
        <v>54649335.578942105</v>
      </c>
      <c r="I477">
        <f t="shared" si="147"/>
        <v>86905525.025879532</v>
      </c>
      <c r="J477">
        <f t="shared" si="147"/>
        <v>84677355.650999442</v>
      </c>
      <c r="K477">
        <f t="shared" si="147"/>
        <v>126050252.26238188</v>
      </c>
      <c r="L477">
        <f t="shared" si="147"/>
        <v>47621042.38912452</v>
      </c>
      <c r="M477">
        <f t="shared" si="147"/>
        <v>18877540.965252202</v>
      </c>
      <c r="N477">
        <f t="shared" si="147"/>
        <v>8795366.2464286666</v>
      </c>
      <c r="O477">
        <f t="shared" si="147"/>
        <v>16573174.433456935</v>
      </c>
      <c r="P477">
        <f t="shared" si="147"/>
        <v>20455385.858681668</v>
      </c>
      <c r="Q477">
        <f t="shared" si="147"/>
        <v>24183331.110288464</v>
      </c>
      <c r="R477">
        <f t="shared" si="147"/>
        <v>202908999.91325635</v>
      </c>
      <c r="S477">
        <f t="shared" si="147"/>
        <v>86217937.311428562</v>
      </c>
      <c r="T477">
        <f t="shared" si="147"/>
        <v>31878761.594053511</v>
      </c>
      <c r="U477">
        <f t="shared" si="147"/>
        <v>37852335.584931053</v>
      </c>
      <c r="V477">
        <f t="shared" si="147"/>
        <v>11445112.257581331</v>
      </c>
      <c r="W477">
        <f t="shared" si="147"/>
        <v>66424292.779963166</v>
      </c>
      <c r="X477">
        <f t="shared" si="147"/>
        <v>292538514.17513001</v>
      </c>
      <c r="Y477">
        <f t="shared" si="147"/>
        <v>16085383.934837248</v>
      </c>
    </row>
    <row r="478" spans="1:25" x14ac:dyDescent="0.45">
      <c r="A478" s="5" t="s">
        <v>158</v>
      </c>
      <c r="B478">
        <f t="shared" ref="B478:Y478" si="148">B150/B$326</f>
        <v>66859981.362954855</v>
      </c>
      <c r="C478">
        <f t="shared" si="148"/>
        <v>211511431.66095081</v>
      </c>
      <c r="D478">
        <f t="shared" si="148"/>
        <v>40977758.331756264</v>
      </c>
      <c r="E478">
        <f t="shared" si="148"/>
        <v>53633565.690718696</v>
      </c>
      <c r="F478">
        <f t="shared" si="148"/>
        <v>655189610.25124156</v>
      </c>
      <c r="G478">
        <f t="shared" si="148"/>
        <v>530596603.96812254</v>
      </c>
      <c r="H478">
        <f t="shared" si="148"/>
        <v>212214107.39647105</v>
      </c>
      <c r="I478">
        <f t="shared" si="148"/>
        <v>297573153.2613762</v>
      </c>
      <c r="J478">
        <f t="shared" si="148"/>
        <v>170880244.99998617</v>
      </c>
      <c r="K478">
        <f t="shared" si="148"/>
        <v>40788648.217432603</v>
      </c>
      <c r="L478">
        <f t="shared" si="148"/>
        <v>98808604.026356399</v>
      </c>
      <c r="M478">
        <f t="shared" si="148"/>
        <v>151741513.39555794</v>
      </c>
      <c r="N478">
        <f t="shared" si="148"/>
        <v>128528458.56276922</v>
      </c>
      <c r="O478">
        <f t="shared" si="148"/>
        <v>319503861.18312478</v>
      </c>
      <c r="P478">
        <f t="shared" si="148"/>
        <v>237229748.00767154</v>
      </c>
      <c r="Q478">
        <f t="shared" si="148"/>
        <v>185015544.28559262</v>
      </c>
      <c r="R478">
        <f t="shared" si="148"/>
        <v>769107805.21813941</v>
      </c>
      <c r="S478">
        <f t="shared" si="148"/>
        <v>399708284.70916539</v>
      </c>
      <c r="T478">
        <f t="shared" si="148"/>
        <v>86300905.036079198</v>
      </c>
      <c r="U478">
        <f t="shared" si="148"/>
        <v>205753915.21873805</v>
      </c>
      <c r="V478">
        <f t="shared" si="148"/>
        <v>201187349.76019293</v>
      </c>
      <c r="W478">
        <f t="shared" si="148"/>
        <v>575823764.86373949</v>
      </c>
      <c r="X478">
        <f t="shared" si="148"/>
        <v>102257289.76386701</v>
      </c>
      <c r="Y478">
        <f t="shared" si="148"/>
        <v>397476687.51644057</v>
      </c>
    </row>
    <row r="479" spans="1:25" x14ac:dyDescent="0.45">
      <c r="A479" s="5" t="s">
        <v>159</v>
      </c>
      <c r="B479">
        <f t="shared" ref="B479:Y479" si="149">B151/B$326</f>
        <v>13576183.896408902</v>
      </c>
      <c r="C479">
        <f t="shared" si="149"/>
        <v>17035742.441108663</v>
      </c>
      <c r="D479">
        <f t="shared" si="149"/>
        <v>13218869.35410274</v>
      </c>
      <c r="E479">
        <f t="shared" si="149"/>
        <v>27646754.627779342</v>
      </c>
      <c r="F479">
        <f t="shared" si="149"/>
        <v>27360003.991539106</v>
      </c>
      <c r="G479">
        <f t="shared" si="149"/>
        <v>46300570.865987204</v>
      </c>
      <c r="H479">
        <f t="shared" si="149"/>
        <v>31360766.844630741</v>
      </c>
      <c r="I479">
        <f t="shared" si="149"/>
        <v>623728207.69740009</v>
      </c>
      <c r="J479">
        <f t="shared" si="149"/>
        <v>43939272.473435052</v>
      </c>
      <c r="K479">
        <f t="shared" si="149"/>
        <v>55762158.195524544</v>
      </c>
      <c r="L479">
        <f t="shared" si="149"/>
        <v>26311018.661813725</v>
      </c>
      <c r="M479">
        <f t="shared" si="149"/>
        <v>22962755.613519013</v>
      </c>
      <c r="N479">
        <f t="shared" si="149"/>
        <v>22621378.222953904</v>
      </c>
      <c r="O479">
        <f t="shared" si="149"/>
        <v>84475346.525559306</v>
      </c>
      <c r="P479">
        <f t="shared" si="149"/>
        <v>57085890.09770821</v>
      </c>
      <c r="Q479">
        <f t="shared" si="149"/>
        <v>28333291.38810743</v>
      </c>
      <c r="R479">
        <f t="shared" si="149"/>
        <v>25504258.774315316</v>
      </c>
      <c r="S479">
        <f t="shared" si="149"/>
        <v>30750362.47995998</v>
      </c>
      <c r="T479">
        <f t="shared" si="149"/>
        <v>8378544.1133527709</v>
      </c>
      <c r="U479">
        <f t="shared" si="149"/>
        <v>13395691.019412162</v>
      </c>
      <c r="V479">
        <f t="shared" si="149"/>
        <v>18085297.916883297</v>
      </c>
      <c r="W479">
        <f t="shared" si="149"/>
        <v>41692022.499566905</v>
      </c>
      <c r="X479">
        <f t="shared" si="149"/>
        <v>566567445.57707405</v>
      </c>
      <c r="Y479">
        <f t="shared" si="149"/>
        <v>41322410.025420062</v>
      </c>
    </row>
    <row r="480" spans="1:25" x14ac:dyDescent="0.45">
      <c r="A480" s="5" t="s">
        <v>160</v>
      </c>
      <c r="B480">
        <f t="shared" ref="B480:Y480" si="150">B152/B$326</f>
        <v>1941907.5352783611</v>
      </c>
      <c r="C480">
        <f t="shared" si="150"/>
        <v>8506598.6923962831</v>
      </c>
      <c r="D480">
        <f t="shared" si="150"/>
        <v>4820920.6533839181</v>
      </c>
      <c r="E480">
        <f t="shared" si="150"/>
        <v>1111801.151278801</v>
      </c>
      <c r="F480">
        <f t="shared" si="150"/>
        <v>5496888.0008739196</v>
      </c>
      <c r="G480">
        <f t="shared" si="150"/>
        <v>1508776.0090666814</v>
      </c>
      <c r="H480">
        <f t="shared" si="150"/>
        <v>1543510.0779299398</v>
      </c>
      <c r="I480">
        <f t="shared" si="150"/>
        <v>249210293.05430958</v>
      </c>
      <c r="J480">
        <f t="shared" si="150"/>
        <v>9245709.8183290642</v>
      </c>
      <c r="K480">
        <f t="shared" si="150"/>
        <v>296864248.29640234</v>
      </c>
      <c r="L480">
        <f t="shared" si="150"/>
        <v>8679372.6632300001</v>
      </c>
      <c r="M480">
        <f t="shared" si="150"/>
        <v>5977565.779725017</v>
      </c>
      <c r="N480">
        <f t="shared" si="150"/>
        <v>7165294.4513214473</v>
      </c>
      <c r="O480">
        <f t="shared" si="150"/>
        <v>17856356.585299954</v>
      </c>
      <c r="P480">
        <f t="shared" si="150"/>
        <v>3595407.8323522625</v>
      </c>
      <c r="Q480">
        <f t="shared" si="150"/>
        <v>15110190.352451768</v>
      </c>
      <c r="R480">
        <f t="shared" si="150"/>
        <v>12811805.35063578</v>
      </c>
      <c r="S480">
        <f t="shared" si="150"/>
        <v>8136755.2849347787</v>
      </c>
      <c r="T480">
        <f t="shared" si="150"/>
        <v>4216070.3434546404</v>
      </c>
      <c r="U480">
        <f t="shared" si="150"/>
        <v>6501007.2614708329</v>
      </c>
      <c r="V480">
        <f t="shared" si="150"/>
        <v>7951508.2092228606</v>
      </c>
      <c r="W480">
        <f t="shared" si="150"/>
        <v>318055768.15284497</v>
      </c>
      <c r="X480">
        <f t="shared" si="150"/>
        <v>30658888.747025698</v>
      </c>
      <c r="Y480">
        <f t="shared" si="150"/>
        <v>331886114.47577876</v>
      </c>
    </row>
    <row r="481" spans="1:25" x14ac:dyDescent="0.45">
      <c r="A481" s="5" t="s">
        <v>161</v>
      </c>
      <c r="B481">
        <f t="shared" ref="B481:Y481" si="151">B153/B$326</f>
        <v>11073208.389698392</v>
      </c>
      <c r="C481">
        <f t="shared" si="151"/>
        <v>12255313.838856969</v>
      </c>
      <c r="D481">
        <f t="shared" si="151"/>
        <v>7759119.4890147094</v>
      </c>
      <c r="E481">
        <f t="shared" si="151"/>
        <v>4886256.4841182614</v>
      </c>
      <c r="F481">
        <f t="shared" si="151"/>
        <v>8878403.7855846714</v>
      </c>
      <c r="G481">
        <f t="shared" si="151"/>
        <v>8072496.2237874512</v>
      </c>
      <c r="H481">
        <f t="shared" si="151"/>
        <v>9498625.7128223199</v>
      </c>
      <c r="I481">
        <f t="shared" si="151"/>
        <v>38952555.752665833</v>
      </c>
      <c r="J481">
        <f t="shared" si="151"/>
        <v>17273035.5562598</v>
      </c>
      <c r="K481">
        <f t="shared" si="151"/>
        <v>15623405.405313587</v>
      </c>
      <c r="L481">
        <f t="shared" si="151"/>
        <v>10788342.177718351</v>
      </c>
      <c r="M481">
        <f t="shared" si="151"/>
        <v>13317309.753324438</v>
      </c>
      <c r="N481">
        <f t="shared" si="151"/>
        <v>7172382.0483395467</v>
      </c>
      <c r="O481">
        <f t="shared" si="151"/>
        <v>14010310.156840803</v>
      </c>
      <c r="P481">
        <f t="shared" si="151"/>
        <v>13456772.288618166</v>
      </c>
      <c r="Q481">
        <f t="shared" si="151"/>
        <v>10753070.23163924</v>
      </c>
      <c r="R481">
        <f t="shared" si="151"/>
        <v>31431235.184327912</v>
      </c>
      <c r="S481">
        <f t="shared" si="151"/>
        <v>14273231.142321268</v>
      </c>
      <c r="T481">
        <f t="shared" si="151"/>
        <v>12640890.563724179</v>
      </c>
      <c r="U481">
        <f t="shared" si="151"/>
        <v>32860072.98782403</v>
      </c>
      <c r="V481">
        <f t="shared" si="151"/>
        <v>27164379.356166501</v>
      </c>
      <c r="W481">
        <f t="shared" si="151"/>
        <v>36385173.510765299</v>
      </c>
      <c r="X481">
        <f t="shared" si="151"/>
        <v>126186399.138854</v>
      </c>
      <c r="Y481">
        <f t="shared" si="151"/>
        <v>28045312.329220559</v>
      </c>
    </row>
    <row r="482" spans="1:25" x14ac:dyDescent="0.45">
      <c r="A482" s="5" t="s">
        <v>162</v>
      </c>
      <c r="B482">
        <f t="shared" ref="B482:Y482" si="152">B154/B$326</f>
        <v>45467613.027274236</v>
      </c>
      <c r="C482">
        <f t="shared" si="152"/>
        <v>42998347.917123355</v>
      </c>
      <c r="D482">
        <f t="shared" si="152"/>
        <v>56268596.10276027</v>
      </c>
      <c r="E482">
        <f t="shared" si="152"/>
        <v>38669118.952143498</v>
      </c>
      <c r="F482">
        <f t="shared" si="152"/>
        <v>42709830.150491633</v>
      </c>
      <c r="G482">
        <f t="shared" si="152"/>
        <v>47896387.954000585</v>
      </c>
      <c r="H482">
        <f t="shared" si="152"/>
        <v>136682011.31810841</v>
      </c>
      <c r="I482">
        <f t="shared" si="152"/>
        <v>1588291606.2929082</v>
      </c>
      <c r="J482">
        <f t="shared" si="152"/>
        <v>518033545.66630906</v>
      </c>
      <c r="K482">
        <f t="shared" si="152"/>
        <v>785888901.55868876</v>
      </c>
      <c r="L482">
        <f t="shared" si="152"/>
        <v>1000378586.8240691</v>
      </c>
      <c r="M482">
        <f t="shared" si="152"/>
        <v>475662342.32366222</v>
      </c>
      <c r="N482">
        <f t="shared" si="152"/>
        <v>16710567.290148599</v>
      </c>
      <c r="O482">
        <f t="shared" si="152"/>
        <v>166899630.02035421</v>
      </c>
      <c r="P482">
        <f t="shared" si="152"/>
        <v>88857291.423589796</v>
      </c>
      <c r="Q482">
        <f t="shared" si="152"/>
        <v>25390936.859407421</v>
      </c>
      <c r="R482">
        <f t="shared" si="152"/>
        <v>93840641.051773161</v>
      </c>
      <c r="S482">
        <f t="shared" si="152"/>
        <v>168137979.23768312</v>
      </c>
      <c r="T482">
        <f t="shared" si="152"/>
        <v>16397549.840930667</v>
      </c>
      <c r="U482">
        <f t="shared" si="152"/>
        <v>20503848.68929508</v>
      </c>
      <c r="V482">
        <f t="shared" si="152"/>
        <v>4921838.2617404973</v>
      </c>
      <c r="W482">
        <f t="shared" si="152"/>
        <v>24988649.039191615</v>
      </c>
      <c r="X482">
        <f t="shared" si="152"/>
        <v>408854108.23367703</v>
      </c>
      <c r="Y482">
        <f t="shared" si="152"/>
        <v>15157817.033165749</v>
      </c>
    </row>
    <row r="483" spans="1:25" x14ac:dyDescent="0.45">
      <c r="A483" s="5" t="s">
        <v>163</v>
      </c>
      <c r="B483">
        <f t="shared" ref="B483:Y483" si="153">B155/B$326</f>
        <v>3895051.2104296293</v>
      </c>
      <c r="C483">
        <f t="shared" si="153"/>
        <v>5697783.5390517665</v>
      </c>
      <c r="D483">
        <f t="shared" si="153"/>
        <v>1896331.6540031775</v>
      </c>
      <c r="E483">
        <f t="shared" si="153"/>
        <v>4743592.542682711</v>
      </c>
      <c r="F483">
        <f t="shared" si="153"/>
        <v>7354257.3682819586</v>
      </c>
      <c r="G483">
        <f t="shared" si="153"/>
        <v>6505639.4630362745</v>
      </c>
      <c r="H483">
        <f t="shared" si="153"/>
        <v>4555506.0942364</v>
      </c>
      <c r="I483">
        <f t="shared" si="153"/>
        <v>2981492.644332591</v>
      </c>
      <c r="J483">
        <f t="shared" si="153"/>
        <v>7409476.8079402167</v>
      </c>
      <c r="K483">
        <f t="shared" si="153"/>
        <v>2060209.2469048693</v>
      </c>
      <c r="L483">
        <f t="shared" si="153"/>
        <v>6868098.5016137771</v>
      </c>
      <c r="M483">
        <f t="shared" si="153"/>
        <v>4288501.700898964</v>
      </c>
      <c r="N483">
        <f t="shared" si="153"/>
        <v>2942719.4752332545</v>
      </c>
      <c r="O483">
        <f t="shared" si="153"/>
        <v>5275650.5350534106</v>
      </c>
      <c r="P483">
        <f t="shared" si="153"/>
        <v>4932930.8530575279</v>
      </c>
      <c r="Q483">
        <f t="shared" si="153"/>
        <v>4066093.124241218</v>
      </c>
      <c r="R483">
        <f t="shared" si="153"/>
        <v>5459739.6106191278</v>
      </c>
      <c r="S483">
        <f t="shared" si="153"/>
        <v>6142106.6832750207</v>
      </c>
      <c r="T483">
        <f t="shared" si="153"/>
        <v>8437982.3068115544</v>
      </c>
      <c r="U483">
        <f t="shared" si="153"/>
        <v>5196261.4800962899</v>
      </c>
      <c r="V483">
        <f t="shared" si="153"/>
        <v>6015322.2779377382</v>
      </c>
      <c r="W483">
        <f t="shared" si="153"/>
        <v>7005453.1203523595</v>
      </c>
      <c r="X483">
        <f t="shared" si="153"/>
        <v>13583182.6083668</v>
      </c>
      <c r="Y483">
        <f t="shared" si="153"/>
        <v>5117669.0716654556</v>
      </c>
    </row>
    <row r="484" spans="1:25" x14ac:dyDescent="0.45">
      <c r="A484" s="5" t="s">
        <v>164</v>
      </c>
      <c r="B484">
        <f t="shared" ref="B484:Y484" si="154">B156/B$326</f>
        <v>14152325.686601311</v>
      </c>
      <c r="C484">
        <f t="shared" si="154"/>
        <v>31452604.366642859</v>
      </c>
      <c r="D484">
        <f t="shared" si="154"/>
        <v>12491421.061752465</v>
      </c>
      <c r="E484">
        <f t="shared" si="154"/>
        <v>10190086.102660323</v>
      </c>
      <c r="F484">
        <f t="shared" si="154"/>
        <v>13164648.250037812</v>
      </c>
      <c r="G484">
        <f t="shared" si="154"/>
        <v>15880308.723189754</v>
      </c>
      <c r="H484">
        <f t="shared" si="154"/>
        <v>8559910.5542636588</v>
      </c>
      <c r="I484">
        <f t="shared" si="154"/>
        <v>3975981.1485532271</v>
      </c>
      <c r="J484">
        <f t="shared" si="154"/>
        <v>19892815.087766435</v>
      </c>
      <c r="K484">
        <f t="shared" si="154"/>
        <v>4556378.9206934087</v>
      </c>
      <c r="L484">
        <f t="shared" si="154"/>
        <v>7490910.5065867025</v>
      </c>
      <c r="M484">
        <f t="shared" si="154"/>
        <v>7999869.6628961889</v>
      </c>
      <c r="N484">
        <f t="shared" si="154"/>
        <v>12767353.925511792</v>
      </c>
      <c r="O484">
        <f t="shared" si="154"/>
        <v>71857117.084950119</v>
      </c>
      <c r="P484">
        <f t="shared" si="154"/>
        <v>38379399.376426935</v>
      </c>
      <c r="Q484">
        <f t="shared" si="154"/>
        <v>14509278.936104424</v>
      </c>
      <c r="R484">
        <f t="shared" si="154"/>
        <v>12083947.898916889</v>
      </c>
      <c r="S484">
        <f t="shared" si="154"/>
        <v>14035571.922786195</v>
      </c>
      <c r="T484">
        <f t="shared" si="154"/>
        <v>14248923.168323651</v>
      </c>
      <c r="U484">
        <f t="shared" si="154"/>
        <v>26882159.025045328</v>
      </c>
      <c r="V484">
        <f t="shared" si="154"/>
        <v>33707287.739361309</v>
      </c>
      <c r="W484">
        <f t="shared" si="154"/>
        <v>26440234.494584866</v>
      </c>
      <c r="X484">
        <f t="shared" si="154"/>
        <v>15566583.003115401</v>
      </c>
      <c r="Y484">
        <f t="shared" si="154"/>
        <v>22485499.610557809</v>
      </c>
    </row>
    <row r="485" spans="1:25" x14ac:dyDescent="0.45">
      <c r="A485" s="5" t="s">
        <v>303</v>
      </c>
      <c r="B485">
        <f t="shared" ref="B485:Y485" si="155">B157/B$326</f>
        <v>15306077.265810765</v>
      </c>
      <c r="C485">
        <f t="shared" si="155"/>
        <v>79555870.852892339</v>
      </c>
      <c r="D485">
        <f t="shared" si="155"/>
        <v>17815869.500005942</v>
      </c>
      <c r="E485">
        <f t="shared" si="155"/>
        <v>49328310.888139181</v>
      </c>
      <c r="F485">
        <f t="shared" si="155"/>
        <v>18480096.438715093</v>
      </c>
      <c r="G485">
        <f t="shared" si="155"/>
        <v>101147608.95630538</v>
      </c>
      <c r="H485">
        <f t="shared" si="155"/>
        <v>7944867.4557148945</v>
      </c>
      <c r="I485">
        <f t="shared" si="155"/>
        <v>1047475295.3318951</v>
      </c>
      <c r="J485">
        <f t="shared" si="155"/>
        <v>16405799.38965141</v>
      </c>
      <c r="K485">
        <f t="shared" si="155"/>
        <v>1512026759.9986193</v>
      </c>
      <c r="L485">
        <f t="shared" si="155"/>
        <v>47295382.098109096</v>
      </c>
      <c r="M485">
        <f t="shared" si="155"/>
        <v>78936833.828610197</v>
      </c>
      <c r="N485">
        <f t="shared" si="155"/>
        <v>58926368.846359678</v>
      </c>
      <c r="O485">
        <f t="shared" si="155"/>
        <v>242051675.47165304</v>
      </c>
      <c r="P485">
        <f t="shared" si="155"/>
        <v>37949770.147129312</v>
      </c>
      <c r="Q485">
        <f t="shared" si="155"/>
        <v>69884814.404383063</v>
      </c>
      <c r="R485">
        <f t="shared" si="155"/>
        <v>61364510.341931403</v>
      </c>
      <c r="S485">
        <f t="shared" si="155"/>
        <v>64368899.445415884</v>
      </c>
      <c r="T485">
        <f t="shared" si="155"/>
        <v>28602980.481835846</v>
      </c>
      <c r="U485">
        <f t="shared" si="155"/>
        <v>24224520.980675895</v>
      </c>
      <c r="V485">
        <f t="shared" si="155"/>
        <v>14505923.431232914</v>
      </c>
      <c r="W485">
        <f t="shared" si="155"/>
        <v>44819938.857605666</v>
      </c>
      <c r="X485">
        <f t="shared" si="155"/>
        <v>746237623.27300596</v>
      </c>
      <c r="Y485">
        <f t="shared" si="155"/>
        <v>9212354.6680844985</v>
      </c>
    </row>
    <row r="486" spans="1:25" x14ac:dyDescent="0.45">
      <c r="A486" s="5" t="s">
        <v>422</v>
      </c>
      <c r="B486">
        <f t="shared" ref="B486:Y486" si="156">B158/B$326</f>
        <v>1906165.5257630665</v>
      </c>
      <c r="C486">
        <f t="shared" si="156"/>
        <v>10729494.85925879</v>
      </c>
      <c r="D486">
        <f t="shared" si="156"/>
        <v>4307933.4630229259</v>
      </c>
      <c r="E486">
        <f t="shared" si="156"/>
        <v>3794551.3938561692</v>
      </c>
      <c r="F486">
        <f t="shared" si="156"/>
        <v>3290388.7977262111</v>
      </c>
      <c r="G486">
        <f t="shared" si="156"/>
        <v>5660241.1012717653</v>
      </c>
      <c r="H486">
        <f t="shared" si="156"/>
        <v>7628521.4708677782</v>
      </c>
      <c r="I486">
        <f t="shared" si="156"/>
        <v>10360754.031428244</v>
      </c>
      <c r="J486">
        <f t="shared" si="156"/>
        <v>6898014.6900130417</v>
      </c>
      <c r="K486">
        <f t="shared" si="156"/>
        <v>4683953.5079653254</v>
      </c>
      <c r="L486">
        <f t="shared" si="156"/>
        <v>3651542.0027021701</v>
      </c>
      <c r="M486">
        <f t="shared" si="156"/>
        <v>2336276.8468272011</v>
      </c>
      <c r="N486">
        <f t="shared" si="156"/>
        <v>5770764.5163734471</v>
      </c>
      <c r="O486">
        <f t="shared" si="156"/>
        <v>15003213.592545601</v>
      </c>
      <c r="P486">
        <f t="shared" si="156"/>
        <v>9494222.219438104</v>
      </c>
      <c r="Q486">
        <f t="shared" si="156"/>
        <v>5599222.9671897152</v>
      </c>
      <c r="R486">
        <f t="shared" si="156"/>
        <v>7069224.1920944937</v>
      </c>
      <c r="S486">
        <f t="shared" si="156"/>
        <v>6956891.2940897718</v>
      </c>
      <c r="T486">
        <f t="shared" si="156"/>
        <v>2799132.5319469245</v>
      </c>
      <c r="U486">
        <f t="shared" si="156"/>
        <v>5400871.3861943781</v>
      </c>
      <c r="V486">
        <f t="shared" si="156"/>
        <v>7435023.3070750646</v>
      </c>
      <c r="W486">
        <f t="shared" si="156"/>
        <v>4905168.7710265592</v>
      </c>
      <c r="X486">
        <f t="shared" si="156"/>
        <v>11202523.3611132</v>
      </c>
      <c r="Y486">
        <f t="shared" si="156"/>
        <v>8167278.6350869369</v>
      </c>
    </row>
    <row r="487" spans="1:25" x14ac:dyDescent="0.45">
      <c r="A487" s="5" t="s">
        <v>433</v>
      </c>
      <c r="B487">
        <f t="shared" ref="B487:Y487" si="157">B159/B$326</f>
        <v>149320.0525006103</v>
      </c>
      <c r="C487">
        <f t="shared" si="157"/>
        <v>182027.91546009845</v>
      </c>
      <c r="D487">
        <f t="shared" si="157"/>
        <v>141370.85774408357</v>
      </c>
      <c r="E487">
        <f t="shared" si="157"/>
        <v>148338.24500967719</v>
      </c>
      <c r="F487">
        <f t="shared" si="157"/>
        <v>199430.95828607032</v>
      </c>
      <c r="G487">
        <f t="shared" si="157"/>
        <v>222549.85689670392</v>
      </c>
      <c r="H487">
        <f t="shared" si="157"/>
        <v>164029.64691555881</v>
      </c>
      <c r="I487">
        <f t="shared" si="157"/>
        <v>2484417.1682041814</v>
      </c>
      <c r="J487">
        <f t="shared" si="157"/>
        <v>1151821.4172061011</v>
      </c>
      <c r="K487">
        <f t="shared" si="157"/>
        <v>523299697.52051014</v>
      </c>
      <c r="L487">
        <f t="shared" si="157"/>
        <v>210442.5018577149</v>
      </c>
      <c r="M487">
        <f t="shared" si="157"/>
        <v>108353.9158117575</v>
      </c>
      <c r="N487">
        <f t="shared" si="157"/>
        <v>1100777.8841508171</v>
      </c>
      <c r="O487">
        <f t="shared" si="157"/>
        <v>1153268.6160473654</v>
      </c>
      <c r="P487">
        <f t="shared" si="157"/>
        <v>1262490.8106786064</v>
      </c>
      <c r="Q487">
        <f t="shared" si="157"/>
        <v>160581.60588963324</v>
      </c>
      <c r="R487">
        <f t="shared" si="157"/>
        <v>1711270.5750292805</v>
      </c>
      <c r="S487">
        <f t="shared" si="157"/>
        <v>252135.63110947734</v>
      </c>
      <c r="T487">
        <f t="shared" si="157"/>
        <v>163907.4573527833</v>
      </c>
      <c r="U487">
        <f t="shared" si="157"/>
        <v>297806.36507894931</v>
      </c>
      <c r="V487">
        <f t="shared" si="157"/>
        <v>487070.0797821898</v>
      </c>
      <c r="W487">
        <f t="shared" si="157"/>
        <v>91444.467275570569</v>
      </c>
      <c r="X487">
        <f t="shared" si="157"/>
        <v>187998.059226079</v>
      </c>
      <c r="Y487">
        <f t="shared" si="157"/>
        <v>55488.953652965123</v>
      </c>
    </row>
    <row r="488" spans="1:25" x14ac:dyDescent="0.45">
      <c r="A488" s="5" t="s">
        <v>352</v>
      </c>
      <c r="B488">
        <f t="shared" ref="B488:Y488" si="158">B160/B$326</f>
        <v>45464042.145297088</v>
      </c>
      <c r="C488">
        <f t="shared" si="158"/>
        <v>81469847.177059188</v>
      </c>
      <c r="D488">
        <f t="shared" si="158"/>
        <v>36471758.765944988</v>
      </c>
      <c r="E488">
        <f t="shared" si="158"/>
        <v>55806071.789210774</v>
      </c>
      <c r="F488">
        <f t="shared" si="158"/>
        <v>95662918.092523217</v>
      </c>
      <c r="G488">
        <f t="shared" si="158"/>
        <v>79652377.175167635</v>
      </c>
      <c r="H488">
        <f t="shared" si="158"/>
        <v>32668783.738535203</v>
      </c>
      <c r="I488">
        <f t="shared" si="158"/>
        <v>23734802.414888304</v>
      </c>
      <c r="J488">
        <f t="shared" si="158"/>
        <v>133019126.48934615</v>
      </c>
      <c r="K488">
        <f t="shared" si="158"/>
        <v>138932464.83363262</v>
      </c>
      <c r="L488">
        <f t="shared" si="158"/>
        <v>96909596.04281649</v>
      </c>
      <c r="M488">
        <f t="shared" si="158"/>
        <v>46849407.610382043</v>
      </c>
      <c r="N488">
        <f t="shared" si="158"/>
        <v>16519703.698401991</v>
      </c>
      <c r="O488">
        <f t="shared" si="158"/>
        <v>127940116.76387846</v>
      </c>
      <c r="P488">
        <f t="shared" si="158"/>
        <v>78059209.420211256</v>
      </c>
      <c r="Q488">
        <f t="shared" si="158"/>
        <v>42047727.907211654</v>
      </c>
      <c r="R488">
        <f t="shared" si="158"/>
        <v>136789752.53276607</v>
      </c>
      <c r="S488">
        <f t="shared" si="158"/>
        <v>84920233.440433756</v>
      </c>
      <c r="T488">
        <f t="shared" si="158"/>
        <v>73487346.695712671</v>
      </c>
      <c r="U488">
        <f t="shared" si="158"/>
        <v>77617961.589580774</v>
      </c>
      <c r="V488">
        <f t="shared" si="158"/>
        <v>63575159.278957345</v>
      </c>
      <c r="W488">
        <f t="shared" si="158"/>
        <v>88279323.507991835</v>
      </c>
      <c r="X488">
        <f t="shared" si="158"/>
        <v>33788063.076142997</v>
      </c>
      <c r="Y488">
        <f t="shared" si="158"/>
        <v>57076610.030437313</v>
      </c>
    </row>
    <row r="489" spans="1:25" x14ac:dyDescent="0.45">
      <c r="A489" s="5" t="s">
        <v>370</v>
      </c>
      <c r="B489">
        <f t="shared" ref="B489:Y489" si="159">B161/B$326</f>
        <v>3775387.7834838713</v>
      </c>
      <c r="C489">
        <f t="shared" si="159"/>
        <v>11943753.628718596</v>
      </c>
      <c r="D489">
        <f t="shared" si="159"/>
        <v>5427858.4678335879</v>
      </c>
      <c r="E489">
        <f t="shared" si="159"/>
        <v>7760001.4086408056</v>
      </c>
      <c r="F489">
        <f t="shared" si="159"/>
        <v>10536897.029850328</v>
      </c>
      <c r="G489">
        <f t="shared" si="159"/>
        <v>10726976.458266864</v>
      </c>
      <c r="H489">
        <f t="shared" si="159"/>
        <v>5151351.2170099393</v>
      </c>
      <c r="I489">
        <f t="shared" si="159"/>
        <v>10080981.765568508</v>
      </c>
      <c r="J489">
        <f t="shared" si="159"/>
        <v>14020848.060268763</v>
      </c>
      <c r="K489">
        <f t="shared" si="159"/>
        <v>14130093.452350967</v>
      </c>
      <c r="L489">
        <f t="shared" si="159"/>
        <v>10498441.388564629</v>
      </c>
      <c r="M489">
        <f t="shared" si="159"/>
        <v>6504135.58325464</v>
      </c>
      <c r="N489">
        <f t="shared" si="159"/>
        <v>8424456.7857851703</v>
      </c>
      <c r="O489">
        <f t="shared" si="159"/>
        <v>15602844.990283219</v>
      </c>
      <c r="P489">
        <f t="shared" si="159"/>
        <v>27593276.162694231</v>
      </c>
      <c r="Q489">
        <f t="shared" si="159"/>
        <v>9358500.4538880438</v>
      </c>
      <c r="R489">
        <f t="shared" si="159"/>
        <v>7951339.7398799164</v>
      </c>
      <c r="S489">
        <f t="shared" si="159"/>
        <v>8984110.9252515864</v>
      </c>
      <c r="T489">
        <f t="shared" si="159"/>
        <v>5896265.7280052798</v>
      </c>
      <c r="U489">
        <f t="shared" si="159"/>
        <v>8171822.4746087743</v>
      </c>
      <c r="V489">
        <f t="shared" si="159"/>
        <v>10317050.250311518</v>
      </c>
      <c r="W489">
        <f t="shared" si="159"/>
        <v>10106847.789112903</v>
      </c>
      <c r="X489">
        <f t="shared" si="159"/>
        <v>13683034.864075201</v>
      </c>
      <c r="Y489">
        <f t="shared" si="159"/>
        <v>10139100.638912937</v>
      </c>
    </row>
    <row r="490" spans="1:25" x14ac:dyDescent="0.45">
      <c r="A490" s="5" t="s">
        <v>358</v>
      </c>
      <c r="B490">
        <f t="shared" ref="B490:Y490" si="160">B162/B$326</f>
        <v>40824164.046261773</v>
      </c>
      <c r="C490">
        <f t="shared" si="160"/>
        <v>81178561.270157024</v>
      </c>
      <c r="D490">
        <f t="shared" si="160"/>
        <v>44986393.061303206</v>
      </c>
      <c r="E490">
        <f t="shared" si="160"/>
        <v>44413277.623581067</v>
      </c>
      <c r="F490">
        <f t="shared" si="160"/>
        <v>79854631.716166377</v>
      </c>
      <c r="G490">
        <f t="shared" si="160"/>
        <v>77706596.602607355</v>
      </c>
      <c r="H490">
        <f t="shared" si="160"/>
        <v>47752546.85270305</v>
      </c>
      <c r="I490">
        <f t="shared" si="160"/>
        <v>335432967.44801927</v>
      </c>
      <c r="J490">
        <f t="shared" si="160"/>
        <v>209601195.98328656</v>
      </c>
      <c r="K490">
        <f t="shared" si="160"/>
        <v>48427792.020938881</v>
      </c>
      <c r="L490">
        <f t="shared" si="160"/>
        <v>82415258.476760641</v>
      </c>
      <c r="M490">
        <f t="shared" si="160"/>
        <v>44390621.768009298</v>
      </c>
      <c r="N490">
        <f t="shared" si="160"/>
        <v>43180042.289968804</v>
      </c>
      <c r="O490">
        <f t="shared" si="160"/>
        <v>120122193.71725687</v>
      </c>
      <c r="P490">
        <f t="shared" si="160"/>
        <v>80597215.607725099</v>
      </c>
      <c r="Q490">
        <f t="shared" si="160"/>
        <v>50560708.717010491</v>
      </c>
      <c r="R490">
        <f t="shared" si="160"/>
        <v>136496973.61933243</v>
      </c>
      <c r="S490">
        <f t="shared" si="160"/>
        <v>61108806.421552636</v>
      </c>
      <c r="T490">
        <f t="shared" si="160"/>
        <v>88753921.178292528</v>
      </c>
      <c r="U490">
        <f t="shared" si="160"/>
        <v>104966194.31105736</v>
      </c>
      <c r="V490">
        <f t="shared" si="160"/>
        <v>119890734.40241139</v>
      </c>
      <c r="W490">
        <f t="shared" si="160"/>
        <v>84488096.731154338</v>
      </c>
      <c r="X490">
        <f t="shared" si="160"/>
        <v>452952393.88281298</v>
      </c>
      <c r="Y490">
        <f t="shared" si="160"/>
        <v>59000152.737545371</v>
      </c>
    </row>
    <row r="491" spans="1:25" x14ac:dyDescent="0.45">
      <c r="A491" s="5" t="s">
        <v>165</v>
      </c>
      <c r="B491">
        <f t="shared" ref="B491:Y491" si="161">B163/B$326</f>
        <v>5814416.4697944475</v>
      </c>
      <c r="C491">
        <f t="shared" si="161"/>
        <v>6753201.1943518389</v>
      </c>
      <c r="D491">
        <f t="shared" si="161"/>
        <v>8115827.3933435623</v>
      </c>
      <c r="E491">
        <f t="shared" si="161"/>
        <v>9402048.9733896181</v>
      </c>
      <c r="F491">
        <f t="shared" si="161"/>
        <v>13459794.950848809</v>
      </c>
      <c r="G491">
        <f t="shared" si="161"/>
        <v>16588929.571798725</v>
      </c>
      <c r="H491">
        <f t="shared" si="161"/>
        <v>8321755.8567947578</v>
      </c>
      <c r="I491">
        <f t="shared" si="161"/>
        <v>103078552.19968165</v>
      </c>
      <c r="J491">
        <f t="shared" si="161"/>
        <v>45990987.99995549</v>
      </c>
      <c r="K491">
        <f t="shared" si="161"/>
        <v>25297483.73657956</v>
      </c>
      <c r="L491">
        <f t="shared" si="161"/>
        <v>10511300.56721181</v>
      </c>
      <c r="M491">
        <f t="shared" si="161"/>
        <v>8451096.4267189093</v>
      </c>
      <c r="N491">
        <f t="shared" si="161"/>
        <v>5163674.2671649149</v>
      </c>
      <c r="O491">
        <f t="shared" si="161"/>
        <v>17855736.217195991</v>
      </c>
      <c r="P491">
        <f t="shared" si="161"/>
        <v>8589962.0016711671</v>
      </c>
      <c r="Q491">
        <f t="shared" si="161"/>
        <v>13735877.861395547</v>
      </c>
      <c r="R491">
        <f t="shared" si="161"/>
        <v>23040326.585696168</v>
      </c>
      <c r="S491">
        <f t="shared" si="161"/>
        <v>29315318.600211535</v>
      </c>
      <c r="T491">
        <f t="shared" si="161"/>
        <v>10588307.038887123</v>
      </c>
      <c r="U491">
        <f t="shared" si="161"/>
        <v>13301026.03035723</v>
      </c>
      <c r="V491">
        <f t="shared" si="161"/>
        <v>8722259.0352541395</v>
      </c>
      <c r="W491">
        <f t="shared" si="161"/>
        <v>13589600.212054204</v>
      </c>
      <c r="X491">
        <f t="shared" si="161"/>
        <v>37522327.479195103</v>
      </c>
      <c r="Y491">
        <f t="shared" si="161"/>
        <v>9278118.6678203754</v>
      </c>
    </row>
    <row r="492" spans="1:25" x14ac:dyDescent="0.45">
      <c r="A492" s="5" t="s">
        <v>166</v>
      </c>
      <c r="B492">
        <f t="shared" ref="B492:Y492" si="162">B164/B$326</f>
        <v>1013444.0056986829</v>
      </c>
      <c r="C492">
        <f t="shared" si="162"/>
        <v>2279225.3933565123</v>
      </c>
      <c r="D492">
        <f t="shared" si="162"/>
        <v>1882543.8058972917</v>
      </c>
      <c r="E492">
        <f t="shared" si="162"/>
        <v>2012044.3918230981</v>
      </c>
      <c r="F492">
        <f t="shared" si="162"/>
        <v>4111873.2121914881</v>
      </c>
      <c r="G492">
        <f t="shared" si="162"/>
        <v>1947566.4190781126</v>
      </c>
      <c r="H492">
        <f t="shared" si="162"/>
        <v>843630.78674620611</v>
      </c>
      <c r="I492">
        <f t="shared" si="162"/>
        <v>26279739.492897328</v>
      </c>
      <c r="J492">
        <f t="shared" si="162"/>
        <v>6703878.9518769365</v>
      </c>
      <c r="K492">
        <f t="shared" si="162"/>
        <v>3668294.7175471121</v>
      </c>
      <c r="L492">
        <f t="shared" si="162"/>
        <v>2262515.3960074042</v>
      </c>
      <c r="M492">
        <f t="shared" si="162"/>
        <v>1467315.0964135851</v>
      </c>
      <c r="N492">
        <f t="shared" si="162"/>
        <v>1635040.7901929838</v>
      </c>
      <c r="O492">
        <f t="shared" si="162"/>
        <v>4978376.7629315164</v>
      </c>
      <c r="P492">
        <f t="shared" si="162"/>
        <v>2718412.3833059957</v>
      </c>
      <c r="Q492">
        <f t="shared" si="162"/>
        <v>1835741.4898505032</v>
      </c>
      <c r="R492">
        <f t="shared" si="162"/>
        <v>4604848.3207420101</v>
      </c>
      <c r="S492">
        <f t="shared" si="162"/>
        <v>2078667.6336684402</v>
      </c>
      <c r="T492">
        <f t="shared" si="162"/>
        <v>2907710.2866935385</v>
      </c>
      <c r="U492">
        <f t="shared" si="162"/>
        <v>2711504.1865848806</v>
      </c>
      <c r="V492">
        <f t="shared" si="162"/>
        <v>3429477.4756929683</v>
      </c>
      <c r="W492">
        <f t="shared" si="162"/>
        <v>2917845.884483214</v>
      </c>
      <c r="X492">
        <f t="shared" si="162"/>
        <v>33904010.214464203</v>
      </c>
      <c r="Y492">
        <f t="shared" si="162"/>
        <v>2008608.0257862124</v>
      </c>
    </row>
    <row r="493" spans="1:25" x14ac:dyDescent="0.45">
      <c r="A493" s="5" t="s">
        <v>423</v>
      </c>
      <c r="B493">
        <f t="shared" ref="B493:Y493" si="163">B165/B$326</f>
        <v>40292718.222931467</v>
      </c>
      <c r="C493">
        <f t="shared" si="163"/>
        <v>38851983.082947217</v>
      </c>
      <c r="D493">
        <f t="shared" si="163"/>
        <v>46499271.641668536</v>
      </c>
      <c r="E493">
        <f t="shared" si="163"/>
        <v>30774902.626001723</v>
      </c>
      <c r="F493">
        <f t="shared" si="163"/>
        <v>22864617.234160978</v>
      </c>
      <c r="G493">
        <f t="shared" si="163"/>
        <v>37587871.63423647</v>
      </c>
      <c r="H493">
        <f t="shared" si="163"/>
        <v>37525265.395112485</v>
      </c>
      <c r="I493">
        <f t="shared" si="163"/>
        <v>205044002.57702175</v>
      </c>
      <c r="J493">
        <f t="shared" si="163"/>
        <v>94578485.505108908</v>
      </c>
      <c r="K493">
        <f t="shared" si="163"/>
        <v>210506034.62683082</v>
      </c>
      <c r="L493">
        <f t="shared" si="163"/>
        <v>57323993.021026596</v>
      </c>
      <c r="M493">
        <f t="shared" si="163"/>
        <v>29583717.205387209</v>
      </c>
      <c r="N493">
        <f t="shared" si="163"/>
        <v>16333179.749029661</v>
      </c>
      <c r="O493">
        <f t="shared" si="163"/>
        <v>78751100.257561117</v>
      </c>
      <c r="P493">
        <f t="shared" si="163"/>
        <v>72916024.714533508</v>
      </c>
      <c r="Q493">
        <f t="shared" si="163"/>
        <v>23059884.546313658</v>
      </c>
      <c r="R493">
        <f t="shared" si="163"/>
        <v>99863916.299286813</v>
      </c>
      <c r="S493">
        <f t="shared" si="163"/>
        <v>14217009.349202342</v>
      </c>
      <c r="T493">
        <f t="shared" si="163"/>
        <v>54080023.078263901</v>
      </c>
      <c r="U493">
        <f t="shared" si="163"/>
        <v>89075085.198533848</v>
      </c>
      <c r="V493">
        <f t="shared" si="163"/>
        <v>70481985.238600835</v>
      </c>
      <c r="W493">
        <f t="shared" si="163"/>
        <v>211110282.11148894</v>
      </c>
      <c r="X493">
        <f t="shared" si="163"/>
        <v>266844365.12914199</v>
      </c>
      <c r="Y493">
        <f t="shared" si="163"/>
        <v>236446447.86223122</v>
      </c>
    </row>
    <row r="494" spans="1:25" x14ac:dyDescent="0.45">
      <c r="A494" s="5" t="s">
        <v>167</v>
      </c>
      <c r="B494">
        <f t="shared" ref="B494:Y494" si="164">B166/B$326</f>
        <v>991065.40603388636</v>
      </c>
      <c r="C494">
        <f t="shared" si="164"/>
        <v>657626.68342654838</v>
      </c>
      <c r="D494">
        <f t="shared" si="164"/>
        <v>505938.29687074403</v>
      </c>
      <c r="E494">
        <f t="shared" si="164"/>
        <v>914689.28969300271</v>
      </c>
      <c r="F494">
        <f t="shared" si="164"/>
        <v>2772766.5526861977</v>
      </c>
      <c r="G494">
        <f t="shared" si="164"/>
        <v>1014730.9633467793</v>
      </c>
      <c r="H494">
        <f t="shared" si="164"/>
        <v>743328.08470788214</v>
      </c>
      <c r="I494">
        <f t="shared" si="164"/>
        <v>475779.61954623775</v>
      </c>
      <c r="J494">
        <f t="shared" si="164"/>
        <v>3011504.1140637845</v>
      </c>
      <c r="K494">
        <f t="shared" si="164"/>
        <v>774276.12207752652</v>
      </c>
      <c r="L494">
        <f t="shared" si="164"/>
        <v>1434277.3449412978</v>
      </c>
      <c r="M494">
        <f t="shared" si="164"/>
        <v>347090.42262207967</v>
      </c>
      <c r="N494">
        <f t="shared" si="164"/>
        <v>285780.77584922093</v>
      </c>
      <c r="O494">
        <f t="shared" si="164"/>
        <v>1962323.2243462096</v>
      </c>
      <c r="P494">
        <f t="shared" si="164"/>
        <v>2511232.2017499208</v>
      </c>
      <c r="Q494">
        <f t="shared" si="164"/>
        <v>286583.46758482419</v>
      </c>
      <c r="R494">
        <f t="shared" si="164"/>
        <v>1717340.6611806012</v>
      </c>
      <c r="S494">
        <f t="shared" si="164"/>
        <v>677933.28548452852</v>
      </c>
      <c r="T494">
        <f t="shared" si="164"/>
        <v>1932406.4267021606</v>
      </c>
      <c r="U494">
        <f t="shared" si="164"/>
        <v>1543526.4702701783</v>
      </c>
      <c r="V494">
        <f t="shared" si="164"/>
        <v>1107831.6906488675</v>
      </c>
      <c r="W494">
        <f t="shared" si="164"/>
        <v>1907512.5031984176</v>
      </c>
      <c r="X494">
        <f t="shared" si="164"/>
        <v>514745.32659530401</v>
      </c>
      <c r="Y494">
        <f t="shared" si="164"/>
        <v>1979770.6449028435</v>
      </c>
    </row>
    <row r="495" spans="1:25" x14ac:dyDescent="0.45">
      <c r="A495" s="5" t="s">
        <v>168</v>
      </c>
      <c r="B495">
        <f t="shared" ref="B495:Y495" si="165">B167/B$326</f>
        <v>14360167.619113052</v>
      </c>
      <c r="C495">
        <f t="shared" si="165"/>
        <v>11633061.711196709</v>
      </c>
      <c r="D495">
        <f t="shared" si="165"/>
        <v>17007496.808539964</v>
      </c>
      <c r="E495">
        <f t="shared" si="165"/>
        <v>5813058.2148418818</v>
      </c>
      <c r="F495">
        <f t="shared" si="165"/>
        <v>13543710.082072128</v>
      </c>
      <c r="G495">
        <f t="shared" si="165"/>
        <v>4471796.0250638183</v>
      </c>
      <c r="H495">
        <f t="shared" si="165"/>
        <v>4112245.6439369982</v>
      </c>
      <c r="I495">
        <f t="shared" si="165"/>
        <v>28692706.654246602</v>
      </c>
      <c r="J495">
        <f t="shared" si="165"/>
        <v>36794335.273110904</v>
      </c>
      <c r="K495">
        <f t="shared" si="165"/>
        <v>3878143.2055377299</v>
      </c>
      <c r="L495">
        <f t="shared" si="165"/>
        <v>27507801.903842345</v>
      </c>
      <c r="M495">
        <f t="shared" si="165"/>
        <v>3804849.4970546947</v>
      </c>
      <c r="N495">
        <f t="shared" si="165"/>
        <v>3494423.7420945801</v>
      </c>
      <c r="O495">
        <f t="shared" si="165"/>
        <v>20747742.821094118</v>
      </c>
      <c r="P495">
        <f t="shared" si="165"/>
        <v>9423424.7436987292</v>
      </c>
      <c r="Q495">
        <f t="shared" si="165"/>
        <v>5339694.8134154743</v>
      </c>
      <c r="R495">
        <f t="shared" si="165"/>
        <v>40863481.473412327</v>
      </c>
      <c r="S495">
        <f t="shared" si="165"/>
        <v>8357285.3094050279</v>
      </c>
      <c r="T495">
        <f t="shared" si="165"/>
        <v>28562193.270692065</v>
      </c>
      <c r="U495">
        <f t="shared" si="165"/>
        <v>21483469.836986303</v>
      </c>
      <c r="V495">
        <f t="shared" si="165"/>
        <v>6589359.8698833231</v>
      </c>
      <c r="W495">
        <f t="shared" si="165"/>
        <v>9142895.3522058986</v>
      </c>
      <c r="X495">
        <f t="shared" si="165"/>
        <v>469593377.25070202</v>
      </c>
      <c r="Y495">
        <f t="shared" si="165"/>
        <v>15502338.734913062</v>
      </c>
    </row>
    <row r="496" spans="1:25" x14ac:dyDescent="0.45">
      <c r="A496" s="5" t="s">
        <v>169</v>
      </c>
      <c r="B496">
        <f t="shared" ref="B496:Y496" si="166">B168/B$326</f>
        <v>9624666.8450134452</v>
      </c>
      <c r="C496">
        <f t="shared" si="166"/>
        <v>18535306.502643567</v>
      </c>
      <c r="D496">
        <f t="shared" si="166"/>
        <v>8757310.885325266</v>
      </c>
      <c r="E496">
        <f t="shared" si="166"/>
        <v>4727307.4828282865</v>
      </c>
      <c r="F496">
        <f t="shared" si="166"/>
        <v>3201566.9868344795</v>
      </c>
      <c r="G496">
        <f t="shared" si="166"/>
        <v>5216492.5851533338</v>
      </c>
      <c r="H496">
        <f t="shared" si="166"/>
        <v>1050482.2222589483</v>
      </c>
      <c r="I496">
        <f t="shared" si="166"/>
        <v>26630913.80615418</v>
      </c>
      <c r="J496">
        <f t="shared" si="166"/>
        <v>13542903.856001103</v>
      </c>
      <c r="K496">
        <f t="shared" si="166"/>
        <v>1106217.0849645883</v>
      </c>
      <c r="L496">
        <f t="shared" si="166"/>
        <v>4028009.3093500589</v>
      </c>
      <c r="M496">
        <f t="shared" si="166"/>
        <v>6625772.5695275515</v>
      </c>
      <c r="N496">
        <f t="shared" si="166"/>
        <v>3500707.1532275937</v>
      </c>
      <c r="O496">
        <f t="shared" si="166"/>
        <v>12162606.400866767</v>
      </c>
      <c r="P496">
        <f t="shared" si="166"/>
        <v>158958.15177617958</v>
      </c>
      <c r="Q496">
        <f t="shared" si="166"/>
        <v>3274400.2277475717</v>
      </c>
      <c r="R496">
        <f t="shared" si="166"/>
        <v>5835715.7050315179</v>
      </c>
      <c r="S496">
        <f t="shared" si="166"/>
        <v>3733642.8169198642</v>
      </c>
      <c r="T496">
        <f t="shared" si="166"/>
        <v>3322867.4120690147</v>
      </c>
      <c r="U496">
        <f t="shared" si="166"/>
        <v>10175597.641940178</v>
      </c>
      <c r="V496">
        <f t="shared" si="166"/>
        <v>7561149.7884236481</v>
      </c>
      <c r="W496">
        <f t="shared" si="166"/>
        <v>6997203.6027862513</v>
      </c>
      <c r="X496">
        <f t="shared" si="166"/>
        <v>40360083.3968537</v>
      </c>
      <c r="Y496">
        <f t="shared" si="166"/>
        <v>19039882.920627873</v>
      </c>
    </row>
    <row r="497" spans="1:25" x14ac:dyDescent="0.45">
      <c r="A497" s="5" t="s">
        <v>170</v>
      </c>
      <c r="B497">
        <f t="shared" ref="B497:Y497" si="167">B169/B$326</f>
        <v>2686327.2347404994</v>
      </c>
      <c r="C497">
        <f t="shared" si="167"/>
        <v>4135999.0951197259</v>
      </c>
      <c r="D497">
        <f t="shared" si="167"/>
        <v>2739380.410379447</v>
      </c>
      <c r="E497">
        <f t="shared" si="167"/>
        <v>2526821.3429473029</v>
      </c>
      <c r="F497">
        <f t="shared" si="167"/>
        <v>2966204.6280879453</v>
      </c>
      <c r="G497">
        <f t="shared" si="167"/>
        <v>3724920.409495044</v>
      </c>
      <c r="H497">
        <f t="shared" si="167"/>
        <v>3273103.2126225033</v>
      </c>
      <c r="I497">
        <f t="shared" si="167"/>
        <v>9330686.6463677511</v>
      </c>
      <c r="J497">
        <f t="shared" si="167"/>
        <v>5435532.5765746711</v>
      </c>
      <c r="K497">
        <f t="shared" si="167"/>
        <v>2956890.3659905703</v>
      </c>
      <c r="L497">
        <f t="shared" si="167"/>
        <v>3635653.9691403033</v>
      </c>
      <c r="M497">
        <f t="shared" si="167"/>
        <v>4101529.6885034125</v>
      </c>
      <c r="N497">
        <f t="shared" si="167"/>
        <v>3021524.5562602375</v>
      </c>
      <c r="O497">
        <f t="shared" si="167"/>
        <v>6331074.8190543232</v>
      </c>
      <c r="P497">
        <f t="shared" si="167"/>
        <v>5551234.501915819</v>
      </c>
      <c r="Q497">
        <f t="shared" si="167"/>
        <v>4069796.7476220094</v>
      </c>
      <c r="R497">
        <f t="shared" si="167"/>
        <v>5495368.9766148292</v>
      </c>
      <c r="S497">
        <f t="shared" si="167"/>
        <v>5492102.7317058621</v>
      </c>
      <c r="T497">
        <f t="shared" si="167"/>
        <v>4505561.1160088712</v>
      </c>
      <c r="U497">
        <f t="shared" si="167"/>
        <v>6039806.3435410336</v>
      </c>
      <c r="V497">
        <f t="shared" si="167"/>
        <v>5970076.4243287668</v>
      </c>
      <c r="W497">
        <f t="shared" si="167"/>
        <v>5108964.9437105106</v>
      </c>
      <c r="X497">
        <f t="shared" si="167"/>
        <v>19993496.0282842</v>
      </c>
      <c r="Y497">
        <f t="shared" si="167"/>
        <v>5572013.2438978804</v>
      </c>
    </row>
    <row r="498" spans="1:25" x14ac:dyDescent="0.45">
      <c r="A498" s="5" t="s">
        <v>171</v>
      </c>
      <c r="B498">
        <f t="shared" ref="B498:Y498" si="168">B170/B$326</f>
        <v>186752.45493294921</v>
      </c>
      <c r="C498">
        <f t="shared" si="168"/>
        <v>3649493.9006574773</v>
      </c>
      <c r="D498">
        <f t="shared" si="168"/>
        <v>128720.8939068563</v>
      </c>
      <c r="E498">
        <f t="shared" si="168"/>
        <v>183930.53101186824</v>
      </c>
      <c r="F498">
        <f t="shared" si="168"/>
        <v>281970.20502870448</v>
      </c>
      <c r="G498">
        <f t="shared" si="168"/>
        <v>4655002.509929372</v>
      </c>
      <c r="H498">
        <f t="shared" si="168"/>
        <v>135036.17162860581</v>
      </c>
      <c r="I498">
        <f t="shared" si="168"/>
        <v>7461605.3059784472</v>
      </c>
      <c r="J498">
        <f t="shared" si="168"/>
        <v>9376934.6022941489</v>
      </c>
      <c r="K498">
        <f t="shared" si="168"/>
        <v>5530552.6403339729</v>
      </c>
      <c r="L498">
        <f t="shared" si="168"/>
        <v>5411710.3866622336</v>
      </c>
      <c r="M498">
        <f t="shared" si="168"/>
        <v>9351718.2793153003</v>
      </c>
      <c r="N498">
        <f t="shared" si="168"/>
        <v>2207702.2936656312</v>
      </c>
      <c r="O498">
        <f t="shared" si="168"/>
        <v>327700.85084975295</v>
      </c>
      <c r="P498">
        <f t="shared" si="168"/>
        <v>309350.06509515428</v>
      </c>
      <c r="Q498">
        <f t="shared" si="168"/>
        <v>1939248.7530085428</v>
      </c>
      <c r="R498">
        <f t="shared" si="168"/>
        <v>8371611.5680091744</v>
      </c>
      <c r="S498">
        <f t="shared" si="168"/>
        <v>8803787.9000805337</v>
      </c>
      <c r="T498">
        <f t="shared" si="168"/>
        <v>3599514.3953207838</v>
      </c>
      <c r="U498">
        <f t="shared" si="168"/>
        <v>355812.15416656964</v>
      </c>
      <c r="V498">
        <f t="shared" si="168"/>
        <v>5013460.1376326447</v>
      </c>
      <c r="W498">
        <f t="shared" si="168"/>
        <v>4868922.4791115178</v>
      </c>
      <c r="X498">
        <f t="shared" si="168"/>
        <v>20753942.6091027</v>
      </c>
      <c r="Y498">
        <f t="shared" si="168"/>
        <v>289746.59925123188</v>
      </c>
    </row>
    <row r="499" spans="1:25" x14ac:dyDescent="0.45">
      <c r="A499" s="5" t="s">
        <v>172</v>
      </c>
      <c r="B499">
        <f t="shared" ref="B499:Y499" si="169">B171/B$326</f>
        <v>12100957.602876617</v>
      </c>
      <c r="C499">
        <f t="shared" si="169"/>
        <v>16857636.723082129</v>
      </c>
      <c r="D499">
        <f t="shared" si="169"/>
        <v>10514407.830586342</v>
      </c>
      <c r="E499">
        <f t="shared" si="169"/>
        <v>9833765.5176741648</v>
      </c>
      <c r="F499">
        <f t="shared" si="169"/>
        <v>21439029.152777947</v>
      </c>
      <c r="G499">
        <f t="shared" si="169"/>
        <v>17117911.674134314</v>
      </c>
      <c r="H499">
        <f t="shared" si="169"/>
        <v>15592268.052162906</v>
      </c>
      <c r="I499">
        <f t="shared" si="169"/>
        <v>8168868.7071795464</v>
      </c>
      <c r="J499">
        <f t="shared" si="169"/>
        <v>28435083.50481052</v>
      </c>
      <c r="K499">
        <f t="shared" si="169"/>
        <v>2710761.8135518292</v>
      </c>
      <c r="L499">
        <f t="shared" si="169"/>
        <v>22301105.047278032</v>
      </c>
      <c r="M499">
        <f t="shared" si="169"/>
        <v>9080370.4860246293</v>
      </c>
      <c r="N499">
        <f t="shared" si="169"/>
        <v>5294850.3288500803</v>
      </c>
      <c r="O499">
        <f t="shared" si="169"/>
        <v>16799570.886579428</v>
      </c>
      <c r="P499">
        <f t="shared" si="169"/>
        <v>21885148.007879332</v>
      </c>
      <c r="Q499">
        <f t="shared" si="169"/>
        <v>5139882.1982255746</v>
      </c>
      <c r="R499">
        <f t="shared" si="169"/>
        <v>39759755.60925439</v>
      </c>
      <c r="S499">
        <f t="shared" si="169"/>
        <v>13755258.310243333</v>
      </c>
      <c r="T499">
        <f t="shared" si="169"/>
        <v>19812370.044563904</v>
      </c>
      <c r="U499">
        <f t="shared" si="169"/>
        <v>19326870.986733843</v>
      </c>
      <c r="V499">
        <f t="shared" si="169"/>
        <v>13331029.839243472</v>
      </c>
      <c r="W499">
        <f t="shared" si="169"/>
        <v>23564173.809631694</v>
      </c>
      <c r="X499">
        <f t="shared" si="169"/>
        <v>50465083.412576102</v>
      </c>
      <c r="Y499">
        <f t="shared" si="169"/>
        <v>22974263.698714375</v>
      </c>
    </row>
    <row r="500" spans="1:25" x14ac:dyDescent="0.45">
      <c r="A500" s="5" t="s">
        <v>173</v>
      </c>
      <c r="B500">
        <f t="shared" ref="B500:Y500" si="170">B172/B$326</f>
        <v>6187511.7006791821</v>
      </c>
      <c r="C500">
        <f t="shared" si="170"/>
        <v>9434655.0602202509</v>
      </c>
      <c r="D500">
        <f t="shared" si="170"/>
        <v>3891478.9586879755</v>
      </c>
      <c r="E500">
        <f t="shared" si="170"/>
        <v>8150946.6078750752</v>
      </c>
      <c r="F500">
        <f t="shared" si="170"/>
        <v>902098.44322732929</v>
      </c>
      <c r="G500">
        <f t="shared" si="170"/>
        <v>11813232.730770342</v>
      </c>
      <c r="H500">
        <f t="shared" si="170"/>
        <v>7322569.910134336</v>
      </c>
      <c r="I500">
        <f t="shared" si="170"/>
        <v>10522911.281249484</v>
      </c>
      <c r="J500">
        <f t="shared" si="170"/>
        <v>14487830.837443231</v>
      </c>
      <c r="K500">
        <f t="shared" si="170"/>
        <v>3321243.4873607075</v>
      </c>
      <c r="L500">
        <f t="shared" si="170"/>
        <v>17391158.279375959</v>
      </c>
      <c r="M500">
        <f t="shared" si="170"/>
        <v>4311938.2446633391</v>
      </c>
      <c r="N500">
        <f t="shared" si="170"/>
        <v>2751568.939462455</v>
      </c>
      <c r="O500">
        <f t="shared" si="170"/>
        <v>4684939.3203012832</v>
      </c>
      <c r="P500">
        <f t="shared" si="170"/>
        <v>9038273.2949936874</v>
      </c>
      <c r="Q500">
        <f t="shared" si="170"/>
        <v>4042228.7517500366</v>
      </c>
      <c r="R500">
        <f t="shared" si="170"/>
        <v>23216427.278083526</v>
      </c>
      <c r="S500">
        <f t="shared" si="170"/>
        <v>1208832.2800500363</v>
      </c>
      <c r="T500">
        <f t="shared" si="170"/>
        <v>3098008.6341744363</v>
      </c>
      <c r="U500">
        <f t="shared" si="170"/>
        <v>1646518.8857567299</v>
      </c>
      <c r="V500">
        <f t="shared" si="170"/>
        <v>1859082.7117402749</v>
      </c>
      <c r="W500">
        <f t="shared" si="170"/>
        <v>8963854.4629311357</v>
      </c>
      <c r="X500">
        <f t="shared" si="170"/>
        <v>8126589.0190642299</v>
      </c>
      <c r="Y500">
        <f t="shared" si="170"/>
        <v>1484181.8873055</v>
      </c>
    </row>
    <row r="501" spans="1:25" x14ac:dyDescent="0.45">
      <c r="A501" s="5" t="s">
        <v>359</v>
      </c>
      <c r="B501">
        <f t="shared" ref="B501:Y501" si="171">B173/B$326</f>
        <v>20564168.915329095</v>
      </c>
      <c r="C501">
        <f t="shared" si="171"/>
        <v>50301418.991076693</v>
      </c>
      <c r="D501">
        <f t="shared" si="171"/>
        <v>27807150.430487689</v>
      </c>
      <c r="E501">
        <f t="shared" si="171"/>
        <v>31296715.582052927</v>
      </c>
      <c r="F501">
        <f t="shared" si="171"/>
        <v>62729873.18760135</v>
      </c>
      <c r="G501">
        <f t="shared" si="171"/>
        <v>43506030.391996957</v>
      </c>
      <c r="H501">
        <f t="shared" si="171"/>
        <v>23225291.417694524</v>
      </c>
      <c r="I501">
        <f t="shared" si="171"/>
        <v>198888169.70988011</v>
      </c>
      <c r="J501">
        <f t="shared" si="171"/>
        <v>145400140.04267222</v>
      </c>
      <c r="K501">
        <f t="shared" si="171"/>
        <v>48261031.937912658</v>
      </c>
      <c r="L501">
        <f t="shared" si="171"/>
        <v>41385173.357033141</v>
      </c>
      <c r="M501">
        <f t="shared" si="171"/>
        <v>20145366.189598523</v>
      </c>
      <c r="N501">
        <f t="shared" si="171"/>
        <v>26832807.133423243</v>
      </c>
      <c r="O501">
        <f t="shared" si="171"/>
        <v>120371046.10136344</v>
      </c>
      <c r="P501">
        <f t="shared" si="171"/>
        <v>69799354.349215671</v>
      </c>
      <c r="Q501">
        <f t="shared" si="171"/>
        <v>24350768.619688541</v>
      </c>
      <c r="R501">
        <f t="shared" si="171"/>
        <v>74055156.077778116</v>
      </c>
      <c r="S501">
        <f t="shared" si="171"/>
        <v>34864912.820403919</v>
      </c>
      <c r="T501">
        <f t="shared" si="171"/>
        <v>53182470.130734108</v>
      </c>
      <c r="U501">
        <f t="shared" si="171"/>
        <v>71755689.478524193</v>
      </c>
      <c r="V501">
        <f t="shared" si="171"/>
        <v>69180857.971013695</v>
      </c>
      <c r="W501">
        <f t="shared" si="171"/>
        <v>39337292.574542396</v>
      </c>
      <c r="X501">
        <f t="shared" si="171"/>
        <v>195368151.271092</v>
      </c>
      <c r="Y501">
        <f t="shared" si="171"/>
        <v>38015832.813300498</v>
      </c>
    </row>
    <row r="502" spans="1:25" x14ac:dyDescent="0.45">
      <c r="A502" s="5" t="s">
        <v>304</v>
      </c>
      <c r="B502">
        <f t="shared" ref="B502:Y502" si="172">B174/B$326</f>
        <v>951724242.59819746</v>
      </c>
      <c r="C502">
        <f t="shared" si="172"/>
        <v>792247733.3803122</v>
      </c>
      <c r="D502">
        <f t="shared" si="172"/>
        <v>386683586.81826806</v>
      </c>
      <c r="E502">
        <f t="shared" si="172"/>
        <v>959386560.08044875</v>
      </c>
      <c r="F502">
        <f t="shared" si="172"/>
        <v>178186357.77232617</v>
      </c>
      <c r="G502">
        <f t="shared" si="172"/>
        <v>705912434.39931858</v>
      </c>
      <c r="H502">
        <f t="shared" si="172"/>
        <v>606840790.387447</v>
      </c>
      <c r="I502">
        <f t="shared" si="172"/>
        <v>104587015.17674658</v>
      </c>
      <c r="J502">
        <f t="shared" si="172"/>
        <v>498204823.87341392</v>
      </c>
      <c r="K502">
        <f t="shared" si="172"/>
        <v>22622250.757121742</v>
      </c>
      <c r="L502">
        <f t="shared" si="172"/>
        <v>193227477.90813351</v>
      </c>
      <c r="M502">
        <f t="shared" si="172"/>
        <v>469612656.70347023</v>
      </c>
      <c r="N502">
        <f t="shared" si="172"/>
        <v>658330872.6529423</v>
      </c>
      <c r="O502">
        <f t="shared" si="172"/>
        <v>569065602.14889896</v>
      </c>
      <c r="P502">
        <f t="shared" si="172"/>
        <v>758236027.28010511</v>
      </c>
      <c r="Q502">
        <f t="shared" si="172"/>
        <v>861662424.76016462</v>
      </c>
      <c r="R502">
        <f t="shared" si="172"/>
        <v>448981147.66504312</v>
      </c>
      <c r="S502">
        <f t="shared" si="172"/>
        <v>940663145.95803344</v>
      </c>
      <c r="T502">
        <f t="shared" si="172"/>
        <v>405401434.94423878</v>
      </c>
      <c r="U502">
        <f t="shared" si="172"/>
        <v>787853777.56185246</v>
      </c>
      <c r="V502">
        <f t="shared" si="172"/>
        <v>1054940782.1462221</v>
      </c>
      <c r="W502">
        <f t="shared" si="172"/>
        <v>1013204468.6478171</v>
      </c>
      <c r="X502">
        <f t="shared" si="172"/>
        <v>444112266.48849899</v>
      </c>
      <c r="Y502">
        <f t="shared" si="172"/>
        <v>794168204.86870623</v>
      </c>
    </row>
    <row r="503" spans="1:25" x14ac:dyDescent="0.45">
      <c r="A503" s="5" t="s">
        <v>174</v>
      </c>
      <c r="B503">
        <f t="shared" ref="B503:Y503" si="173">B175/B$326</f>
        <v>83739066.677326739</v>
      </c>
      <c r="C503">
        <f t="shared" si="173"/>
        <v>395221520.70555168</v>
      </c>
      <c r="D503">
        <f t="shared" si="173"/>
        <v>81804224.184055865</v>
      </c>
      <c r="E503">
        <f t="shared" si="173"/>
        <v>100563443.89523052</v>
      </c>
      <c r="F503">
        <f t="shared" si="173"/>
        <v>106062061.22550344</v>
      </c>
      <c r="G503">
        <f t="shared" si="173"/>
        <v>323554440.74609214</v>
      </c>
      <c r="H503">
        <f t="shared" si="173"/>
        <v>100911197.40286379</v>
      </c>
      <c r="I503">
        <f t="shared" si="173"/>
        <v>650162894.69116485</v>
      </c>
      <c r="J503">
        <f t="shared" si="173"/>
        <v>266825550.92980984</v>
      </c>
      <c r="K503">
        <f t="shared" si="173"/>
        <v>49562876.176790059</v>
      </c>
      <c r="L503">
        <f t="shared" si="173"/>
        <v>120799672.07083139</v>
      </c>
      <c r="M503">
        <f t="shared" si="173"/>
        <v>259980034.75762701</v>
      </c>
      <c r="N503">
        <f t="shared" si="173"/>
        <v>243970261.14327571</v>
      </c>
      <c r="O503">
        <f t="shared" si="173"/>
        <v>776307839.05451787</v>
      </c>
      <c r="P503">
        <f t="shared" si="173"/>
        <v>29708444.123706613</v>
      </c>
      <c r="Q503">
        <f t="shared" si="173"/>
        <v>228303553.97876251</v>
      </c>
      <c r="R503">
        <f t="shared" si="173"/>
        <v>193613801.03411329</v>
      </c>
      <c r="S503">
        <f t="shared" si="173"/>
        <v>257983269.34829813</v>
      </c>
      <c r="T503">
        <f t="shared" si="173"/>
        <v>128775348.51225452</v>
      </c>
      <c r="U503">
        <f t="shared" si="173"/>
        <v>771734518.3325547</v>
      </c>
      <c r="V503">
        <f t="shared" si="173"/>
        <v>882903476.34813333</v>
      </c>
      <c r="W503">
        <f t="shared" si="173"/>
        <v>335648865.58485234</v>
      </c>
      <c r="X503">
        <f t="shared" si="173"/>
        <v>1302503627.23281</v>
      </c>
      <c r="Y503">
        <f t="shared" si="173"/>
        <v>413764024.34114814</v>
      </c>
    </row>
    <row r="504" spans="1:25" x14ac:dyDescent="0.45">
      <c r="A504" s="5" t="s">
        <v>424</v>
      </c>
      <c r="B504">
        <f t="shared" ref="B504:Y504" si="174">B176/B$326</f>
        <v>2006583.9582364305</v>
      </c>
      <c r="C504">
        <f t="shared" si="174"/>
        <v>2062774.8397343669</v>
      </c>
      <c r="D504">
        <f t="shared" si="174"/>
        <v>2022060.8464296097</v>
      </c>
      <c r="E504">
        <f t="shared" si="174"/>
        <v>1489580.2107664836</v>
      </c>
      <c r="F504">
        <f t="shared" si="174"/>
        <v>2610706.9881128282</v>
      </c>
      <c r="G504">
        <f t="shared" si="174"/>
        <v>2639429.9880900001</v>
      </c>
      <c r="H504">
        <f t="shared" si="174"/>
        <v>1768661.5127263027</v>
      </c>
      <c r="I504">
        <f t="shared" si="174"/>
        <v>71095024.063026816</v>
      </c>
      <c r="J504">
        <f t="shared" si="174"/>
        <v>17787457.128744215</v>
      </c>
      <c r="K504">
        <f t="shared" si="174"/>
        <v>4555791.0373499896</v>
      </c>
      <c r="L504">
        <f t="shared" si="174"/>
        <v>2690669.2155557978</v>
      </c>
      <c r="M504">
        <f t="shared" si="174"/>
        <v>2994756.7909990922</v>
      </c>
      <c r="N504">
        <f t="shared" si="174"/>
        <v>1645041.5667397596</v>
      </c>
      <c r="O504">
        <f t="shared" si="174"/>
        <v>3829814.6055791001</v>
      </c>
      <c r="P504">
        <f t="shared" si="174"/>
        <v>3571827.6829883885</v>
      </c>
      <c r="Q504">
        <f t="shared" si="174"/>
        <v>1367442.7407151414</v>
      </c>
      <c r="R504">
        <f t="shared" si="174"/>
        <v>6910497.4342362257</v>
      </c>
      <c r="S504">
        <f t="shared" si="174"/>
        <v>2654433.7715494237</v>
      </c>
      <c r="T504">
        <f t="shared" si="174"/>
        <v>2346803.0968516325</v>
      </c>
      <c r="U504">
        <f t="shared" si="174"/>
        <v>4126485.6245804266</v>
      </c>
      <c r="V504">
        <f t="shared" si="174"/>
        <v>4558080.4092389932</v>
      </c>
      <c r="W504">
        <f t="shared" si="174"/>
        <v>3855627.2503909352</v>
      </c>
      <c r="X504">
        <f t="shared" si="174"/>
        <v>36528005.611094996</v>
      </c>
      <c r="Y504">
        <f t="shared" si="174"/>
        <v>3493951.6777216997</v>
      </c>
    </row>
    <row r="505" spans="1:25" x14ac:dyDescent="0.45">
      <c r="A505" s="5" t="s">
        <v>305</v>
      </c>
      <c r="B505">
        <f t="shared" ref="B505:Y505" si="175">B177/B$326</f>
        <v>13451803.595278682</v>
      </c>
      <c r="C505">
        <f t="shared" si="175"/>
        <v>28573316.058939073</v>
      </c>
      <c r="D505">
        <f t="shared" si="175"/>
        <v>7974334.149378988</v>
      </c>
      <c r="E505">
        <f t="shared" si="175"/>
        <v>10145338.966078881</v>
      </c>
      <c r="F505">
        <f t="shared" si="175"/>
        <v>11271326.613041073</v>
      </c>
      <c r="G505">
        <f t="shared" si="175"/>
        <v>10940529.42108348</v>
      </c>
      <c r="H505">
        <f t="shared" si="175"/>
        <v>8502011.6580116153</v>
      </c>
      <c r="I505">
        <f t="shared" si="175"/>
        <v>31503502.107534666</v>
      </c>
      <c r="J505">
        <f t="shared" si="175"/>
        <v>21871934.84259177</v>
      </c>
      <c r="K505">
        <f t="shared" si="175"/>
        <v>5176074.2283826387</v>
      </c>
      <c r="L505">
        <f t="shared" si="175"/>
        <v>11546131.337888086</v>
      </c>
      <c r="M505">
        <f t="shared" si="175"/>
        <v>10491412.352294331</v>
      </c>
      <c r="N505">
        <f t="shared" si="175"/>
        <v>9491887.7645531874</v>
      </c>
      <c r="O505">
        <f t="shared" si="175"/>
        <v>21595139.506744478</v>
      </c>
      <c r="P505">
        <f t="shared" si="175"/>
        <v>24177337.20685529</v>
      </c>
      <c r="Q505">
        <f t="shared" si="175"/>
        <v>9219423.133768972</v>
      </c>
      <c r="R505">
        <f t="shared" si="175"/>
        <v>18417599.475878622</v>
      </c>
      <c r="S505">
        <f t="shared" si="175"/>
        <v>10947770.03321017</v>
      </c>
      <c r="T505">
        <f t="shared" si="175"/>
        <v>12494633.680845486</v>
      </c>
      <c r="U505">
        <f t="shared" si="175"/>
        <v>16781230.534259968</v>
      </c>
      <c r="V505">
        <f t="shared" si="175"/>
        <v>18747900.425593954</v>
      </c>
      <c r="W505">
        <f t="shared" si="175"/>
        <v>17199916.768798679</v>
      </c>
      <c r="X505">
        <f t="shared" si="175"/>
        <v>87477597.416941896</v>
      </c>
      <c r="Y505">
        <f t="shared" si="175"/>
        <v>16964003.674452126</v>
      </c>
    </row>
    <row r="506" spans="1:25" x14ac:dyDescent="0.45">
      <c r="A506" s="5" t="s">
        <v>306</v>
      </c>
      <c r="B506">
        <f t="shared" ref="B506:Y506" si="176">B178/B$326</f>
        <v>36665996.979104348</v>
      </c>
      <c r="C506">
        <f t="shared" si="176"/>
        <v>31017506.207281325</v>
      </c>
      <c r="D506">
        <f t="shared" si="176"/>
        <v>24448610.40935811</v>
      </c>
      <c r="E506">
        <f t="shared" si="176"/>
        <v>47054755.463447839</v>
      </c>
      <c r="F506">
        <f t="shared" si="176"/>
        <v>50108146.590341814</v>
      </c>
      <c r="G506">
        <f t="shared" si="176"/>
        <v>4594392.2441612156</v>
      </c>
      <c r="H506">
        <f t="shared" si="176"/>
        <v>37701609.211615942</v>
      </c>
      <c r="I506">
        <f t="shared" si="176"/>
        <v>34264765.604842357</v>
      </c>
      <c r="J506">
        <f t="shared" si="176"/>
        <v>79628695.011175632</v>
      </c>
      <c r="K506">
        <f t="shared" si="176"/>
        <v>45965991.174283624</v>
      </c>
      <c r="L506">
        <f t="shared" si="176"/>
        <v>44784827.109115906</v>
      </c>
      <c r="M506">
        <f t="shared" si="176"/>
        <v>27220192.29344184</v>
      </c>
      <c r="N506">
        <f t="shared" si="176"/>
        <v>20914822.978357606</v>
      </c>
      <c r="O506">
        <f t="shared" si="176"/>
        <v>48052669.530472085</v>
      </c>
      <c r="P506">
        <f t="shared" si="176"/>
        <v>51759289.749450579</v>
      </c>
      <c r="Q506">
        <f t="shared" si="176"/>
        <v>27246849.504753534</v>
      </c>
      <c r="R506">
        <f t="shared" si="176"/>
        <v>72642697.061731994</v>
      </c>
      <c r="S506">
        <f t="shared" si="176"/>
        <v>42718252.680717058</v>
      </c>
      <c r="T506">
        <f t="shared" si="176"/>
        <v>60694101.423508555</v>
      </c>
      <c r="U506">
        <f t="shared" si="176"/>
        <v>73630291.879322007</v>
      </c>
      <c r="V506">
        <f t="shared" si="176"/>
        <v>61283892.481505163</v>
      </c>
      <c r="W506">
        <f t="shared" si="176"/>
        <v>73802677.459033996</v>
      </c>
      <c r="X506">
        <f t="shared" si="176"/>
        <v>113322732.728825</v>
      </c>
      <c r="Y506">
        <f t="shared" si="176"/>
        <v>67957897.90746437</v>
      </c>
    </row>
    <row r="507" spans="1:25" x14ac:dyDescent="0.45">
      <c r="A507" s="5" t="s">
        <v>425</v>
      </c>
      <c r="B507">
        <f t="shared" ref="B507:Y507" si="177">B179/B$326</f>
        <v>22469570.950737622</v>
      </c>
      <c r="C507">
        <f t="shared" si="177"/>
        <v>125776815.96464138</v>
      </c>
      <c r="D507">
        <f t="shared" si="177"/>
        <v>23029908.491917837</v>
      </c>
      <c r="E507">
        <f t="shared" si="177"/>
        <v>25360770.511345614</v>
      </c>
      <c r="F507">
        <f t="shared" si="177"/>
        <v>25941313.980084587</v>
      </c>
      <c r="G507">
        <f t="shared" si="177"/>
        <v>89688662.727292165</v>
      </c>
      <c r="H507">
        <f t="shared" si="177"/>
        <v>24227965.644202486</v>
      </c>
      <c r="I507">
        <f t="shared" si="177"/>
        <v>253572112.26383537</v>
      </c>
      <c r="J507">
        <f t="shared" si="177"/>
        <v>57933938.155936748</v>
      </c>
      <c r="K507">
        <f t="shared" si="177"/>
        <v>10800559.290875167</v>
      </c>
      <c r="L507">
        <f t="shared" si="177"/>
        <v>24822831.277688034</v>
      </c>
      <c r="M507">
        <f t="shared" si="177"/>
        <v>66520534.912277147</v>
      </c>
      <c r="N507">
        <f t="shared" si="177"/>
        <v>67389106.295965925</v>
      </c>
      <c r="O507">
        <f t="shared" si="177"/>
        <v>247446844.3491469</v>
      </c>
      <c r="P507">
        <f t="shared" si="177"/>
        <v>9015818.0418539476</v>
      </c>
      <c r="Q507">
        <f t="shared" si="177"/>
        <v>64856017.420523942</v>
      </c>
      <c r="R507">
        <f t="shared" si="177"/>
        <v>38090300.585061528</v>
      </c>
      <c r="S507">
        <f t="shared" si="177"/>
        <v>73036206.003076494</v>
      </c>
      <c r="T507">
        <f t="shared" si="177"/>
        <v>28790690.193315428</v>
      </c>
      <c r="U507">
        <f t="shared" si="177"/>
        <v>201793857.33924949</v>
      </c>
      <c r="V507">
        <f t="shared" si="177"/>
        <v>237915266.92266017</v>
      </c>
      <c r="W507">
        <f t="shared" si="177"/>
        <v>80864859.242600113</v>
      </c>
      <c r="X507">
        <f t="shared" si="177"/>
        <v>188857135.480782</v>
      </c>
      <c r="Y507">
        <f t="shared" si="177"/>
        <v>95844101.087942496</v>
      </c>
    </row>
    <row r="508" spans="1:25" x14ac:dyDescent="0.45">
      <c r="A508" s="5" t="s">
        <v>307</v>
      </c>
      <c r="B508">
        <f t="shared" ref="B508:Y508" si="178">B180/B$326</f>
        <v>1752827.0128290399</v>
      </c>
      <c r="C508">
        <f t="shared" si="178"/>
        <v>2784272.5699497713</v>
      </c>
      <c r="D508">
        <f t="shared" si="178"/>
        <v>1873005.1310180037</v>
      </c>
      <c r="E508">
        <f t="shared" si="178"/>
        <v>2467294.9417450763</v>
      </c>
      <c r="F508">
        <f t="shared" si="178"/>
        <v>3351415.5671103825</v>
      </c>
      <c r="G508">
        <f t="shared" si="178"/>
        <v>2757764.9280685144</v>
      </c>
      <c r="H508">
        <f t="shared" si="178"/>
        <v>5173240.7222265247</v>
      </c>
      <c r="I508">
        <f t="shared" si="178"/>
        <v>8628042.3576283958</v>
      </c>
      <c r="J508">
        <f t="shared" si="178"/>
        <v>10333861.471294839</v>
      </c>
      <c r="K508">
        <f t="shared" si="178"/>
        <v>14755563.324068446</v>
      </c>
      <c r="L508">
        <f t="shared" si="178"/>
        <v>9182609.3716083523</v>
      </c>
      <c r="M508">
        <f t="shared" si="178"/>
        <v>6862306.3339179466</v>
      </c>
      <c r="N508">
        <f t="shared" si="178"/>
        <v>2535433.1330575338</v>
      </c>
      <c r="O508">
        <f t="shared" si="178"/>
        <v>7926171.5584788127</v>
      </c>
      <c r="P508">
        <f t="shared" si="178"/>
        <v>8232216.8883092394</v>
      </c>
      <c r="Q508">
        <f t="shared" si="178"/>
        <v>984296.83724653267</v>
      </c>
      <c r="R508">
        <f t="shared" si="178"/>
        <v>4951563.2929125307</v>
      </c>
      <c r="S508">
        <f t="shared" si="178"/>
        <v>1341241.6702571623</v>
      </c>
      <c r="T508">
        <f t="shared" si="178"/>
        <v>3905927.3979692394</v>
      </c>
      <c r="U508">
        <f t="shared" si="178"/>
        <v>4009652.7196159433</v>
      </c>
      <c r="V508">
        <f t="shared" si="178"/>
        <v>3551505.5048425165</v>
      </c>
      <c r="W508">
        <f t="shared" si="178"/>
        <v>7452110.0551186781</v>
      </c>
      <c r="X508">
        <f t="shared" si="178"/>
        <v>224796706.710471</v>
      </c>
      <c r="Y508">
        <f t="shared" si="178"/>
        <v>10731015.423250375</v>
      </c>
    </row>
    <row r="509" spans="1:25" x14ac:dyDescent="0.45">
      <c r="A509" s="5" t="s">
        <v>376</v>
      </c>
      <c r="B509">
        <f t="shared" ref="B509:Y509" si="179">B181/B$326</f>
        <v>309483766.56086767</v>
      </c>
      <c r="C509">
        <f t="shared" si="179"/>
        <v>229100605.32978329</v>
      </c>
      <c r="D509">
        <f t="shared" si="179"/>
        <v>431553799.51722747</v>
      </c>
      <c r="E509">
        <f t="shared" si="179"/>
        <v>487430733.266958</v>
      </c>
      <c r="F509">
        <f t="shared" si="179"/>
        <v>848006098.70045686</v>
      </c>
      <c r="G509">
        <f t="shared" si="179"/>
        <v>360914142.22802693</v>
      </c>
      <c r="H509">
        <f t="shared" si="179"/>
        <v>291939368.42860073</v>
      </c>
      <c r="I509">
        <f t="shared" si="179"/>
        <v>2678475553.4392185</v>
      </c>
      <c r="J509">
        <f t="shared" si="179"/>
        <v>2008960469.2231913</v>
      </c>
      <c r="K509">
        <f t="shared" si="179"/>
        <v>721972432.21690404</v>
      </c>
      <c r="L509">
        <f t="shared" si="179"/>
        <v>831383360.7439841</v>
      </c>
      <c r="M509">
        <f t="shared" si="179"/>
        <v>194652547.99808285</v>
      </c>
      <c r="N509">
        <f t="shared" si="179"/>
        <v>255614127.03175622</v>
      </c>
      <c r="O509">
        <f t="shared" si="179"/>
        <v>1130476802.1461768</v>
      </c>
      <c r="P509">
        <f t="shared" si="179"/>
        <v>1897441771.4525511</v>
      </c>
      <c r="Q509">
        <f t="shared" si="179"/>
        <v>194216254.82792336</v>
      </c>
      <c r="R509">
        <f t="shared" si="179"/>
        <v>1591818158.7594061</v>
      </c>
      <c r="S509">
        <f t="shared" si="179"/>
        <v>401723908.95567179</v>
      </c>
      <c r="T509">
        <f t="shared" si="179"/>
        <v>604906898.74825585</v>
      </c>
      <c r="U509">
        <f t="shared" si="179"/>
        <v>524609692.3928048</v>
      </c>
      <c r="V509">
        <f t="shared" si="179"/>
        <v>471666575.32493591</v>
      </c>
      <c r="W509">
        <f t="shared" si="179"/>
        <v>901831660.66111374</v>
      </c>
      <c r="X509">
        <f t="shared" si="179"/>
        <v>3610153993.7079501</v>
      </c>
      <c r="Y509">
        <f t="shared" si="179"/>
        <v>535520301.91046685</v>
      </c>
    </row>
    <row r="510" spans="1:25" x14ac:dyDescent="0.45">
      <c r="A510" s="5" t="s">
        <v>175</v>
      </c>
      <c r="B510">
        <f t="shared" ref="B510:Y510" si="180">B182/B$326</f>
        <v>5715917.4134437768</v>
      </c>
      <c r="C510">
        <f t="shared" si="180"/>
        <v>906113.27460129117</v>
      </c>
      <c r="D510">
        <f t="shared" si="180"/>
        <v>4635135.854471528</v>
      </c>
      <c r="E510">
        <f t="shared" si="180"/>
        <v>5710087.3388159228</v>
      </c>
      <c r="F510">
        <f t="shared" si="180"/>
        <v>9092869.9292124324</v>
      </c>
      <c r="G510">
        <f t="shared" si="180"/>
        <v>11106691.737185931</v>
      </c>
      <c r="H510">
        <f t="shared" si="180"/>
        <v>23392064.775796764</v>
      </c>
      <c r="I510">
        <f t="shared" si="180"/>
        <v>123274951.94743113</v>
      </c>
      <c r="J510">
        <f t="shared" si="180"/>
        <v>61579137.291839167</v>
      </c>
      <c r="K510">
        <f t="shared" si="180"/>
        <v>71502540.93725279</v>
      </c>
      <c r="L510">
        <f t="shared" si="180"/>
        <v>11536814.338701436</v>
      </c>
      <c r="M510">
        <f t="shared" si="180"/>
        <v>9874558.0043026134</v>
      </c>
      <c r="N510">
        <f t="shared" si="180"/>
        <v>8034802.752611978</v>
      </c>
      <c r="O510">
        <f t="shared" si="180"/>
        <v>9460557.4356905073</v>
      </c>
      <c r="P510">
        <f t="shared" si="180"/>
        <v>22035649.893888604</v>
      </c>
      <c r="Q510">
        <f t="shared" si="180"/>
        <v>6636169.2281363392</v>
      </c>
      <c r="R510">
        <f t="shared" si="180"/>
        <v>107832735.7918445</v>
      </c>
      <c r="S510">
        <f t="shared" si="180"/>
        <v>27995778.850052919</v>
      </c>
      <c r="T510">
        <f t="shared" si="180"/>
        <v>35503421.313955292</v>
      </c>
      <c r="U510">
        <f t="shared" si="180"/>
        <v>41903735.132817894</v>
      </c>
      <c r="V510">
        <f t="shared" si="180"/>
        <v>1827775.1156005119</v>
      </c>
      <c r="W510">
        <f t="shared" si="180"/>
        <v>19023939.781911954</v>
      </c>
      <c r="X510">
        <f t="shared" si="180"/>
        <v>79202665.477125898</v>
      </c>
      <c r="Y510">
        <f t="shared" si="180"/>
        <v>1983060.9483648436</v>
      </c>
    </row>
    <row r="511" spans="1:25" x14ac:dyDescent="0.45">
      <c r="A511" s="5" t="s">
        <v>176</v>
      </c>
      <c r="B511">
        <f t="shared" ref="B511:Y511" si="181">B183/B$326</f>
        <v>2196819.7336163097</v>
      </c>
      <c r="C511">
        <f t="shared" si="181"/>
        <v>2030349.2364284841</v>
      </c>
      <c r="D511">
        <f t="shared" si="181"/>
        <v>3937862.3512507561</v>
      </c>
      <c r="E511">
        <f t="shared" si="181"/>
        <v>1749373.5147136927</v>
      </c>
      <c r="F511">
        <f t="shared" si="181"/>
        <v>4763245.3332012966</v>
      </c>
      <c r="G511">
        <f t="shared" si="181"/>
        <v>1247352.6521979116</v>
      </c>
      <c r="H511">
        <f t="shared" si="181"/>
        <v>1178142.6941295678</v>
      </c>
      <c r="I511">
        <f t="shared" si="181"/>
        <v>10049324.789699506</v>
      </c>
      <c r="J511">
        <f t="shared" si="181"/>
        <v>7099342.2803032054</v>
      </c>
      <c r="K511">
        <f t="shared" si="181"/>
        <v>6924430.8586569857</v>
      </c>
      <c r="L511">
        <f t="shared" si="181"/>
        <v>7018332.4643198941</v>
      </c>
      <c r="M511">
        <f t="shared" si="181"/>
        <v>2092788.3340065628</v>
      </c>
      <c r="N511">
        <f t="shared" si="181"/>
        <v>883804.65007988375</v>
      </c>
      <c r="O511">
        <f t="shared" si="181"/>
        <v>2496319.5226955465</v>
      </c>
      <c r="P511">
        <f t="shared" si="181"/>
        <v>4030963.9056258756</v>
      </c>
      <c r="Q511">
        <f t="shared" si="181"/>
        <v>2592807.6785779358</v>
      </c>
      <c r="R511">
        <f t="shared" si="181"/>
        <v>5786316.9537827065</v>
      </c>
      <c r="S511">
        <f t="shared" si="181"/>
        <v>3787447.6880284823</v>
      </c>
      <c r="T511">
        <f t="shared" si="181"/>
        <v>3803541.0039095287</v>
      </c>
      <c r="U511">
        <f t="shared" si="181"/>
        <v>2193174.6891803094</v>
      </c>
      <c r="V511">
        <f t="shared" si="181"/>
        <v>2472233.258760313</v>
      </c>
      <c r="W511">
        <f t="shared" si="181"/>
        <v>3873250.096848255</v>
      </c>
      <c r="X511">
        <f t="shared" si="181"/>
        <v>22113060.1938252</v>
      </c>
      <c r="Y511">
        <f t="shared" si="181"/>
        <v>2657203.3711544126</v>
      </c>
    </row>
    <row r="512" spans="1:25" x14ac:dyDescent="0.45">
      <c r="A512" s="5" t="s">
        <v>177</v>
      </c>
      <c r="B512">
        <f t="shared" ref="B512:Y512" si="182">B184/B$326</f>
        <v>2979343.067920709</v>
      </c>
      <c r="C512">
        <f t="shared" si="182"/>
        <v>2619225.4789989581</v>
      </c>
      <c r="D512">
        <f t="shared" si="182"/>
        <v>2511895.8418691889</v>
      </c>
      <c r="E512">
        <f t="shared" si="182"/>
        <v>4266552.6878996659</v>
      </c>
      <c r="F512">
        <f t="shared" si="182"/>
        <v>5648052.2225758862</v>
      </c>
      <c r="G512">
        <f t="shared" si="182"/>
        <v>3659561.5875098775</v>
      </c>
      <c r="H512">
        <f t="shared" si="182"/>
        <v>2570993.7930395692</v>
      </c>
      <c r="I512">
        <f t="shared" si="182"/>
        <v>4815731.6540908534</v>
      </c>
      <c r="J512">
        <f t="shared" si="182"/>
        <v>5782613.2636706876</v>
      </c>
      <c r="K512">
        <f t="shared" si="182"/>
        <v>3502993.979391716</v>
      </c>
      <c r="L512">
        <f t="shared" si="182"/>
        <v>3536981.4741457393</v>
      </c>
      <c r="M512">
        <f t="shared" si="182"/>
        <v>74906.562612253445</v>
      </c>
      <c r="N512">
        <f t="shared" si="182"/>
        <v>179431.23121483641</v>
      </c>
      <c r="O512">
        <f t="shared" si="182"/>
        <v>849589.23887817259</v>
      </c>
      <c r="P512">
        <f t="shared" si="182"/>
        <v>1107261.0385573916</v>
      </c>
      <c r="Q512">
        <f t="shared" si="182"/>
        <v>2191172.7001893306</v>
      </c>
      <c r="R512">
        <f t="shared" si="182"/>
        <v>6618788.4370907545</v>
      </c>
      <c r="S512">
        <f t="shared" si="182"/>
        <v>4007508.7333242199</v>
      </c>
      <c r="T512">
        <f t="shared" si="182"/>
        <v>5520298.7567327889</v>
      </c>
      <c r="U512">
        <f t="shared" si="182"/>
        <v>5923970.5952904001</v>
      </c>
      <c r="V512">
        <f t="shared" si="182"/>
        <v>4377617.5655010678</v>
      </c>
      <c r="W512">
        <f t="shared" si="182"/>
        <v>5405347.9448926002</v>
      </c>
      <c r="X512">
        <f t="shared" si="182"/>
        <v>5591701.9787296802</v>
      </c>
      <c r="Y512">
        <f t="shared" si="182"/>
        <v>5158726.6149708563</v>
      </c>
    </row>
    <row r="513" spans="1:25" x14ac:dyDescent="0.45">
      <c r="A513" s="5" t="s">
        <v>178</v>
      </c>
      <c r="B513">
        <f t="shared" ref="B513:Y513" si="183">B185/B$326</f>
        <v>85810416.081426397</v>
      </c>
      <c r="C513">
        <f t="shared" si="183"/>
        <v>79342308.197612986</v>
      </c>
      <c r="D513">
        <f t="shared" si="183"/>
        <v>56598148.612868637</v>
      </c>
      <c r="E513">
        <f t="shared" si="183"/>
        <v>72833503.714379281</v>
      </c>
      <c r="F513">
        <f t="shared" si="183"/>
        <v>90521543.996516213</v>
      </c>
      <c r="G513">
        <f t="shared" si="183"/>
        <v>77275470.516841173</v>
      </c>
      <c r="H513">
        <f t="shared" si="183"/>
        <v>64615823.644006945</v>
      </c>
      <c r="I513">
        <f t="shared" si="183"/>
        <v>56856034.952910893</v>
      </c>
      <c r="J513">
        <f t="shared" si="183"/>
        <v>124754053.29330106</v>
      </c>
      <c r="K513">
        <f t="shared" si="183"/>
        <v>105740294.14591503</v>
      </c>
      <c r="L513">
        <f t="shared" si="183"/>
        <v>85796329.930099472</v>
      </c>
      <c r="M513">
        <f t="shared" si="183"/>
        <v>58017699.452290155</v>
      </c>
      <c r="N513">
        <f t="shared" si="183"/>
        <v>56756385.32486625</v>
      </c>
      <c r="O513">
        <f t="shared" si="183"/>
        <v>102478093.64071301</v>
      </c>
      <c r="P513">
        <f t="shared" si="183"/>
        <v>100145411.97781312</v>
      </c>
      <c r="Q513">
        <f t="shared" si="183"/>
        <v>50881216.888365932</v>
      </c>
      <c r="R513">
        <f t="shared" si="183"/>
        <v>152010980.39979377</v>
      </c>
      <c r="S513">
        <f t="shared" si="183"/>
        <v>77731265.271642447</v>
      </c>
      <c r="T513">
        <f t="shared" si="183"/>
        <v>102186536.13428865</v>
      </c>
      <c r="U513">
        <f t="shared" si="183"/>
        <v>122051670.41153286</v>
      </c>
      <c r="V513">
        <f t="shared" si="183"/>
        <v>118155401.52419628</v>
      </c>
      <c r="W513">
        <f t="shared" si="183"/>
        <v>133748156.69173492</v>
      </c>
      <c r="X513">
        <f t="shared" si="183"/>
        <v>180971707.17431101</v>
      </c>
      <c r="Y513">
        <f t="shared" si="183"/>
        <v>103183578.81844436</v>
      </c>
    </row>
    <row r="514" spans="1:25" x14ac:dyDescent="0.45">
      <c r="A514" s="5" t="s">
        <v>192</v>
      </c>
      <c r="B514">
        <f t="shared" ref="B514:Y514" si="184">B186/B$326</f>
        <v>90948759.020885244</v>
      </c>
      <c r="C514">
        <f t="shared" si="184"/>
        <v>61881794.699660644</v>
      </c>
      <c r="D514">
        <f t="shared" si="184"/>
        <v>58054715.177938931</v>
      </c>
      <c r="E514">
        <f t="shared" si="184"/>
        <v>99074551.109936461</v>
      </c>
      <c r="F514">
        <f t="shared" si="184"/>
        <v>123989240.57230599</v>
      </c>
      <c r="G514">
        <f t="shared" si="184"/>
        <v>78213902.056744605</v>
      </c>
      <c r="H514">
        <f t="shared" si="184"/>
        <v>60404155.656912871</v>
      </c>
      <c r="I514">
        <f t="shared" si="184"/>
        <v>99184196.157767326</v>
      </c>
      <c r="J514">
        <f t="shared" si="184"/>
        <v>157164770.09492633</v>
      </c>
      <c r="K514">
        <f t="shared" si="184"/>
        <v>109939759.68691179</v>
      </c>
      <c r="L514">
        <f t="shared" si="184"/>
        <v>86521150.781086177</v>
      </c>
      <c r="M514">
        <f t="shared" si="184"/>
        <v>68636707.311080188</v>
      </c>
      <c r="N514">
        <f t="shared" si="184"/>
        <v>56163326.27712585</v>
      </c>
      <c r="O514">
        <f t="shared" si="184"/>
        <v>141746403.64207983</v>
      </c>
      <c r="P514">
        <f t="shared" si="184"/>
        <v>156374588.98305634</v>
      </c>
      <c r="Q514">
        <f t="shared" si="184"/>
        <v>39287567.136562869</v>
      </c>
      <c r="R514">
        <f t="shared" si="184"/>
        <v>191697001.09701791</v>
      </c>
      <c r="S514">
        <f t="shared" si="184"/>
        <v>70188032.39892748</v>
      </c>
      <c r="T514">
        <f t="shared" si="184"/>
        <v>115778021.37325789</v>
      </c>
      <c r="U514">
        <f t="shared" si="184"/>
        <v>135046984.70037201</v>
      </c>
      <c r="V514">
        <f t="shared" si="184"/>
        <v>109240711.84094898</v>
      </c>
      <c r="W514">
        <f t="shared" si="184"/>
        <v>126222439.70504029</v>
      </c>
      <c r="X514">
        <f t="shared" si="184"/>
        <v>66436487.450291798</v>
      </c>
      <c r="Y514">
        <f t="shared" si="184"/>
        <v>118921542.45171186</v>
      </c>
    </row>
    <row r="515" spans="1:25" x14ac:dyDescent="0.45">
      <c r="A515" s="5" t="s">
        <v>193</v>
      </c>
      <c r="B515">
        <f t="shared" ref="B515:Y515" si="185">B187/B$326</f>
        <v>7506286.5823307848</v>
      </c>
      <c r="C515">
        <f t="shared" si="185"/>
        <v>5961350.50216108</v>
      </c>
      <c r="D515">
        <f t="shared" si="185"/>
        <v>4950149.2593809767</v>
      </c>
      <c r="E515">
        <f t="shared" si="185"/>
        <v>8600158.6311113797</v>
      </c>
      <c r="F515">
        <f t="shared" si="185"/>
        <v>11928325.463704823</v>
      </c>
      <c r="G515">
        <f t="shared" si="185"/>
        <v>7614277.3336768625</v>
      </c>
      <c r="H515">
        <f t="shared" si="185"/>
        <v>6622637.5429215413</v>
      </c>
      <c r="I515">
        <f t="shared" si="185"/>
        <v>10801362.416309979</v>
      </c>
      <c r="J515">
        <f t="shared" si="185"/>
        <v>16969054.243825864</v>
      </c>
      <c r="K515">
        <f t="shared" si="185"/>
        <v>13175734.950137567</v>
      </c>
      <c r="L515">
        <f t="shared" si="185"/>
        <v>8901309.7131672874</v>
      </c>
      <c r="M515">
        <f t="shared" si="185"/>
        <v>6999336.3234650912</v>
      </c>
      <c r="N515">
        <f t="shared" si="185"/>
        <v>5065532.6535789296</v>
      </c>
      <c r="O515">
        <f t="shared" si="185"/>
        <v>10435247.087455867</v>
      </c>
      <c r="P515">
        <f t="shared" si="185"/>
        <v>13776821.169392385</v>
      </c>
      <c r="Q515">
        <f t="shared" si="185"/>
        <v>3982526.6591931172</v>
      </c>
      <c r="R515">
        <f t="shared" si="185"/>
        <v>20034626.773702048</v>
      </c>
      <c r="S515">
        <f t="shared" si="185"/>
        <v>6512998.784343333</v>
      </c>
      <c r="T515">
        <f t="shared" si="185"/>
        <v>12051486.293246556</v>
      </c>
      <c r="U515">
        <f t="shared" si="185"/>
        <v>14769776.129041165</v>
      </c>
      <c r="V515">
        <f t="shared" si="185"/>
        <v>11317928.402112434</v>
      </c>
      <c r="W515">
        <f t="shared" si="185"/>
        <v>13165183.113285435</v>
      </c>
      <c r="X515">
        <f t="shared" si="185"/>
        <v>9957880.1021133997</v>
      </c>
      <c r="Y515">
        <f t="shared" si="185"/>
        <v>12672541.077151</v>
      </c>
    </row>
    <row r="516" spans="1:25" x14ac:dyDescent="0.45">
      <c r="A516" s="5" t="s">
        <v>349</v>
      </c>
      <c r="B516">
        <f t="shared" ref="B516:Y516" si="186">B188/B$326</f>
        <v>9368711.6228865497</v>
      </c>
      <c r="C516">
        <f t="shared" si="186"/>
        <v>5312407.9612095822</v>
      </c>
      <c r="D516">
        <f t="shared" si="186"/>
        <v>1837733.8882428978</v>
      </c>
      <c r="E516">
        <f t="shared" si="186"/>
        <v>1589732.3580573925</v>
      </c>
      <c r="F516">
        <f t="shared" si="186"/>
        <v>4227179.5693351459</v>
      </c>
      <c r="G516">
        <f t="shared" si="186"/>
        <v>4173068.7506415835</v>
      </c>
      <c r="H516">
        <f t="shared" si="186"/>
        <v>2095556.8021147791</v>
      </c>
      <c r="I516">
        <f t="shared" si="186"/>
        <v>9856946.2823733259</v>
      </c>
      <c r="J516">
        <f t="shared" si="186"/>
        <v>6490406.6458389098</v>
      </c>
      <c r="K516">
        <f t="shared" si="186"/>
        <v>26580221.157511838</v>
      </c>
      <c r="L516">
        <f t="shared" si="186"/>
        <v>1223493.5149907395</v>
      </c>
      <c r="M516">
        <f t="shared" si="186"/>
        <v>1603719.9032801988</v>
      </c>
      <c r="N516">
        <f t="shared" si="186"/>
        <v>1531499.3715014025</v>
      </c>
      <c r="O516">
        <f t="shared" si="186"/>
        <v>11153361.214962393</v>
      </c>
      <c r="P516">
        <f t="shared" si="186"/>
        <v>5895910.7934245244</v>
      </c>
      <c r="Q516">
        <f t="shared" si="186"/>
        <v>1522638.7082180544</v>
      </c>
      <c r="R516">
        <f t="shared" si="186"/>
        <v>2699136.9447677038</v>
      </c>
      <c r="S516">
        <f t="shared" si="186"/>
        <v>5523416.1374216378</v>
      </c>
      <c r="T516">
        <f t="shared" si="186"/>
        <v>2370527.2072443916</v>
      </c>
      <c r="U516">
        <f t="shared" si="186"/>
        <v>13977937.447273424</v>
      </c>
      <c r="V516">
        <f t="shared" si="186"/>
        <v>3736979.3488974399</v>
      </c>
      <c r="W516">
        <f t="shared" si="186"/>
        <v>3500209.4167332007</v>
      </c>
      <c r="X516">
        <f t="shared" si="186"/>
        <v>8995961.3205239307</v>
      </c>
      <c r="Y516">
        <f t="shared" si="186"/>
        <v>4756997.1820126055</v>
      </c>
    </row>
    <row r="517" spans="1:25" x14ac:dyDescent="0.45">
      <c r="A517" s="5" t="s">
        <v>371</v>
      </c>
      <c r="B517">
        <f t="shared" ref="B517:Y517" si="187">B189/B$326</f>
        <v>12225120.686910167</v>
      </c>
      <c r="C517">
        <f t="shared" si="187"/>
        <v>6862688.0478752023</v>
      </c>
      <c r="D517">
        <f t="shared" si="187"/>
        <v>2381429.203852586</v>
      </c>
      <c r="E517">
        <f t="shared" si="187"/>
        <v>12114956.566028319</v>
      </c>
      <c r="F517">
        <f t="shared" si="187"/>
        <v>27399885.173892446</v>
      </c>
      <c r="G517">
        <f t="shared" si="187"/>
        <v>9017684.5225666668</v>
      </c>
      <c r="H517">
        <f t="shared" si="187"/>
        <v>7190639.5708984034</v>
      </c>
      <c r="I517">
        <f t="shared" si="187"/>
        <v>27460386.488856349</v>
      </c>
      <c r="J517">
        <f t="shared" si="187"/>
        <v>38125424.466808483</v>
      </c>
      <c r="K517">
        <f t="shared" si="187"/>
        <v>11562539.825280998</v>
      </c>
      <c r="L517">
        <f t="shared" si="187"/>
        <v>16832865.350232713</v>
      </c>
      <c r="M517">
        <f t="shared" si="187"/>
        <v>5246727.0692595728</v>
      </c>
      <c r="N517">
        <f t="shared" si="187"/>
        <v>1330303.9148060344</v>
      </c>
      <c r="O517">
        <f t="shared" si="187"/>
        <v>7264322.564371123</v>
      </c>
      <c r="P517">
        <f t="shared" si="187"/>
        <v>24048381.553877626</v>
      </c>
      <c r="Q517">
        <f t="shared" si="187"/>
        <v>1494630.9366027748</v>
      </c>
      <c r="R517">
        <f t="shared" si="187"/>
        <v>14023791.808618695</v>
      </c>
      <c r="S517">
        <f t="shared" si="187"/>
        <v>9400101.2409837525</v>
      </c>
      <c r="T517">
        <f t="shared" si="187"/>
        <v>15997166.281080296</v>
      </c>
      <c r="U517">
        <f t="shared" si="187"/>
        <v>12694602.25955759</v>
      </c>
      <c r="V517">
        <f t="shared" si="187"/>
        <v>9183424.9293363895</v>
      </c>
      <c r="W517">
        <f t="shared" si="187"/>
        <v>6106601.2671786752</v>
      </c>
      <c r="X517">
        <f t="shared" si="187"/>
        <v>252351587.133165</v>
      </c>
      <c r="Y517">
        <f t="shared" si="187"/>
        <v>13030552.074105436</v>
      </c>
    </row>
    <row r="518" spans="1:25" x14ac:dyDescent="0.45">
      <c r="A518" s="5" t="s">
        <v>310</v>
      </c>
      <c r="B518">
        <f t="shared" ref="B518:Y518" si="188">B190/B$326</f>
        <v>26598060.426966686</v>
      </c>
      <c r="C518">
        <f t="shared" si="188"/>
        <v>19587277.624391019</v>
      </c>
      <c r="D518">
        <f t="shared" si="188"/>
        <v>27716467.977015026</v>
      </c>
      <c r="E518">
        <f t="shared" si="188"/>
        <v>19927186.900575832</v>
      </c>
      <c r="F518">
        <f t="shared" si="188"/>
        <v>28789563.698817473</v>
      </c>
      <c r="G518">
        <f t="shared" si="188"/>
        <v>18139170.19087946</v>
      </c>
      <c r="H518">
        <f t="shared" si="188"/>
        <v>6513450.5693446733</v>
      </c>
      <c r="I518">
        <f t="shared" si="188"/>
        <v>32655466.195246633</v>
      </c>
      <c r="J518">
        <f t="shared" si="188"/>
        <v>61953873.914529964</v>
      </c>
      <c r="K518">
        <f t="shared" si="188"/>
        <v>15829937.21086253</v>
      </c>
      <c r="L518">
        <f t="shared" si="188"/>
        <v>27650932.372260001</v>
      </c>
      <c r="M518">
        <f t="shared" si="188"/>
        <v>7843869.9820325691</v>
      </c>
      <c r="N518">
        <f t="shared" si="188"/>
        <v>3941011.6106703905</v>
      </c>
      <c r="O518">
        <f t="shared" si="188"/>
        <v>19392046.702284224</v>
      </c>
      <c r="P518">
        <f t="shared" si="188"/>
        <v>30128360.334844843</v>
      </c>
      <c r="Q518">
        <f t="shared" si="188"/>
        <v>5236793.2141462239</v>
      </c>
      <c r="R518">
        <f t="shared" si="188"/>
        <v>52413248.15308246</v>
      </c>
      <c r="S518">
        <f t="shared" si="188"/>
        <v>15304720.533962073</v>
      </c>
      <c r="T518">
        <f t="shared" si="188"/>
        <v>26547237.052944712</v>
      </c>
      <c r="U518">
        <f t="shared" si="188"/>
        <v>13836081.227183534</v>
      </c>
      <c r="V518">
        <f t="shared" si="188"/>
        <v>10875908.582764165</v>
      </c>
      <c r="W518">
        <f t="shared" si="188"/>
        <v>19340178.983821169</v>
      </c>
      <c r="X518">
        <f t="shared" si="188"/>
        <v>91527865.095997304</v>
      </c>
      <c r="Y518">
        <f t="shared" si="188"/>
        <v>18969884.99510156</v>
      </c>
    </row>
    <row r="519" spans="1:25" x14ac:dyDescent="0.45">
      <c r="A519" s="5" t="s">
        <v>194</v>
      </c>
      <c r="B519">
        <f t="shared" ref="B519:Y519" si="189">B191/B$326</f>
        <v>2846841.3951717662</v>
      </c>
      <c r="C519">
        <f t="shared" si="189"/>
        <v>3399789.9639820801</v>
      </c>
      <c r="D519">
        <f t="shared" si="189"/>
        <v>2572053.3101059827</v>
      </c>
      <c r="E519">
        <f t="shared" si="189"/>
        <v>2124290.0143076754</v>
      </c>
      <c r="F519">
        <f t="shared" si="189"/>
        <v>1539206.4546592787</v>
      </c>
      <c r="G519">
        <f t="shared" si="189"/>
        <v>2619676.5582445785</v>
      </c>
      <c r="H519">
        <f t="shared" si="189"/>
        <v>3223125.3842671397</v>
      </c>
      <c r="I519">
        <f t="shared" si="189"/>
        <v>1182305.3880137922</v>
      </c>
      <c r="J519">
        <f t="shared" si="189"/>
        <v>2017201.5103724229</v>
      </c>
      <c r="K519">
        <f t="shared" si="189"/>
        <v>755830.12069208222</v>
      </c>
      <c r="L519">
        <f t="shared" si="189"/>
        <v>719644.40713037772</v>
      </c>
      <c r="M519">
        <f t="shared" si="189"/>
        <v>1685803.333737798</v>
      </c>
      <c r="N519">
        <f t="shared" si="189"/>
        <v>2047780.3122958371</v>
      </c>
      <c r="O519">
        <f t="shared" si="189"/>
        <v>1199028.9087550507</v>
      </c>
      <c r="P519">
        <f t="shared" si="189"/>
        <v>5485860.6437897868</v>
      </c>
      <c r="Q519">
        <f t="shared" si="189"/>
        <v>294181.75439624448</v>
      </c>
      <c r="R519">
        <f t="shared" si="189"/>
        <v>1056234.0165405939</v>
      </c>
      <c r="S519">
        <f t="shared" si="189"/>
        <v>328881.30598242552</v>
      </c>
      <c r="T519">
        <f t="shared" si="189"/>
        <v>484144.31074650044</v>
      </c>
      <c r="U519">
        <f t="shared" si="189"/>
        <v>535494.70043409592</v>
      </c>
      <c r="V519">
        <f t="shared" si="189"/>
        <v>248006.90439140063</v>
      </c>
      <c r="W519">
        <f t="shared" si="189"/>
        <v>694864.45210735791</v>
      </c>
      <c r="X519">
        <f t="shared" si="189"/>
        <v>401633.06983710802</v>
      </c>
      <c r="Y519">
        <f t="shared" si="189"/>
        <v>942962.25088233128</v>
      </c>
    </row>
    <row r="520" spans="1:25" x14ac:dyDescent="0.45">
      <c r="A520" s="5" t="s">
        <v>195</v>
      </c>
      <c r="B520">
        <f t="shared" ref="B520:Y520" si="190">B192/B$326</f>
        <v>133363079.78788663</v>
      </c>
      <c r="C520">
        <f t="shared" si="190"/>
        <v>624670661.38234603</v>
      </c>
      <c r="D520">
        <f t="shared" si="190"/>
        <v>261451985.13999394</v>
      </c>
      <c r="E520">
        <f t="shared" si="190"/>
        <v>169025952.48692551</v>
      </c>
      <c r="F520">
        <f t="shared" si="190"/>
        <v>168639673.6622287</v>
      </c>
      <c r="G520">
        <f t="shared" si="190"/>
        <v>301690149.11210245</v>
      </c>
      <c r="H520">
        <f t="shared" si="190"/>
        <v>258252658.49379933</v>
      </c>
      <c r="I520">
        <f t="shared" si="190"/>
        <v>511544809.66241014</v>
      </c>
      <c r="J520">
        <f t="shared" si="190"/>
        <v>418133296.26626438</v>
      </c>
      <c r="K520">
        <f t="shared" si="190"/>
        <v>382041344.36258233</v>
      </c>
      <c r="L520">
        <f t="shared" si="190"/>
        <v>191823452.62405536</v>
      </c>
      <c r="M520">
        <f t="shared" si="190"/>
        <v>401766145.64539868</v>
      </c>
      <c r="N520">
        <f t="shared" si="190"/>
        <v>616058817.11839604</v>
      </c>
      <c r="O520">
        <f t="shared" si="190"/>
        <v>1762791858.7043576</v>
      </c>
      <c r="P520">
        <f t="shared" si="190"/>
        <v>659405442.44633842</v>
      </c>
      <c r="Q520">
        <f t="shared" si="190"/>
        <v>616073409.02816617</v>
      </c>
      <c r="R520">
        <f t="shared" si="190"/>
        <v>360207989.34952998</v>
      </c>
      <c r="S520">
        <f t="shared" si="190"/>
        <v>490239926.04309821</v>
      </c>
      <c r="T520">
        <f t="shared" si="190"/>
        <v>253970877.23684916</v>
      </c>
      <c r="U520">
        <f t="shared" si="190"/>
        <v>661783474.5922972</v>
      </c>
      <c r="V520">
        <f t="shared" si="190"/>
        <v>1301631426.7630787</v>
      </c>
      <c r="W520">
        <f t="shared" si="190"/>
        <v>539286829.64750612</v>
      </c>
      <c r="X520">
        <f t="shared" si="190"/>
        <v>1128223073.9699199</v>
      </c>
      <c r="Y520">
        <f t="shared" si="190"/>
        <v>303896881.8814981</v>
      </c>
    </row>
    <row r="521" spans="1:25" x14ac:dyDescent="0.45">
      <c r="A521" s="5" t="s">
        <v>196</v>
      </c>
      <c r="B521">
        <f t="shared" ref="B521:Y521" si="191">B193/B$326</f>
        <v>46930016.156802796</v>
      </c>
      <c r="C521">
        <f t="shared" si="191"/>
        <v>99997114.162932903</v>
      </c>
      <c r="D521">
        <f t="shared" si="191"/>
        <v>77266095.896494046</v>
      </c>
      <c r="E521">
        <f t="shared" si="191"/>
        <v>66230131.384705946</v>
      </c>
      <c r="F521">
        <f t="shared" si="191"/>
        <v>138057225.13718292</v>
      </c>
      <c r="G521">
        <f t="shared" si="191"/>
        <v>92928282.575622544</v>
      </c>
      <c r="H521">
        <f t="shared" si="191"/>
        <v>65434166.034920208</v>
      </c>
      <c r="I521">
        <f t="shared" si="191"/>
        <v>2248416798.3328567</v>
      </c>
      <c r="J521">
        <f t="shared" si="191"/>
        <v>604676453.55775464</v>
      </c>
      <c r="K521">
        <f t="shared" si="191"/>
        <v>169449705.35885</v>
      </c>
      <c r="L521">
        <f t="shared" si="191"/>
        <v>110226973.42181596</v>
      </c>
      <c r="M521">
        <f t="shared" si="191"/>
        <v>60574128.552864358</v>
      </c>
      <c r="N521">
        <f t="shared" si="191"/>
        <v>75792001.117265627</v>
      </c>
      <c r="O521">
        <f t="shared" si="191"/>
        <v>238919823.63189465</v>
      </c>
      <c r="P521">
        <f t="shared" si="191"/>
        <v>154254807.06869042</v>
      </c>
      <c r="Q521">
        <f t="shared" si="191"/>
        <v>54245009.991531536</v>
      </c>
      <c r="R521">
        <f t="shared" si="191"/>
        <v>215162922.20886025</v>
      </c>
      <c r="S521">
        <f t="shared" si="191"/>
        <v>89353764.259912461</v>
      </c>
      <c r="T521">
        <f t="shared" si="191"/>
        <v>87748330.675366849</v>
      </c>
      <c r="U521">
        <f t="shared" si="191"/>
        <v>161832764.36943653</v>
      </c>
      <c r="V521">
        <f t="shared" si="191"/>
        <v>207989012.35630715</v>
      </c>
      <c r="W521">
        <f t="shared" si="191"/>
        <v>114687866.58302706</v>
      </c>
      <c r="X521">
        <f t="shared" si="191"/>
        <v>1336177538.64853</v>
      </c>
      <c r="Y521">
        <f t="shared" si="191"/>
        <v>94403842.562936872</v>
      </c>
    </row>
    <row r="522" spans="1:25" x14ac:dyDescent="0.45">
      <c r="A522" s="5" t="s">
        <v>437</v>
      </c>
      <c r="B522">
        <f t="shared" ref="B522:Y522" si="192">B194/B$326</f>
        <v>3791108.9843100538</v>
      </c>
      <c r="C522">
        <f t="shared" si="192"/>
        <v>14566928.587912977</v>
      </c>
      <c r="D522">
        <f t="shared" si="192"/>
        <v>9101188.024146473</v>
      </c>
      <c r="E522">
        <f t="shared" si="192"/>
        <v>3716893.7166186878</v>
      </c>
      <c r="F522">
        <f t="shared" si="192"/>
        <v>8620980.012397103</v>
      </c>
      <c r="G522">
        <f t="shared" si="192"/>
        <v>3733928.6806520149</v>
      </c>
      <c r="H522">
        <f t="shared" si="192"/>
        <v>10415568.708363404</v>
      </c>
      <c r="I522">
        <f t="shared" si="192"/>
        <v>19652040.454063315</v>
      </c>
      <c r="J522">
        <f t="shared" si="192"/>
        <v>8861050.5676390771</v>
      </c>
      <c r="K522">
        <f t="shared" si="192"/>
        <v>4593915.6160987159</v>
      </c>
      <c r="L522">
        <f t="shared" si="192"/>
        <v>14184709.782661436</v>
      </c>
      <c r="M522">
        <f t="shared" si="192"/>
        <v>6619124.5816166168</v>
      </c>
      <c r="N522">
        <f t="shared" si="192"/>
        <v>1830238.0865629141</v>
      </c>
      <c r="O522">
        <f t="shared" si="192"/>
        <v>15414006.634135284</v>
      </c>
      <c r="P522">
        <f t="shared" si="192"/>
        <v>14937375.39629803</v>
      </c>
      <c r="Q522">
        <f t="shared" si="192"/>
        <v>7760243.8386174161</v>
      </c>
      <c r="R522">
        <f t="shared" si="192"/>
        <v>21129681.754524425</v>
      </c>
      <c r="S522">
        <f t="shared" si="192"/>
        <v>14114878.90380007</v>
      </c>
      <c r="T522">
        <f t="shared" si="192"/>
        <v>8055296.8581489222</v>
      </c>
      <c r="U522">
        <f t="shared" si="192"/>
        <v>20948093.718828764</v>
      </c>
      <c r="V522">
        <f t="shared" si="192"/>
        <v>16982130.827806469</v>
      </c>
      <c r="W522">
        <f t="shared" si="192"/>
        <v>19807415.651579659</v>
      </c>
      <c r="X522">
        <f t="shared" si="192"/>
        <v>39003575.802623697</v>
      </c>
      <c r="Y522">
        <f t="shared" si="192"/>
        <v>4651756.2645158432</v>
      </c>
    </row>
    <row r="523" spans="1:25" x14ac:dyDescent="0.45">
      <c r="A523" s="5" t="s">
        <v>197</v>
      </c>
      <c r="B523">
        <f t="shared" ref="B523:Y523" si="193">B195/B$326</f>
        <v>109940.12685409734</v>
      </c>
      <c r="C523">
        <f t="shared" si="193"/>
        <v>130505.82584447652</v>
      </c>
      <c r="D523">
        <f t="shared" si="193"/>
        <v>75042.967620417636</v>
      </c>
      <c r="E523">
        <f t="shared" si="193"/>
        <v>123085.4178335601</v>
      </c>
      <c r="F523">
        <f t="shared" si="193"/>
        <v>169951.00800577752</v>
      </c>
      <c r="G523">
        <f t="shared" si="193"/>
        <v>115815.14784651715</v>
      </c>
      <c r="H523">
        <f t="shared" si="193"/>
        <v>152115.45761021465</v>
      </c>
      <c r="I523">
        <f t="shared" si="193"/>
        <v>527395.03764946805</v>
      </c>
      <c r="J523">
        <f t="shared" si="193"/>
        <v>401203.35715328751</v>
      </c>
      <c r="K523">
        <f t="shared" si="193"/>
        <v>323280.22224178049</v>
      </c>
      <c r="L523">
        <f t="shared" si="193"/>
        <v>173054.64061867818</v>
      </c>
      <c r="M523">
        <f t="shared" si="193"/>
        <v>120220.78750272423</v>
      </c>
      <c r="N523">
        <f t="shared" si="193"/>
        <v>57519.722096305471</v>
      </c>
      <c r="O523">
        <f t="shared" si="193"/>
        <v>215883.62985786976</v>
      </c>
      <c r="P523">
        <f t="shared" si="193"/>
        <v>235858.38679442447</v>
      </c>
      <c r="Q523">
        <f t="shared" si="193"/>
        <v>86458.975295883865</v>
      </c>
      <c r="R523">
        <f t="shared" si="193"/>
        <v>207267.85229184487</v>
      </c>
      <c r="S523">
        <f t="shared" si="193"/>
        <v>147199.73349020514</v>
      </c>
      <c r="T523">
        <f t="shared" si="193"/>
        <v>229180.48531271942</v>
      </c>
      <c r="U523">
        <f t="shared" si="193"/>
        <v>181450.15471989711</v>
      </c>
      <c r="V523">
        <f t="shared" si="193"/>
        <v>229505.07820368075</v>
      </c>
      <c r="W523">
        <f t="shared" si="193"/>
        <v>325770.78361775127</v>
      </c>
      <c r="X523">
        <f t="shared" si="193"/>
        <v>421362.72984052403</v>
      </c>
      <c r="Y523">
        <f t="shared" si="193"/>
        <v>196540.04231967061</v>
      </c>
    </row>
    <row r="524" spans="1:25" x14ac:dyDescent="0.45">
      <c r="A524" s="5" t="s">
        <v>311</v>
      </c>
      <c r="B524">
        <f t="shared" ref="B524:Y524" si="194">B196/B$326</f>
        <v>6138286262.8759708</v>
      </c>
      <c r="C524">
        <f t="shared" si="194"/>
        <v>2825270277.7404962</v>
      </c>
      <c r="D524">
        <f t="shared" si="194"/>
        <v>2120866903.3424041</v>
      </c>
      <c r="E524">
        <f t="shared" si="194"/>
        <v>4363936319.6259842</v>
      </c>
      <c r="F524">
        <f t="shared" si="194"/>
        <v>7185506380.1395359</v>
      </c>
      <c r="G524">
        <f t="shared" si="194"/>
        <v>5111156138.7937737</v>
      </c>
      <c r="H524">
        <f t="shared" si="194"/>
        <v>2737903940.8929992</v>
      </c>
      <c r="I524">
        <f t="shared" si="194"/>
        <v>20907287176.503223</v>
      </c>
      <c r="J524">
        <f t="shared" si="194"/>
        <v>15723191139.261915</v>
      </c>
      <c r="K524">
        <f t="shared" si="194"/>
        <v>6100946933.6753016</v>
      </c>
      <c r="L524">
        <f t="shared" si="194"/>
        <v>3485657244.6324472</v>
      </c>
      <c r="M524">
        <f t="shared" si="194"/>
        <v>3610912564.8069239</v>
      </c>
      <c r="N524">
        <f t="shared" si="194"/>
        <v>784776560.18974149</v>
      </c>
      <c r="O524">
        <f t="shared" si="194"/>
        <v>4999035576.4616995</v>
      </c>
      <c r="P524">
        <f t="shared" si="194"/>
        <v>3834167097.44277</v>
      </c>
      <c r="Q524">
        <f t="shared" si="194"/>
        <v>809915763.14203107</v>
      </c>
      <c r="R524">
        <f t="shared" si="194"/>
        <v>6045107464.4460917</v>
      </c>
      <c r="S524">
        <f t="shared" si="194"/>
        <v>3441147674.8614407</v>
      </c>
      <c r="T524">
        <f t="shared" si="194"/>
        <v>6711455744.5895891</v>
      </c>
      <c r="U524">
        <f t="shared" si="194"/>
        <v>6031088606.8568697</v>
      </c>
      <c r="V524">
        <f t="shared" si="194"/>
        <v>4076895815.3509378</v>
      </c>
      <c r="W524">
        <f t="shared" si="194"/>
        <v>3460862224.3669386</v>
      </c>
      <c r="X524">
        <f t="shared" si="194"/>
        <v>19928396686.019001</v>
      </c>
      <c r="Y524">
        <f t="shared" si="194"/>
        <v>2319218159.7123499</v>
      </c>
    </row>
    <row r="525" spans="1:25" x14ac:dyDescent="0.45">
      <c r="A525" s="5" t="s">
        <v>198</v>
      </c>
      <c r="B525">
        <f t="shared" ref="B525:Y525" si="195">B197/B$326</f>
        <v>28989819.220792312</v>
      </c>
      <c r="C525">
        <f t="shared" si="195"/>
        <v>7489342.3261309043</v>
      </c>
      <c r="D525">
        <f t="shared" si="195"/>
        <v>18110557.540071599</v>
      </c>
      <c r="E525">
        <f t="shared" si="195"/>
        <v>18992166.045277003</v>
      </c>
      <c r="F525">
        <f t="shared" si="195"/>
        <v>49244804.967417262</v>
      </c>
      <c r="G525">
        <f t="shared" si="195"/>
        <v>27436930.590520881</v>
      </c>
      <c r="H525">
        <f t="shared" si="195"/>
        <v>36660481.870019779</v>
      </c>
      <c r="I525">
        <f t="shared" si="195"/>
        <v>166590658.72156057</v>
      </c>
      <c r="J525">
        <f t="shared" si="195"/>
        <v>155141522.75163257</v>
      </c>
      <c r="K525">
        <f t="shared" si="195"/>
        <v>20082937.696866497</v>
      </c>
      <c r="L525">
        <f t="shared" si="195"/>
        <v>32261098.530819416</v>
      </c>
      <c r="M525">
        <f t="shared" si="195"/>
        <v>13778316.835685959</v>
      </c>
      <c r="N525">
        <f t="shared" si="195"/>
        <v>12415849.1712541</v>
      </c>
      <c r="O525">
        <f t="shared" si="195"/>
        <v>20111450.708635315</v>
      </c>
      <c r="P525">
        <f t="shared" si="195"/>
        <v>13046724.220536342</v>
      </c>
      <c r="Q525">
        <f t="shared" si="195"/>
        <v>5310317.418381677</v>
      </c>
      <c r="R525">
        <f t="shared" si="195"/>
        <v>19606802.089502551</v>
      </c>
      <c r="S525">
        <f t="shared" si="195"/>
        <v>27227393.342083495</v>
      </c>
      <c r="T525">
        <f t="shared" si="195"/>
        <v>35821863.284472115</v>
      </c>
      <c r="U525">
        <f t="shared" si="195"/>
        <v>61880454.472952984</v>
      </c>
      <c r="V525">
        <f t="shared" si="195"/>
        <v>25741396.788064025</v>
      </c>
      <c r="W525">
        <f t="shared" si="195"/>
        <v>19756238.1198209</v>
      </c>
      <c r="X525">
        <f t="shared" si="195"/>
        <v>76210025.090474501</v>
      </c>
      <c r="Y525">
        <f t="shared" si="195"/>
        <v>30857377.860154752</v>
      </c>
    </row>
    <row r="526" spans="1:25" x14ac:dyDescent="0.45">
      <c r="A526" s="5" t="s">
        <v>312</v>
      </c>
      <c r="B526">
        <f t="shared" ref="B526:Y526" si="196">B198/B$326</f>
        <v>646960.83112298464</v>
      </c>
      <c r="C526">
        <f t="shared" si="196"/>
        <v>524435.24568560498</v>
      </c>
      <c r="D526">
        <f t="shared" si="196"/>
        <v>349728.99915846786</v>
      </c>
      <c r="E526">
        <f t="shared" si="196"/>
        <v>12886319.141211685</v>
      </c>
      <c r="F526">
        <f t="shared" si="196"/>
        <v>2696623.4406888732</v>
      </c>
      <c r="G526">
        <f t="shared" si="196"/>
        <v>3501466.041182314</v>
      </c>
      <c r="H526">
        <f t="shared" si="196"/>
        <v>424631.16759019363</v>
      </c>
      <c r="I526">
        <f t="shared" si="196"/>
        <v>2246469.6132666995</v>
      </c>
      <c r="J526">
        <f t="shared" si="196"/>
        <v>1582150.7344568737</v>
      </c>
      <c r="K526">
        <f t="shared" si="196"/>
        <v>648312.89883793425</v>
      </c>
      <c r="L526">
        <f t="shared" si="196"/>
        <v>909969.45623337245</v>
      </c>
      <c r="M526">
        <f t="shared" si="196"/>
        <v>399290.06331710418</v>
      </c>
      <c r="N526">
        <f t="shared" si="196"/>
        <v>174045.6699917966</v>
      </c>
      <c r="O526">
        <f t="shared" si="196"/>
        <v>731206.83956980391</v>
      </c>
      <c r="P526">
        <f t="shared" si="196"/>
        <v>518489.2722439252</v>
      </c>
      <c r="Q526">
        <f t="shared" si="196"/>
        <v>6245916.298188501</v>
      </c>
      <c r="R526">
        <f t="shared" si="196"/>
        <v>3711310.015828595</v>
      </c>
      <c r="S526">
        <f t="shared" si="196"/>
        <v>14000143.430586923</v>
      </c>
      <c r="T526">
        <f t="shared" si="196"/>
        <v>11223063.751465263</v>
      </c>
      <c r="U526">
        <f t="shared" si="196"/>
        <v>38304726.760374106</v>
      </c>
      <c r="V526">
        <f t="shared" si="196"/>
        <v>32200723.044434063</v>
      </c>
      <c r="W526">
        <f t="shared" si="196"/>
        <v>827112.30799269117</v>
      </c>
      <c r="X526">
        <f t="shared" si="196"/>
        <v>6446783.4509918196</v>
      </c>
      <c r="Y526">
        <f t="shared" si="196"/>
        <v>27270345.944642249</v>
      </c>
    </row>
    <row r="527" spans="1:25" x14ac:dyDescent="0.45">
      <c r="A527" s="5" t="s">
        <v>201</v>
      </c>
      <c r="B527">
        <f t="shared" ref="B527:Y527" si="197">B199/B$326</f>
        <v>4146669.3781663212</v>
      </c>
      <c r="C527">
        <f t="shared" si="197"/>
        <v>10498447.172232363</v>
      </c>
      <c r="D527">
        <f t="shared" si="197"/>
        <v>3360091.2922318722</v>
      </c>
      <c r="E527">
        <f t="shared" si="197"/>
        <v>4013652.7889109072</v>
      </c>
      <c r="F527">
        <f t="shared" si="197"/>
        <v>4639548.3584461762</v>
      </c>
      <c r="G527">
        <f t="shared" si="197"/>
        <v>5196343.6461289208</v>
      </c>
      <c r="H527">
        <f t="shared" si="197"/>
        <v>3450220.9093300286</v>
      </c>
      <c r="I527">
        <f t="shared" si="197"/>
        <v>3960946.1880745804</v>
      </c>
      <c r="J527">
        <f t="shared" si="197"/>
        <v>7307545.2649882296</v>
      </c>
      <c r="K527">
        <f t="shared" si="197"/>
        <v>2307500.2581223147</v>
      </c>
      <c r="L527">
        <f t="shared" si="197"/>
        <v>4059007.5712187714</v>
      </c>
      <c r="M527">
        <f t="shared" si="197"/>
        <v>3616266.8100974024</v>
      </c>
      <c r="N527">
        <f t="shared" si="197"/>
        <v>3292291.5289910482</v>
      </c>
      <c r="O527">
        <f t="shared" si="197"/>
        <v>13713033.536612179</v>
      </c>
      <c r="P527">
        <f t="shared" si="197"/>
        <v>7584467.3156059785</v>
      </c>
      <c r="Q527">
        <f t="shared" si="197"/>
        <v>8658107.0375021361</v>
      </c>
      <c r="R527">
        <f t="shared" si="197"/>
        <v>4971504.1919639036</v>
      </c>
      <c r="S527">
        <f t="shared" si="197"/>
        <v>4825032.6853029216</v>
      </c>
      <c r="T527">
        <f t="shared" si="197"/>
        <v>7819306.1028196467</v>
      </c>
      <c r="U527">
        <f t="shared" si="197"/>
        <v>8107707.713256225</v>
      </c>
      <c r="V527">
        <f t="shared" si="197"/>
        <v>10487512.475421268</v>
      </c>
      <c r="W527">
        <f t="shared" si="197"/>
        <v>7494243.6017946703</v>
      </c>
      <c r="X527">
        <f t="shared" si="197"/>
        <v>8599115.3878326695</v>
      </c>
      <c r="Y527">
        <f t="shared" si="197"/>
        <v>6684906.0569954999</v>
      </c>
    </row>
    <row r="528" spans="1:25" x14ac:dyDescent="0.45">
      <c r="A528" s="5" t="s">
        <v>203</v>
      </c>
      <c r="B528">
        <f t="shared" ref="B528:Y528" si="198">B200/B$326</f>
        <v>294801387.7470575</v>
      </c>
      <c r="C528">
        <f t="shared" si="198"/>
        <v>287836643.53750086</v>
      </c>
      <c r="D528">
        <f t="shared" si="198"/>
        <v>193970596.14228776</v>
      </c>
      <c r="E528">
        <f t="shared" si="198"/>
        <v>233111796.74791777</v>
      </c>
      <c r="F528">
        <f t="shared" si="198"/>
        <v>355264069.56057203</v>
      </c>
      <c r="G528">
        <f t="shared" si="198"/>
        <v>281727451.27873188</v>
      </c>
      <c r="H528">
        <f t="shared" si="198"/>
        <v>218023849.07087994</v>
      </c>
      <c r="I528">
        <f t="shared" si="198"/>
        <v>461550499.73923212</v>
      </c>
      <c r="J528">
        <f t="shared" si="198"/>
        <v>437352259.97453153</v>
      </c>
      <c r="K528">
        <f t="shared" si="198"/>
        <v>259335388.22607341</v>
      </c>
      <c r="L528">
        <f t="shared" si="198"/>
        <v>288688003.13246703</v>
      </c>
      <c r="M528">
        <f t="shared" si="198"/>
        <v>220966932.44251812</v>
      </c>
      <c r="N528">
        <f t="shared" si="198"/>
        <v>192006784.30378035</v>
      </c>
      <c r="O528">
        <f t="shared" si="198"/>
        <v>380857752.18409485</v>
      </c>
      <c r="P528">
        <f t="shared" si="198"/>
        <v>459410045.30712372</v>
      </c>
      <c r="Q528">
        <f t="shared" si="198"/>
        <v>202385279.642573</v>
      </c>
      <c r="R528">
        <f t="shared" si="198"/>
        <v>424122521.51515704</v>
      </c>
      <c r="S528">
        <f t="shared" si="198"/>
        <v>291066969.61230749</v>
      </c>
      <c r="T528">
        <f t="shared" si="198"/>
        <v>356778401.15171009</v>
      </c>
      <c r="U528">
        <f t="shared" si="198"/>
        <v>407284459.81679285</v>
      </c>
      <c r="V528">
        <f t="shared" si="198"/>
        <v>336381718.49523497</v>
      </c>
      <c r="W528">
        <f t="shared" si="198"/>
        <v>459522885.28492719</v>
      </c>
      <c r="X528">
        <f t="shared" si="198"/>
        <v>420025500.06060803</v>
      </c>
      <c r="Y528">
        <f t="shared" si="198"/>
        <v>406516488.44735932</v>
      </c>
    </row>
    <row r="529" spans="1:25" x14ac:dyDescent="0.45">
      <c r="A529" s="5" t="s">
        <v>360</v>
      </c>
      <c r="B529">
        <f t="shared" ref="B529:Y529" si="199">B201/B$326</f>
        <v>215229322.38032389</v>
      </c>
      <c r="C529">
        <f t="shared" si="199"/>
        <v>350955190.22212309</v>
      </c>
      <c r="D529">
        <f t="shared" si="199"/>
        <v>210874298.43665382</v>
      </c>
      <c r="E529">
        <f t="shared" si="199"/>
        <v>141994689.57902837</v>
      </c>
      <c r="F529">
        <f t="shared" si="199"/>
        <v>308608939.32640505</v>
      </c>
      <c r="G529">
        <f t="shared" si="199"/>
        <v>182308996.86973676</v>
      </c>
      <c r="H529">
        <f t="shared" si="199"/>
        <v>163535945.31189805</v>
      </c>
      <c r="I529">
        <f t="shared" si="199"/>
        <v>1077167773.491384</v>
      </c>
      <c r="J529">
        <f t="shared" si="199"/>
        <v>277356590.14284283</v>
      </c>
      <c r="K529">
        <f t="shared" si="199"/>
        <v>218665103.59631729</v>
      </c>
      <c r="L529">
        <f t="shared" si="199"/>
        <v>254255995.15470535</v>
      </c>
      <c r="M529">
        <f t="shared" si="199"/>
        <v>119241258.50320952</v>
      </c>
      <c r="N529">
        <f t="shared" si="199"/>
        <v>280422865.27089685</v>
      </c>
      <c r="O529">
        <f t="shared" si="199"/>
        <v>908284202.49412274</v>
      </c>
      <c r="P529">
        <f t="shared" si="199"/>
        <v>1022939545.1006812</v>
      </c>
      <c r="Q529">
        <f t="shared" si="199"/>
        <v>295060053.33860266</v>
      </c>
      <c r="R529">
        <f t="shared" si="199"/>
        <v>290375378.61198574</v>
      </c>
      <c r="S529">
        <f t="shared" si="199"/>
        <v>357979429.38130808</v>
      </c>
      <c r="T529">
        <f t="shared" si="199"/>
        <v>392961487.74230242</v>
      </c>
      <c r="U529">
        <f t="shared" si="199"/>
        <v>548941716.14549065</v>
      </c>
      <c r="V529">
        <f t="shared" si="199"/>
        <v>699465701.25582504</v>
      </c>
      <c r="W529">
        <f t="shared" si="199"/>
        <v>563021441.89188945</v>
      </c>
      <c r="X529">
        <f t="shared" si="199"/>
        <v>893904450.61026299</v>
      </c>
      <c r="Y529">
        <f t="shared" si="199"/>
        <v>504694980.68955559</v>
      </c>
    </row>
    <row r="530" spans="1:25" x14ac:dyDescent="0.45">
      <c r="A530" s="5" t="s">
        <v>361</v>
      </c>
      <c r="B530">
        <f t="shared" ref="B530:Y530" si="200">B202/B$326</f>
        <v>2375101.8185338862</v>
      </c>
      <c r="C530">
        <f t="shared" si="200"/>
        <v>7559617.9190655965</v>
      </c>
      <c r="D530">
        <f t="shared" si="200"/>
        <v>3800594.4749663426</v>
      </c>
      <c r="E530">
        <f t="shared" si="200"/>
        <v>2956023.5647757375</v>
      </c>
      <c r="F530">
        <f t="shared" si="200"/>
        <v>6819062.4984872891</v>
      </c>
      <c r="G530">
        <f t="shared" si="200"/>
        <v>10181963.149935883</v>
      </c>
      <c r="H530">
        <f t="shared" si="200"/>
        <v>2997448.6946265171</v>
      </c>
      <c r="I530">
        <f t="shared" si="200"/>
        <v>19931365.148874164</v>
      </c>
      <c r="J530">
        <f t="shared" si="200"/>
        <v>8334826.5093752248</v>
      </c>
      <c r="K530">
        <f t="shared" si="200"/>
        <v>4524080.5611055493</v>
      </c>
      <c r="L530">
        <f t="shared" si="200"/>
        <v>5254578.7995458404</v>
      </c>
      <c r="M530">
        <f t="shared" si="200"/>
        <v>1195691.1876430172</v>
      </c>
      <c r="N530">
        <f t="shared" si="200"/>
        <v>14153554.852854963</v>
      </c>
      <c r="O530">
        <f t="shared" si="200"/>
        <v>11359568.547756238</v>
      </c>
      <c r="P530">
        <f t="shared" si="200"/>
        <v>4894843.7375463713</v>
      </c>
      <c r="Q530">
        <f t="shared" si="200"/>
        <v>6172363.7882641563</v>
      </c>
      <c r="R530">
        <f t="shared" si="200"/>
        <v>5584410.8963490613</v>
      </c>
      <c r="S530">
        <f t="shared" si="200"/>
        <v>6090522.185702051</v>
      </c>
      <c r="T530">
        <f t="shared" si="200"/>
        <v>3045047.3285874114</v>
      </c>
      <c r="U530">
        <f t="shared" si="200"/>
        <v>1966671.6439878268</v>
      </c>
      <c r="V530">
        <f t="shared" si="200"/>
        <v>1594522.6593303129</v>
      </c>
      <c r="W530">
        <f t="shared" si="200"/>
        <v>2783887.9274107045</v>
      </c>
      <c r="X530">
        <f t="shared" si="200"/>
        <v>15595727.859009299</v>
      </c>
      <c r="Y530">
        <f t="shared" si="200"/>
        <v>2197417.0308765001</v>
      </c>
    </row>
    <row r="531" spans="1:25" x14ac:dyDescent="0.45">
      <c r="A531" s="5" t="s">
        <v>353</v>
      </c>
      <c r="B531">
        <f t="shared" ref="B531:Y531" si="201">B203/B$326</f>
        <v>143201.75767644736</v>
      </c>
      <c r="C531">
        <f t="shared" si="201"/>
        <v>173565.55499928244</v>
      </c>
      <c r="D531">
        <f t="shared" si="201"/>
        <v>177043.49541385556</v>
      </c>
      <c r="E531">
        <f t="shared" si="201"/>
        <v>620424.44274334225</v>
      </c>
      <c r="F531">
        <f t="shared" si="201"/>
        <v>1157369.2695487433</v>
      </c>
      <c r="G531">
        <f t="shared" si="201"/>
        <v>1105314.1451612548</v>
      </c>
      <c r="H531">
        <f t="shared" si="201"/>
        <v>562471.8816723472</v>
      </c>
      <c r="I531">
        <f t="shared" si="201"/>
        <v>668963.65053700842</v>
      </c>
      <c r="J531">
        <f t="shared" si="201"/>
        <v>839712.96857920522</v>
      </c>
      <c r="K531">
        <f t="shared" si="201"/>
        <v>572045.85525707249</v>
      </c>
      <c r="L531">
        <f t="shared" si="201"/>
        <v>240837.83537569203</v>
      </c>
      <c r="M531">
        <f t="shared" si="201"/>
        <v>470461.63372853439</v>
      </c>
      <c r="N531">
        <f t="shared" si="201"/>
        <v>508555.94118521432</v>
      </c>
      <c r="O531">
        <f t="shared" si="201"/>
        <v>1037246.343172538</v>
      </c>
      <c r="P531">
        <f t="shared" si="201"/>
        <v>1511834.385586729</v>
      </c>
      <c r="Q531">
        <f t="shared" si="201"/>
        <v>845034.962832866</v>
      </c>
      <c r="R531">
        <f t="shared" si="201"/>
        <v>629843.98840826866</v>
      </c>
      <c r="S531">
        <f t="shared" si="201"/>
        <v>827911.26113370364</v>
      </c>
      <c r="T531">
        <f t="shared" si="201"/>
        <v>169267.50924940937</v>
      </c>
      <c r="U531">
        <f t="shared" si="201"/>
        <v>262260.19744435279</v>
      </c>
      <c r="V531">
        <f t="shared" si="201"/>
        <v>596233.65723585675</v>
      </c>
      <c r="W531">
        <f t="shared" si="201"/>
        <v>698046.3770152959</v>
      </c>
      <c r="X531">
        <f t="shared" si="201"/>
        <v>760545.13277377596</v>
      </c>
      <c r="Y531">
        <f t="shared" si="201"/>
        <v>638528.38143896253</v>
      </c>
    </row>
    <row r="532" spans="1:25" x14ac:dyDescent="0.45">
      <c r="A532" s="5" t="s">
        <v>372</v>
      </c>
      <c r="B532">
        <f t="shared" ref="B532:Y532" si="202">B204/B$326</f>
        <v>1038643.5434539947</v>
      </c>
      <c r="C532">
        <f t="shared" si="202"/>
        <v>1012342.6194739518</v>
      </c>
      <c r="D532">
        <f t="shared" si="202"/>
        <v>869927.74349526351</v>
      </c>
      <c r="E532">
        <f t="shared" si="202"/>
        <v>908092.94534040731</v>
      </c>
      <c r="F532">
        <f t="shared" si="202"/>
        <v>1340006.4388985133</v>
      </c>
      <c r="G532">
        <f t="shared" si="202"/>
        <v>1395595.9281687499</v>
      </c>
      <c r="H532">
        <f t="shared" si="202"/>
        <v>772208.20531708526</v>
      </c>
      <c r="I532">
        <f t="shared" si="202"/>
        <v>890850.2544874032</v>
      </c>
      <c r="J532">
        <f t="shared" si="202"/>
        <v>1484889.0309316129</v>
      </c>
      <c r="K532">
        <f t="shared" si="202"/>
        <v>1318641.7351890248</v>
      </c>
      <c r="L532">
        <f t="shared" si="202"/>
        <v>1250581.0442872022</v>
      </c>
      <c r="M532">
        <f t="shared" si="202"/>
        <v>684498.31771870726</v>
      </c>
      <c r="N532">
        <f t="shared" si="202"/>
        <v>884173.99055643752</v>
      </c>
      <c r="O532">
        <f t="shared" si="202"/>
        <v>2131797.3254029672</v>
      </c>
      <c r="P532">
        <f t="shared" si="202"/>
        <v>1660720.070587521</v>
      </c>
      <c r="Q532">
        <f t="shared" si="202"/>
        <v>932193.0330056625</v>
      </c>
      <c r="R532">
        <f t="shared" si="202"/>
        <v>2412977.8154418999</v>
      </c>
      <c r="S532">
        <f t="shared" si="202"/>
        <v>1460136.7577681062</v>
      </c>
      <c r="T532">
        <f t="shared" si="202"/>
        <v>1036983.9340537665</v>
      </c>
      <c r="U532">
        <f t="shared" si="202"/>
        <v>1315487.2861368794</v>
      </c>
      <c r="V532">
        <f t="shared" si="202"/>
        <v>1261390.3445367063</v>
      </c>
      <c r="W532">
        <f t="shared" si="202"/>
        <v>1289464.2792197077</v>
      </c>
      <c r="X532">
        <f t="shared" si="202"/>
        <v>2063928.6572143901</v>
      </c>
      <c r="Y532">
        <f t="shared" si="202"/>
        <v>1216457.0303818563</v>
      </c>
    </row>
    <row r="533" spans="1:25" x14ac:dyDescent="0.45">
      <c r="A533" s="5" t="s">
        <v>314</v>
      </c>
      <c r="B533">
        <f t="shared" ref="B533:Y533" si="203">B205/B$326</f>
        <v>15212675.136731198</v>
      </c>
      <c r="C533">
        <f t="shared" si="203"/>
        <v>15036707.217895718</v>
      </c>
      <c r="D533">
        <f t="shared" si="203"/>
        <v>7598655.0290418733</v>
      </c>
      <c r="E533">
        <f t="shared" si="203"/>
        <v>5385436.4520003535</v>
      </c>
      <c r="F533">
        <f t="shared" si="203"/>
        <v>15968574.298526155</v>
      </c>
      <c r="G533">
        <f t="shared" si="203"/>
        <v>9992590.2866375986</v>
      </c>
      <c r="H533">
        <f t="shared" si="203"/>
        <v>12136543.516817376</v>
      </c>
      <c r="I533">
        <f t="shared" si="203"/>
        <v>19869961.390619371</v>
      </c>
      <c r="J533">
        <f t="shared" si="203"/>
        <v>38800445.233259581</v>
      </c>
      <c r="K533">
        <f t="shared" si="203"/>
        <v>14489698.5459358</v>
      </c>
      <c r="L533">
        <f t="shared" si="203"/>
        <v>7327266.9732872341</v>
      </c>
      <c r="M533">
        <f t="shared" si="203"/>
        <v>7624144.1401838791</v>
      </c>
      <c r="N533">
        <f t="shared" si="203"/>
        <v>6753944.5766446143</v>
      </c>
      <c r="O533">
        <f t="shared" si="203"/>
        <v>34066388.476476967</v>
      </c>
      <c r="P533">
        <f t="shared" si="203"/>
        <v>33948091.465422161</v>
      </c>
      <c r="Q533">
        <f t="shared" si="203"/>
        <v>12294272.726012232</v>
      </c>
      <c r="R533">
        <f t="shared" si="203"/>
        <v>35561144.792950936</v>
      </c>
      <c r="S533">
        <f t="shared" si="203"/>
        <v>17466942.053310953</v>
      </c>
      <c r="T533">
        <f t="shared" si="203"/>
        <v>12942798.904120484</v>
      </c>
      <c r="U533">
        <f t="shared" si="203"/>
        <v>60993983.466947258</v>
      </c>
      <c r="V533">
        <f t="shared" si="203"/>
        <v>27763122.320548933</v>
      </c>
      <c r="W533">
        <f t="shared" si="203"/>
        <v>33970094.104157783</v>
      </c>
      <c r="X533">
        <f t="shared" si="203"/>
        <v>47231479.552852899</v>
      </c>
      <c r="Y533">
        <f t="shared" si="203"/>
        <v>16945184.788331937</v>
      </c>
    </row>
    <row r="534" spans="1:25" x14ac:dyDescent="0.45">
      <c r="A534" s="5" t="s">
        <v>367</v>
      </c>
      <c r="B534">
        <f t="shared" ref="B534:Y534" si="204">B206/B$326</f>
        <v>81925736.938486025</v>
      </c>
      <c r="C534">
        <f t="shared" si="204"/>
        <v>65634213.433772177</v>
      </c>
      <c r="D534">
        <f t="shared" si="204"/>
        <v>105977291.72270933</v>
      </c>
      <c r="E534">
        <f t="shared" si="204"/>
        <v>67840999.579226255</v>
      </c>
      <c r="F534">
        <f t="shared" si="204"/>
        <v>141563854.97281209</v>
      </c>
      <c r="G534">
        <f t="shared" si="204"/>
        <v>44524180.852975875</v>
      </c>
      <c r="H534">
        <f t="shared" si="204"/>
        <v>41504803.152767777</v>
      </c>
      <c r="I534">
        <f t="shared" si="204"/>
        <v>389614427.69637287</v>
      </c>
      <c r="J534">
        <f t="shared" si="204"/>
        <v>226336985.72286451</v>
      </c>
      <c r="K534">
        <f t="shared" si="204"/>
        <v>148779165.07313374</v>
      </c>
      <c r="L534">
        <f t="shared" si="204"/>
        <v>100054160.43073457</v>
      </c>
      <c r="M534">
        <f t="shared" si="204"/>
        <v>48019986.051154792</v>
      </c>
      <c r="N534">
        <f t="shared" si="204"/>
        <v>51792646.026233107</v>
      </c>
      <c r="O534">
        <f t="shared" si="204"/>
        <v>144578844.44285178</v>
      </c>
      <c r="P534">
        <f t="shared" si="204"/>
        <v>255867884.48714426</v>
      </c>
      <c r="Q534">
        <f t="shared" si="204"/>
        <v>40293288.414032646</v>
      </c>
      <c r="R534">
        <f t="shared" si="204"/>
        <v>159940116.18939695</v>
      </c>
      <c r="S534">
        <f t="shared" si="204"/>
        <v>40942143.389801458</v>
      </c>
      <c r="T534">
        <f t="shared" si="204"/>
        <v>110670100.8142297</v>
      </c>
      <c r="U534">
        <f t="shared" si="204"/>
        <v>114083071.04465787</v>
      </c>
      <c r="V534">
        <f t="shared" si="204"/>
        <v>115316099.58386257</v>
      </c>
      <c r="W534">
        <f t="shared" si="204"/>
        <v>153324068.54777944</v>
      </c>
      <c r="X534">
        <f t="shared" si="204"/>
        <v>526470399.90677297</v>
      </c>
      <c r="Y534">
        <f t="shared" si="204"/>
        <v>94092454.379038751</v>
      </c>
    </row>
    <row r="535" spans="1:25" x14ac:dyDescent="0.45">
      <c r="A535" s="5" t="s">
        <v>377</v>
      </c>
      <c r="B535">
        <f t="shared" ref="B535:Y535" si="205">B207/B$326</f>
        <v>16614326.279402472</v>
      </c>
      <c r="C535">
        <f t="shared" si="205"/>
        <v>15390047.947914386</v>
      </c>
      <c r="D535">
        <f t="shared" si="205"/>
        <v>29462277.592104692</v>
      </c>
      <c r="E535">
        <f t="shared" si="205"/>
        <v>12632445.282432241</v>
      </c>
      <c r="F535">
        <f t="shared" si="205"/>
        <v>33241369.015253022</v>
      </c>
      <c r="G535">
        <f t="shared" si="205"/>
        <v>9321057.4328999016</v>
      </c>
      <c r="H535">
        <f t="shared" si="205"/>
        <v>8186854.3872788772</v>
      </c>
      <c r="I535">
        <f t="shared" si="205"/>
        <v>67181325.727620602</v>
      </c>
      <c r="J535">
        <f t="shared" si="205"/>
        <v>48903352.489447802</v>
      </c>
      <c r="K535">
        <f t="shared" si="205"/>
        <v>45428736.587375484</v>
      </c>
      <c r="L535">
        <f t="shared" si="205"/>
        <v>44821053.534454048</v>
      </c>
      <c r="M535">
        <f t="shared" si="205"/>
        <v>13550175.472612919</v>
      </c>
      <c r="N535">
        <f t="shared" si="205"/>
        <v>6342943.9563124496</v>
      </c>
      <c r="O535">
        <f t="shared" si="205"/>
        <v>17280201.532896481</v>
      </c>
      <c r="P535">
        <f t="shared" si="205"/>
        <v>27122805.47481196</v>
      </c>
      <c r="Q535">
        <f t="shared" si="205"/>
        <v>18218624.605017118</v>
      </c>
      <c r="R535">
        <f t="shared" si="205"/>
        <v>34401942.064669348</v>
      </c>
      <c r="S535">
        <f t="shared" si="205"/>
        <v>24053089.372608781</v>
      </c>
      <c r="T535">
        <f t="shared" si="205"/>
        <v>23907778.184339106</v>
      </c>
      <c r="U535">
        <f t="shared" si="205"/>
        <v>13666520.798924152</v>
      </c>
      <c r="V535">
        <f t="shared" si="205"/>
        <v>15873242.070077518</v>
      </c>
      <c r="W535">
        <f t="shared" si="205"/>
        <v>25204341.801541261</v>
      </c>
      <c r="X535">
        <f t="shared" si="205"/>
        <v>132168563.939505</v>
      </c>
      <c r="Y535">
        <f t="shared" si="205"/>
        <v>17183698.992440999</v>
      </c>
    </row>
    <row r="536" spans="1:25" x14ac:dyDescent="0.45">
      <c r="A536" s="5" t="s">
        <v>206</v>
      </c>
      <c r="B536">
        <f t="shared" ref="B536:Y536" si="206">B208/B$326</f>
        <v>2542042.5138966171</v>
      </c>
      <c r="C536">
        <f t="shared" si="206"/>
        <v>1298811.4054976967</v>
      </c>
      <c r="D536">
        <f t="shared" si="206"/>
        <v>4828922.806153913</v>
      </c>
      <c r="E536">
        <f t="shared" si="206"/>
        <v>12517111.316621635</v>
      </c>
      <c r="F536">
        <f t="shared" si="206"/>
        <v>15575524.531802576</v>
      </c>
      <c r="G536">
        <f t="shared" si="206"/>
        <v>9926221.5625530872</v>
      </c>
      <c r="H536">
        <f t="shared" si="206"/>
        <v>8488763.0705607459</v>
      </c>
      <c r="I536">
        <f t="shared" si="206"/>
        <v>11204766.04884875</v>
      </c>
      <c r="J536">
        <f t="shared" si="206"/>
        <v>18670675.436007634</v>
      </c>
      <c r="K536">
        <f t="shared" si="206"/>
        <v>19429339.120075576</v>
      </c>
      <c r="L536">
        <f t="shared" si="206"/>
        <v>6560972.6019913834</v>
      </c>
      <c r="M536">
        <f t="shared" si="206"/>
        <v>8737565.8935923204</v>
      </c>
      <c r="N536">
        <f t="shared" si="206"/>
        <v>1597818.897518317</v>
      </c>
      <c r="O536">
        <f t="shared" si="206"/>
        <v>15139308.775416873</v>
      </c>
      <c r="P536">
        <f t="shared" si="206"/>
        <v>7372227.4886417501</v>
      </c>
      <c r="Q536">
        <f t="shared" si="206"/>
        <v>4548052.4859820725</v>
      </c>
      <c r="R536">
        <f t="shared" si="206"/>
        <v>34013793.217533067</v>
      </c>
      <c r="S536">
        <f t="shared" si="206"/>
        <v>8654451.2258193586</v>
      </c>
      <c r="T536">
        <f t="shared" si="206"/>
        <v>2268971.8293558983</v>
      </c>
      <c r="U536">
        <f t="shared" si="206"/>
        <v>7023124.0224415231</v>
      </c>
      <c r="V536">
        <f t="shared" si="206"/>
        <v>4880881.6823887164</v>
      </c>
      <c r="W536">
        <f t="shared" si="206"/>
        <v>9563229.112174226</v>
      </c>
      <c r="X536">
        <f t="shared" si="206"/>
        <v>16811252.478984401</v>
      </c>
      <c r="Y536">
        <f t="shared" si="206"/>
        <v>4550062.1943491744</v>
      </c>
    </row>
    <row r="537" spans="1:25" x14ac:dyDescent="0.45">
      <c r="A537" s="5" t="s">
        <v>315</v>
      </c>
      <c r="B537">
        <f t="shared" ref="B537:Y537" si="207">B209/B$326</f>
        <v>57764909.426359311</v>
      </c>
      <c r="C537">
        <f t="shared" si="207"/>
        <v>323852972.39887685</v>
      </c>
      <c r="D537">
        <f t="shared" si="207"/>
        <v>148524712.10203448</v>
      </c>
      <c r="E537">
        <f t="shared" si="207"/>
        <v>104890141.19066703</v>
      </c>
      <c r="F537">
        <f t="shared" si="207"/>
        <v>127024765.12101781</v>
      </c>
      <c r="G537">
        <f t="shared" si="207"/>
        <v>805482981.82811761</v>
      </c>
      <c r="H537">
        <f t="shared" si="207"/>
        <v>200142758.6828104</v>
      </c>
      <c r="I537">
        <f t="shared" si="207"/>
        <v>504617848.30088282</v>
      </c>
      <c r="J537">
        <f t="shared" si="207"/>
        <v>140523124.7174032</v>
      </c>
      <c r="K537">
        <f t="shared" si="207"/>
        <v>338169653.31094819</v>
      </c>
      <c r="L537">
        <f t="shared" si="207"/>
        <v>14562243.834280744</v>
      </c>
      <c r="M537">
        <f t="shared" si="207"/>
        <v>147284381.20129251</v>
      </c>
      <c r="N537">
        <f t="shared" si="207"/>
        <v>127041612.72332449</v>
      </c>
      <c r="O537">
        <f t="shared" si="207"/>
        <v>257828974.79745144</v>
      </c>
      <c r="P537">
        <f t="shared" si="207"/>
        <v>30116023.508058105</v>
      </c>
      <c r="Q537">
        <f t="shared" si="207"/>
        <v>155730776.39131507</v>
      </c>
      <c r="R537">
        <f t="shared" si="207"/>
        <v>83224279.983749807</v>
      </c>
      <c r="S537">
        <f t="shared" si="207"/>
        <v>125576155.86057599</v>
      </c>
      <c r="T537">
        <f t="shared" si="207"/>
        <v>245544658.07879567</v>
      </c>
      <c r="U537">
        <f t="shared" si="207"/>
        <v>330859802.18902993</v>
      </c>
      <c r="V537">
        <f t="shared" si="207"/>
        <v>177950787.33874038</v>
      </c>
      <c r="W537">
        <f t="shared" si="207"/>
        <v>63777670.632880047</v>
      </c>
      <c r="X537">
        <f t="shared" si="207"/>
        <v>549923739.86410606</v>
      </c>
      <c r="Y537">
        <f t="shared" si="207"/>
        <v>41644836.393712372</v>
      </c>
    </row>
    <row r="538" spans="1:25" x14ac:dyDescent="0.45">
      <c r="A538" s="5" t="s">
        <v>316</v>
      </c>
      <c r="B538">
        <f t="shared" ref="B538:Y538" si="208">B210/B$326</f>
        <v>6698253.2973021213</v>
      </c>
      <c r="C538">
        <f t="shared" si="208"/>
        <v>5135890.6316517778</v>
      </c>
      <c r="D538">
        <f t="shared" si="208"/>
        <v>4096527.7737285621</v>
      </c>
      <c r="E538">
        <f t="shared" si="208"/>
        <v>4532237.642589177</v>
      </c>
      <c r="F538">
        <f t="shared" si="208"/>
        <v>10395843.581731267</v>
      </c>
      <c r="G538">
        <f t="shared" si="208"/>
        <v>6379587.5520159798</v>
      </c>
      <c r="H538">
        <f t="shared" si="208"/>
        <v>6471163.9165154016</v>
      </c>
      <c r="I538">
        <f t="shared" si="208"/>
        <v>7632662.3745187595</v>
      </c>
      <c r="J538">
        <f t="shared" si="208"/>
        <v>15310375.314662619</v>
      </c>
      <c r="K538">
        <f t="shared" si="208"/>
        <v>4576677.3164500836</v>
      </c>
      <c r="L538">
        <f t="shared" si="208"/>
        <v>8003451.5890367562</v>
      </c>
      <c r="M538">
        <f t="shared" si="208"/>
        <v>4545167.5307075512</v>
      </c>
      <c r="N538">
        <f t="shared" si="208"/>
        <v>2888415.9559210585</v>
      </c>
      <c r="O538">
        <f t="shared" si="208"/>
        <v>8485538.362123834</v>
      </c>
      <c r="P538">
        <f t="shared" si="208"/>
        <v>9148866.6748978328</v>
      </c>
      <c r="Q538">
        <f t="shared" si="208"/>
        <v>3272838.379732918</v>
      </c>
      <c r="R538">
        <f t="shared" si="208"/>
        <v>12337842.610685781</v>
      </c>
      <c r="S538">
        <f t="shared" si="208"/>
        <v>7371378.9256715737</v>
      </c>
      <c r="T538">
        <f t="shared" si="208"/>
        <v>9278449.281334212</v>
      </c>
      <c r="U538">
        <f t="shared" si="208"/>
        <v>11409005.546166573</v>
      </c>
      <c r="V538">
        <f t="shared" si="208"/>
        <v>7974424.1551088979</v>
      </c>
      <c r="W538">
        <f t="shared" si="208"/>
        <v>12676938.749630332</v>
      </c>
      <c r="X538">
        <f t="shared" si="208"/>
        <v>11667186.574232301</v>
      </c>
      <c r="Y538">
        <f t="shared" si="208"/>
        <v>9499200.3935448751</v>
      </c>
    </row>
    <row r="539" spans="1:25" x14ac:dyDescent="0.45">
      <c r="A539" s="5" t="s">
        <v>317</v>
      </c>
      <c r="B539">
        <f t="shared" ref="B539:Y539" si="209">B211/B$326</f>
        <v>81255153.087551668</v>
      </c>
      <c r="C539">
        <f t="shared" si="209"/>
        <v>79759913.159724683</v>
      </c>
      <c r="D539">
        <f t="shared" si="209"/>
        <v>50495804.687231615</v>
      </c>
      <c r="E539">
        <f t="shared" si="209"/>
        <v>130262499.58817533</v>
      </c>
      <c r="F539">
        <f t="shared" si="209"/>
        <v>105955506.13606165</v>
      </c>
      <c r="G539">
        <f t="shared" si="209"/>
        <v>72908672.561315194</v>
      </c>
      <c r="H539">
        <f t="shared" si="209"/>
        <v>33194504.70772963</v>
      </c>
      <c r="I539">
        <f t="shared" si="209"/>
        <v>52942206.727046095</v>
      </c>
      <c r="J539">
        <f t="shared" si="209"/>
        <v>77464762.605050534</v>
      </c>
      <c r="K539">
        <f t="shared" si="209"/>
        <v>58184190.863577113</v>
      </c>
      <c r="L539">
        <f t="shared" si="209"/>
        <v>83727197.689511716</v>
      </c>
      <c r="M539">
        <f t="shared" si="209"/>
        <v>53846404.612113521</v>
      </c>
      <c r="N539">
        <f t="shared" si="209"/>
        <v>40362498.222748771</v>
      </c>
      <c r="O539">
        <f t="shared" si="209"/>
        <v>100951633.59253845</v>
      </c>
      <c r="P539">
        <f t="shared" si="209"/>
        <v>120029519.93568666</v>
      </c>
      <c r="Q539">
        <f t="shared" si="209"/>
        <v>47307792.454301476</v>
      </c>
      <c r="R539">
        <f t="shared" si="209"/>
        <v>135227061.69121647</v>
      </c>
      <c r="S539">
        <f t="shared" si="209"/>
        <v>74254732.427189097</v>
      </c>
      <c r="T539">
        <f t="shared" si="209"/>
        <v>91382556.153363809</v>
      </c>
      <c r="U539">
        <f t="shared" si="209"/>
        <v>109907218.31480359</v>
      </c>
      <c r="V539">
        <f t="shared" si="209"/>
        <v>106293850.41218416</v>
      </c>
      <c r="W539">
        <f t="shared" si="209"/>
        <v>103685464.08087595</v>
      </c>
      <c r="X539">
        <f t="shared" si="209"/>
        <v>355858857.86635602</v>
      </c>
      <c r="Y539">
        <f t="shared" si="209"/>
        <v>100912807.19242436</v>
      </c>
    </row>
    <row r="540" spans="1:25" x14ac:dyDescent="0.45">
      <c r="A540" s="5" t="s">
        <v>207</v>
      </c>
      <c r="B540">
        <f t="shared" ref="B540:Y540" si="210">B212/B$326</f>
        <v>16097790.897003943</v>
      </c>
      <c r="C540">
        <f t="shared" si="210"/>
        <v>17944238.441717621</v>
      </c>
      <c r="D540">
        <f t="shared" si="210"/>
        <v>8671467.3237431254</v>
      </c>
      <c r="E540">
        <f t="shared" si="210"/>
        <v>25065351.374478437</v>
      </c>
      <c r="F540">
        <f t="shared" si="210"/>
        <v>34228317.965757191</v>
      </c>
      <c r="G540">
        <f t="shared" si="210"/>
        <v>28330899.306700196</v>
      </c>
      <c r="H540">
        <f t="shared" si="210"/>
        <v>20845977.325810317</v>
      </c>
      <c r="I540">
        <f t="shared" si="210"/>
        <v>75156594.198684469</v>
      </c>
      <c r="J540">
        <f t="shared" si="210"/>
        <v>30378191.125645943</v>
      </c>
      <c r="K540">
        <f t="shared" si="210"/>
        <v>130760415.57862446</v>
      </c>
      <c r="L540">
        <f t="shared" si="210"/>
        <v>32385803.273356065</v>
      </c>
      <c r="M540">
        <f t="shared" si="210"/>
        <v>25114057.656907998</v>
      </c>
      <c r="N540">
        <f t="shared" si="210"/>
        <v>15192083.556595065</v>
      </c>
      <c r="O540">
        <f t="shared" si="210"/>
        <v>82098915.180088118</v>
      </c>
      <c r="P540">
        <f t="shared" si="210"/>
        <v>64299656.22442206</v>
      </c>
      <c r="Q540">
        <f t="shared" si="210"/>
        <v>11436676.822196456</v>
      </c>
      <c r="R540">
        <f t="shared" si="210"/>
        <v>54694452.158731423</v>
      </c>
      <c r="S540">
        <f t="shared" si="210"/>
        <v>33014257.757975377</v>
      </c>
      <c r="T540">
        <f t="shared" si="210"/>
        <v>14761723.621317394</v>
      </c>
      <c r="U540">
        <f t="shared" si="210"/>
        <v>15819642.210493008</v>
      </c>
      <c r="V540">
        <f t="shared" si="210"/>
        <v>13437436.161548324</v>
      </c>
      <c r="W540">
        <f t="shared" si="210"/>
        <v>17419877.411482304</v>
      </c>
      <c r="X540">
        <f t="shared" si="210"/>
        <v>17723726.5942115</v>
      </c>
      <c r="Y540">
        <f t="shared" si="210"/>
        <v>33207342.135733936</v>
      </c>
    </row>
    <row r="541" spans="1:25" x14ac:dyDescent="0.45">
      <c r="A541" s="5" t="s">
        <v>318</v>
      </c>
      <c r="B541">
        <f t="shared" ref="B541:Y541" si="211">B213/B$326</f>
        <v>5878860.7844018815</v>
      </c>
      <c r="C541">
        <f t="shared" si="211"/>
        <v>11167548.231707113</v>
      </c>
      <c r="D541">
        <f t="shared" si="211"/>
        <v>11567362.090341859</v>
      </c>
      <c r="E541">
        <f t="shared" si="211"/>
        <v>12404999.880247081</v>
      </c>
      <c r="F541">
        <f t="shared" si="211"/>
        <v>22733970.766120616</v>
      </c>
      <c r="G541">
        <f t="shared" si="211"/>
        <v>11018018.088427451</v>
      </c>
      <c r="H541">
        <f t="shared" si="211"/>
        <v>13603988.516427558</v>
      </c>
      <c r="I541">
        <f t="shared" si="211"/>
        <v>62235885.68732252</v>
      </c>
      <c r="J541">
        <f t="shared" si="211"/>
        <v>35779336.975713082</v>
      </c>
      <c r="K541">
        <f t="shared" si="211"/>
        <v>4251694.6564893648</v>
      </c>
      <c r="L541">
        <f t="shared" si="211"/>
        <v>16682212.515735639</v>
      </c>
      <c r="M541">
        <f t="shared" si="211"/>
        <v>10424542.140308375</v>
      </c>
      <c r="N541">
        <f t="shared" si="211"/>
        <v>5952123.1487748474</v>
      </c>
      <c r="O541">
        <f t="shared" si="211"/>
        <v>17571812.432431769</v>
      </c>
      <c r="P541">
        <f t="shared" si="211"/>
        <v>28108250.194092397</v>
      </c>
      <c r="Q541">
        <f t="shared" si="211"/>
        <v>11050235.618715011</v>
      </c>
      <c r="R541">
        <f t="shared" si="211"/>
        <v>30993342.012194987</v>
      </c>
      <c r="S541">
        <f t="shared" si="211"/>
        <v>12661615.968146922</v>
      </c>
      <c r="T541">
        <f t="shared" si="211"/>
        <v>20473427.777489707</v>
      </c>
      <c r="U541">
        <f t="shared" si="211"/>
        <v>12603992.46035986</v>
      </c>
      <c r="V541">
        <f t="shared" si="211"/>
        <v>24087536.064652666</v>
      </c>
      <c r="W541">
        <f t="shared" si="211"/>
        <v>27293999.949562211</v>
      </c>
      <c r="X541">
        <f t="shared" si="211"/>
        <v>17432288.034693401</v>
      </c>
      <c r="Y541">
        <f t="shared" si="211"/>
        <v>10028407.090578312</v>
      </c>
    </row>
    <row r="542" spans="1:25" x14ac:dyDescent="0.45">
      <c r="A542" s="5" t="s">
        <v>208</v>
      </c>
      <c r="B542">
        <f t="shared" ref="B542:Y542" si="212">B214/B$326</f>
        <v>2788658.2709286874</v>
      </c>
      <c r="C542">
        <f t="shared" si="212"/>
        <v>3170938.5319010224</v>
      </c>
      <c r="D542">
        <f t="shared" si="212"/>
        <v>1743874.8190348849</v>
      </c>
      <c r="E542">
        <f t="shared" si="212"/>
        <v>2343744.455171884</v>
      </c>
      <c r="F542">
        <f t="shared" si="212"/>
        <v>8853633.3678428121</v>
      </c>
      <c r="G542">
        <f t="shared" si="212"/>
        <v>2942134.1473815585</v>
      </c>
      <c r="H542">
        <f t="shared" si="212"/>
        <v>2494080.272320806</v>
      </c>
      <c r="I542">
        <f t="shared" si="212"/>
        <v>453913.58094603318</v>
      </c>
      <c r="J542">
        <f t="shared" si="212"/>
        <v>9956651.0158319399</v>
      </c>
      <c r="K542">
        <f t="shared" si="212"/>
        <v>5243319.647180968</v>
      </c>
      <c r="L542">
        <f t="shared" si="212"/>
        <v>5926260.9937068624</v>
      </c>
      <c r="M542">
        <f t="shared" si="212"/>
        <v>729104.2348495879</v>
      </c>
      <c r="N542">
        <f t="shared" si="212"/>
        <v>775772.55781469482</v>
      </c>
      <c r="O542">
        <f t="shared" si="212"/>
        <v>12660948.808108643</v>
      </c>
      <c r="P542">
        <f t="shared" si="212"/>
        <v>10996479.631405333</v>
      </c>
      <c r="Q542">
        <f t="shared" si="212"/>
        <v>718792.8097968665</v>
      </c>
      <c r="R542">
        <f t="shared" si="212"/>
        <v>11757200.342161193</v>
      </c>
      <c r="S542">
        <f t="shared" si="212"/>
        <v>2941870.2208600431</v>
      </c>
      <c r="T542">
        <f t="shared" si="212"/>
        <v>9524690.4678722285</v>
      </c>
      <c r="U542">
        <f t="shared" si="212"/>
        <v>33453311.108660258</v>
      </c>
      <c r="V542">
        <f t="shared" si="212"/>
        <v>8624509.6542119533</v>
      </c>
      <c r="W542">
        <f t="shared" si="212"/>
        <v>9315035.5873269122</v>
      </c>
      <c r="X542">
        <f t="shared" si="212"/>
        <v>5732526.6490716403</v>
      </c>
      <c r="Y542">
        <f t="shared" si="212"/>
        <v>8564148.515795812</v>
      </c>
    </row>
    <row r="543" spans="1:25" x14ac:dyDescent="0.45">
      <c r="A543" s="5" t="s">
        <v>209</v>
      </c>
      <c r="B543">
        <f t="shared" ref="B543:Y543" si="213">B215/B$326</f>
        <v>214937636.82466531</v>
      </c>
      <c r="C543">
        <f t="shared" si="213"/>
        <v>326280278.2947129</v>
      </c>
      <c r="D543">
        <f t="shared" si="213"/>
        <v>159643098.13190848</v>
      </c>
      <c r="E543">
        <f t="shared" si="213"/>
        <v>140620607.43045521</v>
      </c>
      <c r="F543">
        <f t="shared" si="213"/>
        <v>102823844.44766107</v>
      </c>
      <c r="G543">
        <f t="shared" si="213"/>
        <v>144334556.13959214</v>
      </c>
      <c r="H543">
        <f t="shared" si="213"/>
        <v>227284574.52529576</v>
      </c>
      <c r="I543">
        <f t="shared" si="213"/>
        <v>597479461.30011201</v>
      </c>
      <c r="J543">
        <f t="shared" si="213"/>
        <v>402528265.31343406</v>
      </c>
      <c r="K543">
        <f t="shared" si="213"/>
        <v>298515392.92015684</v>
      </c>
      <c r="L543">
        <f t="shared" si="213"/>
        <v>283821762.84502769</v>
      </c>
      <c r="M543">
        <f t="shared" si="213"/>
        <v>243427150.45829946</v>
      </c>
      <c r="N543">
        <f t="shared" si="213"/>
        <v>125916590.71556681</v>
      </c>
      <c r="O543">
        <f t="shared" si="213"/>
        <v>320086672.95750558</v>
      </c>
      <c r="P543">
        <f t="shared" si="213"/>
        <v>292990621.06846654</v>
      </c>
      <c r="Q543">
        <f t="shared" si="213"/>
        <v>221884080.07897812</v>
      </c>
      <c r="R543">
        <f t="shared" si="213"/>
        <v>585232916.25792336</v>
      </c>
      <c r="S543">
        <f t="shared" si="213"/>
        <v>352059874.62660944</v>
      </c>
      <c r="T543">
        <f t="shared" si="213"/>
        <v>249264740.48409754</v>
      </c>
      <c r="U543">
        <f t="shared" si="213"/>
        <v>318983238.94175583</v>
      </c>
      <c r="V543">
        <f t="shared" si="213"/>
        <v>389707294.83102733</v>
      </c>
      <c r="W543">
        <f t="shared" si="213"/>
        <v>483895284.507945</v>
      </c>
      <c r="X543">
        <f t="shared" si="213"/>
        <v>2198764244.0392399</v>
      </c>
      <c r="Y543">
        <f t="shared" si="213"/>
        <v>438154953.98950619</v>
      </c>
    </row>
    <row r="544" spans="1:25" x14ac:dyDescent="0.45">
      <c r="A544" s="5" t="s">
        <v>210</v>
      </c>
      <c r="B544">
        <f t="shared" ref="B544:Y544" si="214">B216/B$326</f>
        <v>87243714.707664564</v>
      </c>
      <c r="C544">
        <f t="shared" si="214"/>
        <v>145886125.83677095</v>
      </c>
      <c r="D544">
        <f t="shared" si="214"/>
        <v>82204507.744864523</v>
      </c>
      <c r="E544">
        <f t="shared" si="214"/>
        <v>57416214.493164368</v>
      </c>
      <c r="F544">
        <f t="shared" si="214"/>
        <v>76736158.678925425</v>
      </c>
      <c r="G544">
        <f t="shared" si="214"/>
        <v>82963445.342684314</v>
      </c>
      <c r="H544">
        <f t="shared" si="214"/>
        <v>98215884.844288781</v>
      </c>
      <c r="I544">
        <f t="shared" si="214"/>
        <v>345599499.33924174</v>
      </c>
      <c r="J544">
        <f t="shared" si="214"/>
        <v>221828590.41242859</v>
      </c>
      <c r="K544">
        <f t="shared" si="214"/>
        <v>145020732.21261087</v>
      </c>
      <c r="L544">
        <f t="shared" si="214"/>
        <v>130643136.28122129</v>
      </c>
      <c r="M544">
        <f t="shared" si="214"/>
        <v>114604674.70949388</v>
      </c>
      <c r="N544">
        <f t="shared" si="214"/>
        <v>109319989.97993121</v>
      </c>
      <c r="O544">
        <f t="shared" si="214"/>
        <v>65073743.998209476</v>
      </c>
      <c r="P544">
        <f t="shared" si="214"/>
        <v>269219454.49352622</v>
      </c>
      <c r="Q544">
        <f t="shared" si="214"/>
        <v>125716371.34275237</v>
      </c>
      <c r="R544">
        <f t="shared" si="214"/>
        <v>221858478.7871533</v>
      </c>
      <c r="S544">
        <f t="shared" si="214"/>
        <v>182154331.80543846</v>
      </c>
      <c r="T544">
        <f t="shared" si="214"/>
        <v>136273620.13495493</v>
      </c>
      <c r="U544">
        <f t="shared" si="214"/>
        <v>175377650.41982847</v>
      </c>
      <c r="V544">
        <f t="shared" si="214"/>
        <v>187952576.53934807</v>
      </c>
      <c r="W544">
        <f t="shared" si="214"/>
        <v>211672557.27239278</v>
      </c>
      <c r="X544">
        <f t="shared" si="214"/>
        <v>1059938142.89592</v>
      </c>
      <c r="Y544">
        <f t="shared" si="214"/>
        <v>185397126.01653937</v>
      </c>
    </row>
    <row r="545" spans="1:25" x14ac:dyDescent="0.45">
      <c r="A545" s="5" t="s">
        <v>211</v>
      </c>
      <c r="B545">
        <f t="shared" ref="B545:Y545" si="215">B217/B$326</f>
        <v>16261054.069389062</v>
      </c>
      <c r="C545">
        <f t="shared" si="215"/>
        <v>14134470.667057211</v>
      </c>
      <c r="D545">
        <f t="shared" si="215"/>
        <v>11401261.755575551</v>
      </c>
      <c r="E545">
        <f t="shared" si="215"/>
        <v>11095746.682579178</v>
      </c>
      <c r="F545">
        <f t="shared" si="215"/>
        <v>23152412.460274883</v>
      </c>
      <c r="G545">
        <f t="shared" si="215"/>
        <v>10460713.134432059</v>
      </c>
      <c r="H545">
        <f t="shared" si="215"/>
        <v>9629801.2277639527</v>
      </c>
      <c r="I545">
        <f t="shared" si="215"/>
        <v>2507280.7952898759</v>
      </c>
      <c r="J545">
        <f t="shared" si="215"/>
        <v>38053343.196705967</v>
      </c>
      <c r="K545">
        <f t="shared" si="215"/>
        <v>13985337.43894407</v>
      </c>
      <c r="L545">
        <f t="shared" si="215"/>
        <v>17700846.129615266</v>
      </c>
      <c r="M545">
        <f t="shared" si="215"/>
        <v>6250548.9585674386</v>
      </c>
      <c r="N545">
        <f t="shared" si="215"/>
        <v>5360276.3214777252</v>
      </c>
      <c r="O545">
        <f t="shared" si="215"/>
        <v>38070514.121571034</v>
      </c>
      <c r="P545">
        <f t="shared" si="215"/>
        <v>32465388.815233137</v>
      </c>
      <c r="Q545">
        <f t="shared" si="215"/>
        <v>6627138.6553256009</v>
      </c>
      <c r="R545">
        <f t="shared" si="215"/>
        <v>25991458.688776255</v>
      </c>
      <c r="S545">
        <f t="shared" si="215"/>
        <v>13479530.677891772</v>
      </c>
      <c r="T545">
        <f t="shared" si="215"/>
        <v>22415957.114742763</v>
      </c>
      <c r="U545">
        <f t="shared" si="215"/>
        <v>24941931.503960673</v>
      </c>
      <c r="V545">
        <f t="shared" si="215"/>
        <v>18832031.907405563</v>
      </c>
      <c r="W545">
        <f t="shared" si="215"/>
        <v>23957793.343306787</v>
      </c>
      <c r="X545">
        <f t="shared" si="215"/>
        <v>15242923.019110801</v>
      </c>
      <c r="Y545">
        <f t="shared" si="215"/>
        <v>25572249.013443187</v>
      </c>
    </row>
    <row r="546" spans="1:25" x14ac:dyDescent="0.45">
      <c r="A546" s="5" t="s">
        <v>212</v>
      </c>
      <c r="B546">
        <f t="shared" ref="B546:Y546" si="216">B218/B$326</f>
        <v>462430996.12142181</v>
      </c>
      <c r="C546">
        <f t="shared" si="216"/>
        <v>406328962.37485158</v>
      </c>
      <c r="D546">
        <f t="shared" si="216"/>
        <v>313508443.03733963</v>
      </c>
      <c r="E546">
        <f t="shared" si="216"/>
        <v>339395687.19173747</v>
      </c>
      <c r="F546">
        <f t="shared" si="216"/>
        <v>186829142.63540801</v>
      </c>
      <c r="G546">
        <f t="shared" si="216"/>
        <v>210485085.48396423</v>
      </c>
      <c r="H546">
        <f t="shared" si="216"/>
        <v>194425440.88214603</v>
      </c>
      <c r="I546">
        <f t="shared" si="216"/>
        <v>269946380.73110241</v>
      </c>
      <c r="J546">
        <f t="shared" si="216"/>
        <v>350547671.67797178</v>
      </c>
      <c r="K546">
        <f t="shared" si="216"/>
        <v>80299476.863009676</v>
      </c>
      <c r="L546">
        <f t="shared" si="216"/>
        <v>268905413.10229415</v>
      </c>
      <c r="M546">
        <f t="shared" si="216"/>
        <v>312992340.73995262</v>
      </c>
      <c r="N546">
        <f t="shared" si="216"/>
        <v>142024455.63209772</v>
      </c>
      <c r="O546">
        <f t="shared" si="216"/>
        <v>464139822.839872</v>
      </c>
      <c r="P546">
        <f t="shared" si="216"/>
        <v>455500003.52213657</v>
      </c>
      <c r="Q546">
        <f t="shared" si="216"/>
        <v>104686330.70548555</v>
      </c>
      <c r="R546">
        <f t="shared" si="216"/>
        <v>101531367.5973006</v>
      </c>
      <c r="S546">
        <f t="shared" si="216"/>
        <v>114002111.75029145</v>
      </c>
      <c r="T546">
        <f t="shared" si="216"/>
        <v>491928527.44225198</v>
      </c>
      <c r="U546">
        <f t="shared" si="216"/>
        <v>516889791.12053198</v>
      </c>
      <c r="V546">
        <f t="shared" si="216"/>
        <v>934905246.13132489</v>
      </c>
      <c r="W546">
        <f t="shared" si="216"/>
        <v>262690966.75045726</v>
      </c>
      <c r="X546">
        <f t="shared" si="216"/>
        <v>664395232.17247796</v>
      </c>
      <c r="Y546">
        <f t="shared" si="216"/>
        <v>836662125.93044364</v>
      </c>
    </row>
    <row r="547" spans="1:25" x14ac:dyDescent="0.45">
      <c r="A547" s="5" t="s">
        <v>319</v>
      </c>
      <c r="B547">
        <f t="shared" ref="B547:Y547" si="217">B219/B$326</f>
        <v>15640706.588481847</v>
      </c>
      <c r="C547">
        <f t="shared" si="217"/>
        <v>24055308.750524033</v>
      </c>
      <c r="D547">
        <f t="shared" si="217"/>
        <v>13556316.922526324</v>
      </c>
      <c r="E547">
        <f t="shared" si="217"/>
        <v>11678906.441290213</v>
      </c>
      <c r="F547">
        <f t="shared" si="217"/>
        <v>17932193.863994375</v>
      </c>
      <c r="G547">
        <f t="shared" si="217"/>
        <v>20537146.280633919</v>
      </c>
      <c r="H547">
        <f t="shared" si="217"/>
        <v>12134072.434353229</v>
      </c>
      <c r="I547">
        <f t="shared" si="217"/>
        <v>8131070.7201466113</v>
      </c>
      <c r="J547">
        <f t="shared" si="217"/>
        <v>18455991.962080453</v>
      </c>
      <c r="K547">
        <f t="shared" si="217"/>
        <v>3594162.0286057922</v>
      </c>
      <c r="L547">
        <f t="shared" si="217"/>
        <v>13401722.57903</v>
      </c>
      <c r="M547">
        <f t="shared" si="217"/>
        <v>10317029.259774528</v>
      </c>
      <c r="N547">
        <f t="shared" si="217"/>
        <v>14598130.163045753</v>
      </c>
      <c r="O547">
        <f t="shared" si="217"/>
        <v>21210726.578442074</v>
      </c>
      <c r="P547">
        <f t="shared" si="217"/>
        <v>27432483.606451001</v>
      </c>
      <c r="Q547">
        <f t="shared" si="217"/>
        <v>11373872.721663533</v>
      </c>
      <c r="R547">
        <f t="shared" si="217"/>
        <v>15359423.619688451</v>
      </c>
      <c r="S547">
        <f t="shared" si="217"/>
        <v>17064723.239406709</v>
      </c>
      <c r="T547">
        <f t="shared" si="217"/>
        <v>20845632.613939852</v>
      </c>
      <c r="U547">
        <f t="shared" si="217"/>
        <v>20965871.409094121</v>
      </c>
      <c r="V547">
        <f t="shared" si="217"/>
        <v>23184863.827246983</v>
      </c>
      <c r="W547">
        <f t="shared" si="217"/>
        <v>17857108.987822626</v>
      </c>
      <c r="X547">
        <f t="shared" si="217"/>
        <v>11349664.0684001</v>
      </c>
      <c r="Y547">
        <f t="shared" si="217"/>
        <v>24858029.785078622</v>
      </c>
    </row>
    <row r="548" spans="1:25" x14ac:dyDescent="0.45">
      <c r="A548" s="5" t="s">
        <v>213</v>
      </c>
      <c r="B548">
        <f t="shared" ref="B548:Y548" si="218">B220/B$326</f>
        <v>18785552.641848821</v>
      </c>
      <c r="C548">
        <f t="shared" si="218"/>
        <v>15051388.548510943</v>
      </c>
      <c r="D548">
        <f t="shared" si="218"/>
        <v>14871403.164085796</v>
      </c>
      <c r="E548">
        <f t="shared" si="218"/>
        <v>19348520.713990796</v>
      </c>
      <c r="F548">
        <f t="shared" si="218"/>
        <v>7868715.2899565706</v>
      </c>
      <c r="G548">
        <f t="shared" si="218"/>
        <v>18105015.063938774</v>
      </c>
      <c r="H548">
        <f t="shared" si="218"/>
        <v>10948318.775436925</v>
      </c>
      <c r="I548">
        <f t="shared" si="218"/>
        <v>74739676.078523174</v>
      </c>
      <c r="J548">
        <f t="shared" si="218"/>
        <v>52685903.875310943</v>
      </c>
      <c r="K548">
        <f t="shared" si="218"/>
        <v>15219874.275489252</v>
      </c>
      <c r="L548">
        <f t="shared" si="218"/>
        <v>22202049.168867342</v>
      </c>
      <c r="M548">
        <f t="shared" si="218"/>
        <v>18148641.538692765</v>
      </c>
      <c r="N548">
        <f t="shared" si="218"/>
        <v>9730079.8211501911</v>
      </c>
      <c r="O548">
        <f t="shared" si="218"/>
        <v>14917271.998915242</v>
      </c>
      <c r="P548">
        <f t="shared" si="218"/>
        <v>21186853.314805791</v>
      </c>
      <c r="Q548">
        <f t="shared" si="218"/>
        <v>12942966.013789287</v>
      </c>
      <c r="R548">
        <f t="shared" si="218"/>
        <v>48275680.446740381</v>
      </c>
      <c r="S548">
        <f t="shared" si="218"/>
        <v>17905980.930414878</v>
      </c>
      <c r="T548">
        <f t="shared" si="218"/>
        <v>21200839.926877476</v>
      </c>
      <c r="U548">
        <f t="shared" si="218"/>
        <v>19633459.86761919</v>
      </c>
      <c r="V548">
        <f t="shared" si="218"/>
        <v>18892257.134605877</v>
      </c>
      <c r="W548">
        <f t="shared" si="218"/>
        <v>22614986.934831571</v>
      </c>
      <c r="X548">
        <f t="shared" si="218"/>
        <v>38418718.833892599</v>
      </c>
      <c r="Y548">
        <f t="shared" si="218"/>
        <v>16731567.134296563</v>
      </c>
    </row>
    <row r="549" spans="1:25" x14ac:dyDescent="0.45">
      <c r="A549" s="5" t="s">
        <v>320</v>
      </c>
      <c r="B549">
        <f t="shared" ref="B549:Y549" si="219">B221/B$326</f>
        <v>21927338.620736651</v>
      </c>
      <c r="C549">
        <f t="shared" si="219"/>
        <v>26592922.085870963</v>
      </c>
      <c r="D549">
        <f t="shared" si="219"/>
        <v>15225866.92998603</v>
      </c>
      <c r="E549">
        <f t="shared" si="219"/>
        <v>23859275.020358276</v>
      </c>
      <c r="F549">
        <f t="shared" si="219"/>
        <v>32231518.7280019</v>
      </c>
      <c r="G549">
        <f t="shared" si="219"/>
        <v>25434629.842986617</v>
      </c>
      <c r="H549">
        <f t="shared" si="219"/>
        <v>22469820.871661477</v>
      </c>
      <c r="I549">
        <f t="shared" si="219"/>
        <v>57876844.147666179</v>
      </c>
      <c r="J549">
        <f t="shared" si="219"/>
        <v>54352410.278402373</v>
      </c>
      <c r="K549">
        <f t="shared" si="219"/>
        <v>47686752.161495984</v>
      </c>
      <c r="L549">
        <f t="shared" si="219"/>
        <v>54878268.690717027</v>
      </c>
      <c r="M549">
        <f t="shared" si="219"/>
        <v>34242017.275113098</v>
      </c>
      <c r="N549">
        <f t="shared" si="219"/>
        <v>16451618.176388863</v>
      </c>
      <c r="O549">
        <f t="shared" si="219"/>
        <v>30021775.423413903</v>
      </c>
      <c r="P549">
        <f t="shared" si="219"/>
        <v>42538402.854977973</v>
      </c>
      <c r="Q549">
        <f t="shared" si="219"/>
        <v>12758950.608438991</v>
      </c>
      <c r="R549">
        <f t="shared" si="219"/>
        <v>64978894.717901148</v>
      </c>
      <c r="S549">
        <f t="shared" si="219"/>
        <v>18683203.684508562</v>
      </c>
      <c r="T549">
        <f t="shared" si="219"/>
        <v>46446517.40506456</v>
      </c>
      <c r="U549">
        <f t="shared" si="219"/>
        <v>49802071.405871049</v>
      </c>
      <c r="V549">
        <f t="shared" si="219"/>
        <v>47142366.215195417</v>
      </c>
      <c r="W549">
        <f t="shared" si="219"/>
        <v>39945476.617499523</v>
      </c>
      <c r="X549">
        <f t="shared" si="219"/>
        <v>93923349.877645701</v>
      </c>
      <c r="Y549">
        <f t="shared" si="219"/>
        <v>36066411.350033499</v>
      </c>
    </row>
    <row r="550" spans="1:25" x14ac:dyDescent="0.45">
      <c r="A550" s="5" t="s">
        <v>321</v>
      </c>
      <c r="B550">
        <f t="shared" ref="B550:Y550" si="220">B222/B$326</f>
        <v>3270100.6103345756</v>
      </c>
      <c r="C550">
        <f t="shared" si="220"/>
        <v>2755490.5409839218</v>
      </c>
      <c r="D550">
        <f t="shared" si="220"/>
        <v>4158647.6688439278</v>
      </c>
      <c r="E550">
        <f t="shared" si="220"/>
        <v>6122617.131990972</v>
      </c>
      <c r="F550">
        <f t="shared" si="220"/>
        <v>10860339.646374915</v>
      </c>
      <c r="G550">
        <f t="shared" si="220"/>
        <v>7878743.3418826954</v>
      </c>
      <c r="H550">
        <f t="shared" si="220"/>
        <v>4586954.5862754118</v>
      </c>
      <c r="I550">
        <f t="shared" si="220"/>
        <v>81547430.111863002</v>
      </c>
      <c r="J550">
        <f t="shared" si="220"/>
        <v>21882682.461660571</v>
      </c>
      <c r="K550">
        <f t="shared" si="220"/>
        <v>594339996.05405807</v>
      </c>
      <c r="L550">
        <f t="shared" si="220"/>
        <v>4620878.241557505</v>
      </c>
      <c r="M550">
        <f t="shared" si="220"/>
        <v>7061248.7078373255</v>
      </c>
      <c r="N550">
        <f t="shared" si="220"/>
        <v>3636576.6929761078</v>
      </c>
      <c r="O550">
        <f t="shared" si="220"/>
        <v>6758927.6360451374</v>
      </c>
      <c r="P550">
        <f t="shared" si="220"/>
        <v>3470758.4555677832</v>
      </c>
      <c r="Q550">
        <f t="shared" si="220"/>
        <v>2090826.3788189534</v>
      </c>
      <c r="R550">
        <f t="shared" si="220"/>
        <v>22615749.75714216</v>
      </c>
      <c r="S550">
        <f t="shared" si="220"/>
        <v>4492849.3799547581</v>
      </c>
      <c r="T550">
        <f t="shared" si="220"/>
        <v>7926361.4674418019</v>
      </c>
      <c r="U550">
        <f t="shared" si="220"/>
        <v>6109306.1956237843</v>
      </c>
      <c r="V550">
        <f t="shared" si="220"/>
        <v>4750836.5359329777</v>
      </c>
      <c r="W550">
        <f t="shared" si="220"/>
        <v>4520650.7309864024</v>
      </c>
      <c r="X550">
        <f t="shared" si="220"/>
        <v>8633828.2052903809</v>
      </c>
      <c r="Y550">
        <f t="shared" si="220"/>
        <v>2192103.7487743562</v>
      </c>
    </row>
    <row r="551" spans="1:25" x14ac:dyDescent="0.45">
      <c r="A551" s="5" t="s">
        <v>322</v>
      </c>
      <c r="B551">
        <f t="shared" ref="B551:Y551" si="221">B223/B$326</f>
        <v>40453144.970567487</v>
      </c>
      <c r="C551">
        <f t="shared" si="221"/>
        <v>117084162.39100678</v>
      </c>
      <c r="D551">
        <f t="shared" si="221"/>
        <v>42183773.23517786</v>
      </c>
      <c r="E551">
        <f t="shared" si="221"/>
        <v>41134869.370861322</v>
      </c>
      <c r="F551">
        <f t="shared" si="221"/>
        <v>56653054.800000072</v>
      </c>
      <c r="G551">
        <f t="shared" si="221"/>
        <v>61002272.275338233</v>
      </c>
      <c r="H551">
        <f t="shared" si="221"/>
        <v>67653798.472499564</v>
      </c>
      <c r="I551">
        <f t="shared" si="221"/>
        <v>88444082.562934667</v>
      </c>
      <c r="J551">
        <f t="shared" si="221"/>
        <v>91699026.450397238</v>
      </c>
      <c r="K551">
        <f t="shared" si="221"/>
        <v>139849995.89616027</v>
      </c>
      <c r="L551">
        <f t="shared" si="221"/>
        <v>128497469.12430213</v>
      </c>
      <c r="M551">
        <f t="shared" si="221"/>
        <v>87069561.153997928</v>
      </c>
      <c r="N551">
        <f t="shared" si="221"/>
        <v>157625688.65460849</v>
      </c>
      <c r="O551">
        <f t="shared" si="221"/>
        <v>270634976.18767095</v>
      </c>
      <c r="P551">
        <f t="shared" si="221"/>
        <v>145208989.2653648</v>
      </c>
      <c r="Q551">
        <f t="shared" si="221"/>
        <v>134327047.31948081</v>
      </c>
      <c r="R551">
        <f t="shared" si="221"/>
        <v>93872903.867714152</v>
      </c>
      <c r="S551">
        <f t="shared" si="221"/>
        <v>88349276.142795876</v>
      </c>
      <c r="T551">
        <f t="shared" si="221"/>
        <v>33561364.916296646</v>
      </c>
      <c r="U551">
        <f t="shared" si="221"/>
        <v>99237941.360360846</v>
      </c>
      <c r="V551">
        <f t="shared" si="221"/>
        <v>165092869.35284436</v>
      </c>
      <c r="W551">
        <f t="shared" si="221"/>
        <v>167548616.67253256</v>
      </c>
      <c r="X551">
        <f t="shared" si="221"/>
        <v>378828874.99545199</v>
      </c>
      <c r="Y551">
        <f t="shared" si="221"/>
        <v>97339602.526663125</v>
      </c>
    </row>
    <row r="552" spans="1:25" x14ac:dyDescent="0.45">
      <c r="A552" s="5" t="s">
        <v>323</v>
      </c>
      <c r="B552">
        <f t="shared" ref="B552:Y552" si="222">B224/B$326</f>
        <v>8654477.6018802598</v>
      </c>
      <c r="C552">
        <f t="shared" si="222"/>
        <v>9667425.6154145095</v>
      </c>
      <c r="D552">
        <f t="shared" si="222"/>
        <v>7435296.2004067143</v>
      </c>
      <c r="E552">
        <f t="shared" si="222"/>
        <v>10725881.969689017</v>
      </c>
      <c r="F552">
        <f t="shared" si="222"/>
        <v>9336523.2818581909</v>
      </c>
      <c r="G552">
        <f t="shared" si="222"/>
        <v>9750407.7910826467</v>
      </c>
      <c r="H552">
        <f t="shared" si="222"/>
        <v>11402922.451241519</v>
      </c>
      <c r="I552">
        <f t="shared" si="222"/>
        <v>16497478.148541814</v>
      </c>
      <c r="J552">
        <f t="shared" si="222"/>
        <v>32176890.271758378</v>
      </c>
      <c r="K552">
        <f t="shared" si="222"/>
        <v>9550440.096855687</v>
      </c>
      <c r="L552">
        <f t="shared" si="222"/>
        <v>12244096.104112394</v>
      </c>
      <c r="M552">
        <f t="shared" si="222"/>
        <v>8294575.9052653778</v>
      </c>
      <c r="N552">
        <f t="shared" si="222"/>
        <v>2210917.5289080082</v>
      </c>
      <c r="O552">
        <f t="shared" si="222"/>
        <v>4613464.2189215906</v>
      </c>
      <c r="P552">
        <f t="shared" si="222"/>
        <v>10075190.981641624</v>
      </c>
      <c r="Q552">
        <f t="shared" si="222"/>
        <v>11544607.479637891</v>
      </c>
      <c r="R552">
        <f t="shared" si="222"/>
        <v>29844314.24069063</v>
      </c>
      <c r="S552">
        <f t="shared" si="222"/>
        <v>14377749.095464651</v>
      </c>
      <c r="T552">
        <f t="shared" si="222"/>
        <v>26051190.174470954</v>
      </c>
      <c r="U552">
        <f t="shared" si="222"/>
        <v>20881599.239826232</v>
      </c>
      <c r="V552">
        <f t="shared" si="222"/>
        <v>36886968.277671486</v>
      </c>
      <c r="W552">
        <f t="shared" si="222"/>
        <v>23212645.070666488</v>
      </c>
      <c r="X552">
        <f t="shared" si="222"/>
        <v>501791406.56715101</v>
      </c>
      <c r="Y552">
        <f t="shared" si="222"/>
        <v>12925819.910549812</v>
      </c>
    </row>
    <row r="553" spans="1:25" x14ac:dyDescent="0.45">
      <c r="A553" s="5" t="s">
        <v>324</v>
      </c>
      <c r="B553">
        <f t="shared" ref="B553:Y553" si="223">B225/B$326</f>
        <v>3044221.8384044408</v>
      </c>
      <c r="C553">
        <f t="shared" si="223"/>
        <v>3614327.0077280481</v>
      </c>
      <c r="D553">
        <f t="shared" si="223"/>
        <v>2261756.5963488924</v>
      </c>
      <c r="E553">
        <f t="shared" si="223"/>
        <v>3181399.83520489</v>
      </c>
      <c r="F553">
        <f t="shared" si="223"/>
        <v>3968487.9129125928</v>
      </c>
      <c r="G553">
        <f t="shared" si="223"/>
        <v>3098174.6242981912</v>
      </c>
      <c r="H553">
        <f t="shared" si="223"/>
        <v>25810944.146133039</v>
      </c>
      <c r="I553">
        <f t="shared" si="223"/>
        <v>117439805.38779081</v>
      </c>
      <c r="J553">
        <f t="shared" si="223"/>
        <v>4651757.5254182769</v>
      </c>
      <c r="K553">
        <f t="shared" si="223"/>
        <v>62565596.575703926</v>
      </c>
      <c r="L553">
        <f t="shared" si="223"/>
        <v>51736332.53196048</v>
      </c>
      <c r="M553">
        <f t="shared" si="223"/>
        <v>38371187.900378764</v>
      </c>
      <c r="N553">
        <f t="shared" si="223"/>
        <v>1852927.5810302834</v>
      </c>
      <c r="O553">
        <f t="shared" si="223"/>
        <v>4405777.629902917</v>
      </c>
      <c r="P553">
        <f t="shared" si="223"/>
        <v>4927031.0504233725</v>
      </c>
      <c r="Q553">
        <f t="shared" si="223"/>
        <v>2068650.1641306777</v>
      </c>
      <c r="R553">
        <f t="shared" si="223"/>
        <v>6048872.824749846</v>
      </c>
      <c r="S553">
        <f t="shared" si="223"/>
        <v>2887780.2492720941</v>
      </c>
      <c r="T553">
        <f t="shared" si="223"/>
        <v>4055973.9685710235</v>
      </c>
      <c r="U553">
        <f t="shared" si="223"/>
        <v>5207638.6292868098</v>
      </c>
      <c r="V553">
        <f t="shared" si="223"/>
        <v>50527034.810222507</v>
      </c>
      <c r="W553">
        <f t="shared" si="223"/>
        <v>4013635.2970757349</v>
      </c>
      <c r="X553">
        <f t="shared" si="223"/>
        <v>11643744.349977201</v>
      </c>
      <c r="Y553">
        <f t="shared" si="223"/>
        <v>4213391.327779281</v>
      </c>
    </row>
    <row r="554" spans="1:25" x14ac:dyDescent="0.45">
      <c r="A554" s="5" t="s">
        <v>214</v>
      </c>
      <c r="B554">
        <f t="shared" ref="B554:Y554" si="224">B226/B$326</f>
        <v>33414147.364832919</v>
      </c>
      <c r="C554">
        <f t="shared" si="224"/>
        <v>25780840.657571208</v>
      </c>
      <c r="D554">
        <f t="shared" si="224"/>
        <v>17653053.93122948</v>
      </c>
      <c r="E554">
        <f t="shared" si="224"/>
        <v>48462512.811656505</v>
      </c>
      <c r="F554">
        <f t="shared" si="224"/>
        <v>36148152.051508851</v>
      </c>
      <c r="G554">
        <f t="shared" si="224"/>
        <v>29637846.934716813</v>
      </c>
      <c r="H554">
        <f t="shared" si="224"/>
        <v>36943764.509449311</v>
      </c>
      <c r="I554">
        <f t="shared" si="224"/>
        <v>9971261.6197591517</v>
      </c>
      <c r="J554">
        <f t="shared" si="224"/>
        <v>50203401.559519827</v>
      </c>
      <c r="K554">
        <f t="shared" si="224"/>
        <v>11227821.469609056</v>
      </c>
      <c r="L554">
        <f t="shared" si="224"/>
        <v>28671826.871892609</v>
      </c>
      <c r="M554">
        <f t="shared" si="224"/>
        <v>22294059.490026437</v>
      </c>
      <c r="N554">
        <f t="shared" si="224"/>
        <v>29053113.840077803</v>
      </c>
      <c r="O554">
        <f t="shared" si="224"/>
        <v>33284583.010105219</v>
      </c>
      <c r="P554">
        <f t="shared" si="224"/>
        <v>50910811.687275968</v>
      </c>
      <c r="Q554">
        <f t="shared" si="224"/>
        <v>7953444.5956215607</v>
      </c>
      <c r="R554">
        <f t="shared" si="224"/>
        <v>98858225.498523533</v>
      </c>
      <c r="S554">
        <f t="shared" si="224"/>
        <v>24057718.827804089</v>
      </c>
      <c r="T554">
        <f t="shared" si="224"/>
        <v>58023434.357238322</v>
      </c>
      <c r="U554">
        <f t="shared" si="224"/>
        <v>71956949.463430181</v>
      </c>
      <c r="V554">
        <f t="shared" si="224"/>
        <v>93549852.317919523</v>
      </c>
      <c r="W554">
        <f t="shared" si="224"/>
        <v>62590886.466786146</v>
      </c>
      <c r="X554">
        <f t="shared" si="224"/>
        <v>111548945.917192</v>
      </c>
      <c r="Y554">
        <f t="shared" si="224"/>
        <v>62478611.516807936</v>
      </c>
    </row>
    <row r="555" spans="1:25" x14ac:dyDescent="0.45">
      <c r="A555" s="5" t="s">
        <v>215</v>
      </c>
      <c r="B555">
        <f t="shared" ref="B555:Y555" si="225">B227/B$326</f>
        <v>5990403.8521562768</v>
      </c>
      <c r="C555">
        <f t="shared" si="225"/>
        <v>4328912.28693341</v>
      </c>
      <c r="D555">
        <f t="shared" si="225"/>
        <v>7483060.1232300252</v>
      </c>
      <c r="E555">
        <f t="shared" si="225"/>
        <v>10532756.572404953</v>
      </c>
      <c r="F555">
        <f t="shared" si="225"/>
        <v>14281784.816855347</v>
      </c>
      <c r="G555">
        <f t="shared" si="225"/>
        <v>6709183.1706443625</v>
      </c>
      <c r="H555">
        <f t="shared" si="225"/>
        <v>6062769.5320528448</v>
      </c>
      <c r="I555">
        <f t="shared" si="225"/>
        <v>38981735.956104726</v>
      </c>
      <c r="J555">
        <f t="shared" si="225"/>
        <v>28716238.970811781</v>
      </c>
      <c r="K555">
        <f t="shared" si="225"/>
        <v>266485669.88952175</v>
      </c>
      <c r="L555">
        <f t="shared" si="225"/>
        <v>11793739.991803458</v>
      </c>
      <c r="M555">
        <f t="shared" si="225"/>
        <v>3184365.8049585582</v>
      </c>
      <c r="N555">
        <f t="shared" si="225"/>
        <v>2432837.5407559136</v>
      </c>
      <c r="O555">
        <f t="shared" si="225"/>
        <v>10615603.43248859</v>
      </c>
      <c r="P555">
        <f t="shared" si="225"/>
        <v>14322117.131916199</v>
      </c>
      <c r="Q555">
        <f t="shared" si="225"/>
        <v>7261527.7120373053</v>
      </c>
      <c r="R555">
        <f t="shared" si="225"/>
        <v>15586577.636601487</v>
      </c>
      <c r="S555">
        <f t="shared" si="225"/>
        <v>6651820.9371167729</v>
      </c>
      <c r="T555">
        <f t="shared" si="225"/>
        <v>8694372.2522444502</v>
      </c>
      <c r="U555">
        <f t="shared" si="225"/>
        <v>24344752.792541619</v>
      </c>
      <c r="V555">
        <f t="shared" si="225"/>
        <v>10771017.670811027</v>
      </c>
      <c r="W555">
        <f t="shared" si="225"/>
        <v>22080120.095380671</v>
      </c>
      <c r="X555">
        <f t="shared" si="225"/>
        <v>93058056.445905894</v>
      </c>
      <c r="Y555">
        <f t="shared" si="225"/>
        <v>15271626.302615874</v>
      </c>
    </row>
    <row r="556" spans="1:25" x14ac:dyDescent="0.45">
      <c r="A556" s="5" t="s">
        <v>325</v>
      </c>
      <c r="B556">
        <f t="shared" ref="B556:Y556" si="226">B228/B$326</f>
        <v>22874794.116530105</v>
      </c>
      <c r="C556">
        <f t="shared" si="226"/>
        <v>161965374.78553644</v>
      </c>
      <c r="D556">
        <f t="shared" si="226"/>
        <v>37733953.470192082</v>
      </c>
      <c r="E556">
        <f t="shared" si="226"/>
        <v>21704581.342559304</v>
      </c>
      <c r="F556">
        <f t="shared" si="226"/>
        <v>25406382.226863157</v>
      </c>
      <c r="G556">
        <f t="shared" si="226"/>
        <v>12222666.347363137</v>
      </c>
      <c r="H556">
        <f t="shared" si="226"/>
        <v>26032328.280696213</v>
      </c>
      <c r="I556">
        <f t="shared" si="226"/>
        <v>363308607.10293776</v>
      </c>
      <c r="J556">
        <f t="shared" si="226"/>
        <v>85055962.177050143</v>
      </c>
      <c r="K556">
        <f t="shared" si="226"/>
        <v>127620977.58783792</v>
      </c>
      <c r="L556">
        <f t="shared" si="226"/>
        <v>50970506.211628355</v>
      </c>
      <c r="M556">
        <f t="shared" si="226"/>
        <v>26769142.425406612</v>
      </c>
      <c r="N556">
        <f t="shared" si="226"/>
        <v>96842859.234668985</v>
      </c>
      <c r="O556">
        <f t="shared" si="226"/>
        <v>301580566.73468035</v>
      </c>
      <c r="P556">
        <f t="shared" si="226"/>
        <v>198176053.48735395</v>
      </c>
      <c r="Q556">
        <f t="shared" si="226"/>
        <v>241304212.87537995</v>
      </c>
      <c r="R556">
        <f t="shared" si="226"/>
        <v>185027418.3524234</v>
      </c>
      <c r="S556">
        <f t="shared" si="226"/>
        <v>100451241.59054892</v>
      </c>
      <c r="T556">
        <f t="shared" si="226"/>
        <v>49960868.592918977</v>
      </c>
      <c r="U556">
        <f t="shared" si="226"/>
        <v>148802872.20106193</v>
      </c>
      <c r="V556">
        <f t="shared" si="226"/>
        <v>196839544.64361444</v>
      </c>
      <c r="W556">
        <f t="shared" si="226"/>
        <v>80277532.312161773</v>
      </c>
      <c r="X556">
        <f t="shared" si="226"/>
        <v>334513497.10255402</v>
      </c>
      <c r="Y556">
        <f t="shared" si="226"/>
        <v>52442801.747415997</v>
      </c>
    </row>
    <row r="557" spans="1:25" x14ac:dyDescent="0.45">
      <c r="A557" s="5" t="s">
        <v>216</v>
      </c>
      <c r="B557">
        <f t="shared" ref="B557:Y557" si="227">B229/B$326</f>
        <v>2048643.2142507886</v>
      </c>
      <c r="C557">
        <f t="shared" si="227"/>
        <v>3670561.4300965015</v>
      </c>
      <c r="D557">
        <f t="shared" si="227"/>
        <v>1734773.2967074791</v>
      </c>
      <c r="E557">
        <f t="shared" si="227"/>
        <v>1887763.721610921</v>
      </c>
      <c r="F557">
        <f t="shared" si="227"/>
        <v>2452446.7807912244</v>
      </c>
      <c r="G557">
        <f t="shared" si="227"/>
        <v>2167843.5970403678</v>
      </c>
      <c r="H557">
        <f t="shared" si="227"/>
        <v>1750486.8470529332</v>
      </c>
      <c r="I557">
        <f t="shared" si="227"/>
        <v>5354869.3876955323</v>
      </c>
      <c r="J557">
        <f t="shared" si="227"/>
        <v>2982246.4109597937</v>
      </c>
      <c r="K557">
        <f t="shared" si="227"/>
        <v>10319603.110259041</v>
      </c>
      <c r="L557">
        <f t="shared" si="227"/>
        <v>8472738.6341490429</v>
      </c>
      <c r="M557">
        <f t="shared" si="227"/>
        <v>12294918.848088609</v>
      </c>
      <c r="N557">
        <f t="shared" si="227"/>
        <v>3828988.0121978354</v>
      </c>
      <c r="O557">
        <f t="shared" si="227"/>
        <v>11627544.223735614</v>
      </c>
      <c r="P557">
        <f t="shared" si="227"/>
        <v>8357631.7036828436</v>
      </c>
      <c r="Q557">
        <f t="shared" si="227"/>
        <v>9778969.2297526579</v>
      </c>
      <c r="R557">
        <f t="shared" si="227"/>
        <v>6682778.7602085229</v>
      </c>
      <c r="S557">
        <f t="shared" si="227"/>
        <v>2541034.7044679276</v>
      </c>
      <c r="T557">
        <f t="shared" si="227"/>
        <v>2397019.2011397476</v>
      </c>
      <c r="U557">
        <f t="shared" si="227"/>
        <v>3775388.3864391171</v>
      </c>
      <c r="V557">
        <f t="shared" si="227"/>
        <v>5487709.0059785768</v>
      </c>
      <c r="W557">
        <f t="shared" si="227"/>
        <v>9109469.4377528727</v>
      </c>
      <c r="X557">
        <f t="shared" si="227"/>
        <v>5226633.7861391203</v>
      </c>
      <c r="Y557">
        <f t="shared" si="227"/>
        <v>6190987.0552837867</v>
      </c>
    </row>
    <row r="558" spans="1:25" x14ac:dyDescent="0.45">
      <c r="A558" s="5" t="s">
        <v>217</v>
      </c>
      <c r="B558">
        <f t="shared" ref="B558:Y558" si="228">B230/B$326</f>
        <v>149703630.63905364</v>
      </c>
      <c r="C558">
        <f t="shared" si="228"/>
        <v>130549188.8971251</v>
      </c>
      <c r="D558">
        <f t="shared" si="228"/>
        <v>86835817.109573901</v>
      </c>
      <c r="E558">
        <f t="shared" si="228"/>
        <v>121169801.99836129</v>
      </c>
      <c r="F558">
        <f t="shared" si="228"/>
        <v>174287317.17181063</v>
      </c>
      <c r="G558">
        <f t="shared" si="228"/>
        <v>116427975.06250882</v>
      </c>
      <c r="H558">
        <f t="shared" si="228"/>
        <v>103275429.80634199</v>
      </c>
      <c r="I558">
        <f t="shared" si="228"/>
        <v>168015521.22123477</v>
      </c>
      <c r="J558">
        <f t="shared" si="228"/>
        <v>263652747.85399005</v>
      </c>
      <c r="K558">
        <f t="shared" si="228"/>
        <v>124765080.91113596</v>
      </c>
      <c r="L558">
        <f t="shared" si="228"/>
        <v>188815684.91776541</v>
      </c>
      <c r="M558">
        <f t="shared" si="228"/>
        <v>119551856.20204364</v>
      </c>
      <c r="N558">
        <f t="shared" si="228"/>
        <v>67051963.374996565</v>
      </c>
      <c r="O558">
        <f t="shared" si="228"/>
        <v>135820047.28911513</v>
      </c>
      <c r="P558">
        <f t="shared" si="228"/>
        <v>195155189.66810781</v>
      </c>
      <c r="Q558">
        <f t="shared" si="228"/>
        <v>75277378.81024836</v>
      </c>
      <c r="R558">
        <f t="shared" si="228"/>
        <v>292613021.89059412</v>
      </c>
      <c r="S558">
        <f t="shared" si="228"/>
        <v>136751691.85312065</v>
      </c>
      <c r="T558">
        <f t="shared" si="228"/>
        <v>191892772.8075445</v>
      </c>
      <c r="U558">
        <f t="shared" si="228"/>
        <v>203829969.40499464</v>
      </c>
      <c r="V558">
        <f t="shared" si="228"/>
        <v>162315144.34365156</v>
      </c>
      <c r="W558">
        <f t="shared" si="228"/>
        <v>233342194.35679454</v>
      </c>
      <c r="X558">
        <f t="shared" si="228"/>
        <v>215890857.609938</v>
      </c>
      <c r="Y558">
        <f t="shared" si="228"/>
        <v>225109409.76806062</v>
      </c>
    </row>
    <row r="559" spans="1:25" x14ac:dyDescent="0.45">
      <c r="A559" s="5" t="s">
        <v>326</v>
      </c>
      <c r="B559">
        <f t="shared" ref="B559:Y559" si="229">B231/B$326</f>
        <v>616416.46708393819</v>
      </c>
      <c r="C559">
        <f t="shared" si="229"/>
        <v>1216563.2730843404</v>
      </c>
      <c r="D559">
        <f t="shared" si="229"/>
        <v>664805.39099886268</v>
      </c>
      <c r="E559">
        <f t="shared" si="229"/>
        <v>874890.61921938625</v>
      </c>
      <c r="F559">
        <f t="shared" si="229"/>
        <v>910125.81393388088</v>
      </c>
      <c r="G559">
        <f t="shared" si="229"/>
        <v>1704209.9757330148</v>
      </c>
      <c r="H559">
        <f t="shared" si="229"/>
        <v>1205563.9630714273</v>
      </c>
      <c r="I559">
        <f t="shared" si="229"/>
        <v>2535186.833736876</v>
      </c>
      <c r="J559">
        <f t="shared" si="229"/>
        <v>1618687.7499666794</v>
      </c>
      <c r="K559">
        <f t="shared" si="229"/>
        <v>20754730.417940386</v>
      </c>
      <c r="L559">
        <f t="shared" si="229"/>
        <v>1497077.2383564308</v>
      </c>
      <c r="M559">
        <f t="shared" si="229"/>
        <v>1814152.1401320035</v>
      </c>
      <c r="N559">
        <f t="shared" si="229"/>
        <v>439654.99912041129</v>
      </c>
      <c r="O559">
        <f t="shared" si="229"/>
        <v>2724427.056246771</v>
      </c>
      <c r="P559">
        <f t="shared" si="229"/>
        <v>2102972.1362836887</v>
      </c>
      <c r="Q559">
        <f t="shared" si="229"/>
        <v>17632373.263806451</v>
      </c>
      <c r="R559">
        <f t="shared" si="229"/>
        <v>1396425.3599343889</v>
      </c>
      <c r="S559">
        <f t="shared" si="229"/>
        <v>1647124.9054258952</v>
      </c>
      <c r="T559">
        <f t="shared" si="229"/>
        <v>2047191.4155692344</v>
      </c>
      <c r="U559">
        <f t="shared" si="229"/>
        <v>2932854.9017967358</v>
      </c>
      <c r="V559">
        <f t="shared" si="229"/>
        <v>3913250.779328268</v>
      </c>
      <c r="W559">
        <f t="shared" si="229"/>
        <v>1739387.3038504554</v>
      </c>
      <c r="X559">
        <f t="shared" si="229"/>
        <v>2754164.83191839</v>
      </c>
      <c r="Y559">
        <f t="shared" si="229"/>
        <v>1435790.055442631</v>
      </c>
    </row>
    <row r="560" spans="1:25" x14ac:dyDescent="0.45">
      <c r="A560" s="5" t="s">
        <v>218</v>
      </c>
      <c r="B560">
        <f t="shared" ref="B560:Y560" si="230">B232/B$326</f>
        <v>17985998.848185506</v>
      </c>
      <c r="C560">
        <f t="shared" si="230"/>
        <v>15252940.275773574</v>
      </c>
      <c r="D560">
        <f t="shared" si="230"/>
        <v>31922060.3072013</v>
      </c>
      <c r="E560">
        <f t="shared" si="230"/>
        <v>23420031.082861446</v>
      </c>
      <c r="F560">
        <f t="shared" si="230"/>
        <v>38203647.28310895</v>
      </c>
      <c r="G560">
        <f t="shared" si="230"/>
        <v>20066551.882745046</v>
      </c>
      <c r="H560">
        <f t="shared" si="230"/>
        <v>9288376.1088496353</v>
      </c>
      <c r="I560">
        <f t="shared" si="230"/>
        <v>101199171.69131945</v>
      </c>
      <c r="J560">
        <f t="shared" si="230"/>
        <v>70777089.424289107</v>
      </c>
      <c r="K560">
        <f t="shared" si="230"/>
        <v>54985800.402061105</v>
      </c>
      <c r="L560">
        <f t="shared" si="230"/>
        <v>44446628.038873464</v>
      </c>
      <c r="M560">
        <f t="shared" si="230"/>
        <v>15554870.276999615</v>
      </c>
      <c r="N560">
        <f t="shared" si="230"/>
        <v>7722702.3671461418</v>
      </c>
      <c r="O560">
        <f t="shared" si="230"/>
        <v>26439632.73095011</v>
      </c>
      <c r="P560">
        <f t="shared" si="230"/>
        <v>28245385.555796936</v>
      </c>
      <c r="Q560">
        <f t="shared" si="230"/>
        <v>12798246.271291951</v>
      </c>
      <c r="R560">
        <f t="shared" si="230"/>
        <v>73611873.12159577</v>
      </c>
      <c r="S560">
        <f t="shared" si="230"/>
        <v>31325675.875061594</v>
      </c>
      <c r="T560">
        <f t="shared" si="230"/>
        <v>21614906.259225897</v>
      </c>
      <c r="U560">
        <f t="shared" si="230"/>
        <v>22132571.825157568</v>
      </c>
      <c r="V560">
        <f t="shared" si="230"/>
        <v>14705383.034532554</v>
      </c>
      <c r="W560">
        <f t="shared" si="230"/>
        <v>19759546.943661548</v>
      </c>
      <c r="X560">
        <f t="shared" si="230"/>
        <v>74124945.130036101</v>
      </c>
      <c r="Y560">
        <f t="shared" si="230"/>
        <v>13575740.862017937</v>
      </c>
    </row>
    <row r="561" spans="1:25" x14ac:dyDescent="0.45">
      <c r="A561" s="5" t="s">
        <v>219</v>
      </c>
      <c r="B561">
        <f t="shared" ref="B561:Y561" si="231">B233/B$326</f>
        <v>7483021.7077749334</v>
      </c>
      <c r="C561">
        <f t="shared" si="231"/>
        <v>17996941.074943926</v>
      </c>
      <c r="D561">
        <f t="shared" si="231"/>
        <v>3570966.7189634419</v>
      </c>
      <c r="E561">
        <f t="shared" si="231"/>
        <v>7080409.6057573026</v>
      </c>
      <c r="F561">
        <f t="shared" si="231"/>
        <v>33550015.193768252</v>
      </c>
      <c r="G561">
        <f t="shared" si="231"/>
        <v>11466568.118241178</v>
      </c>
      <c r="H561">
        <f t="shared" si="231"/>
        <v>5164145.253121186</v>
      </c>
      <c r="I561">
        <f t="shared" si="231"/>
        <v>32445979.030489057</v>
      </c>
      <c r="J561">
        <f t="shared" si="231"/>
        <v>5879426.4793109065</v>
      </c>
      <c r="K561">
        <f t="shared" si="231"/>
        <v>77228696.776140094</v>
      </c>
      <c r="L561">
        <f t="shared" si="231"/>
        <v>41917281.439525642</v>
      </c>
      <c r="M561">
        <f t="shared" si="231"/>
        <v>8127786.4027328556</v>
      </c>
      <c r="N561">
        <f t="shared" si="231"/>
        <v>18869329.033950575</v>
      </c>
      <c r="O561">
        <f t="shared" si="231"/>
        <v>14819534.038856704</v>
      </c>
      <c r="P561">
        <f t="shared" si="231"/>
        <v>10799931.047150364</v>
      </c>
      <c r="Q561">
        <f t="shared" si="231"/>
        <v>19808218.819292556</v>
      </c>
      <c r="R561">
        <f t="shared" si="231"/>
        <v>43518949.048828535</v>
      </c>
      <c r="S561">
        <f t="shared" si="231"/>
        <v>6213947.5817796085</v>
      </c>
      <c r="T561">
        <f t="shared" si="231"/>
        <v>27466977.393166315</v>
      </c>
      <c r="U561">
        <f t="shared" si="231"/>
        <v>36157269.35519553</v>
      </c>
      <c r="V561">
        <f t="shared" si="231"/>
        <v>18199679.13210151</v>
      </c>
      <c r="W561">
        <f t="shared" si="231"/>
        <v>19243354.056847613</v>
      </c>
      <c r="X561">
        <f t="shared" si="231"/>
        <v>29039065.131979398</v>
      </c>
      <c r="Y561">
        <f t="shared" si="231"/>
        <v>27710342.560960997</v>
      </c>
    </row>
    <row r="562" spans="1:25" x14ac:dyDescent="0.45">
      <c r="A562" s="5" t="s">
        <v>220</v>
      </c>
      <c r="B562">
        <f t="shared" ref="B562:Y562" si="232">B234/B$326</f>
        <v>137211325.77296355</v>
      </c>
      <c r="C562">
        <f t="shared" si="232"/>
        <v>105610612.45187138</v>
      </c>
      <c r="D562">
        <f t="shared" si="232"/>
        <v>84360392.197868794</v>
      </c>
      <c r="E562">
        <f t="shared" si="232"/>
        <v>139546802.57224944</v>
      </c>
      <c r="F562">
        <f t="shared" si="232"/>
        <v>142167795.67125031</v>
      </c>
      <c r="G562">
        <f t="shared" si="232"/>
        <v>102336353.98617058</v>
      </c>
      <c r="H562">
        <f t="shared" si="232"/>
        <v>136983768.24535838</v>
      </c>
      <c r="I562">
        <f t="shared" si="232"/>
        <v>32261265.622352667</v>
      </c>
      <c r="J562">
        <f t="shared" si="232"/>
        <v>258329590.48933005</v>
      </c>
      <c r="K562">
        <f t="shared" si="232"/>
        <v>53832546.166074015</v>
      </c>
      <c r="L562">
        <f t="shared" si="232"/>
        <v>98256225.500439361</v>
      </c>
      <c r="M562">
        <f t="shared" si="232"/>
        <v>89047478.233903781</v>
      </c>
      <c r="N562">
        <f t="shared" si="232"/>
        <v>61594658.600152634</v>
      </c>
      <c r="O562">
        <f t="shared" si="232"/>
        <v>116965611.56515209</v>
      </c>
      <c r="P562">
        <f t="shared" si="232"/>
        <v>180715583.19330761</v>
      </c>
      <c r="Q562">
        <f t="shared" si="232"/>
        <v>34731887.011816658</v>
      </c>
      <c r="R562">
        <f t="shared" si="232"/>
        <v>230247603.65918586</v>
      </c>
      <c r="S562">
        <f t="shared" si="232"/>
        <v>86546633.241618454</v>
      </c>
      <c r="T562">
        <f t="shared" si="232"/>
        <v>216053484.37482837</v>
      </c>
      <c r="U562">
        <f t="shared" si="232"/>
        <v>276694409.87683535</v>
      </c>
      <c r="V562">
        <f t="shared" si="232"/>
        <v>244321368.48284858</v>
      </c>
      <c r="W562">
        <f t="shared" si="232"/>
        <v>158953649.28408349</v>
      </c>
      <c r="X562">
        <f t="shared" si="232"/>
        <v>8654922.9846343193</v>
      </c>
      <c r="Y562">
        <f t="shared" si="232"/>
        <v>144887760.34108812</v>
      </c>
    </row>
    <row r="563" spans="1:25" x14ac:dyDescent="0.45">
      <c r="A563" s="5" t="s">
        <v>327</v>
      </c>
      <c r="B563">
        <f t="shared" ref="B563:Y563" si="233">B235/B$326</f>
        <v>3629781.650287346</v>
      </c>
      <c r="C563">
        <f t="shared" si="233"/>
        <v>53893929.212888151</v>
      </c>
      <c r="D563">
        <f t="shared" si="233"/>
        <v>10442091.236404259</v>
      </c>
      <c r="E563">
        <f t="shared" si="233"/>
        <v>5860425.1792080076</v>
      </c>
      <c r="F563">
        <f t="shared" si="233"/>
        <v>3597067.290116101</v>
      </c>
      <c r="G563">
        <f t="shared" si="233"/>
        <v>23488822.82814838</v>
      </c>
      <c r="H563">
        <f t="shared" si="233"/>
        <v>22492179.331109989</v>
      </c>
      <c r="I563">
        <f t="shared" si="233"/>
        <v>240976.06361372559</v>
      </c>
      <c r="J563">
        <f t="shared" si="233"/>
        <v>8645395.6858899519</v>
      </c>
      <c r="K563">
        <f t="shared" si="233"/>
        <v>9770736.1875526216</v>
      </c>
      <c r="L563">
        <f t="shared" si="233"/>
        <v>4323440.555120171</v>
      </c>
      <c r="M563">
        <f t="shared" si="233"/>
        <v>46807672.004904844</v>
      </c>
      <c r="N563">
        <f t="shared" si="233"/>
        <v>30848767.981462266</v>
      </c>
      <c r="O563">
        <f t="shared" si="233"/>
        <v>74346794.603210375</v>
      </c>
      <c r="P563">
        <f t="shared" si="233"/>
        <v>24506922.485592749</v>
      </c>
      <c r="Q563">
        <f t="shared" si="233"/>
        <v>44771020.294697046</v>
      </c>
      <c r="R563">
        <f t="shared" si="233"/>
        <v>2735715.3297238983</v>
      </c>
      <c r="S563">
        <f t="shared" si="233"/>
        <v>28599874.064069107</v>
      </c>
      <c r="T563">
        <f t="shared" si="233"/>
        <v>6236940.8177319001</v>
      </c>
      <c r="U563">
        <f t="shared" si="233"/>
        <v>35607583.067726977</v>
      </c>
      <c r="V563">
        <f t="shared" si="233"/>
        <v>50295021.725665309</v>
      </c>
      <c r="W563">
        <f t="shared" si="233"/>
        <v>24963972.362166036</v>
      </c>
      <c r="X563">
        <f t="shared" si="233"/>
        <v>1177384.128217</v>
      </c>
      <c r="Y563">
        <f t="shared" si="233"/>
        <v>14591290.573164625</v>
      </c>
    </row>
    <row r="564" spans="1:25" x14ac:dyDescent="0.45">
      <c r="A564" s="5" t="s">
        <v>221</v>
      </c>
      <c r="B564">
        <f t="shared" ref="B564:Y564" si="234">B236/B$326</f>
        <v>72973355.079085574</v>
      </c>
      <c r="C564">
        <f t="shared" si="234"/>
        <v>74342048.759286463</v>
      </c>
      <c r="D564">
        <f t="shared" si="234"/>
        <v>84091882.382365525</v>
      </c>
      <c r="E564">
        <f t="shared" si="234"/>
        <v>75005300.278970554</v>
      </c>
      <c r="F564">
        <f t="shared" si="234"/>
        <v>98282311.757786319</v>
      </c>
      <c r="G564">
        <f t="shared" si="234"/>
        <v>65033352.389286764</v>
      </c>
      <c r="H564">
        <f t="shared" si="234"/>
        <v>70887436.093344823</v>
      </c>
      <c r="I564">
        <f t="shared" si="234"/>
        <v>460249348.77680653</v>
      </c>
      <c r="J564">
        <f t="shared" si="234"/>
        <v>317323843.0467456</v>
      </c>
      <c r="K564">
        <f t="shared" si="234"/>
        <v>59322522.511273861</v>
      </c>
      <c r="L564">
        <f t="shared" si="234"/>
        <v>128284591.27479257</v>
      </c>
      <c r="M564">
        <f t="shared" si="234"/>
        <v>43661363.128125452</v>
      </c>
      <c r="N564">
        <f t="shared" si="234"/>
        <v>69754685.799478143</v>
      </c>
      <c r="O564">
        <f t="shared" si="234"/>
        <v>258344228.28892359</v>
      </c>
      <c r="P564">
        <f t="shared" si="234"/>
        <v>280687832.84159696</v>
      </c>
      <c r="Q564">
        <f t="shared" si="234"/>
        <v>50043205.094946787</v>
      </c>
      <c r="R564">
        <f t="shared" si="234"/>
        <v>182620562.87186974</v>
      </c>
      <c r="S564">
        <f t="shared" si="234"/>
        <v>126129107.86558852</v>
      </c>
      <c r="T564">
        <f t="shared" si="234"/>
        <v>170737827.54665574</v>
      </c>
      <c r="U564">
        <f t="shared" si="234"/>
        <v>140235609.36556792</v>
      </c>
      <c r="V564">
        <f t="shared" si="234"/>
        <v>194723002.0355362</v>
      </c>
      <c r="W564">
        <f t="shared" si="234"/>
        <v>172975402.95713091</v>
      </c>
      <c r="X564">
        <f t="shared" si="234"/>
        <v>448766148.65517998</v>
      </c>
      <c r="Y564">
        <f t="shared" si="234"/>
        <v>168864501.17367497</v>
      </c>
    </row>
    <row r="565" spans="1:25" x14ac:dyDescent="0.45">
      <c r="A565" s="5" t="s">
        <v>222</v>
      </c>
      <c r="B565">
        <f t="shared" ref="B565:Y565" si="235">B237/B$326</f>
        <v>10958881.646948524</v>
      </c>
      <c r="C565">
        <f t="shared" si="235"/>
        <v>14595664.999750428</v>
      </c>
      <c r="D565">
        <f t="shared" si="235"/>
        <v>8644756.2557281405</v>
      </c>
      <c r="E565">
        <f t="shared" si="235"/>
        <v>7143910.2777945613</v>
      </c>
      <c r="F565">
        <f t="shared" si="235"/>
        <v>12945923.973126706</v>
      </c>
      <c r="G565">
        <f t="shared" si="235"/>
        <v>7960876.0609632349</v>
      </c>
      <c r="H565">
        <f t="shared" si="235"/>
        <v>8998736.9204657692</v>
      </c>
      <c r="I565">
        <f t="shared" si="235"/>
        <v>18081585.676346682</v>
      </c>
      <c r="J565">
        <f t="shared" si="235"/>
        <v>13972500.463356303</v>
      </c>
      <c r="K565">
        <f t="shared" si="235"/>
        <v>29173223.632575758</v>
      </c>
      <c r="L565">
        <f t="shared" si="235"/>
        <v>18871672.079412289</v>
      </c>
      <c r="M565">
        <f t="shared" si="235"/>
        <v>8999425.8405933622</v>
      </c>
      <c r="N565">
        <f t="shared" si="235"/>
        <v>10689717.749771498</v>
      </c>
      <c r="O565">
        <f t="shared" si="235"/>
        <v>29086960.350334421</v>
      </c>
      <c r="P565">
        <f t="shared" si="235"/>
        <v>28348955.194659747</v>
      </c>
      <c r="Q565">
        <f t="shared" si="235"/>
        <v>9348189.299718434</v>
      </c>
      <c r="R565">
        <f t="shared" si="235"/>
        <v>20469749.164390706</v>
      </c>
      <c r="S565">
        <f t="shared" si="235"/>
        <v>12365294.595572593</v>
      </c>
      <c r="T565">
        <f t="shared" si="235"/>
        <v>15952563.575769845</v>
      </c>
      <c r="U565">
        <f t="shared" si="235"/>
        <v>17358432.78918007</v>
      </c>
      <c r="V565">
        <f t="shared" si="235"/>
        <v>15737984.390037842</v>
      </c>
      <c r="W565">
        <f t="shared" si="235"/>
        <v>19329412.175555106</v>
      </c>
      <c r="X565">
        <f t="shared" si="235"/>
        <v>48249277.496152401</v>
      </c>
      <c r="Y565">
        <f t="shared" si="235"/>
        <v>16089318.744793624</v>
      </c>
    </row>
    <row r="566" spans="1:25" x14ac:dyDescent="0.45">
      <c r="A566" s="5" t="s">
        <v>223</v>
      </c>
      <c r="B566">
        <f t="shared" ref="B566:Y566" si="236">B238/B$326</f>
        <v>29315442.549883299</v>
      </c>
      <c r="C566">
        <f t="shared" si="236"/>
        <v>93442480.235770822</v>
      </c>
      <c r="D566">
        <f t="shared" si="236"/>
        <v>37012900.52430366</v>
      </c>
      <c r="E566">
        <f t="shared" si="236"/>
        <v>54443443.321993448</v>
      </c>
      <c r="F566">
        <f t="shared" si="236"/>
        <v>13604798.466089686</v>
      </c>
      <c r="G566">
        <f t="shared" si="236"/>
        <v>65276230.641751476</v>
      </c>
      <c r="H566">
        <f t="shared" si="236"/>
        <v>44952788.283089399</v>
      </c>
      <c r="I566">
        <f t="shared" si="236"/>
        <v>58605069.183292963</v>
      </c>
      <c r="J566">
        <f t="shared" si="236"/>
        <v>76190302.985606804</v>
      </c>
      <c r="K566">
        <f t="shared" si="236"/>
        <v>27587664.728707172</v>
      </c>
      <c r="L566">
        <f t="shared" si="236"/>
        <v>30845229.962003566</v>
      </c>
      <c r="M566">
        <f t="shared" si="236"/>
        <v>92345052.339575008</v>
      </c>
      <c r="N566">
        <f t="shared" si="236"/>
        <v>57692371.101381883</v>
      </c>
      <c r="O566">
        <f t="shared" si="236"/>
        <v>105471830.99320889</v>
      </c>
      <c r="P566">
        <f t="shared" si="236"/>
        <v>113026203.65835604</v>
      </c>
      <c r="Q566">
        <f t="shared" si="236"/>
        <v>103648404.29991584</v>
      </c>
      <c r="R566">
        <f t="shared" si="236"/>
        <v>94678417.601327673</v>
      </c>
      <c r="S566">
        <f t="shared" si="236"/>
        <v>93301290.69238703</v>
      </c>
      <c r="T566">
        <f t="shared" si="236"/>
        <v>38672835.194980465</v>
      </c>
      <c r="U566">
        <f t="shared" si="236"/>
        <v>130260635.78506345</v>
      </c>
      <c r="V566">
        <f t="shared" si="236"/>
        <v>154416108.24311906</v>
      </c>
      <c r="W566">
        <f t="shared" si="236"/>
        <v>76094712.540535122</v>
      </c>
      <c r="X566">
        <f t="shared" si="236"/>
        <v>291480038.138942</v>
      </c>
      <c r="Y566">
        <f t="shared" si="236"/>
        <v>64766889.456565619</v>
      </c>
    </row>
    <row r="567" spans="1:25" x14ac:dyDescent="0.45">
      <c r="A567" s="5" t="s">
        <v>224</v>
      </c>
      <c r="B567">
        <f t="shared" ref="B567:Y567" si="237">B239/B$326</f>
        <v>74151634.129568547</v>
      </c>
      <c r="C567">
        <f t="shared" si="237"/>
        <v>222683920.92695904</v>
      </c>
      <c r="D567">
        <f t="shared" si="237"/>
        <v>80234654.911435515</v>
      </c>
      <c r="E567">
        <f t="shared" si="237"/>
        <v>105237165.61789593</v>
      </c>
      <c r="F567">
        <f t="shared" si="237"/>
        <v>154162980.78195414</v>
      </c>
      <c r="G567">
        <f t="shared" si="237"/>
        <v>227174285.96362695</v>
      </c>
      <c r="H567">
        <f t="shared" si="237"/>
        <v>224738583.49820548</v>
      </c>
      <c r="I567">
        <f t="shared" si="237"/>
        <v>311119316.6524018</v>
      </c>
      <c r="J567">
        <f t="shared" si="237"/>
        <v>212012569.25368643</v>
      </c>
      <c r="K567">
        <f t="shared" si="237"/>
        <v>177080423.38925543</v>
      </c>
      <c r="L567">
        <f t="shared" si="237"/>
        <v>128337431.03754948</v>
      </c>
      <c r="M567">
        <f t="shared" si="237"/>
        <v>287167178.00072151</v>
      </c>
      <c r="N567">
        <f t="shared" si="237"/>
        <v>306824009.51254839</v>
      </c>
      <c r="O567">
        <f t="shared" si="237"/>
        <v>679487824.00143301</v>
      </c>
      <c r="P567">
        <f t="shared" si="237"/>
        <v>489483877.80697566</v>
      </c>
      <c r="Q567">
        <f t="shared" si="237"/>
        <v>322215445.76605046</v>
      </c>
      <c r="R567">
        <f t="shared" si="237"/>
        <v>174175621.63644573</v>
      </c>
      <c r="S567">
        <f t="shared" si="237"/>
        <v>319601400.24223256</v>
      </c>
      <c r="T567">
        <f t="shared" si="237"/>
        <v>179565264.94140133</v>
      </c>
      <c r="U567">
        <f t="shared" si="237"/>
        <v>489754760.36634707</v>
      </c>
      <c r="V567">
        <f t="shared" si="237"/>
        <v>670649663.57884443</v>
      </c>
      <c r="W567">
        <f t="shared" si="237"/>
        <v>451144543.7141248</v>
      </c>
      <c r="X567">
        <f t="shared" si="237"/>
        <v>513845864.60563803</v>
      </c>
      <c r="Y567">
        <f t="shared" si="237"/>
        <v>321518494.5661056</v>
      </c>
    </row>
    <row r="568" spans="1:25" x14ac:dyDescent="0.45">
      <c r="A568" s="5" t="s">
        <v>225</v>
      </c>
      <c r="B568">
        <f t="shared" ref="B568:Y568" si="238">B240/B$326</f>
        <v>524722.24161304394</v>
      </c>
      <c r="C568">
        <f t="shared" si="238"/>
        <v>1665960.1091391381</v>
      </c>
      <c r="D568">
        <f t="shared" si="238"/>
        <v>768358.06247098651</v>
      </c>
      <c r="E568">
        <f t="shared" si="238"/>
        <v>537635.83991862508</v>
      </c>
      <c r="F568">
        <f t="shared" si="238"/>
        <v>507546.7584138508</v>
      </c>
      <c r="G568">
        <f t="shared" si="238"/>
        <v>766000.59445388243</v>
      </c>
      <c r="H568">
        <f t="shared" si="238"/>
        <v>813830.24523613381</v>
      </c>
      <c r="I568">
        <f t="shared" si="238"/>
        <v>1512087.3209909333</v>
      </c>
      <c r="J568">
        <f t="shared" si="238"/>
        <v>1246535.7103789216</v>
      </c>
      <c r="K568">
        <f t="shared" si="238"/>
        <v>1318161.8963804494</v>
      </c>
      <c r="L568">
        <f t="shared" si="238"/>
        <v>1964094.4686571704</v>
      </c>
      <c r="M568">
        <f t="shared" si="238"/>
        <v>860603.47281737905</v>
      </c>
      <c r="N568">
        <f t="shared" si="238"/>
        <v>485120.29062330391</v>
      </c>
      <c r="O568">
        <f t="shared" si="238"/>
        <v>1258708.9698109319</v>
      </c>
      <c r="P568">
        <f t="shared" si="238"/>
        <v>961368.67553593125</v>
      </c>
      <c r="Q568">
        <f t="shared" si="238"/>
        <v>1575733.2900824654</v>
      </c>
      <c r="R568">
        <f t="shared" si="238"/>
        <v>3184234.7297333828</v>
      </c>
      <c r="S568">
        <f t="shared" si="238"/>
        <v>1364593.1609129065</v>
      </c>
      <c r="T568">
        <f t="shared" si="238"/>
        <v>536963.84246135724</v>
      </c>
      <c r="U568">
        <f t="shared" si="238"/>
        <v>987037.86498859944</v>
      </c>
      <c r="V568">
        <f t="shared" si="238"/>
        <v>799556.61878987856</v>
      </c>
      <c r="W568">
        <f t="shared" si="238"/>
        <v>1079926.3755638751</v>
      </c>
      <c r="X568">
        <f t="shared" si="238"/>
        <v>3455430.4875210901</v>
      </c>
      <c r="Y568">
        <f t="shared" si="238"/>
        <v>820789.32040819374</v>
      </c>
    </row>
    <row r="569" spans="1:25" x14ac:dyDescent="0.45">
      <c r="A569" s="5" t="s">
        <v>226</v>
      </c>
      <c r="B569">
        <f t="shared" ref="B569:Y569" si="239">B241/B$326</f>
        <v>58780732.977122612</v>
      </c>
      <c r="C569">
        <f t="shared" si="239"/>
        <v>150124739.84623671</v>
      </c>
      <c r="D569">
        <f t="shared" si="239"/>
        <v>80255586.601128563</v>
      </c>
      <c r="E569">
        <f t="shared" si="239"/>
        <v>106440614.99520813</v>
      </c>
      <c r="F569">
        <f t="shared" si="239"/>
        <v>21257871.701467246</v>
      </c>
      <c r="G569">
        <f t="shared" si="239"/>
        <v>69589796.651768625</v>
      </c>
      <c r="H569">
        <f t="shared" si="239"/>
        <v>72465171.829962537</v>
      </c>
      <c r="I569">
        <f t="shared" si="239"/>
        <v>146129598.95164636</v>
      </c>
      <c r="J569">
        <f t="shared" si="239"/>
        <v>151938751.55664772</v>
      </c>
      <c r="K569">
        <f t="shared" si="239"/>
        <v>61958430.368478023</v>
      </c>
      <c r="L569">
        <f t="shared" si="239"/>
        <v>41980496.967977449</v>
      </c>
      <c r="M569">
        <f t="shared" si="239"/>
        <v>171549794.1219058</v>
      </c>
      <c r="N569">
        <f t="shared" si="239"/>
        <v>99639365.629408151</v>
      </c>
      <c r="O569">
        <f t="shared" si="239"/>
        <v>175749016.93297848</v>
      </c>
      <c r="P569">
        <f t="shared" si="239"/>
        <v>259602772.04338676</v>
      </c>
      <c r="Q569">
        <f t="shared" si="239"/>
        <v>220085049.26651284</v>
      </c>
      <c r="R569">
        <f t="shared" si="239"/>
        <v>220085537.12487829</v>
      </c>
      <c r="S569">
        <f t="shared" si="239"/>
        <v>193968666.00266945</v>
      </c>
      <c r="T569">
        <f t="shared" si="239"/>
        <v>49459834.853587352</v>
      </c>
      <c r="U569">
        <f t="shared" si="239"/>
        <v>102489861.64262399</v>
      </c>
      <c r="V569">
        <f t="shared" si="239"/>
        <v>160276109.83770102</v>
      </c>
      <c r="W569">
        <f t="shared" si="239"/>
        <v>174548253.91079277</v>
      </c>
      <c r="X569">
        <f t="shared" si="239"/>
        <v>729905384.00601006</v>
      </c>
      <c r="Y569">
        <f t="shared" si="239"/>
        <v>133056728.70594876</v>
      </c>
    </row>
    <row r="570" spans="1:25" x14ac:dyDescent="0.45">
      <c r="A570" s="5" t="s">
        <v>227</v>
      </c>
      <c r="B570">
        <f t="shared" ref="B570:Y570" si="240">B242/B$326</f>
        <v>631784.35923122603</v>
      </c>
      <c r="C570">
        <f t="shared" si="240"/>
        <v>4906072.0728831841</v>
      </c>
      <c r="D570">
        <f t="shared" si="240"/>
        <v>897085.24400225095</v>
      </c>
      <c r="E570">
        <f t="shared" si="240"/>
        <v>533718.16066542268</v>
      </c>
      <c r="F570">
        <f t="shared" si="240"/>
        <v>507668.66730800876</v>
      </c>
      <c r="G570">
        <f t="shared" si="240"/>
        <v>1528889.6143383775</v>
      </c>
      <c r="H570">
        <f t="shared" si="240"/>
        <v>1367805.5620096887</v>
      </c>
      <c r="I570">
        <f t="shared" si="240"/>
        <v>434509.87026864302</v>
      </c>
      <c r="J570">
        <f t="shared" si="240"/>
        <v>795821.54963762593</v>
      </c>
      <c r="K570">
        <f t="shared" si="240"/>
        <v>301722.37286139542</v>
      </c>
      <c r="L570">
        <f t="shared" si="240"/>
        <v>526529.61045029841</v>
      </c>
      <c r="M570">
        <f t="shared" si="240"/>
        <v>1156842.7067511112</v>
      </c>
      <c r="N570">
        <f t="shared" si="240"/>
        <v>2330952.7712668767</v>
      </c>
      <c r="O570">
        <f t="shared" si="240"/>
        <v>6913213.755303097</v>
      </c>
      <c r="P570">
        <f t="shared" si="240"/>
        <v>3342348.071917546</v>
      </c>
      <c r="Q570">
        <f t="shared" si="240"/>
        <v>2235082.4103829726</v>
      </c>
      <c r="R570">
        <f t="shared" si="240"/>
        <v>675915.03769120388</v>
      </c>
      <c r="S570">
        <f t="shared" si="240"/>
        <v>2278587.4934858517</v>
      </c>
      <c r="T570">
        <f t="shared" si="240"/>
        <v>748357.94574290537</v>
      </c>
      <c r="U570">
        <f t="shared" si="240"/>
        <v>1716842.2412384872</v>
      </c>
      <c r="V570">
        <f t="shared" si="240"/>
        <v>3038962.639648308</v>
      </c>
      <c r="W570">
        <f t="shared" si="240"/>
        <v>2034303.6016860455</v>
      </c>
      <c r="X570">
        <f t="shared" si="240"/>
        <v>466755.88507900498</v>
      </c>
      <c r="Y570">
        <f t="shared" si="240"/>
        <v>1661904.6882974561</v>
      </c>
    </row>
    <row r="571" spans="1:25" x14ac:dyDescent="0.45">
      <c r="A571" s="5" t="s">
        <v>228</v>
      </c>
      <c r="B571">
        <f t="shared" ref="B571:Y571" si="241">B243/B$326</f>
        <v>34900202.647119455</v>
      </c>
      <c r="C571">
        <f t="shared" si="241"/>
        <v>24537279.542594507</v>
      </c>
      <c r="D571">
        <f t="shared" si="241"/>
        <v>22405465.987360924</v>
      </c>
      <c r="E571">
        <f t="shared" si="241"/>
        <v>36569093.222321205</v>
      </c>
      <c r="F571">
        <f t="shared" si="241"/>
        <v>46794876.049064003</v>
      </c>
      <c r="G571">
        <f t="shared" si="241"/>
        <v>29849481.606764801</v>
      </c>
      <c r="H571">
        <f t="shared" si="241"/>
        <v>27461292.558489252</v>
      </c>
      <c r="I571">
        <f t="shared" si="241"/>
        <v>33506879.338295951</v>
      </c>
      <c r="J571">
        <f t="shared" si="241"/>
        <v>64063736.965758786</v>
      </c>
      <c r="K571">
        <f t="shared" si="241"/>
        <v>38639747.876827493</v>
      </c>
      <c r="L571">
        <f t="shared" si="241"/>
        <v>37612328.148021862</v>
      </c>
      <c r="M571">
        <f t="shared" si="241"/>
        <v>34037933.630016893</v>
      </c>
      <c r="N571">
        <f t="shared" si="241"/>
        <v>21263460.785619866</v>
      </c>
      <c r="O571">
        <f t="shared" si="241"/>
        <v>35453650.524932794</v>
      </c>
      <c r="P571">
        <f t="shared" si="241"/>
        <v>54354709.11152304</v>
      </c>
      <c r="Q571">
        <f t="shared" si="241"/>
        <v>13703150.650411693</v>
      </c>
      <c r="R571">
        <f t="shared" si="241"/>
        <v>66566151.564450055</v>
      </c>
      <c r="S571">
        <f t="shared" si="241"/>
        <v>24436647.028407764</v>
      </c>
      <c r="T571">
        <f t="shared" si="241"/>
        <v>53751424.137216903</v>
      </c>
      <c r="U571">
        <f t="shared" si="241"/>
        <v>60487851.262521148</v>
      </c>
      <c r="V571">
        <f t="shared" si="241"/>
        <v>49073950.242554024</v>
      </c>
      <c r="W571">
        <f t="shared" si="241"/>
        <v>57694043.417743996</v>
      </c>
      <c r="X571">
        <f t="shared" si="241"/>
        <v>18721611.133853201</v>
      </c>
      <c r="Y571">
        <f t="shared" si="241"/>
        <v>55264081.840115622</v>
      </c>
    </row>
    <row r="572" spans="1:25" x14ac:dyDescent="0.45">
      <c r="A572" s="5" t="s">
        <v>229</v>
      </c>
      <c r="B572">
        <f t="shared" ref="B572:Y572" si="242">B244/B$326</f>
        <v>17309943.939750697</v>
      </c>
      <c r="C572">
        <f t="shared" si="242"/>
        <v>16442121.234856145</v>
      </c>
      <c r="D572">
        <f t="shared" si="242"/>
        <v>12088973.974284699</v>
      </c>
      <c r="E572">
        <f t="shared" si="242"/>
        <v>16243315.498257658</v>
      </c>
      <c r="F572">
        <f t="shared" si="242"/>
        <v>27279402.702196889</v>
      </c>
      <c r="G572">
        <f t="shared" si="242"/>
        <v>18201581.818801228</v>
      </c>
      <c r="H572">
        <f t="shared" si="242"/>
        <v>12692881.14069275</v>
      </c>
      <c r="I572">
        <f t="shared" si="242"/>
        <v>16183241.182889726</v>
      </c>
      <c r="J572">
        <f t="shared" si="242"/>
        <v>31393105.25330428</v>
      </c>
      <c r="K572">
        <f t="shared" si="242"/>
        <v>14710954.107846247</v>
      </c>
      <c r="L572">
        <f t="shared" si="242"/>
        <v>19604523.070200477</v>
      </c>
      <c r="M572">
        <f t="shared" si="242"/>
        <v>9686145.7802181877</v>
      </c>
      <c r="N572">
        <f t="shared" si="242"/>
        <v>12177529.264728175</v>
      </c>
      <c r="O572">
        <f t="shared" si="242"/>
        <v>28494215.059790056</v>
      </c>
      <c r="P572">
        <f t="shared" si="242"/>
        <v>16916124.86116948</v>
      </c>
      <c r="Q572">
        <f t="shared" si="242"/>
        <v>10899929.971115191</v>
      </c>
      <c r="R572">
        <f t="shared" si="242"/>
        <v>44818529.42623879</v>
      </c>
      <c r="S572">
        <f t="shared" si="242"/>
        <v>16615177.742928384</v>
      </c>
      <c r="T572">
        <f t="shared" si="242"/>
        <v>22627757.095900297</v>
      </c>
      <c r="U572">
        <f t="shared" si="242"/>
        <v>23831740.34073237</v>
      </c>
      <c r="V572">
        <f t="shared" si="242"/>
        <v>21011852.276000056</v>
      </c>
      <c r="W572">
        <f t="shared" si="242"/>
        <v>29333940.258004412</v>
      </c>
      <c r="X572">
        <f t="shared" si="242"/>
        <v>31244524.207042299</v>
      </c>
      <c r="Y572">
        <f t="shared" si="242"/>
        <v>29063456.206384625</v>
      </c>
    </row>
    <row r="573" spans="1:25" x14ac:dyDescent="0.45">
      <c r="A573" s="5" t="s">
        <v>328</v>
      </c>
      <c r="B573">
        <f t="shared" ref="B573:Y573" si="243">B245/B$326</f>
        <v>2618852136.9755378</v>
      </c>
      <c r="C573">
        <f t="shared" si="243"/>
        <v>1956464154.6784475</v>
      </c>
      <c r="D573">
        <f t="shared" si="243"/>
        <v>1251047831.9065235</v>
      </c>
      <c r="E573">
        <f t="shared" si="243"/>
        <v>1616932204.2507751</v>
      </c>
      <c r="F573">
        <f t="shared" si="243"/>
        <v>2177414585.0460463</v>
      </c>
      <c r="G573">
        <f t="shared" si="243"/>
        <v>1748101837.5374706</v>
      </c>
      <c r="H573">
        <f t="shared" si="243"/>
        <v>1870377535.7475731</v>
      </c>
      <c r="I573">
        <f t="shared" si="243"/>
        <v>6981470987.1665649</v>
      </c>
      <c r="J573">
        <f t="shared" si="243"/>
        <v>5651136460.257452</v>
      </c>
      <c r="K573">
        <f t="shared" si="243"/>
        <v>2522328701.9946532</v>
      </c>
      <c r="L573">
        <f t="shared" si="243"/>
        <v>3078544100.4828935</v>
      </c>
      <c r="M573">
        <f t="shared" si="243"/>
        <v>1658368698.2777889</v>
      </c>
      <c r="N573">
        <f t="shared" si="243"/>
        <v>629324103.00839388</v>
      </c>
      <c r="O573">
        <f t="shared" si="243"/>
        <v>3644690901.3574834</v>
      </c>
      <c r="P573">
        <f t="shared" si="243"/>
        <v>2288821204.4230094</v>
      </c>
      <c r="Q573">
        <f t="shared" si="243"/>
        <v>721849189.51580429</v>
      </c>
      <c r="R573">
        <f t="shared" si="243"/>
        <v>2632753288.215673</v>
      </c>
      <c r="S573">
        <f t="shared" si="243"/>
        <v>1479430588.6595676</v>
      </c>
      <c r="T573">
        <f t="shared" si="243"/>
        <v>2345108392.7910051</v>
      </c>
      <c r="U573">
        <f t="shared" si="243"/>
        <v>3401585576.6771011</v>
      </c>
      <c r="V573">
        <f t="shared" si="243"/>
        <v>2273564773.1616426</v>
      </c>
      <c r="W573">
        <f t="shared" si="243"/>
        <v>2672884141.4688854</v>
      </c>
      <c r="X573">
        <f t="shared" si="243"/>
        <v>6786110909.7029896</v>
      </c>
      <c r="Y573">
        <f t="shared" si="243"/>
        <v>2201389390.4912624</v>
      </c>
    </row>
    <row r="574" spans="1:25" x14ac:dyDescent="0.45">
      <c r="A574" s="5" t="s">
        <v>329</v>
      </c>
      <c r="B574">
        <f t="shared" ref="B574:Y574" si="244">B246/B$326</f>
        <v>59365324.609026194</v>
      </c>
      <c r="C574">
        <f t="shared" si="244"/>
        <v>36271254.553910986</v>
      </c>
      <c r="D574">
        <f t="shared" si="244"/>
        <v>2597653.0842975937</v>
      </c>
      <c r="E574">
        <f t="shared" si="244"/>
        <v>5601796.2720464179</v>
      </c>
      <c r="F574">
        <f t="shared" si="244"/>
        <v>27604350.985352583</v>
      </c>
      <c r="G574">
        <f t="shared" si="244"/>
        <v>5499640.7638449511</v>
      </c>
      <c r="H574">
        <f t="shared" si="244"/>
        <v>699470.95225643518</v>
      </c>
      <c r="I574">
        <f t="shared" si="244"/>
        <v>36606665.53953556</v>
      </c>
      <c r="J574">
        <f t="shared" si="244"/>
        <v>3096214.0052429922</v>
      </c>
      <c r="K574">
        <f t="shared" si="244"/>
        <v>23164632.17638072</v>
      </c>
      <c r="L574">
        <f t="shared" si="244"/>
        <v>4561409.5242431127</v>
      </c>
      <c r="M574">
        <f t="shared" si="244"/>
        <v>2761806.2406857871</v>
      </c>
      <c r="N574">
        <f t="shared" si="244"/>
        <v>2387984.2832006393</v>
      </c>
      <c r="O574">
        <f t="shared" si="244"/>
        <v>81617890.633947343</v>
      </c>
      <c r="P574">
        <f t="shared" si="244"/>
        <v>41991393.385800175</v>
      </c>
      <c r="Q574">
        <f t="shared" si="244"/>
        <v>10141811.371824373</v>
      </c>
      <c r="R574">
        <f t="shared" si="244"/>
        <v>36399617.173129685</v>
      </c>
      <c r="S574">
        <f t="shared" si="244"/>
        <v>5371640.6902107764</v>
      </c>
      <c r="T574">
        <f t="shared" si="244"/>
        <v>95380315.76523602</v>
      </c>
      <c r="U574">
        <f t="shared" si="244"/>
        <v>214156858.53982458</v>
      </c>
      <c r="V574">
        <f t="shared" si="244"/>
        <v>290619233.48978657</v>
      </c>
      <c r="W574">
        <f t="shared" si="244"/>
        <v>185134457.99156985</v>
      </c>
      <c r="X574">
        <f t="shared" si="244"/>
        <v>103040683.222853</v>
      </c>
      <c r="Y574">
        <f t="shared" si="244"/>
        <v>127570153.77743812</v>
      </c>
    </row>
    <row r="575" spans="1:25" x14ac:dyDescent="0.45">
      <c r="A575" s="5" t="s">
        <v>230</v>
      </c>
      <c r="B575">
        <f t="shared" ref="B575:Y575" si="245">B247/B$326</f>
        <v>42878084.537675396</v>
      </c>
      <c r="C575">
        <f t="shared" si="245"/>
        <v>37472867.020169117</v>
      </c>
      <c r="D575">
        <f t="shared" si="245"/>
        <v>16566979.976303767</v>
      </c>
      <c r="E575">
        <f t="shared" si="245"/>
        <v>15523221.960836723</v>
      </c>
      <c r="F575">
        <f t="shared" si="245"/>
        <v>31483401.279901054</v>
      </c>
      <c r="G575">
        <f t="shared" si="245"/>
        <v>24150074.181203775</v>
      </c>
      <c r="H575">
        <f t="shared" si="245"/>
        <v>19739622.791661445</v>
      </c>
      <c r="I575">
        <f t="shared" si="245"/>
        <v>40043218.954397649</v>
      </c>
      <c r="J575">
        <f t="shared" si="245"/>
        <v>30399891.926819496</v>
      </c>
      <c r="K575">
        <f t="shared" si="245"/>
        <v>23041758.659359366</v>
      </c>
      <c r="L575">
        <f t="shared" si="245"/>
        <v>40556351.08937639</v>
      </c>
      <c r="M575">
        <f t="shared" si="245"/>
        <v>12871180.731198166</v>
      </c>
      <c r="N575">
        <f t="shared" si="245"/>
        <v>30606815.763198391</v>
      </c>
      <c r="O575">
        <f t="shared" si="245"/>
        <v>93210254.090297237</v>
      </c>
      <c r="P575">
        <f t="shared" si="245"/>
        <v>131076469.8280647</v>
      </c>
      <c r="Q575">
        <f t="shared" si="245"/>
        <v>28965097.393023122</v>
      </c>
      <c r="R575">
        <f t="shared" si="245"/>
        <v>40659803.972212203</v>
      </c>
      <c r="S575">
        <f t="shared" si="245"/>
        <v>41395119.364520937</v>
      </c>
      <c r="T575">
        <f t="shared" si="245"/>
        <v>49941158.550828934</v>
      </c>
      <c r="U575">
        <f t="shared" si="245"/>
        <v>83287570.762788445</v>
      </c>
      <c r="V575">
        <f t="shared" si="245"/>
        <v>74578007.663437963</v>
      </c>
      <c r="W575">
        <f t="shared" si="245"/>
        <v>60227433.749270022</v>
      </c>
      <c r="X575">
        <f t="shared" si="245"/>
        <v>414430324.30640203</v>
      </c>
      <c r="Y575">
        <f t="shared" si="245"/>
        <v>63432606.706841871</v>
      </c>
    </row>
    <row r="576" spans="1:25" x14ac:dyDescent="0.45">
      <c r="A576" s="5" t="s">
        <v>330</v>
      </c>
      <c r="B576">
        <f t="shared" ref="B576:Y576" si="246">B248/B$326</f>
        <v>39916294.206727296</v>
      </c>
      <c r="C576">
        <f t="shared" si="246"/>
        <v>26715829.62525259</v>
      </c>
      <c r="D576">
        <f t="shared" si="246"/>
        <v>11966399.769489454</v>
      </c>
      <c r="E576">
        <f t="shared" si="246"/>
        <v>14009451.981960554</v>
      </c>
      <c r="F576">
        <f t="shared" si="246"/>
        <v>32708864.517850697</v>
      </c>
      <c r="G576">
        <f t="shared" si="246"/>
        <v>13465733.280483235</v>
      </c>
      <c r="H576">
        <f t="shared" si="246"/>
        <v>17890969.788594261</v>
      </c>
      <c r="I576">
        <f t="shared" si="246"/>
        <v>59314840.063598074</v>
      </c>
      <c r="J576">
        <f t="shared" si="246"/>
        <v>35659916.049267277</v>
      </c>
      <c r="K576">
        <f t="shared" si="246"/>
        <v>21723794.025658399</v>
      </c>
      <c r="L576">
        <f t="shared" si="246"/>
        <v>37415781.695996173</v>
      </c>
      <c r="M576">
        <f t="shared" si="246"/>
        <v>6542832.3498581424</v>
      </c>
      <c r="N576">
        <f t="shared" si="246"/>
        <v>16253053.952399967</v>
      </c>
      <c r="O576">
        <f t="shared" si="246"/>
        <v>78792861.628938124</v>
      </c>
      <c r="P576">
        <f t="shared" si="246"/>
        <v>130091083.43165302</v>
      </c>
      <c r="Q576">
        <f t="shared" si="246"/>
        <v>18128551.47656351</v>
      </c>
      <c r="R576">
        <f t="shared" si="246"/>
        <v>37629470.158999033</v>
      </c>
      <c r="S576">
        <f t="shared" si="246"/>
        <v>32337806.754479472</v>
      </c>
      <c r="T576">
        <f t="shared" si="246"/>
        <v>36198684.381148428</v>
      </c>
      <c r="U576">
        <f t="shared" si="246"/>
        <v>71683620.494077489</v>
      </c>
      <c r="V576">
        <f t="shared" si="246"/>
        <v>66479214.810971014</v>
      </c>
      <c r="W576">
        <f t="shared" si="246"/>
        <v>64877432.37182159</v>
      </c>
      <c r="X576">
        <f t="shared" si="246"/>
        <v>954153628.565166</v>
      </c>
      <c r="Y576">
        <f t="shared" si="246"/>
        <v>65008048.289167494</v>
      </c>
    </row>
    <row r="577" spans="1:25" x14ac:dyDescent="0.45">
      <c r="A577" s="5" t="s">
        <v>231</v>
      </c>
      <c r="B577">
        <f t="shared" ref="B577:Y577" si="247">B249/B$326</f>
        <v>64668310.454522938</v>
      </c>
      <c r="C577">
        <f t="shared" si="247"/>
        <v>52054895.1752121</v>
      </c>
      <c r="D577">
        <f t="shared" si="247"/>
        <v>30437360.198838003</v>
      </c>
      <c r="E577">
        <f t="shared" si="247"/>
        <v>68407289.95482403</v>
      </c>
      <c r="F577">
        <f t="shared" si="247"/>
        <v>66090914.38222035</v>
      </c>
      <c r="G577">
        <f t="shared" si="247"/>
        <v>62956279.083908826</v>
      </c>
      <c r="H577">
        <f t="shared" si="247"/>
        <v>51807370.509446166</v>
      </c>
      <c r="I577">
        <f t="shared" si="247"/>
        <v>85760956.889813706</v>
      </c>
      <c r="J577">
        <f t="shared" si="247"/>
        <v>116337214.92309615</v>
      </c>
      <c r="K577">
        <f t="shared" si="247"/>
        <v>29448341.689506963</v>
      </c>
      <c r="L577">
        <f t="shared" si="247"/>
        <v>47742413.202059522</v>
      </c>
      <c r="M577">
        <f t="shared" si="247"/>
        <v>57903440.385735877</v>
      </c>
      <c r="N577">
        <f t="shared" si="247"/>
        <v>28946782.188704297</v>
      </c>
      <c r="O577">
        <f t="shared" si="247"/>
        <v>57269052.073777303</v>
      </c>
      <c r="P577">
        <f t="shared" si="247"/>
        <v>71575484.932716116</v>
      </c>
      <c r="Q577">
        <f t="shared" si="247"/>
        <v>32391832.350904234</v>
      </c>
      <c r="R577">
        <f t="shared" si="247"/>
        <v>90585051.14853549</v>
      </c>
      <c r="S577">
        <f t="shared" si="247"/>
        <v>61862427.161512457</v>
      </c>
      <c r="T577">
        <f t="shared" si="247"/>
        <v>81282133.14731966</v>
      </c>
      <c r="U577">
        <f t="shared" si="247"/>
        <v>88022556.362642318</v>
      </c>
      <c r="V577">
        <f t="shared" si="247"/>
        <v>81062092.120497316</v>
      </c>
      <c r="W577">
        <f t="shared" si="247"/>
        <v>93741116.696835548</v>
      </c>
      <c r="X577">
        <f t="shared" si="247"/>
        <v>139980594.76931399</v>
      </c>
      <c r="Y577">
        <f t="shared" si="247"/>
        <v>82451640.996121868</v>
      </c>
    </row>
    <row r="578" spans="1:25" x14ac:dyDescent="0.45">
      <c r="A578" s="5" t="s">
        <v>436</v>
      </c>
      <c r="B578">
        <f t="shared" ref="B578:Y578" si="248">B250/B$326</f>
        <v>6613717.165039734</v>
      </c>
      <c r="C578">
        <f t="shared" si="248"/>
        <v>5960766.9751707343</v>
      </c>
      <c r="D578">
        <f t="shared" si="248"/>
        <v>4524125.9305941388</v>
      </c>
      <c r="E578">
        <f t="shared" si="248"/>
        <v>8229464.2302512946</v>
      </c>
      <c r="F578">
        <f t="shared" si="248"/>
        <v>7274360.1879972713</v>
      </c>
      <c r="G578">
        <f t="shared" si="248"/>
        <v>6640118.1964052944</v>
      </c>
      <c r="H578">
        <f t="shared" si="248"/>
        <v>5925754.1720659481</v>
      </c>
      <c r="I578">
        <f t="shared" si="248"/>
        <v>2938973.0308606396</v>
      </c>
      <c r="J578">
        <f t="shared" si="248"/>
        <v>10611025.740757897</v>
      </c>
      <c r="K578">
        <f t="shared" si="248"/>
        <v>6444483.1174715711</v>
      </c>
      <c r="L578">
        <f t="shared" si="248"/>
        <v>7830263.7548888307</v>
      </c>
      <c r="M578">
        <f t="shared" si="248"/>
        <v>5282754.8932557488</v>
      </c>
      <c r="N578">
        <f t="shared" si="248"/>
        <v>3617150.3273595669</v>
      </c>
      <c r="O578">
        <f t="shared" si="248"/>
        <v>6050355.5196849555</v>
      </c>
      <c r="P578">
        <f t="shared" si="248"/>
        <v>7402017.2191682504</v>
      </c>
      <c r="Q578">
        <f t="shared" si="248"/>
        <v>6185173.8350619618</v>
      </c>
      <c r="R578">
        <f t="shared" si="248"/>
        <v>6303208.2529700268</v>
      </c>
      <c r="S578">
        <f t="shared" si="248"/>
        <v>5103624.913411011</v>
      </c>
      <c r="T578">
        <f t="shared" si="248"/>
        <v>3796489.2480886988</v>
      </c>
      <c r="U578">
        <f t="shared" si="248"/>
        <v>7661216.6532223988</v>
      </c>
      <c r="V578">
        <f t="shared" si="248"/>
        <v>9658855.2652771026</v>
      </c>
      <c r="W578">
        <f t="shared" si="248"/>
        <v>5302753.2133090319</v>
      </c>
      <c r="X578">
        <f t="shared" si="248"/>
        <v>18872340.1352196</v>
      </c>
      <c r="Y578">
        <f t="shared" si="248"/>
        <v>4271419.6156239184</v>
      </c>
    </row>
    <row r="579" spans="1:25" x14ac:dyDescent="0.45">
      <c r="A579" s="5" t="s">
        <v>331</v>
      </c>
      <c r="B579">
        <f t="shared" ref="B579:Y579" si="249">B251/B$326</f>
        <v>53414942.800563566</v>
      </c>
      <c r="C579">
        <f t="shared" si="249"/>
        <v>22115122.9491456</v>
      </c>
      <c r="D579">
        <f t="shared" si="249"/>
        <v>24505065.896520514</v>
      </c>
      <c r="E579">
        <f t="shared" si="249"/>
        <v>21962149.350356773</v>
      </c>
      <c r="F579">
        <f t="shared" si="249"/>
        <v>40719360.464927986</v>
      </c>
      <c r="G579">
        <f t="shared" si="249"/>
        <v>29086497.824687108</v>
      </c>
      <c r="H579">
        <f t="shared" si="249"/>
        <v>32791997.641735274</v>
      </c>
      <c r="I579">
        <f t="shared" si="249"/>
        <v>67143770.053597301</v>
      </c>
      <c r="J579">
        <f t="shared" si="249"/>
        <v>37365861.549620159</v>
      </c>
      <c r="K579">
        <f t="shared" si="249"/>
        <v>7131629.9320246372</v>
      </c>
      <c r="L579">
        <f t="shared" si="249"/>
        <v>14156114.083803991</v>
      </c>
      <c r="M579">
        <f t="shared" si="249"/>
        <v>7433248.4047987964</v>
      </c>
      <c r="N579">
        <f t="shared" si="249"/>
        <v>7079577.4564051442</v>
      </c>
      <c r="O579">
        <f t="shared" si="249"/>
        <v>54691386.743686944</v>
      </c>
      <c r="P579">
        <f t="shared" si="249"/>
        <v>93259484.720085099</v>
      </c>
      <c r="Q579">
        <f t="shared" si="249"/>
        <v>43702169.356724948</v>
      </c>
      <c r="R579">
        <f t="shared" si="249"/>
        <v>35150798.29153242</v>
      </c>
      <c r="S579">
        <f t="shared" si="249"/>
        <v>18388778.389249373</v>
      </c>
      <c r="T579">
        <f t="shared" si="249"/>
        <v>9224255.8532108385</v>
      </c>
      <c r="U579">
        <f t="shared" si="249"/>
        <v>70757664.179427579</v>
      </c>
      <c r="V579">
        <f t="shared" si="249"/>
        <v>73292892.205563337</v>
      </c>
      <c r="W579">
        <f t="shared" si="249"/>
        <v>42601649.204665065</v>
      </c>
      <c r="X579">
        <f t="shared" si="249"/>
        <v>48111543.309541799</v>
      </c>
      <c r="Y579">
        <f t="shared" si="249"/>
        <v>69303441.070705622</v>
      </c>
    </row>
    <row r="580" spans="1:25" x14ac:dyDescent="0.45">
      <c r="A580" s="5" t="s">
        <v>332</v>
      </c>
      <c r="B580">
        <f t="shared" ref="B580:Y580" si="250">B252/B$326</f>
        <v>122400740.53918245</v>
      </c>
      <c r="C580">
        <f t="shared" si="250"/>
        <v>276077559.15277946</v>
      </c>
      <c r="D580">
        <f t="shared" si="250"/>
        <v>125658543.28267173</v>
      </c>
      <c r="E580">
        <f t="shared" si="250"/>
        <v>228623711.34771746</v>
      </c>
      <c r="F580">
        <f t="shared" si="250"/>
        <v>234601536.37555733</v>
      </c>
      <c r="G580">
        <f t="shared" si="250"/>
        <v>311181277.05542254</v>
      </c>
      <c r="H580">
        <f t="shared" si="250"/>
        <v>28582399.266204819</v>
      </c>
      <c r="I580">
        <f t="shared" si="250"/>
        <v>582038842.6836226</v>
      </c>
      <c r="J580">
        <f t="shared" si="250"/>
        <v>79953568.756164461</v>
      </c>
      <c r="K580">
        <f t="shared" si="250"/>
        <v>628431767.67043364</v>
      </c>
      <c r="L580">
        <f t="shared" si="250"/>
        <v>366251585.52118993</v>
      </c>
      <c r="M580">
        <f t="shared" si="250"/>
        <v>399932286.39557326</v>
      </c>
      <c r="N580">
        <f t="shared" si="250"/>
        <v>231409335.94951648</v>
      </c>
      <c r="O580">
        <f t="shared" si="250"/>
        <v>568176251.02225041</v>
      </c>
      <c r="P580">
        <f t="shared" si="250"/>
        <v>79598649.240760416</v>
      </c>
      <c r="Q580">
        <f t="shared" si="250"/>
        <v>356949034.66651982</v>
      </c>
      <c r="R580">
        <f t="shared" si="250"/>
        <v>440451953.43411756</v>
      </c>
      <c r="S580">
        <f t="shared" si="250"/>
        <v>322057920.87805748</v>
      </c>
      <c r="T580">
        <f t="shared" si="250"/>
        <v>251184589.79921564</v>
      </c>
      <c r="U580">
        <f t="shared" si="250"/>
        <v>265702744.92557687</v>
      </c>
      <c r="V580">
        <f t="shared" si="250"/>
        <v>431310427.49399042</v>
      </c>
      <c r="W580">
        <f t="shared" si="250"/>
        <v>367753723.57535076</v>
      </c>
      <c r="X580">
        <f t="shared" si="250"/>
        <v>359702479.98730201</v>
      </c>
      <c r="Y580">
        <f t="shared" si="250"/>
        <v>63854973.880060621</v>
      </c>
    </row>
    <row r="581" spans="1:25" x14ac:dyDescent="0.45">
      <c r="A581" s="5" t="s">
        <v>232</v>
      </c>
      <c r="B581">
        <f t="shared" ref="B581:Y581" si="251">B253/B$326</f>
        <v>26004150.755334713</v>
      </c>
      <c r="C581">
        <f t="shared" si="251"/>
        <v>36677966.179785565</v>
      </c>
      <c r="D581">
        <f t="shared" si="251"/>
        <v>20920657.147513587</v>
      </c>
      <c r="E581">
        <f t="shared" si="251"/>
        <v>19155257.02290687</v>
      </c>
      <c r="F581">
        <f t="shared" si="251"/>
        <v>23699545.981650531</v>
      </c>
      <c r="G581">
        <f t="shared" si="251"/>
        <v>19954163.341289021</v>
      </c>
      <c r="H581">
        <f t="shared" si="251"/>
        <v>13472001.687422642</v>
      </c>
      <c r="I581">
        <f t="shared" si="251"/>
        <v>32935799.029853899</v>
      </c>
      <c r="J581">
        <f t="shared" si="251"/>
        <v>36052426.91439496</v>
      </c>
      <c r="K581">
        <f t="shared" si="251"/>
        <v>20244595.178216774</v>
      </c>
      <c r="L581">
        <f t="shared" si="251"/>
        <v>25164602.671305321</v>
      </c>
      <c r="M581">
        <f t="shared" si="251"/>
        <v>20676189.284114152</v>
      </c>
      <c r="N581">
        <f t="shared" si="251"/>
        <v>14054229.951048048</v>
      </c>
      <c r="O581">
        <f t="shared" si="251"/>
        <v>28665317.2976906</v>
      </c>
      <c r="P581">
        <f t="shared" si="251"/>
        <v>26014249.097509533</v>
      </c>
      <c r="Q581">
        <f t="shared" si="251"/>
        <v>19082627.046396777</v>
      </c>
      <c r="R581">
        <f t="shared" si="251"/>
        <v>37764140.039171077</v>
      </c>
      <c r="S581">
        <f t="shared" si="251"/>
        <v>15147067.376813326</v>
      </c>
      <c r="T581">
        <f t="shared" si="251"/>
        <v>32518963.690963175</v>
      </c>
      <c r="U581">
        <f t="shared" si="251"/>
        <v>29378039.549345862</v>
      </c>
      <c r="V581">
        <f t="shared" si="251"/>
        <v>29965462.706427045</v>
      </c>
      <c r="W581">
        <f t="shared" si="251"/>
        <v>30016090.447480164</v>
      </c>
      <c r="X581">
        <f t="shared" si="251"/>
        <v>70825761.040665507</v>
      </c>
      <c r="Y581">
        <f t="shared" si="251"/>
        <v>29418521.063550871</v>
      </c>
    </row>
    <row r="582" spans="1:25" x14ac:dyDescent="0.45">
      <c r="A582" s="5" t="s">
        <v>233</v>
      </c>
      <c r="B582">
        <f t="shared" ref="B582:Y582" si="252">B254/B$326</f>
        <v>19296459.218700152</v>
      </c>
      <c r="C582">
        <f t="shared" si="252"/>
        <v>20368126.301351219</v>
      </c>
      <c r="D582">
        <f t="shared" si="252"/>
        <v>13483403.98239213</v>
      </c>
      <c r="E582">
        <f t="shared" si="252"/>
        <v>18484300.184792701</v>
      </c>
      <c r="F582">
        <f t="shared" si="252"/>
        <v>7437609.5003419751</v>
      </c>
      <c r="G582">
        <f t="shared" si="252"/>
        <v>16891657.365072548</v>
      </c>
      <c r="H582">
        <f t="shared" si="252"/>
        <v>28150448.396386147</v>
      </c>
      <c r="I582">
        <f t="shared" si="252"/>
        <v>30930528.610838596</v>
      </c>
      <c r="J582">
        <f t="shared" si="252"/>
        <v>66143435.159854203</v>
      </c>
      <c r="K582">
        <f t="shared" si="252"/>
        <v>43291979.517594695</v>
      </c>
      <c r="L582">
        <f t="shared" si="252"/>
        <v>41879064.543870583</v>
      </c>
      <c r="M582">
        <f t="shared" si="252"/>
        <v>25061436.390351076</v>
      </c>
      <c r="N582">
        <f t="shared" si="252"/>
        <v>20108347.802248638</v>
      </c>
      <c r="O582">
        <f t="shared" si="252"/>
        <v>38232207.616711885</v>
      </c>
      <c r="P582">
        <f t="shared" si="252"/>
        <v>54869545.420659371</v>
      </c>
      <c r="Q582">
        <f t="shared" si="252"/>
        <v>24520391.37720412</v>
      </c>
      <c r="R582">
        <f t="shared" si="252"/>
        <v>5725523.9326264514</v>
      </c>
      <c r="S582">
        <f t="shared" si="252"/>
        <v>7410693.706193924</v>
      </c>
      <c r="T582">
        <f t="shared" si="252"/>
        <v>27803806.695906375</v>
      </c>
      <c r="U582">
        <f t="shared" si="252"/>
        <v>10267085.475278774</v>
      </c>
      <c r="V582">
        <f t="shared" si="252"/>
        <v>24456008.940563604</v>
      </c>
      <c r="W582">
        <f t="shared" si="252"/>
        <v>21020036.122736119</v>
      </c>
      <c r="X582">
        <f t="shared" si="252"/>
        <v>120006070.690393</v>
      </c>
      <c r="Y582">
        <f t="shared" si="252"/>
        <v>52775759.998264998</v>
      </c>
    </row>
    <row r="583" spans="1:25" x14ac:dyDescent="0.45">
      <c r="A583" s="5" t="s">
        <v>378</v>
      </c>
      <c r="B583">
        <f t="shared" ref="B583:Y583" si="253">B255/B$326</f>
        <v>221030013.54776561</v>
      </c>
      <c r="C583">
        <f t="shared" si="253"/>
        <v>192922538.96215492</v>
      </c>
      <c r="D583">
        <f t="shared" si="253"/>
        <v>259247730.74678531</v>
      </c>
      <c r="E583">
        <f t="shared" si="253"/>
        <v>257035708.58753845</v>
      </c>
      <c r="F583">
        <f t="shared" si="253"/>
        <v>453681022.44124222</v>
      </c>
      <c r="G583">
        <f t="shared" si="253"/>
        <v>198067515.92197746</v>
      </c>
      <c r="H583">
        <f t="shared" si="253"/>
        <v>99427847.333873719</v>
      </c>
      <c r="I583">
        <f t="shared" si="253"/>
        <v>743785489.52009773</v>
      </c>
      <c r="J583">
        <f t="shared" si="253"/>
        <v>935946867.38225269</v>
      </c>
      <c r="K583">
        <f t="shared" si="253"/>
        <v>364402054.90714121</v>
      </c>
      <c r="L583">
        <f t="shared" si="253"/>
        <v>421385170.5345096</v>
      </c>
      <c r="M583">
        <f t="shared" si="253"/>
        <v>138870007.83085445</v>
      </c>
      <c r="N583">
        <f t="shared" si="253"/>
        <v>94446962.257268041</v>
      </c>
      <c r="O583">
        <f t="shared" si="253"/>
        <v>538087458.0679543</v>
      </c>
      <c r="P583">
        <f t="shared" si="253"/>
        <v>560250590.7865417</v>
      </c>
      <c r="Q583">
        <f t="shared" si="253"/>
        <v>144757848.28667337</v>
      </c>
      <c r="R583">
        <f t="shared" si="253"/>
        <v>866858584.03602922</v>
      </c>
      <c r="S583">
        <f t="shared" si="253"/>
        <v>339361678.7240929</v>
      </c>
      <c r="T583">
        <f t="shared" si="253"/>
        <v>529597259.20830196</v>
      </c>
      <c r="U583">
        <f t="shared" si="253"/>
        <v>473961809.03888673</v>
      </c>
      <c r="V583">
        <f t="shared" si="253"/>
        <v>391626467.20296168</v>
      </c>
      <c r="W583">
        <f t="shared" si="253"/>
        <v>412770551.71827632</v>
      </c>
      <c r="X583">
        <f t="shared" si="253"/>
        <v>1022355027.2366199</v>
      </c>
      <c r="Y583">
        <f t="shared" si="253"/>
        <v>379653540.38053185</v>
      </c>
    </row>
    <row r="584" spans="1:25" x14ac:dyDescent="0.45">
      <c r="A584" s="5" t="s">
        <v>234</v>
      </c>
      <c r="B584">
        <f t="shared" ref="B584:Y584" si="254">B256/B$326</f>
        <v>5760223.6313672811</v>
      </c>
      <c r="C584">
        <f t="shared" si="254"/>
        <v>33164999.65956467</v>
      </c>
      <c r="D584">
        <f t="shared" si="254"/>
        <v>7185143.5036361823</v>
      </c>
      <c r="E584">
        <f t="shared" si="254"/>
        <v>7770211.0643377416</v>
      </c>
      <c r="F584">
        <f t="shared" si="254"/>
        <v>10068514.784688784</v>
      </c>
      <c r="G584">
        <f t="shared" si="254"/>
        <v>18763442.109287057</v>
      </c>
      <c r="H584">
        <f t="shared" si="254"/>
        <v>15650087.828086391</v>
      </c>
      <c r="I584">
        <f t="shared" si="254"/>
        <v>17137406.464142445</v>
      </c>
      <c r="J584">
        <f t="shared" si="254"/>
        <v>16095515.088373857</v>
      </c>
      <c r="K584">
        <f t="shared" si="254"/>
        <v>13235047.452029336</v>
      </c>
      <c r="L584">
        <f t="shared" si="254"/>
        <v>8410292.2740506921</v>
      </c>
      <c r="M584">
        <f t="shared" si="254"/>
        <v>24034665.041933224</v>
      </c>
      <c r="N584">
        <f t="shared" si="254"/>
        <v>19305581.975078374</v>
      </c>
      <c r="O584">
        <f t="shared" si="254"/>
        <v>24539966.70080879</v>
      </c>
      <c r="P584">
        <f t="shared" si="254"/>
        <v>19981150.335329168</v>
      </c>
      <c r="Q584">
        <f t="shared" si="254"/>
        <v>39422089.570591189</v>
      </c>
      <c r="R584">
        <f t="shared" si="254"/>
        <v>24466126.970583782</v>
      </c>
      <c r="S584">
        <f t="shared" si="254"/>
        <v>18815344.123653967</v>
      </c>
      <c r="T584">
        <f t="shared" si="254"/>
        <v>8850857.4282607734</v>
      </c>
      <c r="U584">
        <f t="shared" si="254"/>
        <v>14973991.941652089</v>
      </c>
      <c r="V584">
        <f t="shared" si="254"/>
        <v>18601664.931225765</v>
      </c>
      <c r="W584">
        <f t="shared" si="254"/>
        <v>12817059.9936003</v>
      </c>
      <c r="X584">
        <f t="shared" si="254"/>
        <v>23486464.639012702</v>
      </c>
      <c r="Y584">
        <f t="shared" si="254"/>
        <v>11309322.463886499</v>
      </c>
    </row>
    <row r="585" spans="1:25" x14ac:dyDescent="0.45">
      <c r="A585" s="5" t="s">
        <v>333</v>
      </c>
      <c r="B585">
        <f t="shared" ref="B585:Y585" si="255">B257/B$326</f>
        <v>29897116.65148101</v>
      </c>
      <c r="C585">
        <f t="shared" si="255"/>
        <v>94818872.131013155</v>
      </c>
      <c r="D585">
        <f t="shared" si="255"/>
        <v>28593765.16782634</v>
      </c>
      <c r="E585">
        <f t="shared" si="255"/>
        <v>35849294.636152059</v>
      </c>
      <c r="F585">
        <f t="shared" si="255"/>
        <v>52493718.157160178</v>
      </c>
      <c r="G585">
        <f t="shared" si="255"/>
        <v>71004038.372729912</v>
      </c>
      <c r="H585">
        <f t="shared" si="255"/>
        <v>81061948.760458708</v>
      </c>
      <c r="I585">
        <f t="shared" si="255"/>
        <v>72864089.986425996</v>
      </c>
      <c r="J585">
        <f t="shared" si="255"/>
        <v>84001231.423297733</v>
      </c>
      <c r="K585">
        <f t="shared" si="255"/>
        <v>44301144.112368435</v>
      </c>
      <c r="L585">
        <f t="shared" si="255"/>
        <v>40874945.574288726</v>
      </c>
      <c r="M585">
        <f t="shared" si="255"/>
        <v>90643199.538495272</v>
      </c>
      <c r="N585">
        <f t="shared" si="255"/>
        <v>91957572.400643334</v>
      </c>
      <c r="O585">
        <f t="shared" si="255"/>
        <v>254995582.5155775</v>
      </c>
      <c r="P585">
        <f t="shared" si="255"/>
        <v>171474240.63000947</v>
      </c>
      <c r="Q585">
        <f t="shared" si="255"/>
        <v>104620989.85211352</v>
      </c>
      <c r="R585">
        <f t="shared" si="255"/>
        <v>59244992.574815288</v>
      </c>
      <c r="S585">
        <f t="shared" si="255"/>
        <v>120473057.57632016</v>
      </c>
      <c r="T585">
        <f t="shared" si="255"/>
        <v>61374081.881252721</v>
      </c>
      <c r="U585">
        <f t="shared" si="255"/>
        <v>165455394.99309969</v>
      </c>
      <c r="V585">
        <f t="shared" si="255"/>
        <v>221252256.12834165</v>
      </c>
      <c r="W585">
        <f t="shared" si="255"/>
        <v>165965827.14780498</v>
      </c>
      <c r="X585">
        <f t="shared" si="255"/>
        <v>115698158.116209</v>
      </c>
      <c r="Y585">
        <f t="shared" si="255"/>
        <v>105201018.02064249</v>
      </c>
    </row>
    <row r="586" spans="1:25" x14ac:dyDescent="0.45">
      <c r="A586" s="5" t="s">
        <v>235</v>
      </c>
      <c r="B586">
        <f t="shared" ref="B586:Y586" si="256">B258/B$326</f>
        <v>23047577.134090815</v>
      </c>
      <c r="C586">
        <f t="shared" si="256"/>
        <v>69000380.901601374</v>
      </c>
      <c r="D586">
        <f t="shared" si="256"/>
        <v>37293817.36903692</v>
      </c>
      <c r="E586">
        <f t="shared" si="256"/>
        <v>26041107.183613848</v>
      </c>
      <c r="F586">
        <f t="shared" si="256"/>
        <v>16939493.8866501</v>
      </c>
      <c r="G586">
        <f t="shared" si="256"/>
        <v>35829878.807304464</v>
      </c>
      <c r="H586">
        <f t="shared" si="256"/>
        <v>29157626.674779948</v>
      </c>
      <c r="I586">
        <f t="shared" si="256"/>
        <v>47838527.686265729</v>
      </c>
      <c r="J586">
        <f t="shared" si="256"/>
        <v>39391215.5390964</v>
      </c>
      <c r="K586">
        <f t="shared" si="256"/>
        <v>50902877.819464795</v>
      </c>
      <c r="L586">
        <f t="shared" si="256"/>
        <v>32963520.404824577</v>
      </c>
      <c r="M586">
        <f t="shared" si="256"/>
        <v>46513935.475302704</v>
      </c>
      <c r="N586">
        <f t="shared" si="256"/>
        <v>70061994.329881668</v>
      </c>
      <c r="O586">
        <f t="shared" si="256"/>
        <v>157608506.52022338</v>
      </c>
      <c r="P586">
        <f t="shared" si="256"/>
        <v>181049776.22956291</v>
      </c>
      <c r="Q586">
        <f t="shared" si="256"/>
        <v>48015047.721424103</v>
      </c>
      <c r="R586">
        <f t="shared" si="256"/>
        <v>88898352.717044756</v>
      </c>
      <c r="S586">
        <f t="shared" si="256"/>
        <v>60710784.479936607</v>
      </c>
      <c r="T586">
        <f t="shared" si="256"/>
        <v>39644090.821134612</v>
      </c>
      <c r="U586">
        <f t="shared" si="256"/>
        <v>34874153.476436809</v>
      </c>
      <c r="V586">
        <f t="shared" si="256"/>
        <v>67696491.541665003</v>
      </c>
      <c r="W586">
        <f t="shared" si="256"/>
        <v>54122461.714064546</v>
      </c>
      <c r="X586">
        <f t="shared" si="256"/>
        <v>631976887.84308195</v>
      </c>
      <c r="Y586">
        <f t="shared" si="256"/>
        <v>49287177.457706936</v>
      </c>
    </row>
    <row r="587" spans="1:25" x14ac:dyDescent="0.45">
      <c r="A587" s="5" t="s">
        <v>354</v>
      </c>
      <c r="B587">
        <f t="shared" ref="B587:Y587" si="257">B259/B$326</f>
        <v>224364683.05027726</v>
      </c>
      <c r="C587">
        <f t="shared" si="257"/>
        <v>365084738.51727897</v>
      </c>
      <c r="D587">
        <f t="shared" si="257"/>
        <v>222346226.54297861</v>
      </c>
      <c r="E587">
        <f t="shared" si="257"/>
        <v>152881654.27903888</v>
      </c>
      <c r="F587">
        <f t="shared" si="257"/>
        <v>328097666.68485272</v>
      </c>
      <c r="G587">
        <f t="shared" si="257"/>
        <v>198177752.17836177</v>
      </c>
      <c r="H587">
        <f t="shared" si="257"/>
        <v>178143767.12185836</v>
      </c>
      <c r="I587">
        <f t="shared" si="257"/>
        <v>1132332831.5860028</v>
      </c>
      <c r="J587">
        <f t="shared" si="257"/>
        <v>303473008.53013057</v>
      </c>
      <c r="K587">
        <f t="shared" si="257"/>
        <v>240602695.80820537</v>
      </c>
      <c r="L587">
        <f t="shared" si="257"/>
        <v>281017482.3242979</v>
      </c>
      <c r="M587">
        <f t="shared" si="257"/>
        <v>136551278.69304511</v>
      </c>
      <c r="N587">
        <f t="shared" si="257"/>
        <v>302544061.23837012</v>
      </c>
      <c r="O587">
        <f t="shared" si="257"/>
        <v>972820153.5251292</v>
      </c>
      <c r="P587">
        <f t="shared" si="257"/>
        <v>1095872829.2849822</v>
      </c>
      <c r="Q587">
        <f t="shared" si="257"/>
        <v>324385122.0744189</v>
      </c>
      <c r="R587">
        <f t="shared" si="257"/>
        <v>325075066.11697376</v>
      </c>
      <c r="S587">
        <f t="shared" si="257"/>
        <v>398413305.40159011</v>
      </c>
      <c r="T587">
        <f t="shared" si="257"/>
        <v>433605119.63706642</v>
      </c>
      <c r="U587">
        <f t="shared" si="257"/>
        <v>601701001.9278239</v>
      </c>
      <c r="V587">
        <f t="shared" si="257"/>
        <v>765462189.78104806</v>
      </c>
      <c r="W587">
        <f t="shared" si="257"/>
        <v>621516776.12600088</v>
      </c>
      <c r="X587">
        <f t="shared" si="257"/>
        <v>1011143619.69039</v>
      </c>
      <c r="Y587">
        <f t="shared" si="257"/>
        <v>562935104.37797189</v>
      </c>
    </row>
    <row r="588" spans="1:25" x14ac:dyDescent="0.45">
      <c r="A588" s="5" t="s">
        <v>429</v>
      </c>
      <c r="B588">
        <f t="shared" ref="B588:Y588" si="258">B260/B$326</f>
        <v>49814178.830145344</v>
      </c>
      <c r="C588">
        <f t="shared" si="258"/>
        <v>33544881.84183839</v>
      </c>
      <c r="D588">
        <f t="shared" si="258"/>
        <v>33185609.02490294</v>
      </c>
      <c r="E588">
        <f t="shared" si="258"/>
        <v>60205260.860850006</v>
      </c>
      <c r="F588">
        <f t="shared" si="258"/>
        <v>79253287.839942321</v>
      </c>
      <c r="G588">
        <f t="shared" si="258"/>
        <v>43454886.030621715</v>
      </c>
      <c r="H588">
        <f t="shared" si="258"/>
        <v>41532862.842952482</v>
      </c>
      <c r="I588">
        <f t="shared" si="258"/>
        <v>51759562.474230275</v>
      </c>
      <c r="J588">
        <f t="shared" si="258"/>
        <v>123045941.9866585</v>
      </c>
      <c r="K588">
        <f t="shared" si="258"/>
        <v>95847206.666899621</v>
      </c>
      <c r="L588">
        <f t="shared" si="258"/>
        <v>56062300.66409947</v>
      </c>
      <c r="M588">
        <f t="shared" si="258"/>
        <v>36046325.405823112</v>
      </c>
      <c r="N588">
        <f t="shared" si="258"/>
        <v>28684337.615615074</v>
      </c>
      <c r="O588">
        <f t="shared" si="258"/>
        <v>63624338.021718957</v>
      </c>
      <c r="P588">
        <f t="shared" si="258"/>
        <v>95631502.072367921</v>
      </c>
      <c r="Q588">
        <f t="shared" si="258"/>
        <v>11089485.312326513</v>
      </c>
      <c r="R588">
        <f t="shared" si="258"/>
        <v>118785627.05664952</v>
      </c>
      <c r="S588">
        <f t="shared" si="258"/>
        <v>41938450.323574901</v>
      </c>
      <c r="T588">
        <f t="shared" si="258"/>
        <v>80386975.678225487</v>
      </c>
      <c r="U588">
        <f t="shared" si="258"/>
        <v>96444384.328512147</v>
      </c>
      <c r="V588">
        <f t="shared" si="258"/>
        <v>68005746.860053331</v>
      </c>
      <c r="W588">
        <f t="shared" si="258"/>
        <v>89027079.443988636</v>
      </c>
      <c r="X588">
        <f t="shared" si="258"/>
        <v>41177443.178393602</v>
      </c>
      <c r="Y588">
        <f t="shared" si="258"/>
        <v>85428485.605919376</v>
      </c>
    </row>
    <row r="589" spans="1:25" x14ac:dyDescent="0.45">
      <c r="A589" s="5" t="s">
        <v>236</v>
      </c>
      <c r="B589">
        <f t="shared" ref="B589:Y589" si="259">B261/B$326</f>
        <v>410735019.68923247</v>
      </c>
      <c r="C589">
        <f t="shared" si="259"/>
        <v>339624605.11208868</v>
      </c>
      <c r="D589">
        <f t="shared" si="259"/>
        <v>243541618.35635898</v>
      </c>
      <c r="E589">
        <f t="shared" si="259"/>
        <v>374300526.32104611</v>
      </c>
      <c r="F589">
        <f t="shared" si="259"/>
        <v>538804567.25815749</v>
      </c>
      <c r="G589">
        <f t="shared" si="259"/>
        <v>353059121.23866665</v>
      </c>
      <c r="H589">
        <f t="shared" si="259"/>
        <v>271942051.69272792</v>
      </c>
      <c r="I589">
        <f t="shared" si="259"/>
        <v>398915300.18785888</v>
      </c>
      <c r="J589">
        <f t="shared" si="259"/>
        <v>694010526.24926209</v>
      </c>
      <c r="K589">
        <f t="shared" si="259"/>
        <v>440150986.29411936</v>
      </c>
      <c r="L589">
        <f t="shared" si="259"/>
        <v>474199967.5526889</v>
      </c>
      <c r="M589">
        <f t="shared" si="259"/>
        <v>301996233.28829318</v>
      </c>
      <c r="N589">
        <f t="shared" si="259"/>
        <v>932377.53910432907</v>
      </c>
      <c r="O589">
        <f t="shared" si="259"/>
        <v>399085908.20379508</v>
      </c>
      <c r="P589">
        <f t="shared" si="259"/>
        <v>2676645.6142679094</v>
      </c>
      <c r="Q589">
        <f t="shared" si="259"/>
        <v>2030068.1371105607</v>
      </c>
      <c r="R589">
        <f t="shared" si="259"/>
        <v>11438378.5686695</v>
      </c>
      <c r="S589">
        <f t="shared" si="259"/>
        <v>4531204.1460028766</v>
      </c>
      <c r="T589">
        <f t="shared" si="259"/>
        <v>417217873.04128349</v>
      </c>
      <c r="U589">
        <f t="shared" si="259"/>
        <v>489034581.57582599</v>
      </c>
      <c r="V589">
        <f t="shared" si="259"/>
        <v>433049482.83713406</v>
      </c>
      <c r="W589">
        <f t="shared" si="259"/>
        <v>2000676.399074276</v>
      </c>
      <c r="X589">
        <f t="shared" si="259"/>
        <v>85477951.905898303</v>
      </c>
      <c r="Y589">
        <f t="shared" si="259"/>
        <v>2339360.3085549371</v>
      </c>
    </row>
    <row r="590" spans="1:25" x14ac:dyDescent="0.45">
      <c r="A590" s="5" t="s">
        <v>355</v>
      </c>
      <c r="B590">
        <f t="shared" ref="B590:Y590" si="260">B262/B$326</f>
        <v>141481059.88839328</v>
      </c>
      <c r="C590">
        <f t="shared" si="260"/>
        <v>327867951.87606871</v>
      </c>
      <c r="D590">
        <f t="shared" si="260"/>
        <v>248031529.13700771</v>
      </c>
      <c r="E590">
        <f t="shared" si="260"/>
        <v>210371433.17201397</v>
      </c>
      <c r="F590">
        <f t="shared" si="260"/>
        <v>396634384.6766839</v>
      </c>
      <c r="G590">
        <f t="shared" si="260"/>
        <v>120140031.84053089</v>
      </c>
      <c r="H590">
        <f t="shared" si="260"/>
        <v>108775919.75196633</v>
      </c>
      <c r="I590">
        <f t="shared" si="260"/>
        <v>1619869528.7679312</v>
      </c>
      <c r="J590">
        <f t="shared" si="260"/>
        <v>994285891.82410777</v>
      </c>
      <c r="K590">
        <f t="shared" si="260"/>
        <v>443406902.89338952</v>
      </c>
      <c r="L590">
        <f t="shared" si="260"/>
        <v>341305542.16721493</v>
      </c>
      <c r="M590">
        <f t="shared" si="260"/>
        <v>143676471.79397151</v>
      </c>
      <c r="N590">
        <f t="shared" si="260"/>
        <v>101002409.20221618</v>
      </c>
      <c r="O590">
        <f t="shared" si="260"/>
        <v>251431590.31756216</v>
      </c>
      <c r="P590">
        <f t="shared" si="260"/>
        <v>190994625.00719124</v>
      </c>
      <c r="Q590">
        <f t="shared" si="260"/>
        <v>201983442.27077767</v>
      </c>
      <c r="R590">
        <f t="shared" si="260"/>
        <v>704135041.89705288</v>
      </c>
      <c r="S590">
        <f t="shared" si="260"/>
        <v>249821531.12722138</v>
      </c>
      <c r="T590">
        <f t="shared" si="260"/>
        <v>335692474.56866753</v>
      </c>
      <c r="U590">
        <f t="shared" si="260"/>
        <v>253119505.79297489</v>
      </c>
      <c r="V590">
        <f t="shared" si="260"/>
        <v>308425008.94167668</v>
      </c>
      <c r="W590">
        <f t="shared" si="260"/>
        <v>237535999.38466871</v>
      </c>
      <c r="X590">
        <f t="shared" si="260"/>
        <v>1793226025.82812</v>
      </c>
      <c r="Y590">
        <f t="shared" si="260"/>
        <v>249373919.07119125</v>
      </c>
    </row>
    <row r="591" spans="1:25" x14ac:dyDescent="0.45">
      <c r="A591" s="5" t="s">
        <v>237</v>
      </c>
      <c r="B591">
        <f t="shared" ref="B591:Y591" si="261">B263/B$326</f>
        <v>1309678286.507947</v>
      </c>
      <c r="C591">
        <f t="shared" si="261"/>
        <v>1188641565.0133669</v>
      </c>
      <c r="D591">
        <f t="shared" si="261"/>
        <v>847201424.19273102</v>
      </c>
      <c r="E591">
        <f t="shared" si="261"/>
        <v>1244268821.2006969</v>
      </c>
      <c r="F591">
        <f t="shared" si="261"/>
        <v>1758936997.927428</v>
      </c>
      <c r="G591">
        <f t="shared" si="261"/>
        <v>1190092656.0107942</v>
      </c>
      <c r="H591">
        <f t="shared" si="261"/>
        <v>948355329.42386246</v>
      </c>
      <c r="I591">
        <f t="shared" si="261"/>
        <v>1329482642.140907</v>
      </c>
      <c r="J591">
        <f t="shared" si="261"/>
        <v>2343467998.7838578</v>
      </c>
      <c r="K591">
        <f t="shared" si="261"/>
        <v>1457892912.5890257</v>
      </c>
      <c r="L591">
        <f t="shared" si="261"/>
        <v>1496043150.0548723</v>
      </c>
      <c r="M591">
        <f t="shared" si="261"/>
        <v>1036108656.9348881</v>
      </c>
      <c r="N591">
        <f t="shared" si="261"/>
        <v>24025195.485560756</v>
      </c>
      <c r="O591">
        <f t="shared" si="261"/>
        <v>1392930550.0210698</v>
      </c>
      <c r="P591">
        <f t="shared" si="261"/>
        <v>33274969.95000682</v>
      </c>
      <c r="Q591">
        <f t="shared" si="261"/>
        <v>23076583.529049203</v>
      </c>
      <c r="R591">
        <f t="shared" si="261"/>
        <v>64451016.432927802</v>
      </c>
      <c r="S591">
        <f t="shared" si="261"/>
        <v>47737350.155053213</v>
      </c>
      <c r="T591">
        <f t="shared" si="261"/>
        <v>1528420245.3697591</v>
      </c>
      <c r="U591">
        <f t="shared" si="261"/>
        <v>1746407514.7985518</v>
      </c>
      <c r="V591">
        <f t="shared" si="261"/>
        <v>1425197240.6870527</v>
      </c>
      <c r="W591">
        <f t="shared" si="261"/>
        <v>22604327.381663524</v>
      </c>
      <c r="X591">
        <f t="shared" si="261"/>
        <v>608060538.10440898</v>
      </c>
      <c r="Y591">
        <f t="shared" si="261"/>
        <v>102303616.32569313</v>
      </c>
    </row>
    <row r="592" spans="1:25" x14ac:dyDescent="0.45">
      <c r="A592" s="5" t="s">
        <v>238</v>
      </c>
      <c r="B592">
        <f t="shared" ref="B592:Y592" si="262">B264/B$326</f>
        <v>11353636.348829921</v>
      </c>
      <c r="C592">
        <f t="shared" si="262"/>
        <v>8878951.7999988478</v>
      </c>
      <c r="D592">
        <f t="shared" si="262"/>
        <v>7573100.7258094791</v>
      </c>
      <c r="E592">
        <f t="shared" si="262"/>
        <v>12141146.663686469</v>
      </c>
      <c r="F592">
        <f t="shared" si="262"/>
        <v>12407835.580255819</v>
      </c>
      <c r="G592">
        <f t="shared" si="262"/>
        <v>11209568.437864363</v>
      </c>
      <c r="H592">
        <f t="shared" si="262"/>
        <v>7388272.1572728902</v>
      </c>
      <c r="I592">
        <f t="shared" si="262"/>
        <v>13000643.993832631</v>
      </c>
      <c r="J592">
        <f t="shared" si="262"/>
        <v>16300255.104433963</v>
      </c>
      <c r="K592">
        <f t="shared" si="262"/>
        <v>10543630.147944933</v>
      </c>
      <c r="L592">
        <f t="shared" si="262"/>
        <v>12928473.02492282</v>
      </c>
      <c r="M592">
        <f t="shared" si="262"/>
        <v>8615808.0303835534</v>
      </c>
      <c r="N592">
        <f t="shared" si="262"/>
        <v>4544251.4969978817</v>
      </c>
      <c r="O592">
        <f t="shared" si="262"/>
        <v>11453836.928350337</v>
      </c>
      <c r="P592">
        <f t="shared" si="262"/>
        <v>16151591.663005384</v>
      </c>
      <c r="Q592">
        <f t="shared" si="262"/>
        <v>7960578.5934927166</v>
      </c>
      <c r="R592">
        <f t="shared" si="262"/>
        <v>25809337.620185509</v>
      </c>
      <c r="S592">
        <f t="shared" si="262"/>
        <v>11345120.991450505</v>
      </c>
      <c r="T592">
        <f t="shared" si="262"/>
        <v>18269120.110880051</v>
      </c>
      <c r="U592">
        <f t="shared" si="262"/>
        <v>16347658.324679749</v>
      </c>
      <c r="V592">
        <f t="shared" si="262"/>
        <v>11622087.569831861</v>
      </c>
      <c r="W592">
        <f t="shared" si="262"/>
        <v>19812338.759927306</v>
      </c>
      <c r="X592">
        <f t="shared" si="262"/>
        <v>22665570.057300001</v>
      </c>
      <c r="Y592">
        <f t="shared" si="262"/>
        <v>20157467.911927</v>
      </c>
    </row>
    <row r="593" spans="1:25" x14ac:dyDescent="0.45">
      <c r="A593" s="5" t="s">
        <v>334</v>
      </c>
      <c r="B593">
        <f t="shared" ref="B593:Y593" si="263">B265/B$326</f>
        <v>6886299.6058387365</v>
      </c>
      <c r="C593">
        <f t="shared" si="263"/>
        <v>14691215.509839749</v>
      </c>
      <c r="D593">
        <f t="shared" si="263"/>
        <v>5654818.1530778408</v>
      </c>
      <c r="E593">
        <f t="shared" si="263"/>
        <v>6191977.5917912507</v>
      </c>
      <c r="F593">
        <f t="shared" si="263"/>
        <v>3144515.673403326</v>
      </c>
      <c r="G593">
        <f t="shared" si="263"/>
        <v>11084702.554839315</v>
      </c>
      <c r="H593">
        <f t="shared" si="263"/>
        <v>8484114.6945378892</v>
      </c>
      <c r="I593">
        <f t="shared" si="263"/>
        <v>39902306.074243061</v>
      </c>
      <c r="J593">
        <f t="shared" si="263"/>
        <v>15704193.329892205</v>
      </c>
      <c r="K593">
        <f t="shared" si="263"/>
        <v>1590513.0706310989</v>
      </c>
      <c r="L593">
        <f t="shared" si="263"/>
        <v>2116860.582558596</v>
      </c>
      <c r="M593">
        <f t="shared" si="263"/>
        <v>6519979.7494411943</v>
      </c>
      <c r="N593">
        <f t="shared" si="263"/>
        <v>14965538.166160569</v>
      </c>
      <c r="O593">
        <f t="shared" si="263"/>
        <v>35577701.031318069</v>
      </c>
      <c r="P593">
        <f t="shared" si="263"/>
        <v>20417463.357118841</v>
      </c>
      <c r="Q593">
        <f t="shared" si="263"/>
        <v>9113587.7048100252</v>
      </c>
      <c r="R593">
        <f t="shared" si="263"/>
        <v>7980941.8359896792</v>
      </c>
      <c r="S593">
        <f t="shared" si="263"/>
        <v>16270006.403844537</v>
      </c>
      <c r="T593">
        <f t="shared" si="263"/>
        <v>4533096.3789429693</v>
      </c>
      <c r="U593">
        <f t="shared" si="263"/>
        <v>10774769.971311374</v>
      </c>
      <c r="V593">
        <f t="shared" si="263"/>
        <v>16769772.778704103</v>
      </c>
      <c r="W593">
        <f t="shared" si="263"/>
        <v>17465713.909187078</v>
      </c>
      <c r="X593">
        <f t="shared" si="263"/>
        <v>197997567.15009299</v>
      </c>
      <c r="Y593">
        <f t="shared" si="263"/>
        <v>19325720.532947436</v>
      </c>
    </row>
    <row r="594" spans="1:25" x14ac:dyDescent="0.45">
      <c r="A594" s="5" t="s">
        <v>239</v>
      </c>
      <c r="B594">
        <f t="shared" ref="B594:Y594" si="264">B266/B$326</f>
        <v>3111927.0278177811</v>
      </c>
      <c r="C594">
        <f t="shared" si="264"/>
        <v>5137735.5993346935</v>
      </c>
      <c r="D594">
        <f t="shared" si="264"/>
        <v>2768616.6063519008</v>
      </c>
      <c r="E594">
        <f t="shared" si="264"/>
        <v>1712236.5336347434</v>
      </c>
      <c r="F594">
        <f t="shared" si="264"/>
        <v>2626547.4483248554</v>
      </c>
      <c r="G594">
        <f t="shared" si="264"/>
        <v>3230840.1545873629</v>
      </c>
      <c r="H594">
        <f t="shared" si="264"/>
        <v>1817767.4340817998</v>
      </c>
      <c r="I594">
        <f t="shared" si="264"/>
        <v>1931700.5943361449</v>
      </c>
      <c r="J594">
        <f t="shared" si="264"/>
        <v>3130272.9066271153</v>
      </c>
      <c r="K594">
        <f t="shared" si="264"/>
        <v>228133.52471183299</v>
      </c>
      <c r="L594">
        <f t="shared" si="264"/>
        <v>2439502.3208319577</v>
      </c>
      <c r="M594">
        <f t="shared" si="264"/>
        <v>1211091.0207719484</v>
      </c>
      <c r="N594">
        <f t="shared" si="264"/>
        <v>1472467.8492796775</v>
      </c>
      <c r="O594">
        <f t="shared" si="264"/>
        <v>2434278.4628455834</v>
      </c>
      <c r="P594">
        <f t="shared" si="264"/>
        <v>2657053.5454991059</v>
      </c>
      <c r="Q594">
        <f t="shared" si="264"/>
        <v>1166872.0846741302</v>
      </c>
      <c r="R594">
        <f t="shared" si="264"/>
        <v>1294540.6297014647</v>
      </c>
      <c r="S594">
        <f t="shared" si="264"/>
        <v>1694027.1588679692</v>
      </c>
      <c r="T594">
        <f t="shared" si="264"/>
        <v>2647405.6152457525</v>
      </c>
      <c r="U594">
        <f t="shared" si="264"/>
        <v>1794816.8527810597</v>
      </c>
      <c r="V594">
        <f t="shared" si="264"/>
        <v>2332906.4361493397</v>
      </c>
      <c r="W594">
        <f t="shared" si="264"/>
        <v>2389225.2518257108</v>
      </c>
      <c r="X594">
        <f t="shared" si="264"/>
        <v>12273782.604802299</v>
      </c>
      <c r="Y594">
        <f t="shared" si="264"/>
        <v>2567534.9632328688</v>
      </c>
    </row>
    <row r="595" spans="1:25" x14ac:dyDescent="0.45">
      <c r="A595" s="5" t="s">
        <v>240</v>
      </c>
      <c r="B595">
        <f t="shared" ref="B595:Y595" si="265">B267/B$326</f>
        <v>69497213.225271612</v>
      </c>
      <c r="C595">
        <f t="shared" si="265"/>
        <v>55409417.828991264</v>
      </c>
      <c r="D595">
        <f t="shared" si="265"/>
        <v>46018531.964970894</v>
      </c>
      <c r="E595">
        <f t="shared" si="265"/>
        <v>69008388.913981065</v>
      </c>
      <c r="F595">
        <f t="shared" si="265"/>
        <v>73406878.787314102</v>
      </c>
      <c r="G595">
        <f t="shared" si="265"/>
        <v>48516408.223987453</v>
      </c>
      <c r="H595">
        <f t="shared" si="265"/>
        <v>46923208.663354017</v>
      </c>
      <c r="I595">
        <f t="shared" si="265"/>
        <v>103940342.71995795</v>
      </c>
      <c r="J595">
        <f t="shared" si="265"/>
        <v>142447542.90646714</v>
      </c>
      <c r="K595">
        <f t="shared" si="265"/>
        <v>73677337.706035942</v>
      </c>
      <c r="L595">
        <f t="shared" si="265"/>
        <v>47091737.536661327</v>
      </c>
      <c r="M595">
        <f t="shared" si="265"/>
        <v>44184025.053603835</v>
      </c>
      <c r="N595">
        <f t="shared" si="265"/>
        <v>30524796.159426104</v>
      </c>
      <c r="O595">
        <f t="shared" si="265"/>
        <v>74173868.61090529</v>
      </c>
      <c r="P595">
        <f t="shared" si="265"/>
        <v>76375623.419675425</v>
      </c>
      <c r="Q595">
        <f t="shared" si="265"/>
        <v>34593156.110233426</v>
      </c>
      <c r="R595">
        <f t="shared" si="265"/>
        <v>113532479.4349089</v>
      </c>
      <c r="S595">
        <f t="shared" si="265"/>
        <v>60765438.151151776</v>
      </c>
      <c r="T595">
        <f t="shared" si="265"/>
        <v>74241267.809547871</v>
      </c>
      <c r="U595">
        <f t="shared" si="265"/>
        <v>91953800.454657167</v>
      </c>
      <c r="V595">
        <f t="shared" si="265"/>
        <v>73827218.496565461</v>
      </c>
      <c r="W595">
        <f t="shared" si="265"/>
        <v>85458934.151698142</v>
      </c>
      <c r="X595">
        <f t="shared" si="265"/>
        <v>95929869.493262202</v>
      </c>
      <c r="Y595">
        <f t="shared" si="265"/>
        <v>83593939.939314991</v>
      </c>
    </row>
    <row r="596" spans="1:25" x14ac:dyDescent="0.45">
      <c r="A596" s="5" t="s">
        <v>241</v>
      </c>
      <c r="B596">
        <f t="shared" ref="B596:Y596" si="266">B268/B$326</f>
        <v>13886841.403108178</v>
      </c>
      <c r="C596">
        <f t="shared" si="266"/>
        <v>14652619.178184243</v>
      </c>
      <c r="D596">
        <f t="shared" si="266"/>
        <v>12125299.140365576</v>
      </c>
      <c r="E596">
        <f t="shared" si="266"/>
        <v>13619362.360276561</v>
      </c>
      <c r="F596">
        <f t="shared" si="266"/>
        <v>19726383.024273943</v>
      </c>
      <c r="G596">
        <f t="shared" si="266"/>
        <v>12054049.450580735</v>
      </c>
      <c r="H596">
        <f t="shared" si="266"/>
        <v>15354282.141234353</v>
      </c>
      <c r="I596">
        <f t="shared" si="266"/>
        <v>29826347.922335606</v>
      </c>
      <c r="J596">
        <f t="shared" si="266"/>
        <v>35671465.303810462</v>
      </c>
      <c r="K596">
        <f t="shared" si="266"/>
        <v>32975786.15455091</v>
      </c>
      <c r="L596">
        <f t="shared" si="266"/>
        <v>21145369.223378565</v>
      </c>
      <c r="M596">
        <f t="shared" si="266"/>
        <v>13190905.634614602</v>
      </c>
      <c r="N596">
        <f t="shared" si="266"/>
        <v>8380911.9731728313</v>
      </c>
      <c r="O596">
        <f t="shared" si="266"/>
        <v>22389755.805263989</v>
      </c>
      <c r="P596">
        <f t="shared" si="266"/>
        <v>18564593.245133832</v>
      </c>
      <c r="Q596">
        <f t="shared" si="266"/>
        <v>10393084.166169012</v>
      </c>
      <c r="R596">
        <f t="shared" si="266"/>
        <v>37118465.442285411</v>
      </c>
      <c r="S596">
        <f t="shared" si="266"/>
        <v>20017923.924934145</v>
      </c>
      <c r="T596">
        <f t="shared" si="266"/>
        <v>21647420.726248544</v>
      </c>
      <c r="U596">
        <f t="shared" si="266"/>
        <v>27608169.638467129</v>
      </c>
      <c r="V596">
        <f t="shared" si="266"/>
        <v>25952111.456848107</v>
      </c>
      <c r="W596">
        <f t="shared" si="266"/>
        <v>26808368.54351959</v>
      </c>
      <c r="X596">
        <f t="shared" si="266"/>
        <v>55801730.586988099</v>
      </c>
      <c r="Y596">
        <f t="shared" si="266"/>
        <v>22152831.81617175</v>
      </c>
    </row>
    <row r="597" spans="1:25" x14ac:dyDescent="0.45">
      <c r="A597" s="5" t="s">
        <v>356</v>
      </c>
      <c r="B597">
        <f t="shared" ref="B597:Y597" si="267">B269/B$326</f>
        <v>60639597.180516824</v>
      </c>
      <c r="C597">
        <f t="shared" si="267"/>
        <v>297258668.17638028</v>
      </c>
      <c r="D597">
        <f t="shared" si="267"/>
        <v>134781383.83342603</v>
      </c>
      <c r="E597">
        <f t="shared" si="267"/>
        <v>101690283.37239574</v>
      </c>
      <c r="F597">
        <f t="shared" si="267"/>
        <v>96828413.851714522</v>
      </c>
      <c r="G597">
        <f t="shared" si="267"/>
        <v>170120780.9149093</v>
      </c>
      <c r="H597">
        <f t="shared" si="267"/>
        <v>130057786.72478448</v>
      </c>
      <c r="I597">
        <f t="shared" si="267"/>
        <v>248167528.76838687</v>
      </c>
      <c r="J597">
        <f t="shared" si="267"/>
        <v>206198390.7548939</v>
      </c>
      <c r="K597">
        <f t="shared" si="267"/>
        <v>249017037.7872934</v>
      </c>
      <c r="L597">
        <f t="shared" si="267"/>
        <v>125546427.82693031</v>
      </c>
      <c r="M597">
        <f t="shared" si="267"/>
        <v>226071194.19070619</v>
      </c>
      <c r="N597">
        <f t="shared" si="267"/>
        <v>278067350.23795533</v>
      </c>
      <c r="O597">
        <f t="shared" si="267"/>
        <v>780800699.64690661</v>
      </c>
      <c r="P597">
        <f t="shared" si="267"/>
        <v>320748280.16853344</v>
      </c>
      <c r="Q597">
        <f t="shared" si="267"/>
        <v>309917306.88729078</v>
      </c>
      <c r="R597">
        <f t="shared" si="267"/>
        <v>186646593.98127279</v>
      </c>
      <c r="S597">
        <f t="shared" si="267"/>
        <v>236248266.00519088</v>
      </c>
      <c r="T597">
        <f t="shared" si="267"/>
        <v>139632078.61959252</v>
      </c>
      <c r="U597">
        <f t="shared" si="267"/>
        <v>348507590.06092584</v>
      </c>
      <c r="V597">
        <f t="shared" si="267"/>
        <v>621324168.03761888</v>
      </c>
      <c r="W597">
        <f t="shared" si="267"/>
        <v>258375958.3303999</v>
      </c>
      <c r="X597">
        <f t="shared" si="267"/>
        <v>664123894.25983</v>
      </c>
      <c r="Y597">
        <f t="shared" si="267"/>
        <v>163965784.02221063</v>
      </c>
    </row>
    <row r="598" spans="1:25" x14ac:dyDescent="0.45">
      <c r="A598" s="5" t="s">
        <v>350</v>
      </c>
      <c r="B598">
        <f t="shared" ref="B598:Y598" si="268">B270/B$326</f>
        <v>2226008.8791094753</v>
      </c>
      <c r="C598">
        <f t="shared" si="268"/>
        <v>9956420.9584143963</v>
      </c>
      <c r="D598">
        <f t="shared" si="268"/>
        <v>5483548.905092109</v>
      </c>
      <c r="E598">
        <f t="shared" si="268"/>
        <v>5994411.8993351869</v>
      </c>
      <c r="F598">
        <f t="shared" si="268"/>
        <v>16150959.204519821</v>
      </c>
      <c r="G598">
        <f t="shared" si="268"/>
        <v>2272144.1398688331</v>
      </c>
      <c r="H598">
        <f t="shared" si="268"/>
        <v>129574783.34429172</v>
      </c>
      <c r="I598">
        <f t="shared" si="268"/>
        <v>177123110.19684988</v>
      </c>
      <c r="J598">
        <f t="shared" si="268"/>
        <v>281164860.27342552</v>
      </c>
      <c r="K598">
        <f t="shared" si="268"/>
        <v>113408807.68648346</v>
      </c>
      <c r="L598">
        <f t="shared" si="268"/>
        <v>5663352.0456445748</v>
      </c>
      <c r="M598">
        <f t="shared" si="268"/>
        <v>12020033.280258747</v>
      </c>
      <c r="N598">
        <f t="shared" si="268"/>
        <v>62166212.326994523</v>
      </c>
      <c r="O598">
        <f t="shared" si="268"/>
        <v>54986081.856452309</v>
      </c>
      <c r="P598">
        <f t="shared" si="268"/>
        <v>250799475.57036385</v>
      </c>
      <c r="Q598">
        <f t="shared" si="268"/>
        <v>8980356.3132415451</v>
      </c>
      <c r="R598">
        <f t="shared" si="268"/>
        <v>1243240.9154549574</v>
      </c>
      <c r="S598">
        <f t="shared" si="268"/>
        <v>6566568.8252539886</v>
      </c>
      <c r="T598">
        <f t="shared" si="268"/>
        <v>13237695.252677368</v>
      </c>
      <c r="U598">
        <f t="shared" si="268"/>
        <v>20891402.612496302</v>
      </c>
      <c r="V598">
        <f t="shared" si="268"/>
        <v>16527277.344677618</v>
      </c>
      <c r="W598">
        <f t="shared" si="268"/>
        <v>9029184.3982658479</v>
      </c>
      <c r="X598">
        <f t="shared" si="268"/>
        <v>10520350.710827099</v>
      </c>
      <c r="Y598">
        <f t="shared" si="268"/>
        <v>6160363.7531148316</v>
      </c>
    </row>
    <row r="599" spans="1:25" x14ac:dyDescent="0.45">
      <c r="A599" s="5" t="s">
        <v>383</v>
      </c>
      <c r="B599">
        <f t="shared" ref="B599:Y599" si="269">B271/B$326</f>
        <v>1766172.8041628683</v>
      </c>
      <c r="C599">
        <f t="shared" si="269"/>
        <v>2995662.3293612865</v>
      </c>
      <c r="D599">
        <f t="shared" si="269"/>
        <v>1718881.7077291734</v>
      </c>
      <c r="E599">
        <f t="shared" si="269"/>
        <v>1867388.5196641451</v>
      </c>
      <c r="F599">
        <f t="shared" si="269"/>
        <v>3713732.9665201507</v>
      </c>
      <c r="G599">
        <f t="shared" si="269"/>
        <v>2233793.9227229315</v>
      </c>
      <c r="H599">
        <f t="shared" si="269"/>
        <v>1956962.9072196335</v>
      </c>
      <c r="I599">
        <f t="shared" si="269"/>
        <v>4467765.0574552109</v>
      </c>
      <c r="J599">
        <f t="shared" si="269"/>
        <v>6071628.1721250452</v>
      </c>
      <c r="K599">
        <f t="shared" si="269"/>
        <v>1040734.7140029275</v>
      </c>
      <c r="L599">
        <f t="shared" si="269"/>
        <v>2036679.697995516</v>
      </c>
      <c r="M599">
        <f t="shared" si="269"/>
        <v>1472396.8311977666</v>
      </c>
      <c r="N599">
        <f t="shared" si="269"/>
        <v>1766900.6221404138</v>
      </c>
      <c r="O599">
        <f t="shared" si="269"/>
        <v>7698244.443492542</v>
      </c>
      <c r="P599">
        <f t="shared" si="269"/>
        <v>5748300.5136249149</v>
      </c>
      <c r="Q599">
        <f t="shared" si="269"/>
        <v>1687851.8823064701</v>
      </c>
      <c r="R599">
        <f t="shared" si="269"/>
        <v>3330831.5665030172</v>
      </c>
      <c r="S599">
        <f t="shared" si="269"/>
        <v>2791600.7419696166</v>
      </c>
      <c r="T599">
        <f t="shared" si="269"/>
        <v>3596968.9695074614</v>
      </c>
      <c r="U599">
        <f t="shared" si="269"/>
        <v>5533797.6502321456</v>
      </c>
      <c r="V599">
        <f t="shared" si="269"/>
        <v>4871853.6803203356</v>
      </c>
      <c r="W599">
        <f t="shared" si="269"/>
        <v>4096023.6186022046</v>
      </c>
      <c r="X599">
        <f t="shared" si="269"/>
        <v>26085511.737129901</v>
      </c>
      <c r="Y599">
        <f t="shared" si="269"/>
        <v>3927788.3198114936</v>
      </c>
    </row>
    <row r="600" spans="1:25" x14ac:dyDescent="0.45">
      <c r="A600" s="5" t="s">
        <v>242</v>
      </c>
      <c r="B600">
        <f t="shared" ref="B600:Y600" si="270">B272/B$326</f>
        <v>937721.9372781628</v>
      </c>
      <c r="C600">
        <f t="shared" si="270"/>
        <v>12222589.513105379</v>
      </c>
      <c r="D600">
        <f t="shared" si="270"/>
        <v>534292.61908712471</v>
      </c>
      <c r="E600">
        <f t="shared" si="270"/>
        <v>580023.51288685272</v>
      </c>
      <c r="F600">
        <f t="shared" si="270"/>
        <v>857430.44347592478</v>
      </c>
      <c r="G600">
        <f t="shared" si="270"/>
        <v>4172654.286838593</v>
      </c>
      <c r="H600">
        <f t="shared" si="270"/>
        <v>4780952.6834838828</v>
      </c>
      <c r="I600">
        <f t="shared" si="270"/>
        <v>702811.87958752865</v>
      </c>
      <c r="J600">
        <f t="shared" si="270"/>
        <v>1120604.7986444482</v>
      </c>
      <c r="K600">
        <f t="shared" si="270"/>
        <v>4811443.1996956673</v>
      </c>
      <c r="L600">
        <f t="shared" si="270"/>
        <v>731675.43209623941</v>
      </c>
      <c r="M600">
        <f t="shared" si="270"/>
        <v>1756148.8528234584</v>
      </c>
      <c r="N600">
        <f t="shared" si="270"/>
        <v>11150964.775508514</v>
      </c>
      <c r="O600">
        <f t="shared" si="270"/>
        <v>36659766.300256699</v>
      </c>
      <c r="P600">
        <f t="shared" si="270"/>
        <v>9179316.7489571758</v>
      </c>
      <c r="Q600">
        <f t="shared" si="270"/>
        <v>6303026.6167069944</v>
      </c>
      <c r="R600">
        <f t="shared" si="270"/>
        <v>569779.05404208892</v>
      </c>
      <c r="S600">
        <f t="shared" si="270"/>
        <v>6310691.779233532</v>
      </c>
      <c r="T600">
        <f t="shared" si="270"/>
        <v>2197763.9734767387</v>
      </c>
      <c r="U600">
        <f t="shared" si="270"/>
        <v>14250960.00393712</v>
      </c>
      <c r="V600">
        <f t="shared" si="270"/>
        <v>19695729.320279054</v>
      </c>
      <c r="W600">
        <f t="shared" si="270"/>
        <v>6702492.0482560648</v>
      </c>
      <c r="X600">
        <f t="shared" si="270"/>
        <v>7376439.4745301297</v>
      </c>
      <c r="Y600">
        <f t="shared" si="270"/>
        <v>5489099.7310960628</v>
      </c>
    </row>
    <row r="601" spans="1:25" x14ac:dyDescent="0.45">
      <c r="A601" s="5" t="s">
        <v>243</v>
      </c>
      <c r="B601">
        <f t="shared" ref="B601:Y601" si="271">B273/B$326</f>
        <v>18326100.369255047</v>
      </c>
      <c r="C601">
        <f t="shared" si="271"/>
        <v>15467621.073899638</v>
      </c>
      <c r="D601">
        <f t="shared" si="271"/>
        <v>10907145.62711738</v>
      </c>
      <c r="E601">
        <f t="shared" si="271"/>
        <v>25823882.523874935</v>
      </c>
      <c r="F601">
        <f t="shared" si="271"/>
        <v>34465779.99770648</v>
      </c>
      <c r="G601">
        <f t="shared" si="271"/>
        <v>24126554.794650979</v>
      </c>
      <c r="H601">
        <f t="shared" si="271"/>
        <v>25078093.083633546</v>
      </c>
      <c r="I601">
        <f t="shared" si="271"/>
        <v>25007475.068075228</v>
      </c>
      <c r="J601">
        <f t="shared" si="271"/>
        <v>43647094.082503639</v>
      </c>
      <c r="K601">
        <f t="shared" si="271"/>
        <v>21663031.908410482</v>
      </c>
      <c r="L601">
        <f t="shared" si="271"/>
        <v>21494067.225965694</v>
      </c>
      <c r="M601">
        <f t="shared" si="271"/>
        <v>19236336.145127699</v>
      </c>
      <c r="N601">
        <f t="shared" si="271"/>
        <v>17486749.859905373</v>
      </c>
      <c r="O601">
        <f t="shared" si="271"/>
        <v>28091208.93538364</v>
      </c>
      <c r="P601">
        <f t="shared" si="271"/>
        <v>34705405.414211437</v>
      </c>
      <c r="Q601">
        <f t="shared" si="271"/>
        <v>17611342.326021455</v>
      </c>
      <c r="R601">
        <f t="shared" si="271"/>
        <v>55448687.52146133</v>
      </c>
      <c r="S601">
        <f t="shared" si="271"/>
        <v>24550969.256748892</v>
      </c>
      <c r="T601">
        <f t="shared" si="271"/>
        <v>34401564.087494731</v>
      </c>
      <c r="U601">
        <f t="shared" si="271"/>
        <v>38778916.059771486</v>
      </c>
      <c r="V601">
        <f t="shared" si="271"/>
        <v>33203568.678684056</v>
      </c>
      <c r="W601">
        <f t="shared" si="271"/>
        <v>34585287.19364547</v>
      </c>
      <c r="X601">
        <f t="shared" si="271"/>
        <v>57886854.310588203</v>
      </c>
      <c r="Y601">
        <f t="shared" si="271"/>
        <v>32105529.895322625</v>
      </c>
    </row>
    <row r="602" spans="1:25" x14ac:dyDescent="0.45">
      <c r="A602" s="5" t="s">
        <v>335</v>
      </c>
      <c r="B602">
        <f t="shared" ref="B602:Y602" si="272">B274/B$326</f>
        <v>41152509.117514327</v>
      </c>
      <c r="C602">
        <f t="shared" si="272"/>
        <v>128825654.35288444</v>
      </c>
      <c r="D602">
        <f t="shared" si="272"/>
        <v>49991387.045573689</v>
      </c>
      <c r="E602">
        <f t="shared" si="272"/>
        <v>36644030.499750324</v>
      </c>
      <c r="F602">
        <f t="shared" si="272"/>
        <v>10977090.118613131</v>
      </c>
      <c r="G602">
        <f t="shared" si="272"/>
        <v>39857965.270801857</v>
      </c>
      <c r="H602">
        <f t="shared" si="272"/>
        <v>16844992.07322545</v>
      </c>
      <c r="I602">
        <f t="shared" si="272"/>
        <v>33592040.452881128</v>
      </c>
      <c r="J602">
        <f t="shared" si="272"/>
        <v>37090166.644064955</v>
      </c>
      <c r="K602">
        <f t="shared" si="272"/>
        <v>8743585.4766924996</v>
      </c>
      <c r="L602">
        <f t="shared" si="272"/>
        <v>21435193.91116548</v>
      </c>
      <c r="M602">
        <f t="shared" si="272"/>
        <v>43043514.741524048</v>
      </c>
      <c r="N602">
        <f t="shared" si="272"/>
        <v>20994541.271200951</v>
      </c>
      <c r="O602">
        <f t="shared" si="272"/>
        <v>31608247.470610384</v>
      </c>
      <c r="P602">
        <f t="shared" si="272"/>
        <v>16103917.985894958</v>
      </c>
      <c r="Q602">
        <f t="shared" si="272"/>
        <v>47007723.704257227</v>
      </c>
      <c r="R602">
        <f t="shared" si="272"/>
        <v>25167220.641863655</v>
      </c>
      <c r="S602">
        <f t="shared" si="272"/>
        <v>59396680.061076999</v>
      </c>
      <c r="T602">
        <f t="shared" si="272"/>
        <v>39345327.154555164</v>
      </c>
      <c r="U602">
        <f t="shared" si="272"/>
        <v>25882305.929862279</v>
      </c>
      <c r="V602">
        <f t="shared" si="272"/>
        <v>46925105.830545962</v>
      </c>
      <c r="W602">
        <f t="shared" si="272"/>
        <v>31011093.748158596</v>
      </c>
      <c r="X602">
        <f t="shared" si="272"/>
        <v>171602854.24470901</v>
      </c>
      <c r="Y602">
        <f t="shared" si="272"/>
        <v>26622778.804944746</v>
      </c>
    </row>
    <row r="603" spans="1:25" x14ac:dyDescent="0.45">
      <c r="A603" s="5" t="s">
        <v>244</v>
      </c>
      <c r="B603">
        <f t="shared" ref="B603:Y603" si="273">B275/B$326</f>
        <v>21569534.229829501</v>
      </c>
      <c r="C603">
        <f t="shared" si="273"/>
        <v>87529303.238567576</v>
      </c>
      <c r="D603">
        <f t="shared" si="273"/>
        <v>36573089.583027057</v>
      </c>
      <c r="E603">
        <f t="shared" si="273"/>
        <v>42297616.076452173</v>
      </c>
      <c r="F603">
        <f t="shared" si="273"/>
        <v>39889075.539511725</v>
      </c>
      <c r="G603">
        <f t="shared" si="273"/>
        <v>45266202.629153721</v>
      </c>
      <c r="H603">
        <f t="shared" si="273"/>
        <v>23398120.949541751</v>
      </c>
      <c r="I603">
        <f t="shared" si="273"/>
        <v>50307206.948845141</v>
      </c>
      <c r="J603">
        <f t="shared" si="273"/>
        <v>72567772.57749334</v>
      </c>
      <c r="K603">
        <f t="shared" si="273"/>
        <v>19825475.024886079</v>
      </c>
      <c r="L603">
        <f t="shared" si="273"/>
        <v>47642972.844539635</v>
      </c>
      <c r="M603">
        <f t="shared" si="273"/>
        <v>53303501.726348095</v>
      </c>
      <c r="N603">
        <f t="shared" si="273"/>
        <v>22512496.148095842</v>
      </c>
      <c r="O603">
        <f t="shared" si="273"/>
        <v>46723598.638528988</v>
      </c>
      <c r="P603">
        <f t="shared" si="273"/>
        <v>36224990.766393043</v>
      </c>
      <c r="Q603">
        <f t="shared" si="273"/>
        <v>35507996.701768689</v>
      </c>
      <c r="R603">
        <f t="shared" si="273"/>
        <v>56716928.813317493</v>
      </c>
      <c r="S603">
        <f t="shared" si="273"/>
        <v>57514571.97183504</v>
      </c>
      <c r="T603">
        <f t="shared" si="273"/>
        <v>32687544.977246944</v>
      </c>
      <c r="U603">
        <f t="shared" si="273"/>
        <v>50323462.367455371</v>
      </c>
      <c r="V603">
        <f t="shared" si="273"/>
        <v>42207170.474888936</v>
      </c>
      <c r="W603">
        <f t="shared" si="273"/>
        <v>49570927.885586783</v>
      </c>
      <c r="X603">
        <f t="shared" si="273"/>
        <v>98391203.066164196</v>
      </c>
      <c r="Y603">
        <f t="shared" si="273"/>
        <v>48501050.873103119</v>
      </c>
    </row>
    <row r="604" spans="1:25" x14ac:dyDescent="0.45">
      <c r="A604" s="5" t="s">
        <v>439</v>
      </c>
      <c r="B604">
        <f t="shared" ref="B604:Y604" si="274">B276/B$326</f>
        <v>53207.008510399864</v>
      </c>
      <c r="C604">
        <f t="shared" si="274"/>
        <v>12915709.219840283</v>
      </c>
      <c r="D604">
        <f t="shared" si="274"/>
        <v>581892.40428865282</v>
      </c>
      <c r="E604">
        <f t="shared" si="274"/>
        <v>119220.64187486166</v>
      </c>
      <c r="F604">
        <f t="shared" si="274"/>
        <v>43626.243529812964</v>
      </c>
      <c r="G604">
        <f t="shared" si="274"/>
        <v>4023170.1320424117</v>
      </c>
      <c r="H604">
        <f t="shared" si="274"/>
        <v>3778656.2484866921</v>
      </c>
      <c r="I604">
        <f t="shared" si="274"/>
        <v>108347.02388280242</v>
      </c>
      <c r="J604">
        <f t="shared" si="274"/>
        <v>79586.632910714718</v>
      </c>
      <c r="K604">
        <f t="shared" si="274"/>
        <v>189371.03390371753</v>
      </c>
      <c r="L604">
        <f t="shared" si="274"/>
        <v>92576.641595996276</v>
      </c>
      <c r="M604">
        <f t="shared" si="274"/>
        <v>9441152.0495478213</v>
      </c>
      <c r="N604">
        <f t="shared" si="274"/>
        <v>6931022.3681073003</v>
      </c>
      <c r="O604">
        <f t="shared" si="274"/>
        <v>11277873.49672397</v>
      </c>
      <c r="P604">
        <f t="shared" si="274"/>
        <v>1478618.7391468426</v>
      </c>
      <c r="Q604">
        <f t="shared" si="274"/>
        <v>16421507.093415106</v>
      </c>
      <c r="R604">
        <f t="shared" si="274"/>
        <v>69230.546663861547</v>
      </c>
      <c r="S604">
        <f t="shared" si="274"/>
        <v>3343500.899988472</v>
      </c>
      <c r="T604">
        <f t="shared" si="274"/>
        <v>202416.05677812334</v>
      </c>
      <c r="U604">
        <f t="shared" si="274"/>
        <v>4305720.6553965816</v>
      </c>
      <c r="V604">
        <f t="shared" si="274"/>
        <v>6976899.1117073232</v>
      </c>
      <c r="W604">
        <f t="shared" si="274"/>
        <v>2184834.9173195683</v>
      </c>
      <c r="X604">
        <f t="shared" si="274"/>
        <v>138739.86813590801</v>
      </c>
      <c r="Y604">
        <f t="shared" si="274"/>
        <v>1067326.8893246748</v>
      </c>
    </row>
    <row r="605" spans="1:25" x14ac:dyDescent="0.45">
      <c r="A605" s="5" t="s">
        <v>362</v>
      </c>
      <c r="B605">
        <f t="shared" ref="B605:Y605" si="275">B277/B$326</f>
        <v>11154162.028146682</v>
      </c>
      <c r="C605">
        <f t="shared" si="275"/>
        <v>23702809.057882898</v>
      </c>
      <c r="D605">
        <f t="shared" si="275"/>
        <v>22532134.634099614</v>
      </c>
      <c r="E605">
        <f t="shared" si="275"/>
        <v>20622536.768612817</v>
      </c>
      <c r="F605">
        <f t="shared" si="275"/>
        <v>27620379.285067365</v>
      </c>
      <c r="G605">
        <f t="shared" si="275"/>
        <v>17582014.035534315</v>
      </c>
      <c r="H605">
        <f t="shared" si="275"/>
        <v>10942331.230680035</v>
      </c>
      <c r="I605">
        <f t="shared" si="275"/>
        <v>133081561.98255059</v>
      </c>
      <c r="J605">
        <f t="shared" si="275"/>
        <v>68454665.60288246</v>
      </c>
      <c r="K605">
        <f t="shared" si="275"/>
        <v>33781453.195720196</v>
      </c>
      <c r="L605">
        <f t="shared" si="275"/>
        <v>27572351.621947926</v>
      </c>
      <c r="M605">
        <f t="shared" si="275"/>
        <v>18059240.594828364</v>
      </c>
      <c r="N605">
        <f t="shared" si="275"/>
        <v>12784456.635607364</v>
      </c>
      <c r="O605">
        <f t="shared" si="275"/>
        <v>38976027.511372857</v>
      </c>
      <c r="P605">
        <f t="shared" si="275"/>
        <v>25264326.291639604</v>
      </c>
      <c r="Q605">
        <f t="shared" si="275"/>
        <v>19793423.436656319</v>
      </c>
      <c r="R605">
        <f t="shared" si="275"/>
        <v>50250823.035907097</v>
      </c>
      <c r="S605">
        <f t="shared" si="275"/>
        <v>21559815.202328246</v>
      </c>
      <c r="T605">
        <f t="shared" si="275"/>
        <v>25817204.200359747</v>
      </c>
      <c r="U605">
        <f t="shared" si="275"/>
        <v>17011653.105955586</v>
      </c>
      <c r="V605">
        <f t="shared" si="275"/>
        <v>21920840.279098637</v>
      </c>
      <c r="W605">
        <f t="shared" si="275"/>
        <v>20906225.619175404</v>
      </c>
      <c r="X605">
        <f t="shared" si="275"/>
        <v>197140335.62103999</v>
      </c>
      <c r="Y605">
        <f t="shared" si="275"/>
        <v>19191139.39086831</v>
      </c>
    </row>
    <row r="606" spans="1:25" x14ac:dyDescent="0.45">
      <c r="A606" s="5" t="s">
        <v>245</v>
      </c>
      <c r="B606">
        <f t="shared" ref="B606:Y606" si="276">B278/B$326</f>
        <v>12545113.165897999</v>
      </c>
      <c r="C606">
        <f t="shared" si="276"/>
        <v>22170827.444065943</v>
      </c>
      <c r="D606">
        <f t="shared" si="276"/>
        <v>10695589.208268397</v>
      </c>
      <c r="E606">
        <f t="shared" si="276"/>
        <v>10792291.022905521</v>
      </c>
      <c r="F606">
        <f t="shared" si="276"/>
        <v>19269688.678081259</v>
      </c>
      <c r="G606">
        <f t="shared" si="276"/>
        <v>14905606.816907842</v>
      </c>
      <c r="H606">
        <f t="shared" si="276"/>
        <v>1761301.6857491678</v>
      </c>
      <c r="I606">
        <f t="shared" si="276"/>
        <v>8539223.314268738</v>
      </c>
      <c r="J606">
        <f t="shared" si="276"/>
        <v>29802612.576854173</v>
      </c>
      <c r="K606">
        <f t="shared" si="276"/>
        <v>11182111.173274102</v>
      </c>
      <c r="L606">
        <f t="shared" si="276"/>
        <v>11149825.810664842</v>
      </c>
      <c r="M606">
        <f t="shared" si="276"/>
        <v>8252151.1949582836</v>
      </c>
      <c r="N606">
        <f t="shared" si="276"/>
        <v>8994747.777714435</v>
      </c>
      <c r="O606">
        <f t="shared" si="276"/>
        <v>42650263.719636001</v>
      </c>
      <c r="P606">
        <f t="shared" si="276"/>
        <v>23723722.309023842</v>
      </c>
      <c r="Q606">
        <f t="shared" si="276"/>
        <v>10162893.156049725</v>
      </c>
      <c r="R606">
        <f t="shared" si="276"/>
        <v>12962265.286180256</v>
      </c>
      <c r="S606">
        <f t="shared" si="276"/>
        <v>13990891.809928505</v>
      </c>
      <c r="T606">
        <f t="shared" si="276"/>
        <v>16327683.607632261</v>
      </c>
      <c r="U606">
        <f t="shared" si="276"/>
        <v>24179421.00203174</v>
      </c>
      <c r="V606">
        <f t="shared" si="276"/>
        <v>28495252.649438359</v>
      </c>
      <c r="W606">
        <f t="shared" si="276"/>
        <v>18191466.353726231</v>
      </c>
      <c r="X606">
        <f t="shared" si="276"/>
        <v>35112819.811705999</v>
      </c>
      <c r="Y606">
        <f t="shared" si="276"/>
        <v>21701617.239761874</v>
      </c>
    </row>
    <row r="607" spans="1:25" x14ac:dyDescent="0.45">
      <c r="A607" s="5" t="s">
        <v>363</v>
      </c>
      <c r="B607">
        <f t="shared" ref="B607:Y607" si="277">B279/B$326</f>
        <v>58843992.13652759</v>
      </c>
      <c r="C607">
        <f t="shared" si="277"/>
        <v>48046701.456587471</v>
      </c>
      <c r="D607">
        <f t="shared" si="277"/>
        <v>84052854.054520994</v>
      </c>
      <c r="E607">
        <f t="shared" si="277"/>
        <v>97385039.744987458</v>
      </c>
      <c r="F607">
        <f t="shared" si="277"/>
        <v>106006593.81703244</v>
      </c>
      <c r="G607">
        <f t="shared" si="277"/>
        <v>134445533.56711373</v>
      </c>
      <c r="H607">
        <f t="shared" si="277"/>
        <v>67392430.851919755</v>
      </c>
      <c r="I607">
        <f t="shared" si="277"/>
        <v>485905574.42873019</v>
      </c>
      <c r="J607">
        <f t="shared" si="277"/>
        <v>164186413.62882406</v>
      </c>
      <c r="K607">
        <f t="shared" si="277"/>
        <v>236040468.26336366</v>
      </c>
      <c r="L607">
        <f t="shared" si="277"/>
        <v>303608338.18418401</v>
      </c>
      <c r="M607">
        <f t="shared" si="277"/>
        <v>60109807.115318023</v>
      </c>
      <c r="N607">
        <f t="shared" si="277"/>
        <v>42794193.691403225</v>
      </c>
      <c r="O607">
        <f t="shared" si="277"/>
        <v>51032126.649201319</v>
      </c>
      <c r="P607">
        <f t="shared" si="277"/>
        <v>87664398.186010629</v>
      </c>
      <c r="Q607">
        <f t="shared" si="277"/>
        <v>164440409.12437811</v>
      </c>
      <c r="R607">
        <f t="shared" si="277"/>
        <v>255506666.04692975</v>
      </c>
      <c r="S607">
        <f t="shared" si="277"/>
        <v>77749862.348064885</v>
      </c>
      <c r="T607">
        <f t="shared" si="277"/>
        <v>117706944.31454968</v>
      </c>
      <c r="U607">
        <f t="shared" si="277"/>
        <v>93420190.751996502</v>
      </c>
      <c r="V607">
        <f t="shared" si="277"/>
        <v>88870863.727985367</v>
      </c>
      <c r="W607">
        <f t="shared" si="277"/>
        <v>96831998.988894224</v>
      </c>
      <c r="X607">
        <f t="shared" si="277"/>
        <v>13057207181.755501</v>
      </c>
      <c r="Y607">
        <f t="shared" si="277"/>
        <v>96429454.979683116</v>
      </c>
    </row>
    <row r="608" spans="1:25" x14ac:dyDescent="0.45">
      <c r="A608" s="5" t="s">
        <v>336</v>
      </c>
      <c r="B608">
        <f t="shared" ref="B608:Y608" si="278">B280/B$326</f>
        <v>2160355.9864072902</v>
      </c>
      <c r="C608">
        <f t="shared" si="278"/>
        <v>2119427.7267332864</v>
      </c>
      <c r="D608">
        <f t="shared" si="278"/>
        <v>1688913.2556773908</v>
      </c>
      <c r="E608">
        <f t="shared" si="278"/>
        <v>4225994.1593901543</v>
      </c>
      <c r="F608">
        <f t="shared" si="278"/>
        <v>4569546.7371476563</v>
      </c>
      <c r="G608">
        <f t="shared" si="278"/>
        <v>3413577.6554229707</v>
      </c>
      <c r="H608">
        <f t="shared" si="278"/>
        <v>1705385.72230299</v>
      </c>
      <c r="I608">
        <f t="shared" si="278"/>
        <v>7414477.2305341326</v>
      </c>
      <c r="J608">
        <f t="shared" si="278"/>
        <v>8150289.3657011762</v>
      </c>
      <c r="K608">
        <f t="shared" si="278"/>
        <v>2921974.2200324335</v>
      </c>
      <c r="L608">
        <f t="shared" si="278"/>
        <v>10160169.766555373</v>
      </c>
      <c r="M608">
        <f t="shared" si="278"/>
        <v>1567511.6177993403</v>
      </c>
      <c r="N608">
        <f t="shared" si="278"/>
        <v>838442.51510004292</v>
      </c>
      <c r="O608">
        <f t="shared" si="278"/>
        <v>1830608.0183816396</v>
      </c>
      <c r="P608">
        <f t="shared" si="278"/>
        <v>1883608.2322872938</v>
      </c>
      <c r="Q608">
        <f t="shared" si="278"/>
        <v>2270828.6992070987</v>
      </c>
      <c r="R608">
        <f t="shared" si="278"/>
        <v>9780939.7857804745</v>
      </c>
      <c r="S608">
        <f t="shared" si="278"/>
        <v>3398708.8866446749</v>
      </c>
      <c r="T608">
        <f t="shared" si="278"/>
        <v>2644070.4994700593</v>
      </c>
      <c r="U608">
        <f t="shared" si="278"/>
        <v>3818404.3883293234</v>
      </c>
      <c r="V608">
        <f t="shared" si="278"/>
        <v>2366982.1853949251</v>
      </c>
      <c r="W608">
        <f t="shared" si="278"/>
        <v>4370222.2159234621</v>
      </c>
      <c r="X608">
        <f t="shared" si="278"/>
        <v>10574251.594080901</v>
      </c>
      <c r="Y608">
        <f t="shared" si="278"/>
        <v>2754804.6860833</v>
      </c>
    </row>
    <row r="609" spans="1:25" x14ac:dyDescent="0.45">
      <c r="A609" s="5" t="s">
        <v>337</v>
      </c>
      <c r="B609">
        <f t="shared" ref="B609:Y609" si="279">B281/B$326</f>
        <v>122992345.67071123</v>
      </c>
      <c r="C609">
        <f t="shared" si="279"/>
        <v>272125188.45936066</v>
      </c>
      <c r="D609">
        <f t="shared" si="279"/>
        <v>76347817.337532923</v>
      </c>
      <c r="E609">
        <f t="shared" si="279"/>
        <v>102387532.33278249</v>
      </c>
      <c r="F609">
        <f t="shared" si="279"/>
        <v>142338807.43771097</v>
      </c>
      <c r="G609">
        <f t="shared" si="279"/>
        <v>92197820.389658824</v>
      </c>
      <c r="H609">
        <f t="shared" si="279"/>
        <v>329919700.19912082</v>
      </c>
      <c r="I609">
        <f t="shared" si="279"/>
        <v>330350499.27209139</v>
      </c>
      <c r="J609">
        <f t="shared" si="279"/>
        <v>455169093.3420983</v>
      </c>
      <c r="K609">
        <f t="shared" si="279"/>
        <v>211039509.52728602</v>
      </c>
      <c r="L609">
        <f t="shared" si="279"/>
        <v>183705199.56541225</v>
      </c>
      <c r="M609">
        <f t="shared" si="279"/>
        <v>141951188.11958891</v>
      </c>
      <c r="N609">
        <f t="shared" si="279"/>
        <v>44987627.137609214</v>
      </c>
      <c r="O609">
        <f t="shared" si="279"/>
        <v>317305154.00716966</v>
      </c>
      <c r="P609">
        <f t="shared" si="279"/>
        <v>217319719.16904742</v>
      </c>
      <c r="Q609">
        <f t="shared" si="279"/>
        <v>94557426.570735127</v>
      </c>
      <c r="R609">
        <f t="shared" si="279"/>
        <v>264198004.99335206</v>
      </c>
      <c r="S609">
        <f t="shared" si="279"/>
        <v>159277921.35167849</v>
      </c>
      <c r="T609">
        <f t="shared" si="279"/>
        <v>122446635.04418257</v>
      </c>
      <c r="U609">
        <f t="shared" si="279"/>
        <v>412930946.58852446</v>
      </c>
      <c r="V609">
        <f t="shared" si="279"/>
        <v>229346928.02968657</v>
      </c>
      <c r="W609">
        <f t="shared" si="279"/>
        <v>264767673.87386882</v>
      </c>
      <c r="X609">
        <f t="shared" si="279"/>
        <v>628178448.91517401</v>
      </c>
      <c r="Y609">
        <f t="shared" si="279"/>
        <v>184197550.96078998</v>
      </c>
    </row>
    <row r="610" spans="1:25" x14ac:dyDescent="0.45">
      <c r="A610" s="5" t="s">
        <v>338</v>
      </c>
      <c r="B610">
        <f t="shared" ref="B610:Y610" si="280">B282/B$326</f>
        <v>82349251.673467427</v>
      </c>
      <c r="C610">
        <f t="shared" si="280"/>
        <v>221195188.39972693</v>
      </c>
      <c r="D610">
        <f t="shared" si="280"/>
        <v>114441949.90730576</v>
      </c>
      <c r="E610">
        <f t="shared" si="280"/>
        <v>32778018.720214713</v>
      </c>
      <c r="F610">
        <f t="shared" si="280"/>
        <v>36815468.033917904</v>
      </c>
      <c r="G610">
        <f t="shared" si="280"/>
        <v>58018009.529794119</v>
      </c>
      <c r="H610">
        <f t="shared" si="280"/>
        <v>29086646.097812135</v>
      </c>
      <c r="I610">
        <f t="shared" si="280"/>
        <v>50001843.257062241</v>
      </c>
      <c r="J610">
        <f t="shared" si="280"/>
        <v>81795614.599380985</v>
      </c>
      <c r="K610">
        <f t="shared" si="280"/>
        <v>12549989.934990959</v>
      </c>
      <c r="L610">
        <f t="shared" si="280"/>
        <v>33858277.460782237</v>
      </c>
      <c r="M610">
        <f t="shared" si="280"/>
        <v>81944113.22914274</v>
      </c>
      <c r="N610">
        <f t="shared" si="280"/>
        <v>55366559.871795967</v>
      </c>
      <c r="O610">
        <f t="shared" si="280"/>
        <v>116885308.63853759</v>
      </c>
      <c r="P610">
        <f t="shared" si="280"/>
        <v>43401584.688217506</v>
      </c>
      <c r="Q610">
        <f t="shared" si="280"/>
        <v>75763382.795386866</v>
      </c>
      <c r="R610">
        <f t="shared" si="280"/>
        <v>74296705.822969154</v>
      </c>
      <c r="S610">
        <f t="shared" si="280"/>
        <v>103970092.72191311</v>
      </c>
      <c r="T610">
        <f t="shared" si="280"/>
        <v>100511631.17686883</v>
      </c>
      <c r="U610">
        <f t="shared" si="280"/>
        <v>51238990.437568203</v>
      </c>
      <c r="V610">
        <f t="shared" si="280"/>
        <v>86416743.889692217</v>
      </c>
      <c r="W610">
        <f t="shared" si="280"/>
        <v>79433748.687571183</v>
      </c>
      <c r="X610">
        <f t="shared" si="280"/>
        <v>185054794.11302799</v>
      </c>
      <c r="Y610">
        <f t="shared" si="280"/>
        <v>62385820.224494249</v>
      </c>
    </row>
    <row r="611" spans="1:25" x14ac:dyDescent="0.45">
      <c r="A611" s="5" t="s">
        <v>246</v>
      </c>
      <c r="B611">
        <f t="shared" ref="B611:Y611" si="281">B283/B$326</f>
        <v>17575725.978490222</v>
      </c>
      <c r="C611">
        <f t="shared" si="281"/>
        <v>16475536.622638373</v>
      </c>
      <c r="D611">
        <f t="shared" si="281"/>
        <v>18736948.037399698</v>
      </c>
      <c r="E611">
        <f t="shared" si="281"/>
        <v>6478180.1558308052</v>
      </c>
      <c r="F611">
        <f t="shared" si="281"/>
        <v>2942722.4279203825</v>
      </c>
      <c r="G611">
        <f t="shared" si="281"/>
        <v>4525101.9811678827</v>
      </c>
      <c r="H611">
        <f t="shared" si="281"/>
        <v>15900716.767109092</v>
      </c>
      <c r="I611">
        <f t="shared" si="281"/>
        <v>63774267.933120303</v>
      </c>
      <c r="J611">
        <f t="shared" si="281"/>
        <v>36728457.016829096</v>
      </c>
      <c r="K611">
        <f t="shared" si="281"/>
        <v>1112669.5500949381</v>
      </c>
      <c r="L611">
        <f t="shared" si="281"/>
        <v>7864824.1502362238</v>
      </c>
      <c r="M611">
        <f t="shared" si="281"/>
        <v>9485835.0245267171</v>
      </c>
      <c r="N611">
        <f t="shared" si="281"/>
        <v>5514281.1705368292</v>
      </c>
      <c r="O611">
        <f t="shared" si="281"/>
        <v>3931494.1622209139</v>
      </c>
      <c r="P611">
        <f t="shared" si="281"/>
        <v>4881781.6578489942</v>
      </c>
      <c r="Q611">
        <f t="shared" si="281"/>
        <v>5258596.6057606172</v>
      </c>
      <c r="R611">
        <f t="shared" si="281"/>
        <v>15267737.468887107</v>
      </c>
      <c r="S611">
        <f t="shared" si="281"/>
        <v>10855758.211029088</v>
      </c>
      <c r="T611">
        <f t="shared" si="281"/>
        <v>3202495.4039153848</v>
      </c>
      <c r="U611">
        <f t="shared" si="281"/>
        <v>5259740.472840962</v>
      </c>
      <c r="V611">
        <f t="shared" si="281"/>
        <v>5623995.7309192549</v>
      </c>
      <c r="W611">
        <f t="shared" si="281"/>
        <v>14581901.743401365</v>
      </c>
      <c r="X611">
        <f t="shared" si="281"/>
        <v>105725893.644774</v>
      </c>
      <c r="Y611">
        <f t="shared" si="281"/>
        <v>7616756.4104606239</v>
      </c>
    </row>
    <row r="612" spans="1:25" x14ac:dyDescent="0.45">
      <c r="A612" s="5" t="s">
        <v>339</v>
      </c>
      <c r="B612">
        <f t="shared" ref="B612:Y612" si="282">B284/B$326</f>
        <v>52849246.763124801</v>
      </c>
      <c r="C612">
        <f t="shared" si="282"/>
        <v>95578700.923476696</v>
      </c>
      <c r="D612">
        <f t="shared" si="282"/>
        <v>6888197.0298286024</v>
      </c>
      <c r="E612">
        <f t="shared" si="282"/>
        <v>10467265.358281611</v>
      </c>
      <c r="F612">
        <f t="shared" si="282"/>
        <v>4438484.5727682412</v>
      </c>
      <c r="G612">
        <f t="shared" si="282"/>
        <v>22541355.274133187</v>
      </c>
      <c r="H612">
        <f t="shared" si="282"/>
        <v>47390165.52158127</v>
      </c>
      <c r="I612">
        <f t="shared" si="282"/>
        <v>31223958.059332639</v>
      </c>
      <c r="J612">
        <f t="shared" si="282"/>
        <v>13571987.190731915</v>
      </c>
      <c r="K612">
        <f t="shared" si="282"/>
        <v>18646978.341005635</v>
      </c>
      <c r="L612">
        <f t="shared" si="282"/>
        <v>9068459.0508307982</v>
      </c>
      <c r="M612">
        <f t="shared" si="282"/>
        <v>58596810.394780628</v>
      </c>
      <c r="N612">
        <f t="shared" si="282"/>
        <v>54595983.558134042</v>
      </c>
      <c r="O612">
        <f t="shared" si="282"/>
        <v>51800334.790372409</v>
      </c>
      <c r="P612">
        <f t="shared" si="282"/>
        <v>62808581.081832245</v>
      </c>
      <c r="Q612">
        <f t="shared" si="282"/>
        <v>92190237.751834497</v>
      </c>
      <c r="R612">
        <f t="shared" si="282"/>
        <v>18716158.982639913</v>
      </c>
      <c r="S612">
        <f t="shared" si="282"/>
        <v>115567592.80082743</v>
      </c>
      <c r="T612">
        <f t="shared" si="282"/>
        <v>6454742.2581797456</v>
      </c>
      <c r="U612">
        <f t="shared" si="282"/>
        <v>60291954.048249364</v>
      </c>
      <c r="V612">
        <f t="shared" si="282"/>
        <v>173344329.31665304</v>
      </c>
      <c r="W612">
        <f t="shared" si="282"/>
        <v>31236441.205468647</v>
      </c>
      <c r="X612">
        <f t="shared" si="282"/>
        <v>33866295.7072699</v>
      </c>
      <c r="Y612">
        <f t="shared" si="282"/>
        <v>38816697.75309293</v>
      </c>
    </row>
    <row r="613" spans="1:25" x14ac:dyDescent="0.45">
      <c r="A613" s="5" t="s">
        <v>247</v>
      </c>
      <c r="B613">
        <f t="shared" ref="B613:Y613" si="283">B285/B$326</f>
        <v>596966648.96296668</v>
      </c>
      <c r="C613">
        <f t="shared" si="283"/>
        <v>748727570.29478717</v>
      </c>
      <c r="D613">
        <f t="shared" si="283"/>
        <v>344383509.11074674</v>
      </c>
      <c r="E613">
        <f t="shared" si="283"/>
        <v>455718346.22991347</v>
      </c>
      <c r="F613">
        <f t="shared" si="283"/>
        <v>133584452.7068087</v>
      </c>
      <c r="G613">
        <f t="shared" si="283"/>
        <v>309578252.83827257</v>
      </c>
      <c r="H613">
        <f t="shared" si="283"/>
        <v>207519129.16775376</v>
      </c>
      <c r="I613">
        <f t="shared" si="283"/>
        <v>1455025025.209388</v>
      </c>
      <c r="J613">
        <f t="shared" si="283"/>
        <v>488824755.21175438</v>
      </c>
      <c r="K613">
        <f t="shared" si="283"/>
        <v>563905338.81440783</v>
      </c>
      <c r="L613">
        <f t="shared" si="283"/>
        <v>91785962.361164898</v>
      </c>
      <c r="M613">
        <f t="shared" si="283"/>
        <v>434393166.50592291</v>
      </c>
      <c r="N613">
        <f t="shared" si="283"/>
        <v>316001440.7540344</v>
      </c>
      <c r="O613">
        <f t="shared" si="283"/>
        <v>530089409.62693125</v>
      </c>
      <c r="P613">
        <f t="shared" si="283"/>
        <v>580437988.23460257</v>
      </c>
      <c r="Q613">
        <f t="shared" si="283"/>
        <v>508221439.34247679</v>
      </c>
      <c r="R613">
        <f t="shared" si="283"/>
        <v>857932718.56808293</v>
      </c>
      <c r="S613">
        <f t="shared" si="283"/>
        <v>595136087.24298584</v>
      </c>
      <c r="T613">
        <f t="shared" si="283"/>
        <v>242473717.74363974</v>
      </c>
      <c r="U613">
        <f t="shared" si="283"/>
        <v>363564156.74378777</v>
      </c>
      <c r="V613">
        <f t="shared" si="283"/>
        <v>668363896.91274905</v>
      </c>
      <c r="W613">
        <f t="shared" si="283"/>
        <v>481330288.88205594</v>
      </c>
      <c r="X613">
        <f t="shared" si="283"/>
        <v>6506444364.35495</v>
      </c>
      <c r="Y613">
        <f t="shared" si="283"/>
        <v>632236527.1285187</v>
      </c>
    </row>
    <row r="614" spans="1:25" x14ac:dyDescent="0.45">
      <c r="A614" s="5" t="s">
        <v>248</v>
      </c>
      <c r="B614">
        <f t="shared" ref="B614:Y614" si="284">B286/B$326</f>
        <v>24960139.724249538</v>
      </c>
      <c r="C614">
        <f t="shared" si="284"/>
        <v>14468237.501630275</v>
      </c>
      <c r="D614">
        <f t="shared" si="284"/>
        <v>12680902.880158989</v>
      </c>
      <c r="E614">
        <f t="shared" si="284"/>
        <v>20730592.717240695</v>
      </c>
      <c r="F614">
        <f t="shared" si="284"/>
        <v>34800474.478402436</v>
      </c>
      <c r="G614">
        <f t="shared" si="284"/>
        <v>55279558.706029899</v>
      </c>
      <c r="H614">
        <f t="shared" si="284"/>
        <v>9432934.8933072146</v>
      </c>
      <c r="I614">
        <f t="shared" si="284"/>
        <v>904240397.09836578</v>
      </c>
      <c r="J614">
        <f t="shared" si="284"/>
        <v>46502454.625034772</v>
      </c>
      <c r="K614">
        <f t="shared" si="284"/>
        <v>83653464.707468212</v>
      </c>
      <c r="L614">
        <f t="shared" si="284"/>
        <v>74905450.9552681</v>
      </c>
      <c r="M614">
        <f t="shared" si="284"/>
        <v>44295125.975063346</v>
      </c>
      <c r="N614">
        <f t="shared" si="284"/>
        <v>3921001.5988209425</v>
      </c>
      <c r="O614">
        <f t="shared" si="284"/>
        <v>14680374.685541768</v>
      </c>
      <c r="P614">
        <f t="shared" si="284"/>
        <v>11872797.44617473</v>
      </c>
      <c r="Q614">
        <f t="shared" si="284"/>
        <v>10683948.511848176</v>
      </c>
      <c r="R614">
        <f t="shared" si="284"/>
        <v>26582886.783960842</v>
      </c>
      <c r="S614">
        <f t="shared" si="284"/>
        <v>15320620.955119288</v>
      </c>
      <c r="T614">
        <f t="shared" si="284"/>
        <v>27087838.072036013</v>
      </c>
      <c r="U614">
        <f t="shared" si="284"/>
        <v>19706804.737723533</v>
      </c>
      <c r="V614">
        <f t="shared" si="284"/>
        <v>16054089.465533193</v>
      </c>
      <c r="W614">
        <f t="shared" si="284"/>
        <v>23810362.416211911</v>
      </c>
      <c r="X614">
        <f t="shared" si="284"/>
        <v>88283695.814796299</v>
      </c>
      <c r="Y614">
        <f t="shared" si="284"/>
        <v>18922632.722310938</v>
      </c>
    </row>
    <row r="615" spans="1:25" x14ac:dyDescent="0.45">
      <c r="A615" s="5" t="s">
        <v>430</v>
      </c>
      <c r="B615">
        <f t="shared" ref="B615:Y615" si="285">B287/B$326</f>
        <v>1294759889.7821968</v>
      </c>
      <c r="C615">
        <f t="shared" si="285"/>
        <v>1141515314.3162379</v>
      </c>
      <c r="D615">
        <f t="shared" si="285"/>
        <v>828306348.10341585</v>
      </c>
      <c r="E615">
        <f t="shared" si="285"/>
        <v>1071291003.5674556</v>
      </c>
      <c r="F615">
        <f t="shared" si="285"/>
        <v>1645975878.6889393</v>
      </c>
      <c r="G615">
        <f t="shared" si="285"/>
        <v>1180263523.3938284</v>
      </c>
      <c r="H615">
        <f t="shared" si="285"/>
        <v>1021129096.4123014</v>
      </c>
      <c r="I615">
        <f t="shared" si="285"/>
        <v>1966128244.3067589</v>
      </c>
      <c r="J615">
        <f t="shared" si="285"/>
        <v>2527971837.3483109</v>
      </c>
      <c r="K615">
        <f t="shared" si="285"/>
        <v>1013115165.4784049</v>
      </c>
      <c r="L615">
        <f t="shared" si="285"/>
        <v>1450978617.2702661</v>
      </c>
      <c r="M615">
        <f t="shared" si="285"/>
        <v>897639094.01837289</v>
      </c>
      <c r="N615">
        <f t="shared" si="285"/>
        <v>608817126.55119526</v>
      </c>
      <c r="O615">
        <f t="shared" si="285"/>
        <v>1396439420.5292139</v>
      </c>
      <c r="P615">
        <f t="shared" si="285"/>
        <v>1546668701.162601</v>
      </c>
      <c r="Q615">
        <f t="shared" si="285"/>
        <v>701241787.61679316</v>
      </c>
      <c r="R615">
        <f t="shared" si="285"/>
        <v>2564751656.3432622</v>
      </c>
      <c r="S615">
        <f t="shared" si="285"/>
        <v>1221096393.6209977</v>
      </c>
      <c r="T615">
        <f t="shared" si="285"/>
        <v>1696367130.6307435</v>
      </c>
      <c r="U615">
        <f t="shared" si="285"/>
        <v>1887470437.9110847</v>
      </c>
      <c r="V615">
        <f t="shared" si="285"/>
        <v>1305672105.1829517</v>
      </c>
      <c r="W615">
        <f t="shared" si="285"/>
        <v>2086749762.3542142</v>
      </c>
      <c r="X615">
        <f t="shared" si="285"/>
        <v>2771784616.7982402</v>
      </c>
      <c r="Y615">
        <f t="shared" si="285"/>
        <v>1755672174.0250187</v>
      </c>
    </row>
    <row r="616" spans="1:25" x14ac:dyDescent="0.45">
      <c r="A616" s="5" t="s">
        <v>379</v>
      </c>
      <c r="B616">
        <f t="shared" ref="B616:Y616" si="286">B288/B$326</f>
        <v>13665095.403028078</v>
      </c>
      <c r="C616">
        <f t="shared" si="286"/>
        <v>27042921.59404308</v>
      </c>
      <c r="D616">
        <f t="shared" si="286"/>
        <v>16464703.094931427</v>
      </c>
      <c r="E616">
        <f t="shared" si="286"/>
        <v>10179509.761732934</v>
      </c>
      <c r="F616">
        <f t="shared" si="286"/>
        <v>13434948.430781806</v>
      </c>
      <c r="G616">
        <f t="shared" si="286"/>
        <v>11794549.61108348</v>
      </c>
      <c r="H616">
        <f t="shared" si="286"/>
        <v>8736047.8710790295</v>
      </c>
      <c r="I616">
        <f t="shared" si="286"/>
        <v>102756091.81897993</v>
      </c>
      <c r="J616">
        <f t="shared" si="286"/>
        <v>20107489.137135733</v>
      </c>
      <c r="K616">
        <f t="shared" si="286"/>
        <v>57805438.660253398</v>
      </c>
      <c r="L616">
        <f t="shared" si="286"/>
        <v>28755745.118611917</v>
      </c>
      <c r="M616">
        <f t="shared" si="286"/>
        <v>16704976.946620384</v>
      </c>
      <c r="N616">
        <f t="shared" si="286"/>
        <v>1409159.0499699318</v>
      </c>
      <c r="O616">
        <f t="shared" si="286"/>
        <v>15054636.32324327</v>
      </c>
      <c r="P616">
        <f t="shared" si="286"/>
        <v>9478654.8421793226</v>
      </c>
      <c r="Q616">
        <f t="shared" si="286"/>
        <v>21809369.369018428</v>
      </c>
      <c r="R616">
        <f t="shared" si="286"/>
        <v>36346902.967421092</v>
      </c>
      <c r="S616">
        <f t="shared" si="286"/>
        <v>25068523.780417413</v>
      </c>
      <c r="T616">
        <f t="shared" si="286"/>
        <v>13735101.092621852</v>
      </c>
      <c r="U616">
        <f t="shared" si="286"/>
        <v>16477227.876243643</v>
      </c>
      <c r="V616">
        <f t="shared" si="286"/>
        <v>15391748.764662666</v>
      </c>
      <c r="W616">
        <f t="shared" si="286"/>
        <v>17806229.220591191</v>
      </c>
      <c r="X616">
        <f t="shared" si="286"/>
        <v>457719338.34311497</v>
      </c>
      <c r="Y616">
        <f t="shared" si="286"/>
        <v>13059056.709904749</v>
      </c>
    </row>
    <row r="617" spans="1:25" x14ac:dyDescent="0.45">
      <c r="A617" s="5" t="s">
        <v>340</v>
      </c>
      <c r="B617">
        <f t="shared" ref="B617:Y617" si="287">B289/B$326</f>
        <v>26875912.054159518</v>
      </c>
      <c r="C617">
        <f t="shared" si="287"/>
        <v>58494303.81263452</v>
      </c>
      <c r="D617">
        <f t="shared" si="287"/>
        <v>32977207.497135799</v>
      </c>
      <c r="E617">
        <f t="shared" si="287"/>
        <v>35308309.644544266</v>
      </c>
      <c r="F617">
        <f t="shared" si="287"/>
        <v>60489029.768667147</v>
      </c>
      <c r="G617">
        <f t="shared" si="287"/>
        <v>42095783.849070884</v>
      </c>
      <c r="H617">
        <f t="shared" si="287"/>
        <v>24689052.867880974</v>
      </c>
      <c r="I617">
        <f t="shared" si="287"/>
        <v>286898842.21817482</v>
      </c>
      <c r="J617">
        <f t="shared" si="287"/>
        <v>167703610.13149494</v>
      </c>
      <c r="K617">
        <f t="shared" si="287"/>
        <v>55293914.88844154</v>
      </c>
      <c r="L617">
        <f t="shared" si="287"/>
        <v>40031622.468653083</v>
      </c>
      <c r="M617">
        <f t="shared" si="287"/>
        <v>24698099.655334152</v>
      </c>
      <c r="N617">
        <f t="shared" si="287"/>
        <v>28413195.250307281</v>
      </c>
      <c r="O617">
        <f t="shared" si="287"/>
        <v>116810779.98388599</v>
      </c>
      <c r="P617">
        <f t="shared" si="287"/>
        <v>65923439.314175546</v>
      </c>
      <c r="Q617">
        <f t="shared" si="287"/>
        <v>29947832.488507461</v>
      </c>
      <c r="R617">
        <f t="shared" si="287"/>
        <v>87061324.32627596</v>
      </c>
      <c r="S617">
        <f t="shared" si="287"/>
        <v>41949956.25439585</v>
      </c>
      <c r="T617">
        <f t="shared" si="287"/>
        <v>49446593.834417388</v>
      </c>
      <c r="U617">
        <f t="shared" si="287"/>
        <v>74384749.739599094</v>
      </c>
      <c r="V617">
        <f t="shared" si="287"/>
        <v>72157050.113926291</v>
      </c>
      <c r="W617">
        <f t="shared" si="287"/>
        <v>44067055.79974322</v>
      </c>
      <c r="X617">
        <f t="shared" si="287"/>
        <v>272944617.63462001</v>
      </c>
      <c r="Y617">
        <f t="shared" si="287"/>
        <v>38011750.290918313</v>
      </c>
    </row>
    <row r="618" spans="1:25" x14ac:dyDescent="0.45">
      <c r="A618" s="5" t="s">
        <v>249</v>
      </c>
      <c r="B618">
        <f t="shared" ref="B618:Y618" si="288">B290/B$326</f>
        <v>9442303.6122912169</v>
      </c>
      <c r="C618">
        <f t="shared" si="288"/>
        <v>13138457.045687186</v>
      </c>
      <c r="D618">
        <f t="shared" si="288"/>
        <v>10524505.032492746</v>
      </c>
      <c r="E618">
        <f t="shared" si="288"/>
        <v>5230145.5288833054</v>
      </c>
      <c r="F618">
        <f t="shared" si="288"/>
        <v>9587668.5186674073</v>
      </c>
      <c r="G618">
        <f t="shared" si="288"/>
        <v>7938157.9766302947</v>
      </c>
      <c r="H618">
        <f t="shared" si="288"/>
        <v>6548527.4355410952</v>
      </c>
      <c r="I618">
        <f t="shared" si="288"/>
        <v>12215271.660679556</v>
      </c>
      <c r="J618">
        <f t="shared" si="288"/>
        <v>19208845.414192818</v>
      </c>
      <c r="K618">
        <f t="shared" si="288"/>
        <v>4153158.6778451516</v>
      </c>
      <c r="L618">
        <f t="shared" si="288"/>
        <v>11989150.80219282</v>
      </c>
      <c r="M618">
        <f t="shared" si="288"/>
        <v>6083862.9118908448</v>
      </c>
      <c r="N618">
        <f t="shared" si="288"/>
        <v>5078658.3861416178</v>
      </c>
      <c r="O618">
        <f t="shared" si="288"/>
        <v>30216272.030385513</v>
      </c>
      <c r="P618">
        <f t="shared" si="288"/>
        <v>16309793.327419084</v>
      </c>
      <c r="Q618">
        <f t="shared" si="288"/>
        <v>6373517.8184112823</v>
      </c>
      <c r="R618">
        <f t="shared" si="288"/>
        <v>15228744.48458761</v>
      </c>
      <c r="S618">
        <f t="shared" si="288"/>
        <v>9745728.4277502485</v>
      </c>
      <c r="T618">
        <f t="shared" si="288"/>
        <v>13179700.491918085</v>
      </c>
      <c r="U618">
        <f t="shared" si="288"/>
        <v>22408228.354086813</v>
      </c>
      <c r="V618">
        <f t="shared" si="288"/>
        <v>18720002.507436611</v>
      </c>
      <c r="W618">
        <f t="shared" si="288"/>
        <v>13141401.491520837</v>
      </c>
      <c r="X618">
        <f t="shared" si="288"/>
        <v>41389016.4455119</v>
      </c>
      <c r="Y618">
        <f t="shared" si="288"/>
        <v>10315465.863687811</v>
      </c>
    </row>
    <row r="619" spans="1:25" x14ac:dyDescent="0.45">
      <c r="A619" s="5" t="s">
        <v>250</v>
      </c>
      <c r="B619">
        <f t="shared" ref="B619:Y619" si="289">B291/B$326</f>
        <v>3063658.7784328563</v>
      </c>
      <c r="C619">
        <f t="shared" si="289"/>
        <v>4465757.1814005952</v>
      </c>
      <c r="D619">
        <f t="shared" si="289"/>
        <v>2563436.6930464325</v>
      </c>
      <c r="E619">
        <f t="shared" si="289"/>
        <v>1908765.8351524514</v>
      </c>
      <c r="F619">
        <f t="shared" si="289"/>
        <v>3122934.4600273157</v>
      </c>
      <c r="G619">
        <f t="shared" si="289"/>
        <v>2741519.8595499997</v>
      </c>
      <c r="H619">
        <f t="shared" si="289"/>
        <v>2571381.6213475494</v>
      </c>
      <c r="I619">
        <f t="shared" si="289"/>
        <v>6474265.4357954711</v>
      </c>
      <c r="J619">
        <f t="shared" si="289"/>
        <v>6570644.1220542965</v>
      </c>
      <c r="K619">
        <f t="shared" si="289"/>
        <v>2713568.3111552787</v>
      </c>
      <c r="L619">
        <f t="shared" si="289"/>
        <v>3539980.791510229</v>
      </c>
      <c r="M619">
        <f t="shared" si="289"/>
        <v>2232779.0343083753</v>
      </c>
      <c r="N619">
        <f t="shared" si="289"/>
        <v>2068756.4080950939</v>
      </c>
      <c r="O619">
        <f t="shared" si="289"/>
        <v>10537396.664231144</v>
      </c>
      <c r="P619">
        <f t="shared" si="289"/>
        <v>5588160.367455502</v>
      </c>
      <c r="Q619">
        <f t="shared" si="289"/>
        <v>2735526.9645699156</v>
      </c>
      <c r="R619">
        <f t="shared" si="289"/>
        <v>4809667.9671831252</v>
      </c>
      <c r="S619">
        <f t="shared" si="289"/>
        <v>2926943.7801775369</v>
      </c>
      <c r="T619">
        <f t="shared" si="289"/>
        <v>4156783.1221857155</v>
      </c>
      <c r="U619">
        <f t="shared" si="289"/>
        <v>6228752.1230921885</v>
      </c>
      <c r="V619">
        <f t="shared" si="289"/>
        <v>6966842.1459195735</v>
      </c>
      <c r="W619">
        <f t="shared" si="289"/>
        <v>5672352.6957452074</v>
      </c>
      <c r="X619">
        <f t="shared" si="289"/>
        <v>11740361.209790699</v>
      </c>
      <c r="Y619">
        <f t="shared" si="289"/>
        <v>3038289.2937331563</v>
      </c>
    </row>
    <row r="620" spans="1:25" x14ac:dyDescent="0.45">
      <c r="A620" s="5" t="s">
        <v>251</v>
      </c>
      <c r="B620">
        <f t="shared" ref="B620:Y620" si="290">B292/B$326</f>
        <v>9430057.8567367494</v>
      </c>
      <c r="C620">
        <f t="shared" si="290"/>
        <v>17883022.293246817</v>
      </c>
      <c r="D620">
        <f t="shared" si="290"/>
        <v>8347069.6335652256</v>
      </c>
      <c r="E620">
        <f t="shared" si="290"/>
        <v>6467816.1802487252</v>
      </c>
      <c r="F620">
        <f t="shared" si="290"/>
        <v>9811905.6913784966</v>
      </c>
      <c r="G620">
        <f t="shared" si="290"/>
        <v>8547012.0058556851</v>
      </c>
      <c r="H620">
        <f t="shared" si="290"/>
        <v>6669639.2897800971</v>
      </c>
      <c r="I620">
        <f t="shared" si="290"/>
        <v>4166323.8360316348</v>
      </c>
      <c r="J620">
        <f t="shared" si="290"/>
        <v>15282705.388069894</v>
      </c>
      <c r="K620">
        <f t="shared" si="290"/>
        <v>4923327.553021796</v>
      </c>
      <c r="L620">
        <f t="shared" si="290"/>
        <v>6248660.1876388835</v>
      </c>
      <c r="M620">
        <f t="shared" si="290"/>
        <v>5681999.694834522</v>
      </c>
      <c r="N620">
        <f t="shared" si="290"/>
        <v>4997275.0675299568</v>
      </c>
      <c r="O620">
        <f t="shared" si="290"/>
        <v>41428821.387860358</v>
      </c>
      <c r="P620">
        <f t="shared" si="290"/>
        <v>19454241.882008135</v>
      </c>
      <c r="Q620">
        <f t="shared" si="290"/>
        <v>8000992.1711901054</v>
      </c>
      <c r="R620">
        <f t="shared" si="290"/>
        <v>8836338.9048470613</v>
      </c>
      <c r="S620">
        <f t="shared" si="290"/>
        <v>7732737.3556716805</v>
      </c>
      <c r="T620">
        <f t="shared" si="290"/>
        <v>9616722.9348755758</v>
      </c>
      <c r="U620">
        <f t="shared" si="290"/>
        <v>17126261.908279091</v>
      </c>
      <c r="V620">
        <f t="shared" si="290"/>
        <v>20398749.009510145</v>
      </c>
      <c r="W620">
        <f t="shared" si="290"/>
        <v>17942133.917522211</v>
      </c>
      <c r="X620">
        <f t="shared" si="290"/>
        <v>19275745.0420774</v>
      </c>
      <c r="Y620">
        <f t="shared" si="290"/>
        <v>14569136.193087311</v>
      </c>
    </row>
    <row r="621" spans="1:25" x14ac:dyDescent="0.45">
      <c r="A621" s="5" t="s">
        <v>431</v>
      </c>
      <c r="B621">
        <f t="shared" ref="B621:Y621" si="291">B293/B$326</f>
        <v>35992244.583172269</v>
      </c>
      <c r="C621">
        <f t="shared" si="291"/>
        <v>62168913.492147334</v>
      </c>
      <c r="D621">
        <f t="shared" si="291"/>
        <v>34114888.435806811</v>
      </c>
      <c r="E621">
        <f t="shared" si="291"/>
        <v>35476963.87070509</v>
      </c>
      <c r="F621">
        <f t="shared" si="291"/>
        <v>45805369.222492591</v>
      </c>
      <c r="G621">
        <f t="shared" si="291"/>
        <v>37276051.81350892</v>
      </c>
      <c r="H621">
        <f t="shared" si="291"/>
        <v>29082975.08392923</v>
      </c>
      <c r="I621">
        <f t="shared" si="291"/>
        <v>4303449.3229955509</v>
      </c>
      <c r="J621">
        <f t="shared" si="291"/>
        <v>92898644.414724141</v>
      </c>
      <c r="K621">
        <f t="shared" si="291"/>
        <v>19645910.536574855</v>
      </c>
      <c r="L621">
        <f t="shared" si="291"/>
        <v>41088061.999374047</v>
      </c>
      <c r="M621">
        <f t="shared" si="291"/>
        <v>27364009.299085781</v>
      </c>
      <c r="N621">
        <f t="shared" si="291"/>
        <v>29896681.894397415</v>
      </c>
      <c r="O621">
        <f t="shared" si="291"/>
        <v>125765779.86104628</v>
      </c>
      <c r="P621">
        <f t="shared" si="291"/>
        <v>82217276.895438865</v>
      </c>
      <c r="Q621">
        <f t="shared" si="291"/>
        <v>39723418.463437289</v>
      </c>
      <c r="R621">
        <f t="shared" si="291"/>
        <v>54211882.122204728</v>
      </c>
      <c r="S621">
        <f t="shared" si="291"/>
        <v>42248214.574412122</v>
      </c>
      <c r="T621">
        <f t="shared" si="291"/>
        <v>79370543.034309208</v>
      </c>
      <c r="U621">
        <f t="shared" si="291"/>
        <v>66847582.715222724</v>
      </c>
      <c r="V621">
        <f t="shared" si="291"/>
        <v>78059053.063219532</v>
      </c>
      <c r="W621">
        <f t="shared" si="291"/>
        <v>65007041.778751709</v>
      </c>
      <c r="X621">
        <f t="shared" si="291"/>
        <v>27345119.641146801</v>
      </c>
      <c r="Y621">
        <f t="shared" si="291"/>
        <v>53343925.420175247</v>
      </c>
    </row>
    <row r="622" spans="1:25" x14ac:dyDescent="0.45">
      <c r="A622" s="5" t="s">
        <v>252</v>
      </c>
      <c r="B622">
        <f t="shared" ref="B622:Y622" si="292">B294/B$326</f>
        <v>5597977.6804900132</v>
      </c>
      <c r="C622">
        <f t="shared" si="292"/>
        <v>20345553.618410885</v>
      </c>
      <c r="D622">
        <f t="shared" si="292"/>
        <v>11359516.326196808</v>
      </c>
      <c r="E622">
        <f t="shared" si="292"/>
        <v>10396593.925579241</v>
      </c>
      <c r="F622">
        <f t="shared" si="292"/>
        <v>12893493.353696765</v>
      </c>
      <c r="G622">
        <f t="shared" si="292"/>
        <v>8224490.0647495575</v>
      </c>
      <c r="H622">
        <f t="shared" si="292"/>
        <v>7810245.5784074161</v>
      </c>
      <c r="I622">
        <f t="shared" si="292"/>
        <v>15804013.730216108</v>
      </c>
      <c r="J622">
        <f t="shared" si="292"/>
        <v>20888848.352085836</v>
      </c>
      <c r="K622">
        <f t="shared" si="292"/>
        <v>6037319.9332353091</v>
      </c>
      <c r="L622">
        <f t="shared" si="292"/>
        <v>14576865.034651332</v>
      </c>
      <c r="M622">
        <f t="shared" si="292"/>
        <v>11846563.016666325</v>
      </c>
      <c r="N622">
        <f t="shared" si="292"/>
        <v>7489162.0300828647</v>
      </c>
      <c r="O622">
        <f t="shared" si="292"/>
        <v>5265966.7536822045</v>
      </c>
      <c r="P622">
        <f t="shared" si="292"/>
        <v>14033546.344081977</v>
      </c>
      <c r="Q622">
        <f t="shared" si="292"/>
        <v>11204832.329039373</v>
      </c>
      <c r="R622">
        <f t="shared" si="292"/>
        <v>4604565.8306359034</v>
      </c>
      <c r="S622">
        <f t="shared" si="292"/>
        <v>8208574.0159409754</v>
      </c>
      <c r="T622">
        <f t="shared" si="292"/>
        <v>19674352.205456574</v>
      </c>
      <c r="U622">
        <f t="shared" si="292"/>
        <v>17080295.16939678</v>
      </c>
      <c r="V622">
        <f t="shared" si="292"/>
        <v>17233313.192003675</v>
      </c>
      <c r="W622">
        <f t="shared" si="292"/>
        <v>5079669.9009553054</v>
      </c>
      <c r="X622">
        <f t="shared" si="292"/>
        <v>30847168.674458999</v>
      </c>
      <c r="Y622">
        <f t="shared" si="292"/>
        <v>16656627.395861125</v>
      </c>
    </row>
    <row r="623" spans="1:25" x14ac:dyDescent="0.45">
      <c r="A623" s="5" t="s">
        <v>253</v>
      </c>
      <c r="B623">
        <f t="shared" ref="B623:Y623" si="293">B295/B$326</f>
        <v>20850255.662091196</v>
      </c>
      <c r="C623">
        <f t="shared" si="293"/>
        <v>23654532.949729443</v>
      </c>
      <c r="D623">
        <f t="shared" si="293"/>
        <v>28048244.407503843</v>
      </c>
      <c r="E623">
        <f t="shared" si="293"/>
        <v>27619944.018654544</v>
      </c>
      <c r="F623">
        <f t="shared" si="293"/>
        <v>83019427.018959373</v>
      </c>
      <c r="G623">
        <f t="shared" si="293"/>
        <v>23149316.990435001</v>
      </c>
      <c r="H623">
        <f t="shared" si="293"/>
        <v>16233002.49139493</v>
      </c>
      <c r="I623">
        <f t="shared" si="293"/>
        <v>947676902.85929835</v>
      </c>
      <c r="J623">
        <f t="shared" si="293"/>
        <v>144990404.7340419</v>
      </c>
      <c r="K623">
        <f t="shared" si="293"/>
        <v>194083376.55186313</v>
      </c>
      <c r="L623">
        <f t="shared" si="293"/>
        <v>86815907.174537241</v>
      </c>
      <c r="M623">
        <f t="shared" si="293"/>
        <v>17422897.882950041</v>
      </c>
      <c r="N623">
        <f t="shared" si="293"/>
        <v>15829564.287661651</v>
      </c>
      <c r="O623">
        <f t="shared" si="293"/>
        <v>43958331.772763722</v>
      </c>
      <c r="P623">
        <f t="shared" si="293"/>
        <v>50468135.580599263</v>
      </c>
      <c r="Q623">
        <f t="shared" si="293"/>
        <v>16451819.495491059</v>
      </c>
      <c r="R623">
        <f t="shared" si="293"/>
        <v>105971870.10562378</v>
      </c>
      <c r="S623">
        <f t="shared" si="293"/>
        <v>24118874.37271098</v>
      </c>
      <c r="T623">
        <f t="shared" si="293"/>
        <v>51042763.421436772</v>
      </c>
      <c r="U623">
        <f t="shared" si="293"/>
        <v>32197936.957710426</v>
      </c>
      <c r="V623">
        <f t="shared" si="293"/>
        <v>36225587.914315462</v>
      </c>
      <c r="W623">
        <f t="shared" si="293"/>
        <v>38860097.476732813</v>
      </c>
      <c r="X623">
        <f t="shared" si="293"/>
        <v>590071391.43034399</v>
      </c>
      <c r="Y623">
        <f t="shared" si="293"/>
        <v>28751659.230057623</v>
      </c>
    </row>
    <row r="624" spans="1:25" x14ac:dyDescent="0.45">
      <c r="A624" s="5" t="s">
        <v>254</v>
      </c>
      <c r="B624">
        <f t="shared" ref="B624:Y624" si="294">B296/B$326</f>
        <v>26334283.772527311</v>
      </c>
      <c r="C624">
        <f t="shared" si="294"/>
        <v>32318029.962169793</v>
      </c>
      <c r="D624">
        <f t="shared" si="294"/>
        <v>24320411.238478106</v>
      </c>
      <c r="E624">
        <f t="shared" si="294"/>
        <v>30868657.704852648</v>
      </c>
      <c r="F624">
        <f t="shared" si="294"/>
        <v>34656142.324075811</v>
      </c>
      <c r="G624">
        <f t="shared" si="294"/>
        <v>32779362.207802992</v>
      </c>
      <c r="H624">
        <f t="shared" si="294"/>
        <v>26098316.471699178</v>
      </c>
      <c r="I624">
        <f t="shared" si="294"/>
        <v>37980858.321250007</v>
      </c>
      <c r="J624">
        <f t="shared" si="294"/>
        <v>54839173.866767034</v>
      </c>
      <c r="K624">
        <f t="shared" si="294"/>
        <v>42506809.675563902</v>
      </c>
      <c r="L624">
        <f t="shared" si="294"/>
        <v>36521557.496060051</v>
      </c>
      <c r="M624">
        <f t="shared" si="294"/>
        <v>31350270.709286511</v>
      </c>
      <c r="N624">
        <f t="shared" si="294"/>
        <v>19215400.156079326</v>
      </c>
      <c r="O624">
        <f t="shared" si="294"/>
        <v>39467494.123839572</v>
      </c>
      <c r="P624">
        <f t="shared" si="294"/>
        <v>44375611.452989981</v>
      </c>
      <c r="Q624">
        <f t="shared" si="294"/>
        <v>28381095.588449154</v>
      </c>
      <c r="R624">
        <f t="shared" si="294"/>
        <v>68054793.752057761</v>
      </c>
      <c r="S624">
        <f t="shared" si="294"/>
        <v>39976837.942479834</v>
      </c>
      <c r="T624">
        <f t="shared" si="294"/>
        <v>43384021.61687395</v>
      </c>
      <c r="U624">
        <f t="shared" si="294"/>
        <v>50944185.99560032</v>
      </c>
      <c r="V624">
        <f t="shared" si="294"/>
        <v>47854715.026587777</v>
      </c>
      <c r="W624">
        <f t="shared" si="294"/>
        <v>42398456.754111312</v>
      </c>
      <c r="X624">
        <f t="shared" si="294"/>
        <v>73152243.1083498</v>
      </c>
      <c r="Y624">
        <f t="shared" si="294"/>
        <v>5546447.5361242685</v>
      </c>
    </row>
    <row r="625" spans="1:25" x14ac:dyDescent="0.45">
      <c r="A625" s="5" t="s">
        <v>255</v>
      </c>
      <c r="B625">
        <f t="shared" ref="B625:Y625" si="295">B297/B$326</f>
        <v>193548.98725467021</v>
      </c>
      <c r="C625">
        <f t="shared" si="295"/>
        <v>2383442.6064785342</v>
      </c>
      <c r="D625">
        <f t="shared" si="295"/>
        <v>3092359.7070022249</v>
      </c>
      <c r="E625">
        <f t="shared" si="295"/>
        <v>175714.08380050393</v>
      </c>
      <c r="F625">
        <f t="shared" si="295"/>
        <v>3208297.6370357028</v>
      </c>
      <c r="G625">
        <f t="shared" si="295"/>
        <v>234641.4807778853</v>
      </c>
      <c r="H625">
        <f t="shared" si="295"/>
        <v>104759.60805502263</v>
      </c>
      <c r="I625">
        <f t="shared" si="295"/>
        <v>3769261.8796778251</v>
      </c>
      <c r="J625">
        <f t="shared" si="295"/>
        <v>885714.17765204667</v>
      </c>
      <c r="K625">
        <f t="shared" si="295"/>
        <v>389663.05594619387</v>
      </c>
      <c r="L625">
        <f t="shared" si="295"/>
        <v>1706835.3891962874</v>
      </c>
      <c r="M625">
        <f t="shared" si="295"/>
        <v>2546158.6442860845</v>
      </c>
      <c r="N625">
        <f t="shared" si="295"/>
        <v>87030.683870765701</v>
      </c>
      <c r="O625">
        <f t="shared" si="295"/>
        <v>166880.86789384467</v>
      </c>
      <c r="P625">
        <f t="shared" si="295"/>
        <v>106531.07231277584</v>
      </c>
      <c r="Q625">
        <f t="shared" si="295"/>
        <v>2716350.2491881377</v>
      </c>
      <c r="R625">
        <f t="shared" si="295"/>
        <v>308472.16950475815</v>
      </c>
      <c r="S625">
        <f t="shared" si="295"/>
        <v>4085992.5116605498</v>
      </c>
      <c r="T625">
        <f t="shared" si="295"/>
        <v>399009.29440812982</v>
      </c>
      <c r="U625">
        <f t="shared" si="295"/>
        <v>178293.04621341373</v>
      </c>
      <c r="V625">
        <f t="shared" si="295"/>
        <v>3320946.3520133379</v>
      </c>
      <c r="W625">
        <f t="shared" si="295"/>
        <v>197814.60351822851</v>
      </c>
      <c r="X625">
        <f t="shared" si="295"/>
        <v>681735415.75797403</v>
      </c>
      <c r="Y625">
        <f t="shared" si="295"/>
        <v>157978.66743718562</v>
      </c>
    </row>
    <row r="626" spans="1:25" x14ac:dyDescent="0.45">
      <c r="A626" s="5" t="s">
        <v>364</v>
      </c>
      <c r="B626">
        <f t="shared" ref="B626:Y626" si="296">B298/B$326</f>
        <v>9913286.6665390488</v>
      </c>
      <c r="C626">
        <f t="shared" si="296"/>
        <v>10448212.315847026</v>
      </c>
      <c r="D626">
        <f t="shared" si="296"/>
        <v>10984187.757954638</v>
      </c>
      <c r="E626">
        <f t="shared" si="296"/>
        <v>11302492.833912451</v>
      </c>
      <c r="F626">
        <f t="shared" si="296"/>
        <v>31487461.13260385</v>
      </c>
      <c r="G626">
        <f t="shared" si="296"/>
        <v>9549624.7913678922</v>
      </c>
      <c r="H626">
        <f t="shared" si="296"/>
        <v>7071375.5938283643</v>
      </c>
      <c r="I626">
        <f t="shared" si="296"/>
        <v>330420383.6926555</v>
      </c>
      <c r="J626">
        <f t="shared" si="296"/>
        <v>52182694.659045659</v>
      </c>
      <c r="K626">
        <f t="shared" si="296"/>
        <v>68232142.706173405</v>
      </c>
      <c r="L626">
        <f t="shared" si="296"/>
        <v>30939126.79898601</v>
      </c>
      <c r="M626">
        <f t="shared" si="296"/>
        <v>7338538.0998669313</v>
      </c>
      <c r="N626">
        <f t="shared" si="296"/>
        <v>8489720.3403294869</v>
      </c>
      <c r="O626">
        <f t="shared" si="296"/>
        <v>28667803.214686818</v>
      </c>
      <c r="P626">
        <f t="shared" si="296"/>
        <v>29005189.868303396</v>
      </c>
      <c r="Q626">
        <f t="shared" si="296"/>
        <v>5796696.5486943042</v>
      </c>
      <c r="R626">
        <f t="shared" si="296"/>
        <v>34397788.984906778</v>
      </c>
      <c r="S626">
        <f t="shared" si="296"/>
        <v>8480929.4009552263</v>
      </c>
      <c r="T626">
        <f t="shared" si="296"/>
        <v>17389995.997009654</v>
      </c>
      <c r="U626">
        <f t="shared" si="296"/>
        <v>12288307.818478733</v>
      </c>
      <c r="V626">
        <f t="shared" si="296"/>
        <v>13091282.880573852</v>
      </c>
      <c r="W626">
        <f t="shared" si="296"/>
        <v>15978558.424422625</v>
      </c>
      <c r="X626">
        <f t="shared" si="296"/>
        <v>201019735.27862599</v>
      </c>
      <c r="Y626">
        <f t="shared" si="296"/>
        <v>19688136.112864185</v>
      </c>
    </row>
    <row r="627" spans="1:25" x14ac:dyDescent="0.45">
      <c r="A627" s="5" t="s">
        <v>256</v>
      </c>
      <c r="B627">
        <f t="shared" ref="B627:Y627" si="297">B299/B$326</f>
        <v>1305107.1698745517</v>
      </c>
      <c r="C627">
        <f t="shared" si="297"/>
        <v>4347668.9501080103</v>
      </c>
      <c r="D627">
        <f t="shared" si="297"/>
        <v>3109681.304074897</v>
      </c>
      <c r="E627">
        <f t="shared" si="297"/>
        <v>6593224.0999893146</v>
      </c>
      <c r="F627">
        <f t="shared" si="297"/>
        <v>64493693.394226007</v>
      </c>
      <c r="G627">
        <f t="shared" si="297"/>
        <v>10203653.014793236</v>
      </c>
      <c r="H627">
        <f t="shared" si="297"/>
        <v>924254.91817979922</v>
      </c>
      <c r="I627">
        <f t="shared" si="297"/>
        <v>4131731.2771988465</v>
      </c>
      <c r="J627">
        <f t="shared" si="297"/>
        <v>1658156.5117236036</v>
      </c>
      <c r="K627">
        <f t="shared" si="297"/>
        <v>97076060.807047501</v>
      </c>
      <c r="L627">
        <f t="shared" si="297"/>
        <v>13658845.256784363</v>
      </c>
      <c r="M627">
        <f t="shared" si="297"/>
        <v>2346792.349274972</v>
      </c>
      <c r="N627">
        <f t="shared" si="297"/>
        <v>1505431.8775297147</v>
      </c>
      <c r="O627">
        <f t="shared" si="297"/>
        <v>2386390.5272291498</v>
      </c>
      <c r="P627">
        <f t="shared" si="297"/>
        <v>8087614.8538750838</v>
      </c>
      <c r="Q627">
        <f t="shared" si="297"/>
        <v>20786508.804655638</v>
      </c>
      <c r="R627">
        <f t="shared" si="297"/>
        <v>29722961.205623254</v>
      </c>
      <c r="S627">
        <f t="shared" si="297"/>
        <v>7901848.7867311174</v>
      </c>
      <c r="T627">
        <f t="shared" si="297"/>
        <v>10151901.414993716</v>
      </c>
      <c r="U627">
        <f t="shared" si="297"/>
        <v>101486577.90394251</v>
      </c>
      <c r="V627">
        <f t="shared" si="297"/>
        <v>2760041.0699670669</v>
      </c>
      <c r="W627">
        <f t="shared" si="297"/>
        <v>2220421.9969676672</v>
      </c>
      <c r="X627">
        <f t="shared" si="297"/>
        <v>6638109.9932640595</v>
      </c>
      <c r="Y627">
        <f t="shared" si="297"/>
        <v>1611799.4570968186</v>
      </c>
    </row>
    <row r="628" spans="1:25" x14ac:dyDescent="0.45">
      <c r="A628" s="5" t="s">
        <v>341</v>
      </c>
      <c r="B628">
        <f t="shared" ref="B628:Y628" si="298">B300/B$326</f>
        <v>1940580.7027439382</v>
      </c>
      <c r="C628">
        <f t="shared" si="298"/>
        <v>2876010.5659266314</v>
      </c>
      <c r="D628">
        <f t="shared" si="298"/>
        <v>1670413.6648163362</v>
      </c>
      <c r="E628">
        <f t="shared" si="298"/>
        <v>2871430.343403901</v>
      </c>
      <c r="F628">
        <f t="shared" si="298"/>
        <v>3030195.631073412</v>
      </c>
      <c r="G628">
        <f t="shared" si="298"/>
        <v>3196769.3948745634</v>
      </c>
      <c r="H628">
        <f t="shared" si="298"/>
        <v>2228054.2958643176</v>
      </c>
      <c r="I628">
        <f t="shared" si="298"/>
        <v>3107279.6637239465</v>
      </c>
      <c r="J628">
        <f t="shared" si="298"/>
        <v>3646440.1871912819</v>
      </c>
      <c r="K628">
        <f t="shared" si="298"/>
        <v>4039567.9287680206</v>
      </c>
      <c r="L628">
        <f t="shared" si="298"/>
        <v>3238082.413279729</v>
      </c>
      <c r="M628">
        <f t="shared" si="298"/>
        <v>3029336.3078800803</v>
      </c>
      <c r="N628">
        <f t="shared" si="298"/>
        <v>2138900.7757683517</v>
      </c>
      <c r="O628">
        <f t="shared" si="298"/>
        <v>3351788.5749943466</v>
      </c>
      <c r="P628">
        <f t="shared" si="298"/>
        <v>4972947.819592353</v>
      </c>
      <c r="Q628">
        <f t="shared" si="298"/>
        <v>1472995.7992694215</v>
      </c>
      <c r="R628">
        <f t="shared" si="298"/>
        <v>6871355.0926985061</v>
      </c>
      <c r="S628">
        <f t="shared" si="298"/>
        <v>2015048.2804573632</v>
      </c>
      <c r="T628">
        <f t="shared" si="298"/>
        <v>3845152.7268850305</v>
      </c>
      <c r="U628">
        <f t="shared" si="298"/>
        <v>5324069.9789981432</v>
      </c>
      <c r="V628">
        <f t="shared" si="298"/>
        <v>3868637.9662339692</v>
      </c>
      <c r="W628">
        <f t="shared" si="298"/>
        <v>6001328.5722288406</v>
      </c>
      <c r="X628">
        <f t="shared" si="298"/>
        <v>7337410.5274111601</v>
      </c>
      <c r="Y628">
        <f t="shared" si="298"/>
        <v>3138908.1151690502</v>
      </c>
    </row>
    <row r="629" spans="1:25" x14ac:dyDescent="0.45">
      <c r="A629" s="5" t="s">
        <v>380</v>
      </c>
      <c r="B629">
        <f t="shared" ref="B629:Y629" si="299">B301/B$326</f>
        <v>153727814.85440406</v>
      </c>
      <c r="C629">
        <f t="shared" si="299"/>
        <v>139744728.38326114</v>
      </c>
      <c r="D629">
        <f t="shared" si="299"/>
        <v>166072153.10850102</v>
      </c>
      <c r="E629">
        <f t="shared" si="299"/>
        <v>132796796.94255495</v>
      </c>
      <c r="F629">
        <f t="shared" si="299"/>
        <v>194218157.09254482</v>
      </c>
      <c r="G629">
        <f t="shared" si="299"/>
        <v>119975691.34792696</v>
      </c>
      <c r="H629">
        <f t="shared" si="299"/>
        <v>129642444.76835448</v>
      </c>
      <c r="I629">
        <f t="shared" si="299"/>
        <v>891089906.85934174</v>
      </c>
      <c r="J629">
        <f t="shared" si="299"/>
        <v>635178366.20383239</v>
      </c>
      <c r="K629">
        <f t="shared" si="299"/>
        <v>103022231.32827394</v>
      </c>
      <c r="L629">
        <f t="shared" si="299"/>
        <v>223238598.00429627</v>
      </c>
      <c r="M629">
        <f t="shared" si="299"/>
        <v>71873482.924231872</v>
      </c>
      <c r="N629">
        <f t="shared" si="299"/>
        <v>112343721.57520688</v>
      </c>
      <c r="O629">
        <f t="shared" si="299"/>
        <v>463626164.45405424</v>
      </c>
      <c r="P629">
        <f t="shared" si="299"/>
        <v>510190576.63932306</v>
      </c>
      <c r="Q629">
        <f t="shared" si="299"/>
        <v>84949628.397257596</v>
      </c>
      <c r="R629">
        <f t="shared" si="299"/>
        <v>392190351.1331417</v>
      </c>
      <c r="S629">
        <f t="shared" si="299"/>
        <v>235761124.4529478</v>
      </c>
      <c r="T629">
        <f t="shared" si="299"/>
        <v>298664680.01492101</v>
      </c>
      <c r="U629">
        <f t="shared" si="299"/>
        <v>266478346.03398991</v>
      </c>
      <c r="V629">
        <f t="shared" si="299"/>
        <v>339344932.56300259</v>
      </c>
      <c r="W629">
        <f t="shared" si="299"/>
        <v>322945455.8508898</v>
      </c>
      <c r="X629">
        <f t="shared" si="299"/>
        <v>789145613.24369597</v>
      </c>
      <c r="Y629">
        <f t="shared" si="299"/>
        <v>286578031.13715065</v>
      </c>
    </row>
    <row r="630" spans="1:25" x14ac:dyDescent="0.45">
      <c r="A630" s="5" t="s">
        <v>342</v>
      </c>
      <c r="B630">
        <f t="shared" ref="B630:Y630" si="300">B302/B$326</f>
        <v>83710535.730279848</v>
      </c>
      <c r="C630">
        <f t="shared" si="300"/>
        <v>72258737.812207833</v>
      </c>
      <c r="D630">
        <f t="shared" si="300"/>
        <v>49688184.904454708</v>
      </c>
      <c r="E630">
        <f t="shared" si="300"/>
        <v>86587074.602974206</v>
      </c>
      <c r="F630">
        <f t="shared" si="300"/>
        <v>35950582.334129855</v>
      </c>
      <c r="G630">
        <f t="shared" si="300"/>
        <v>76670646.442930385</v>
      </c>
      <c r="H630">
        <f t="shared" si="300"/>
        <v>48990625.138617843</v>
      </c>
      <c r="I630">
        <f t="shared" si="300"/>
        <v>12006776.367592731</v>
      </c>
      <c r="J630">
        <f t="shared" si="300"/>
        <v>53370537.680225894</v>
      </c>
      <c r="K630">
        <f t="shared" si="300"/>
        <v>11330716.60400475</v>
      </c>
      <c r="L630">
        <f t="shared" si="300"/>
        <v>25911267.487339579</v>
      </c>
      <c r="M630">
        <f t="shared" si="300"/>
        <v>49023016.785696797</v>
      </c>
      <c r="N630">
        <f t="shared" si="300"/>
        <v>27066560.919730488</v>
      </c>
      <c r="O630">
        <f t="shared" si="300"/>
        <v>48890786.596558236</v>
      </c>
      <c r="P630">
        <f t="shared" si="300"/>
        <v>65153264.545331083</v>
      </c>
      <c r="Q630">
        <f t="shared" si="300"/>
        <v>90133315.015834704</v>
      </c>
      <c r="R630">
        <f t="shared" si="300"/>
        <v>77640947.101126581</v>
      </c>
      <c r="S630">
        <f t="shared" si="300"/>
        <v>96554719.893856838</v>
      </c>
      <c r="T630">
        <f t="shared" si="300"/>
        <v>56145652.15315789</v>
      </c>
      <c r="U630">
        <f t="shared" si="300"/>
        <v>78436535.886113927</v>
      </c>
      <c r="V630">
        <f t="shared" si="300"/>
        <v>119359248.83985731</v>
      </c>
      <c r="W630">
        <f t="shared" si="300"/>
        <v>100480871.42498378</v>
      </c>
      <c r="X630">
        <f t="shared" si="300"/>
        <v>203413161.078437</v>
      </c>
      <c r="Y630">
        <f t="shared" si="300"/>
        <v>68712051.238572493</v>
      </c>
    </row>
    <row r="631" spans="1:25" x14ac:dyDescent="0.45">
      <c r="A631" s="5" t="s">
        <v>257</v>
      </c>
      <c r="B631">
        <f t="shared" ref="B631:Y631" si="301">B303/B$326</f>
        <v>973656.99480701855</v>
      </c>
      <c r="C631">
        <f t="shared" si="301"/>
        <v>2314472.7802713662</v>
      </c>
      <c r="D631">
        <f t="shared" si="301"/>
        <v>944171.24072613672</v>
      </c>
      <c r="E631">
        <f t="shared" si="301"/>
        <v>715061.02760341961</v>
      </c>
      <c r="F631">
        <f t="shared" si="301"/>
        <v>802488.9432503893</v>
      </c>
      <c r="G631">
        <f t="shared" si="301"/>
        <v>1361338.8921994853</v>
      </c>
      <c r="H631">
        <f t="shared" si="301"/>
        <v>1008849.8864569606</v>
      </c>
      <c r="I631">
        <f t="shared" si="301"/>
        <v>3016392.5059901117</v>
      </c>
      <c r="J631">
        <f t="shared" si="301"/>
        <v>1832433.2143572913</v>
      </c>
      <c r="K631">
        <f t="shared" si="301"/>
        <v>370344.51674503699</v>
      </c>
      <c r="L631">
        <f t="shared" si="301"/>
        <v>897271.17274984578</v>
      </c>
      <c r="M631">
        <f t="shared" si="301"/>
        <v>887134.49634158961</v>
      </c>
      <c r="N631">
        <f t="shared" si="301"/>
        <v>1706494.008656604</v>
      </c>
      <c r="O631">
        <f t="shared" si="301"/>
        <v>5360191.4581640633</v>
      </c>
      <c r="P631">
        <f t="shared" si="301"/>
        <v>1881471.6535103198</v>
      </c>
      <c r="Q631">
        <f t="shared" si="301"/>
        <v>1289518.5437483438</v>
      </c>
      <c r="R631">
        <f t="shared" si="301"/>
        <v>1318010.0013066086</v>
      </c>
      <c r="S631">
        <f t="shared" si="301"/>
        <v>1615048.0671905589</v>
      </c>
      <c r="T631">
        <f t="shared" si="301"/>
        <v>867242.58909786842</v>
      </c>
      <c r="U631">
        <f t="shared" si="301"/>
        <v>3744626.514164608</v>
      </c>
      <c r="V631">
        <f t="shared" si="301"/>
        <v>5150054.0153304534</v>
      </c>
      <c r="W631">
        <f t="shared" si="301"/>
        <v>2539831.2842532378</v>
      </c>
      <c r="X631">
        <f t="shared" si="301"/>
        <v>1554947.5975927899</v>
      </c>
      <c r="Y631">
        <f t="shared" si="301"/>
        <v>3263488.9056196935</v>
      </c>
    </row>
    <row r="632" spans="1:25" x14ac:dyDescent="0.45">
      <c r="A632" s="5" t="s">
        <v>258</v>
      </c>
      <c r="B632">
        <f t="shared" ref="B632:Y632" si="302">B304/B$326</f>
        <v>50891520.902032644</v>
      </c>
      <c r="C632">
        <f t="shared" si="302"/>
        <v>44954235.993931144</v>
      </c>
      <c r="D632">
        <f t="shared" si="302"/>
        <v>10023088.263921443</v>
      </c>
      <c r="E632">
        <f t="shared" si="302"/>
        <v>98014.16411800489</v>
      </c>
      <c r="F632">
        <f t="shared" si="302"/>
        <v>1032690.1906275109</v>
      </c>
      <c r="G632">
        <f t="shared" si="302"/>
        <v>507116.21954576962</v>
      </c>
      <c r="H632">
        <f t="shared" si="302"/>
        <v>377257.27199069504</v>
      </c>
      <c r="I632">
        <f t="shared" si="302"/>
        <v>200171415.18426892</v>
      </c>
      <c r="J632">
        <f t="shared" si="302"/>
        <v>29169406.649099577</v>
      </c>
      <c r="K632">
        <f t="shared" si="302"/>
        <v>96645189.410341009</v>
      </c>
      <c r="L632">
        <f t="shared" si="302"/>
        <v>3116799.925685883</v>
      </c>
      <c r="M632">
        <f t="shared" si="302"/>
        <v>15410890.872821888</v>
      </c>
      <c r="N632">
        <f t="shared" si="302"/>
        <v>292696.36662927025</v>
      </c>
      <c r="O632">
        <f t="shared" si="302"/>
        <v>663433.5573380834</v>
      </c>
      <c r="P632">
        <f t="shared" si="302"/>
        <v>143149.83227352792</v>
      </c>
      <c r="Q632">
        <f t="shared" si="302"/>
        <v>126783.80886410025</v>
      </c>
      <c r="R632">
        <f t="shared" si="302"/>
        <v>44731493.851509154</v>
      </c>
      <c r="S632">
        <f t="shared" si="302"/>
        <v>834481.26196908054</v>
      </c>
      <c r="T632">
        <f t="shared" si="302"/>
        <v>759655.20956166124</v>
      </c>
      <c r="U632">
        <f t="shared" si="302"/>
        <v>750998.72990583861</v>
      </c>
      <c r="V632">
        <f t="shared" si="302"/>
        <v>799077.43828803324</v>
      </c>
      <c r="W632">
        <f t="shared" si="302"/>
        <v>1005879.6183062036</v>
      </c>
      <c r="X632">
        <f t="shared" si="302"/>
        <v>3081056238.56142</v>
      </c>
      <c r="Y632">
        <f t="shared" si="302"/>
        <v>3119168.0652959496</v>
      </c>
    </row>
    <row r="633" spans="1:25" x14ac:dyDescent="0.45">
      <c r="A633" s="5" t="s">
        <v>343</v>
      </c>
      <c r="B633">
        <f t="shared" ref="B633:Y633" si="303">B305/B$326</f>
        <v>38997475.876122996</v>
      </c>
      <c r="C633">
        <f t="shared" si="303"/>
        <v>85795435.969069362</v>
      </c>
      <c r="D633">
        <f t="shared" si="303"/>
        <v>27802007.857580718</v>
      </c>
      <c r="E633">
        <f t="shared" si="303"/>
        <v>20127315.057387769</v>
      </c>
      <c r="F633">
        <f t="shared" si="303"/>
        <v>28092233.913362145</v>
      </c>
      <c r="G633">
        <f t="shared" si="303"/>
        <v>46636245.311654262</v>
      </c>
      <c r="H633">
        <f t="shared" si="303"/>
        <v>41423347.582032226</v>
      </c>
      <c r="I633">
        <f t="shared" si="303"/>
        <v>97022725.336119443</v>
      </c>
      <c r="J633">
        <f t="shared" si="303"/>
        <v>73812304.749392927</v>
      </c>
      <c r="K633">
        <f t="shared" si="303"/>
        <v>10645519.827470681</v>
      </c>
      <c r="L633">
        <f t="shared" si="303"/>
        <v>32703922.062116649</v>
      </c>
      <c r="M633">
        <f t="shared" si="303"/>
        <v>31382809.580160484</v>
      </c>
      <c r="N633">
        <f t="shared" si="303"/>
        <v>44217136.921192147</v>
      </c>
      <c r="O633">
        <f t="shared" si="303"/>
        <v>176833008.59548801</v>
      </c>
      <c r="P633">
        <f t="shared" si="303"/>
        <v>55735081.733457945</v>
      </c>
      <c r="Q633">
        <f t="shared" si="303"/>
        <v>40696077.012824893</v>
      </c>
      <c r="R633">
        <f t="shared" si="303"/>
        <v>39675260.557459049</v>
      </c>
      <c r="S633">
        <f t="shared" si="303"/>
        <v>62379556.968504705</v>
      </c>
      <c r="T633">
        <f t="shared" si="303"/>
        <v>29845568.176081873</v>
      </c>
      <c r="U633">
        <f t="shared" si="303"/>
        <v>126372630.44432826</v>
      </c>
      <c r="V633">
        <f t="shared" si="303"/>
        <v>184393326.330861</v>
      </c>
      <c r="W633">
        <f t="shared" si="303"/>
        <v>86086820.764439672</v>
      </c>
      <c r="X633">
        <f t="shared" si="303"/>
        <v>70197579.439203501</v>
      </c>
      <c r="Y633">
        <f t="shared" si="303"/>
        <v>103145857.0037156</v>
      </c>
    </row>
    <row r="634" spans="1:25" x14ac:dyDescent="0.45">
      <c r="A634" s="5" t="s">
        <v>259</v>
      </c>
      <c r="B634">
        <f t="shared" ref="B634:Y634" si="304">B306/B$326</f>
        <v>18086544.804630127</v>
      </c>
      <c r="C634">
        <f t="shared" si="304"/>
        <v>67340763.846568719</v>
      </c>
      <c r="D634">
        <f t="shared" si="304"/>
        <v>38333856.212397195</v>
      </c>
      <c r="E634">
        <f t="shared" si="304"/>
        <v>27645393.323530227</v>
      </c>
      <c r="F634">
        <f t="shared" si="304"/>
        <v>32745937.376009081</v>
      </c>
      <c r="G634">
        <f t="shared" si="304"/>
        <v>30290210.474649511</v>
      </c>
      <c r="H634">
        <f t="shared" si="304"/>
        <v>19583222.751275845</v>
      </c>
      <c r="I634">
        <f t="shared" si="304"/>
        <v>33644105.45990064</v>
      </c>
      <c r="J634">
        <f t="shared" si="304"/>
        <v>54490327.049874678</v>
      </c>
      <c r="K634">
        <f t="shared" si="304"/>
        <v>27828176.03686348</v>
      </c>
      <c r="L634">
        <f t="shared" si="304"/>
        <v>36281182.474543512</v>
      </c>
      <c r="M634">
        <f t="shared" si="304"/>
        <v>32274870.325825021</v>
      </c>
      <c r="N634">
        <f t="shared" si="304"/>
        <v>24394462.919314761</v>
      </c>
      <c r="O634">
        <f t="shared" si="304"/>
        <v>46824014.390262328</v>
      </c>
      <c r="P634">
        <f t="shared" si="304"/>
        <v>39271757.37098483</v>
      </c>
      <c r="Q634">
        <f t="shared" si="304"/>
        <v>31788010.931128979</v>
      </c>
      <c r="R634">
        <f t="shared" si="304"/>
        <v>13710315.870053206</v>
      </c>
      <c r="S634">
        <f t="shared" si="304"/>
        <v>41901060.573199622</v>
      </c>
      <c r="T634">
        <f t="shared" si="304"/>
        <v>52264796.01608108</v>
      </c>
      <c r="U634">
        <f t="shared" si="304"/>
        <v>44668366.761681348</v>
      </c>
      <c r="V634">
        <f t="shared" si="304"/>
        <v>49311033.314860329</v>
      </c>
      <c r="W634">
        <f t="shared" si="304"/>
        <v>44251310.999755174</v>
      </c>
      <c r="X634">
        <f t="shared" si="304"/>
        <v>18529485.884183999</v>
      </c>
      <c r="Y634">
        <f t="shared" si="304"/>
        <v>34315435.772837251</v>
      </c>
    </row>
    <row r="635" spans="1:25" x14ac:dyDescent="0.45">
      <c r="A635" s="5" t="s">
        <v>381</v>
      </c>
      <c r="B635">
        <f t="shared" ref="B635:Y635" si="305">B307/B$326</f>
        <v>191185798.52478379</v>
      </c>
      <c r="C635">
        <f t="shared" si="305"/>
        <v>607659349.1073283</v>
      </c>
      <c r="D635">
        <f t="shared" si="305"/>
        <v>473905460.0936268</v>
      </c>
      <c r="E635">
        <f t="shared" si="305"/>
        <v>315795964.89072949</v>
      </c>
      <c r="F635">
        <f t="shared" si="305"/>
        <v>385581064.07058024</v>
      </c>
      <c r="G635">
        <f t="shared" si="305"/>
        <v>370224266.61228776</v>
      </c>
      <c r="H635">
        <f t="shared" si="305"/>
        <v>281822649.96691227</v>
      </c>
      <c r="I635">
        <f t="shared" si="305"/>
        <v>1916702053.3958597</v>
      </c>
      <c r="J635">
        <f t="shared" si="305"/>
        <v>1084549840.7148776</v>
      </c>
      <c r="K635">
        <f t="shared" si="305"/>
        <v>882388733.86549544</v>
      </c>
      <c r="L635">
        <f t="shared" si="305"/>
        <v>1250276577.1875212</v>
      </c>
      <c r="M635">
        <f t="shared" si="305"/>
        <v>355796039.13655502</v>
      </c>
      <c r="N635">
        <f t="shared" si="305"/>
        <v>254186120.69497472</v>
      </c>
      <c r="O635">
        <f t="shared" si="305"/>
        <v>719393468.25521564</v>
      </c>
      <c r="P635">
        <f t="shared" si="305"/>
        <v>844691367.41624689</v>
      </c>
      <c r="Q635">
        <f t="shared" si="305"/>
        <v>594985077.91502428</v>
      </c>
      <c r="R635">
        <f t="shared" si="305"/>
        <v>1486973023.9756341</v>
      </c>
      <c r="S635">
        <f t="shared" si="305"/>
        <v>640669123.78964245</v>
      </c>
      <c r="T635">
        <f t="shared" si="305"/>
        <v>350891360.68366176</v>
      </c>
      <c r="U635">
        <f t="shared" si="305"/>
        <v>344079896.07684988</v>
      </c>
      <c r="V635">
        <f t="shared" si="305"/>
        <v>220353913.48470044</v>
      </c>
      <c r="W635">
        <f t="shared" si="305"/>
        <v>516678421.45355588</v>
      </c>
      <c r="X635">
        <f t="shared" si="305"/>
        <v>2665990673.5538201</v>
      </c>
      <c r="Y635">
        <f t="shared" si="305"/>
        <v>449628019.1546337</v>
      </c>
    </row>
    <row r="636" spans="1:25" x14ac:dyDescent="0.45">
      <c r="A636" s="5" t="s">
        <v>260</v>
      </c>
      <c r="B636">
        <f t="shared" ref="B636:Q649" si="306">B308/B$326</f>
        <v>30045304.876598198</v>
      </c>
      <c r="C636">
        <f t="shared" si="306"/>
        <v>26672139.728561532</v>
      </c>
      <c r="D636">
        <f t="shared" si="306"/>
        <v>21656008.544320732</v>
      </c>
      <c r="E636">
        <f t="shared" si="306"/>
        <v>38304546.232258141</v>
      </c>
      <c r="F636">
        <f t="shared" si="306"/>
        <v>55446249.143351093</v>
      </c>
      <c r="G636">
        <f t="shared" si="306"/>
        <v>28527681.871637255</v>
      </c>
      <c r="H636">
        <f t="shared" si="306"/>
        <v>21878528.97596876</v>
      </c>
      <c r="I636">
        <f t="shared" si="306"/>
        <v>96607879.737546355</v>
      </c>
      <c r="J636">
        <f t="shared" si="306"/>
        <v>141634124.53776622</v>
      </c>
      <c r="K636">
        <f t="shared" si="306"/>
        <v>37207145.871708192</v>
      </c>
      <c r="L636">
        <f t="shared" si="306"/>
        <v>45162530.072650857</v>
      </c>
      <c r="M636">
        <f t="shared" si="306"/>
        <v>22504741.853794653</v>
      </c>
      <c r="N636">
        <f t="shared" si="306"/>
        <v>4618619.0131641803</v>
      </c>
      <c r="O636">
        <f t="shared" si="306"/>
        <v>30417606.539488323</v>
      </c>
      <c r="P636">
        <f t="shared" si="306"/>
        <v>44009231.300299853</v>
      </c>
      <c r="Q636">
        <f t="shared" si="306"/>
        <v>20686009.156252392</v>
      </c>
      <c r="R636">
        <f t="shared" ref="R636:Y636" si="307">R308/R$326</f>
        <v>57726862.561674207</v>
      </c>
      <c r="S636">
        <f t="shared" si="307"/>
        <v>31736251.093747355</v>
      </c>
      <c r="T636">
        <f t="shared" si="307"/>
        <v>31965191.936046366</v>
      </c>
      <c r="U636">
        <f t="shared" si="307"/>
        <v>36924162.512786791</v>
      </c>
      <c r="V636">
        <f t="shared" si="307"/>
        <v>34548312.506492488</v>
      </c>
      <c r="W636">
        <f t="shared" si="307"/>
        <v>49247149.953036845</v>
      </c>
      <c r="X636">
        <f t="shared" si="307"/>
        <v>111840072.32791799</v>
      </c>
      <c r="Y636">
        <f t="shared" si="307"/>
        <v>74280788.517528743</v>
      </c>
    </row>
    <row r="637" spans="1:25" x14ac:dyDescent="0.45">
      <c r="A637" s="5" t="s">
        <v>344</v>
      </c>
      <c r="B637">
        <f t="shared" si="306"/>
        <v>11365883.196549147</v>
      </c>
      <c r="C637">
        <f t="shared" si="306"/>
        <v>12304337.216401493</v>
      </c>
      <c r="D637">
        <f t="shared" si="306"/>
        <v>6113404.4891127562</v>
      </c>
      <c r="E637">
        <f t="shared" si="306"/>
        <v>5251699.5596455634</v>
      </c>
      <c r="F637">
        <f t="shared" si="306"/>
        <v>4454708.3319912767</v>
      </c>
      <c r="G637">
        <f t="shared" si="306"/>
        <v>7801470.4252263233</v>
      </c>
      <c r="H637">
        <f t="shared" si="306"/>
        <v>6613665.8583276188</v>
      </c>
      <c r="I637">
        <f t="shared" si="306"/>
        <v>12828742.881940747</v>
      </c>
      <c r="J637">
        <f t="shared" si="306"/>
        <v>8470676.601241434</v>
      </c>
      <c r="K637">
        <f t="shared" si="306"/>
        <v>7254676.5617121756</v>
      </c>
      <c r="L637">
        <f t="shared" si="306"/>
        <v>10014065.061022289</v>
      </c>
      <c r="M637">
        <f t="shared" si="306"/>
        <v>6153423.8778379289</v>
      </c>
      <c r="N637">
        <f t="shared" si="306"/>
        <v>10954990.224403648</v>
      </c>
      <c r="O637">
        <f t="shared" si="306"/>
        <v>9742693.6311806124</v>
      </c>
      <c r="P637">
        <f t="shared" si="306"/>
        <v>7869464.7240014905</v>
      </c>
      <c r="Q637">
        <f t="shared" si="306"/>
        <v>9594578.0735570788</v>
      </c>
      <c r="R637">
        <f t="shared" ref="R637:Y637" si="308">R309/R$326</f>
        <v>13573407.372605925</v>
      </c>
      <c r="S637">
        <f t="shared" si="308"/>
        <v>12811936.096219167</v>
      </c>
      <c r="T637">
        <f t="shared" si="308"/>
        <v>7447058.3197254194</v>
      </c>
      <c r="U637">
        <f t="shared" si="308"/>
        <v>9957888.6904169414</v>
      </c>
      <c r="V637">
        <f t="shared" si="308"/>
        <v>14996424.031026924</v>
      </c>
      <c r="W637">
        <f t="shared" si="308"/>
        <v>9584037.6407150328</v>
      </c>
      <c r="X637">
        <f t="shared" si="308"/>
        <v>32902002.272190001</v>
      </c>
      <c r="Y637">
        <f t="shared" si="308"/>
        <v>9774762.9581581857</v>
      </c>
    </row>
    <row r="638" spans="1:25" x14ac:dyDescent="0.45">
      <c r="A638" s="5" t="s">
        <v>261</v>
      </c>
      <c r="B638">
        <f t="shared" si="306"/>
        <v>17733554.750042103</v>
      </c>
      <c r="C638">
        <f t="shared" si="306"/>
        <v>32180378.100267649</v>
      </c>
      <c r="D638">
        <f t="shared" si="306"/>
        <v>14401798.294700647</v>
      </c>
      <c r="E638">
        <f t="shared" si="306"/>
        <v>11402138.9163594</v>
      </c>
      <c r="F638">
        <f t="shared" si="306"/>
        <v>9123822.8876166884</v>
      </c>
      <c r="G638">
        <f t="shared" si="306"/>
        <v>7365709.0817829901</v>
      </c>
      <c r="H638">
        <f t="shared" si="306"/>
        <v>7302239.5977785112</v>
      </c>
      <c r="I638">
        <f t="shared" si="306"/>
        <v>7310782.6747104032</v>
      </c>
      <c r="J638">
        <f t="shared" si="306"/>
        <v>17615269.607066061</v>
      </c>
      <c r="K638">
        <f t="shared" si="306"/>
        <v>4286809.6400205251</v>
      </c>
      <c r="L638">
        <f t="shared" si="306"/>
        <v>10556608.446172608</v>
      </c>
      <c r="M638">
        <f t="shared" si="306"/>
        <v>11630727.035289945</v>
      </c>
      <c r="N638">
        <f t="shared" si="306"/>
        <v>13627145.966487741</v>
      </c>
      <c r="O638">
        <f t="shared" si="306"/>
        <v>87231166.286680818</v>
      </c>
      <c r="P638">
        <f t="shared" si="306"/>
        <v>23967595.753499705</v>
      </c>
      <c r="Q638">
        <f t="shared" si="306"/>
        <v>18423346.590352893</v>
      </c>
      <c r="R638">
        <f t="shared" ref="R638:Y638" si="309">R310/R$326</f>
        <v>10112310.59164183</v>
      </c>
      <c r="S638">
        <f t="shared" si="309"/>
        <v>19558874.260658305</v>
      </c>
      <c r="T638">
        <f t="shared" si="309"/>
        <v>17241320.414801531</v>
      </c>
      <c r="U638">
        <f t="shared" si="309"/>
        <v>14206097.095578207</v>
      </c>
      <c r="V638">
        <f t="shared" si="309"/>
        <v>44149839.746968791</v>
      </c>
      <c r="W638">
        <f t="shared" si="309"/>
        <v>15098147.129153224</v>
      </c>
      <c r="X638">
        <f t="shared" si="309"/>
        <v>15622474.181896901</v>
      </c>
      <c r="Y638">
        <f t="shared" si="309"/>
        <v>18269995.850738063</v>
      </c>
    </row>
    <row r="639" spans="1:25" x14ac:dyDescent="0.45">
      <c r="A639" s="5" t="s">
        <v>262</v>
      </c>
      <c r="B639">
        <f t="shared" si="306"/>
        <v>4062739.2986553637</v>
      </c>
      <c r="C639">
        <f t="shared" si="306"/>
        <v>12293751.033006653</v>
      </c>
      <c r="D639">
        <f t="shared" si="306"/>
        <v>2955375.7493817718</v>
      </c>
      <c r="E639">
        <f t="shared" si="306"/>
        <v>1846117.6000798692</v>
      </c>
      <c r="F639">
        <f t="shared" si="306"/>
        <v>3085221.3216843149</v>
      </c>
      <c r="G639">
        <f t="shared" si="306"/>
        <v>5203499.2077882355</v>
      </c>
      <c r="H639">
        <f t="shared" si="306"/>
        <v>5240914.582374244</v>
      </c>
      <c r="I639">
        <f t="shared" si="306"/>
        <v>1560577.2689515948</v>
      </c>
      <c r="J639">
        <f t="shared" si="306"/>
        <v>4663465.3188958559</v>
      </c>
      <c r="K639">
        <f t="shared" si="306"/>
        <v>862148.01872483082</v>
      </c>
      <c r="L639">
        <f t="shared" si="306"/>
        <v>2498565.1577289947</v>
      </c>
      <c r="M639">
        <f t="shared" si="306"/>
        <v>3646261.7982565565</v>
      </c>
      <c r="N639">
        <f t="shared" si="306"/>
        <v>4821728.6300805258</v>
      </c>
      <c r="O639">
        <f t="shared" si="306"/>
        <v>28474660.23910901</v>
      </c>
      <c r="P639">
        <f t="shared" si="306"/>
        <v>14563410.392530197</v>
      </c>
      <c r="Q639">
        <f t="shared" si="306"/>
        <v>5447197.6232606545</v>
      </c>
      <c r="R639">
        <f t="shared" ref="R639:Y639" si="310">R311/R$326</f>
        <v>2255521.7804540196</v>
      </c>
      <c r="S639">
        <f t="shared" si="310"/>
        <v>5141385.2407097863</v>
      </c>
      <c r="T639">
        <f t="shared" si="310"/>
        <v>4606891.864083901</v>
      </c>
      <c r="U639">
        <f t="shared" si="310"/>
        <v>10812113.477003386</v>
      </c>
      <c r="V639">
        <f t="shared" si="310"/>
        <v>14395116.309590463</v>
      </c>
      <c r="W639">
        <f t="shared" si="310"/>
        <v>13300423.089945568</v>
      </c>
      <c r="X639">
        <f t="shared" si="310"/>
        <v>3397401.5786062502</v>
      </c>
      <c r="Y639">
        <f t="shared" si="310"/>
        <v>10157055.905634062</v>
      </c>
    </row>
    <row r="640" spans="1:25" x14ac:dyDescent="0.45">
      <c r="A640" s="5" t="s">
        <v>263</v>
      </c>
      <c r="B640">
        <f t="shared" si="306"/>
        <v>12488773.725032778</v>
      </c>
      <c r="C640">
        <f t="shared" si="306"/>
        <v>43302126.258379824</v>
      </c>
      <c r="D640">
        <f t="shared" si="306"/>
        <v>27494674.720712256</v>
      </c>
      <c r="E640">
        <f t="shared" si="306"/>
        <v>15599433.926355751</v>
      </c>
      <c r="F640">
        <f t="shared" si="306"/>
        <v>28878220.461741164</v>
      </c>
      <c r="G640">
        <f t="shared" si="306"/>
        <v>28157535.608829167</v>
      </c>
      <c r="H640">
        <f t="shared" si="306"/>
        <v>33982133.682625264</v>
      </c>
      <c r="I640">
        <f t="shared" si="306"/>
        <v>201273082.55791795</v>
      </c>
      <c r="J640">
        <f t="shared" si="306"/>
        <v>101315127.4540609</v>
      </c>
      <c r="K640">
        <f t="shared" si="306"/>
        <v>27473713.463480484</v>
      </c>
      <c r="L640">
        <f t="shared" si="306"/>
        <v>35518791.797686331</v>
      </c>
      <c r="M640">
        <f t="shared" si="306"/>
        <v>20829816.964257333</v>
      </c>
      <c r="N640">
        <f t="shared" si="306"/>
        <v>42784889.334950007</v>
      </c>
      <c r="O640">
        <f t="shared" si="306"/>
        <v>130215813.55608323</v>
      </c>
      <c r="P640">
        <f t="shared" si="306"/>
        <v>96815472.05544886</v>
      </c>
      <c r="Q640">
        <f t="shared" si="306"/>
        <v>24868158.883506294</v>
      </c>
      <c r="R640">
        <f t="shared" ref="R640:Y640" si="311">R312/R$326</f>
        <v>51288942.000993863</v>
      </c>
      <c r="S640">
        <f t="shared" si="311"/>
        <v>50066897.702028349</v>
      </c>
      <c r="T640">
        <f t="shared" si="311"/>
        <v>37481526.402833492</v>
      </c>
      <c r="U640">
        <f t="shared" si="311"/>
        <v>61975087.187067054</v>
      </c>
      <c r="V640">
        <f t="shared" si="311"/>
        <v>127220022.7541399</v>
      </c>
      <c r="W640">
        <f t="shared" si="311"/>
        <v>78888157.997270972</v>
      </c>
      <c r="X640">
        <f t="shared" si="311"/>
        <v>55854790.418788299</v>
      </c>
      <c r="Y640">
        <f t="shared" si="311"/>
        <v>61712391.501587935</v>
      </c>
    </row>
    <row r="641" spans="1:25" x14ac:dyDescent="0.45">
      <c r="A641" s="5" t="s">
        <v>264</v>
      </c>
      <c r="B641">
        <f t="shared" si="306"/>
        <v>733353.01911412692</v>
      </c>
      <c r="C641">
        <f t="shared" si="306"/>
        <v>7355646.4905643556</v>
      </c>
      <c r="D641">
        <f t="shared" si="306"/>
        <v>3012401.1844518133</v>
      </c>
      <c r="E641">
        <f t="shared" si="306"/>
        <v>3602372.4144636011</v>
      </c>
      <c r="F641">
        <f t="shared" si="306"/>
        <v>6496756.6558088344</v>
      </c>
      <c r="G641">
        <f t="shared" si="306"/>
        <v>7503593.0948098032</v>
      </c>
      <c r="H641">
        <f t="shared" si="306"/>
        <v>2903016.9996436336</v>
      </c>
      <c r="I641">
        <f t="shared" si="306"/>
        <v>9406616.1118182857</v>
      </c>
      <c r="J641">
        <f t="shared" si="306"/>
        <v>14573934.384642128</v>
      </c>
      <c r="K641">
        <f t="shared" si="306"/>
        <v>3850745.0639172988</v>
      </c>
      <c r="L641">
        <f t="shared" si="306"/>
        <v>4613777.8791257022</v>
      </c>
      <c r="M641">
        <f t="shared" si="306"/>
        <v>4429498.273443779</v>
      </c>
      <c r="N641">
        <f t="shared" si="306"/>
        <v>5051718.0598540707</v>
      </c>
      <c r="O641">
        <f t="shared" si="306"/>
        <v>27267937.402572583</v>
      </c>
      <c r="P641">
        <f t="shared" si="306"/>
        <v>4315752.1822827775</v>
      </c>
      <c r="Q641">
        <f t="shared" si="306"/>
        <v>2992581.0045241695</v>
      </c>
      <c r="R641">
        <f t="shared" ref="R641:Y641" si="312">R313/R$326</f>
        <v>13456219.747448388</v>
      </c>
      <c r="S641">
        <f t="shared" si="312"/>
        <v>6538374.9423598647</v>
      </c>
      <c r="T641">
        <f t="shared" si="312"/>
        <v>7585425.5810292112</v>
      </c>
      <c r="U641">
        <f t="shared" si="312"/>
        <v>10534902.629035965</v>
      </c>
      <c r="V641">
        <f t="shared" si="312"/>
        <v>26637388.525190983</v>
      </c>
      <c r="W641">
        <f t="shared" si="312"/>
        <v>10685610.503348224</v>
      </c>
      <c r="X641">
        <f t="shared" si="312"/>
        <v>25739567.675153598</v>
      </c>
      <c r="Y641">
        <f t="shared" si="312"/>
        <v>8200663.7383990623</v>
      </c>
    </row>
    <row r="642" spans="1:25" x14ac:dyDescent="0.45">
      <c r="A642" s="5" t="s">
        <v>265</v>
      </c>
      <c r="B642">
        <f t="shared" si="306"/>
        <v>4333357.1945308885</v>
      </c>
      <c r="C642">
        <f t="shared" si="306"/>
        <v>3457939.6033281581</v>
      </c>
      <c r="D642">
        <f t="shared" si="306"/>
        <v>3421250.5755470982</v>
      </c>
      <c r="E642">
        <f t="shared" si="306"/>
        <v>2600447.329669754</v>
      </c>
      <c r="F642">
        <f t="shared" si="306"/>
        <v>2579343.5841025631</v>
      </c>
      <c r="G642">
        <f t="shared" si="306"/>
        <v>1857156.7646494019</v>
      </c>
      <c r="H642">
        <f t="shared" si="306"/>
        <v>2253191.9613109981</v>
      </c>
      <c r="I642">
        <f t="shared" si="306"/>
        <v>42569779.274356671</v>
      </c>
      <c r="J642">
        <f t="shared" si="306"/>
        <v>18360826.573105533</v>
      </c>
      <c r="K642">
        <f t="shared" si="306"/>
        <v>11002885.097995106</v>
      </c>
      <c r="L642">
        <f t="shared" si="306"/>
        <v>14927818.352134628</v>
      </c>
      <c r="M642">
        <f t="shared" si="306"/>
        <v>12022208.787226183</v>
      </c>
      <c r="N642">
        <f t="shared" si="306"/>
        <v>3125033.823714342</v>
      </c>
      <c r="O642">
        <f t="shared" si="306"/>
        <v>8027363.2400629018</v>
      </c>
      <c r="P642">
        <f t="shared" si="306"/>
        <v>2447986.3287594607</v>
      </c>
      <c r="Q642">
        <f t="shared" si="306"/>
        <v>7956444.5015911385</v>
      </c>
      <c r="R642">
        <f t="shared" ref="R642:Y642" si="313">R314/R$326</f>
        <v>12129880.526055377</v>
      </c>
      <c r="S642">
        <f t="shared" si="313"/>
        <v>11142366.699191786</v>
      </c>
      <c r="T642">
        <f t="shared" si="313"/>
        <v>16448254.988543438</v>
      </c>
      <c r="U642">
        <f t="shared" si="313"/>
        <v>7669272.4382941034</v>
      </c>
      <c r="V642">
        <f t="shared" si="313"/>
        <v>8443478.9147417583</v>
      </c>
      <c r="W642">
        <f t="shared" si="313"/>
        <v>16051966.857894979</v>
      </c>
      <c r="X642">
        <f t="shared" si="313"/>
        <v>175462763.64713901</v>
      </c>
      <c r="Y642">
        <f t="shared" si="313"/>
        <v>11766870.463434061</v>
      </c>
    </row>
    <row r="643" spans="1:25" x14ac:dyDescent="0.45">
      <c r="A643" s="5" t="s">
        <v>266</v>
      </c>
      <c r="B643">
        <f t="shared" si="306"/>
        <v>1545126.6078057426</v>
      </c>
      <c r="C643">
        <f t="shared" si="306"/>
        <v>1791645.813886713</v>
      </c>
      <c r="D643">
        <f t="shared" si="306"/>
        <v>1424085.0730616278</v>
      </c>
      <c r="E643">
        <f t="shared" si="306"/>
        <v>3539393.8515431415</v>
      </c>
      <c r="F643">
        <f t="shared" si="306"/>
        <v>2498064.2863178053</v>
      </c>
      <c r="G643">
        <f t="shared" si="306"/>
        <v>3430444.6665287348</v>
      </c>
      <c r="H643">
        <f t="shared" si="306"/>
        <v>1510117.2407167349</v>
      </c>
      <c r="I643">
        <f t="shared" si="306"/>
        <v>3995967.4743736987</v>
      </c>
      <c r="J643">
        <f t="shared" si="306"/>
        <v>2992892.725990097</v>
      </c>
      <c r="K643">
        <f t="shared" si="306"/>
        <v>1429331.308009997</v>
      </c>
      <c r="L643">
        <f t="shared" si="306"/>
        <v>1501257.8746221757</v>
      </c>
      <c r="M643">
        <f t="shared" si="306"/>
        <v>1166499.757585285</v>
      </c>
      <c r="N643">
        <f t="shared" si="306"/>
        <v>771039.32907610061</v>
      </c>
      <c r="O643">
        <f t="shared" si="306"/>
        <v>2521299.2893966958</v>
      </c>
      <c r="P643">
        <f t="shared" si="306"/>
        <v>1310418.8315507406</v>
      </c>
      <c r="Q643">
        <f t="shared" si="306"/>
        <v>771328.98616531165</v>
      </c>
      <c r="R643">
        <f t="shared" ref="R643:Y643" si="314">R315/R$326</f>
        <v>4086811.6131969253</v>
      </c>
      <c r="S643">
        <f t="shared" si="314"/>
        <v>1953153.7325756894</v>
      </c>
      <c r="T643">
        <f t="shared" si="314"/>
        <v>2393574.4064790355</v>
      </c>
      <c r="U643">
        <f t="shared" si="314"/>
        <v>3325585.6350713554</v>
      </c>
      <c r="V643">
        <f t="shared" si="314"/>
        <v>1928823.1313162195</v>
      </c>
      <c r="W643">
        <f t="shared" si="314"/>
        <v>1819011.2960619454</v>
      </c>
      <c r="X643">
        <f t="shared" si="314"/>
        <v>4444589.6368441796</v>
      </c>
      <c r="Y643">
        <f t="shared" si="314"/>
        <v>1508144.7670781561</v>
      </c>
    </row>
    <row r="644" spans="1:25" x14ac:dyDescent="0.45">
      <c r="A644" s="5" t="s">
        <v>345</v>
      </c>
      <c r="B644">
        <f t="shared" si="306"/>
        <v>3147448.4513276317</v>
      </c>
      <c r="C644">
        <f t="shared" si="306"/>
        <v>12737055.958003944</v>
      </c>
      <c r="D644">
        <f t="shared" si="306"/>
        <v>4872624.3636465026</v>
      </c>
      <c r="E644">
        <f t="shared" si="306"/>
        <v>3662515.5510599413</v>
      </c>
      <c r="F644">
        <f t="shared" si="306"/>
        <v>5908417.5095132999</v>
      </c>
      <c r="G644">
        <f t="shared" si="306"/>
        <v>4500244.4543321421</v>
      </c>
      <c r="H644">
        <f t="shared" si="306"/>
        <v>2410464.9173653829</v>
      </c>
      <c r="I644">
        <f t="shared" si="306"/>
        <v>46684793.582824469</v>
      </c>
      <c r="J644">
        <f t="shared" si="306"/>
        <v>13091692.559134521</v>
      </c>
      <c r="K644">
        <f t="shared" si="306"/>
        <v>9754606.4445318412</v>
      </c>
      <c r="L644">
        <f t="shared" si="306"/>
        <v>10278848.086227236</v>
      </c>
      <c r="M644">
        <f t="shared" si="306"/>
        <v>5044649.1124732271</v>
      </c>
      <c r="N644">
        <f t="shared" si="306"/>
        <v>9711504.3286842797</v>
      </c>
      <c r="O644">
        <f t="shared" si="306"/>
        <v>7808748.4597735796</v>
      </c>
      <c r="P644">
        <f t="shared" si="306"/>
        <v>21188008.36580779</v>
      </c>
      <c r="Q644">
        <f t="shared" si="306"/>
        <v>5508324.4766488345</v>
      </c>
      <c r="R644">
        <f t="shared" ref="R644:Y644" si="315">R316/R$326</f>
        <v>107609894.82599317</v>
      </c>
      <c r="S644">
        <f t="shared" si="315"/>
        <v>4693359.3035738189</v>
      </c>
      <c r="T644">
        <f t="shared" si="315"/>
        <v>9608106.8039600588</v>
      </c>
      <c r="U644">
        <f t="shared" si="315"/>
        <v>27515985.707832258</v>
      </c>
      <c r="V644">
        <f t="shared" si="315"/>
        <v>6274206.4995432142</v>
      </c>
      <c r="W644">
        <f t="shared" si="315"/>
        <v>8087832.243390237</v>
      </c>
      <c r="X644">
        <f t="shared" si="315"/>
        <v>30120989.880991999</v>
      </c>
      <c r="Y644">
        <f t="shared" si="315"/>
        <v>5994505.6572815562</v>
      </c>
    </row>
    <row r="645" spans="1:25" x14ac:dyDescent="0.45">
      <c r="A645" s="5" t="s">
        <v>365</v>
      </c>
      <c r="B645">
        <f t="shared" si="306"/>
        <v>43870213.655796327</v>
      </c>
      <c r="C645">
        <f t="shared" si="306"/>
        <v>56440206.402042866</v>
      </c>
      <c r="D645">
        <f t="shared" si="306"/>
        <v>52517881.885803461</v>
      </c>
      <c r="E645">
        <f t="shared" si="306"/>
        <v>36441170.308451071</v>
      </c>
      <c r="F645">
        <f t="shared" si="306"/>
        <v>302890523.06590945</v>
      </c>
      <c r="G645">
        <f t="shared" si="306"/>
        <v>37882693.652122945</v>
      </c>
      <c r="H645">
        <f t="shared" si="306"/>
        <v>32795085.659756176</v>
      </c>
      <c r="I645">
        <f t="shared" si="306"/>
        <v>98042092.301969633</v>
      </c>
      <c r="J645">
        <f t="shared" si="306"/>
        <v>64719056.299472146</v>
      </c>
      <c r="K645">
        <f t="shared" si="306"/>
        <v>209993362.61143315</v>
      </c>
      <c r="L645">
        <f t="shared" si="306"/>
        <v>38838168.143650636</v>
      </c>
      <c r="M645">
        <f t="shared" si="306"/>
        <v>33227794.850038543</v>
      </c>
      <c r="N645">
        <f t="shared" si="306"/>
        <v>19791678.639921181</v>
      </c>
      <c r="O645">
        <f t="shared" si="306"/>
        <v>78533566.648783892</v>
      </c>
      <c r="P645">
        <f t="shared" si="306"/>
        <v>49376421.738616511</v>
      </c>
      <c r="Q645">
        <f t="shared" si="306"/>
        <v>60160990.019927688</v>
      </c>
      <c r="R645">
        <f t="shared" ref="R645:Y645" si="316">R317/R$326</f>
        <v>109597723.49194439</v>
      </c>
      <c r="S645">
        <f t="shared" si="316"/>
        <v>44842702.190521613</v>
      </c>
      <c r="T645">
        <f t="shared" si="316"/>
        <v>46128965.245864086</v>
      </c>
      <c r="U645">
        <f t="shared" si="316"/>
        <v>46154984.233633004</v>
      </c>
      <c r="V645">
        <f t="shared" si="316"/>
        <v>44368668.899536982</v>
      </c>
      <c r="W645">
        <f t="shared" si="316"/>
        <v>68751339.20864509</v>
      </c>
      <c r="X645">
        <f t="shared" si="316"/>
        <v>71766663.091087997</v>
      </c>
      <c r="Y645">
        <f t="shared" si="316"/>
        <v>61868719.588693753</v>
      </c>
    </row>
    <row r="646" spans="1:25" x14ac:dyDescent="0.45">
      <c r="A646" s="5" t="s">
        <v>366</v>
      </c>
      <c r="B646">
        <f t="shared" si="306"/>
        <v>49661475.278067887</v>
      </c>
      <c r="C646">
        <f t="shared" si="306"/>
        <v>212360026.87701124</v>
      </c>
      <c r="D646">
        <f t="shared" si="306"/>
        <v>66350126.039502405</v>
      </c>
      <c r="E646">
        <f t="shared" si="306"/>
        <v>40743777.970904067</v>
      </c>
      <c r="F646">
        <f t="shared" si="306"/>
        <v>59104723.471242227</v>
      </c>
      <c r="G646">
        <f t="shared" si="306"/>
        <v>74296573.788472056</v>
      </c>
      <c r="H646">
        <f t="shared" si="306"/>
        <v>88683330.003632516</v>
      </c>
      <c r="I646">
        <f t="shared" si="306"/>
        <v>50976651.629743718</v>
      </c>
      <c r="J646">
        <f t="shared" si="306"/>
        <v>40934748.216882139</v>
      </c>
      <c r="K646">
        <f t="shared" si="306"/>
        <v>44472073.368293762</v>
      </c>
      <c r="L646">
        <f t="shared" si="306"/>
        <v>22063452.03344585</v>
      </c>
      <c r="M646">
        <f t="shared" si="306"/>
        <v>293010212.05473864</v>
      </c>
      <c r="N646">
        <f t="shared" si="306"/>
        <v>73271342.893931463</v>
      </c>
      <c r="O646">
        <f t="shared" si="306"/>
        <v>573569607.91531897</v>
      </c>
      <c r="P646">
        <f t="shared" si="306"/>
        <v>77625652.130627707</v>
      </c>
      <c r="Q646">
        <f t="shared" si="306"/>
        <v>221448535.82486436</v>
      </c>
      <c r="R646">
        <f t="shared" ref="R646:Y646" si="317">R318/R$326</f>
        <v>62628773.830713145</v>
      </c>
      <c r="S646">
        <f t="shared" si="317"/>
        <v>167742235.37981737</v>
      </c>
      <c r="T646">
        <f t="shared" si="317"/>
        <v>44684218.568598844</v>
      </c>
      <c r="U646">
        <f t="shared" si="317"/>
        <v>220926125.20796135</v>
      </c>
      <c r="V646">
        <f t="shared" si="317"/>
        <v>362821962.45767301</v>
      </c>
      <c r="W646">
        <f t="shared" si="317"/>
        <v>134374358.13882068</v>
      </c>
      <c r="X646">
        <f t="shared" si="317"/>
        <v>618636281.81357098</v>
      </c>
      <c r="Y646">
        <f t="shared" si="317"/>
        <v>54518788.827972561</v>
      </c>
    </row>
    <row r="647" spans="1:25" x14ac:dyDescent="0.45">
      <c r="A647" s="5" t="s">
        <v>346</v>
      </c>
      <c r="B647">
        <f t="shared" si="306"/>
        <v>5426658.361697739</v>
      </c>
      <c r="C647">
        <f t="shared" si="306"/>
        <v>23116085.3956073</v>
      </c>
      <c r="D647">
        <f t="shared" si="306"/>
        <v>8888252.7596111577</v>
      </c>
      <c r="E647">
        <f t="shared" si="306"/>
        <v>11364612.465749767</v>
      </c>
      <c r="F647">
        <f t="shared" si="306"/>
        <v>11491411.811413294</v>
      </c>
      <c r="G647">
        <f t="shared" si="306"/>
        <v>22517008.457781862</v>
      </c>
      <c r="H647">
        <f t="shared" si="306"/>
        <v>16477221.538658589</v>
      </c>
      <c r="I647">
        <f t="shared" si="306"/>
        <v>231201744.19793737</v>
      </c>
      <c r="J647">
        <f t="shared" si="306"/>
        <v>31181632.226639349</v>
      </c>
      <c r="K647">
        <f t="shared" si="306"/>
        <v>16681378.462457696</v>
      </c>
      <c r="L647">
        <f t="shared" si="306"/>
        <v>7925967.6982124466</v>
      </c>
      <c r="M647">
        <f t="shared" si="306"/>
        <v>13741630.616693338</v>
      </c>
      <c r="N647">
        <f t="shared" si="306"/>
        <v>12306546.438267177</v>
      </c>
      <c r="O647">
        <f t="shared" si="306"/>
        <v>44971249.658186316</v>
      </c>
      <c r="P647">
        <f t="shared" si="306"/>
        <v>17012693.978910655</v>
      </c>
      <c r="Q647">
        <f t="shared" si="306"/>
        <v>15707904.624148704</v>
      </c>
      <c r="R647">
        <f t="shared" ref="R647:Y647" si="318">R319/R$326</f>
        <v>16113258.239035912</v>
      </c>
      <c r="S647">
        <f t="shared" si="318"/>
        <v>23208121.926398292</v>
      </c>
      <c r="T647">
        <f t="shared" si="318"/>
        <v>9223577.3914769329</v>
      </c>
      <c r="U647">
        <f t="shared" si="318"/>
        <v>13056785.437679112</v>
      </c>
      <c r="V647">
        <f t="shared" si="318"/>
        <v>14833452.020704268</v>
      </c>
      <c r="W647">
        <f t="shared" si="318"/>
        <v>15473666.076220589</v>
      </c>
      <c r="X647">
        <f t="shared" si="318"/>
        <v>282552890.60543299</v>
      </c>
      <c r="Y647">
        <f t="shared" si="318"/>
        <v>11511924.676106874</v>
      </c>
    </row>
    <row r="648" spans="1:25" x14ac:dyDescent="0.45">
      <c r="A648" s="5" t="s">
        <v>347</v>
      </c>
      <c r="B648">
        <f t="shared" si="306"/>
        <v>945787450.21886241</v>
      </c>
      <c r="C648">
        <f t="shared" si="306"/>
        <v>516457963.54318649</v>
      </c>
      <c r="D648">
        <f t="shared" si="306"/>
        <v>179590071.44892734</v>
      </c>
      <c r="E648">
        <f t="shared" si="306"/>
        <v>240937041.99519128</v>
      </c>
      <c r="F648">
        <f t="shared" si="306"/>
        <v>200930274.18855929</v>
      </c>
      <c r="G648">
        <f t="shared" si="306"/>
        <v>108918997.48016225</v>
      </c>
      <c r="H648">
        <f t="shared" si="306"/>
        <v>290278162.21178579</v>
      </c>
      <c r="I648">
        <f t="shared" si="306"/>
        <v>3001964304.5326853</v>
      </c>
      <c r="J648">
        <f t="shared" si="306"/>
        <v>539145118.37887716</v>
      </c>
      <c r="K648">
        <f t="shared" si="306"/>
        <v>80949464.532397807</v>
      </c>
      <c r="L648">
        <f t="shared" si="306"/>
        <v>53334525.62253511</v>
      </c>
      <c r="M648">
        <f t="shared" si="306"/>
        <v>126255388.80711775</v>
      </c>
      <c r="N648">
        <f t="shared" si="306"/>
        <v>281875350.41020262</v>
      </c>
      <c r="O648">
        <f t="shared" si="306"/>
        <v>1070851063.3601567</v>
      </c>
      <c r="P648">
        <f t="shared" si="306"/>
        <v>905965230.81434274</v>
      </c>
      <c r="Q648">
        <f t="shared" si="306"/>
        <v>248755539.42842299</v>
      </c>
      <c r="R648">
        <f t="shared" ref="R648:Y648" si="319">R320/R$326</f>
        <v>213169496.61782548</v>
      </c>
      <c r="S648">
        <f t="shared" si="319"/>
        <v>235987289.00221381</v>
      </c>
      <c r="T648">
        <f t="shared" si="319"/>
        <v>333651681.11323816</v>
      </c>
      <c r="U648">
        <f t="shared" si="319"/>
        <v>946995244.38250089</v>
      </c>
      <c r="V648">
        <f t="shared" si="319"/>
        <v>958656586.92101014</v>
      </c>
      <c r="W648">
        <f t="shared" si="319"/>
        <v>937781988.24833989</v>
      </c>
      <c r="X648">
        <f t="shared" si="319"/>
        <v>243240290.361947</v>
      </c>
      <c r="Y648">
        <f t="shared" si="319"/>
        <v>572358395.73816502</v>
      </c>
    </row>
    <row r="649" spans="1:25" x14ac:dyDescent="0.45">
      <c r="A649" s="5" t="s">
        <v>348</v>
      </c>
      <c r="B649">
        <f t="shared" si="306"/>
        <v>47598840.985346414</v>
      </c>
      <c r="C649">
        <f t="shared" si="306"/>
        <v>64255367.944611296</v>
      </c>
      <c r="D649">
        <f t="shared" si="306"/>
        <v>41208179.354502358</v>
      </c>
      <c r="E649">
        <f t="shared" si="306"/>
        <v>49191639.8430859</v>
      </c>
      <c r="F649">
        <f t="shared" si="306"/>
        <v>56240501.266545549</v>
      </c>
      <c r="G649">
        <f t="shared" si="306"/>
        <v>63463937.537219606</v>
      </c>
      <c r="H649">
        <f t="shared" si="306"/>
        <v>45520837.099757962</v>
      </c>
      <c r="I649">
        <f t="shared" si="306"/>
        <v>96686024.249638304</v>
      </c>
      <c r="J649">
        <f t="shared" si="306"/>
        <v>95323109.24465093</v>
      </c>
      <c r="K649">
        <f t="shared" si="306"/>
        <v>96445488.299597129</v>
      </c>
      <c r="L649">
        <f t="shared" si="306"/>
        <v>50135572.16002468</v>
      </c>
      <c r="M649">
        <f t="shared" si="306"/>
        <v>49820823.29217647</v>
      </c>
      <c r="N649">
        <f t="shared" si="306"/>
        <v>21276944.38472037</v>
      </c>
      <c r="O649">
        <f t="shared" si="306"/>
        <v>107471469.72868292</v>
      </c>
      <c r="P649">
        <f t="shared" si="306"/>
        <v>73904276.006509379</v>
      </c>
      <c r="Q649">
        <f t="shared" si="306"/>
        <v>33100702.116336774</v>
      </c>
      <c r="R649">
        <f t="shared" ref="R649:Y649" si="320">R321/R$326</f>
        <v>90603736.318125725</v>
      </c>
      <c r="S649">
        <f t="shared" si="320"/>
        <v>52175094.484795019</v>
      </c>
      <c r="T649">
        <f t="shared" si="320"/>
        <v>54990355.28788738</v>
      </c>
      <c r="U649">
        <f t="shared" si="320"/>
        <v>83194657.767549992</v>
      </c>
      <c r="V649">
        <f t="shared" si="320"/>
        <v>76411736.938792497</v>
      </c>
      <c r="W649">
        <f t="shared" si="320"/>
        <v>76201111.996272832</v>
      </c>
      <c r="X649">
        <f t="shared" si="320"/>
        <v>72475307.177797303</v>
      </c>
      <c r="Y649">
        <f t="shared" si="320"/>
        <v>66206544.329802491</v>
      </c>
    </row>
  </sheetData>
  <conditionalFormatting sqref="A1:A2">
    <cfRule type="duplicateValues" dxfId="6" priority="8"/>
  </conditionalFormatting>
  <conditionalFormatting sqref="A3:A213">
    <cfRule type="duplicateValues" dxfId="5" priority="3"/>
  </conditionalFormatting>
  <conditionalFormatting sqref="A214:A321">
    <cfRule type="duplicateValues" dxfId="4" priority="4"/>
  </conditionalFormatting>
  <conditionalFormatting sqref="A322:A323">
    <cfRule type="duplicateValues" dxfId="3" priority="9"/>
  </conditionalFormatting>
  <conditionalFormatting sqref="A329:A330">
    <cfRule type="duplicateValues" dxfId="2" priority="5"/>
  </conditionalFormatting>
  <conditionalFormatting sqref="A331:A541">
    <cfRule type="duplicateValues" dxfId="1" priority="1"/>
  </conditionalFormatting>
  <conditionalFormatting sqref="A542:A649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8C34-CE44-4690-807F-C953B3C273F1}">
  <dimension ref="A1:Y310"/>
  <sheetViews>
    <sheetView workbookViewId="0">
      <selection activeCell="B3" sqref="B3"/>
    </sheetView>
  </sheetViews>
  <sheetFormatPr defaultRowHeight="14.25" x14ac:dyDescent="0.45"/>
  <cols>
    <col min="1" max="1" width="22.33203125" customWidth="1"/>
    <col min="2" max="25" width="11.3984375" customWidth="1"/>
  </cols>
  <sheetData>
    <row r="1" spans="1:25" x14ac:dyDescent="0.45">
      <c r="A1" t="s">
        <v>0</v>
      </c>
      <c r="B1" t="s">
        <v>385</v>
      </c>
      <c r="C1" t="s">
        <v>393</v>
      </c>
      <c r="D1" t="s">
        <v>401</v>
      </c>
      <c r="E1" t="s">
        <v>386</v>
      </c>
      <c r="F1" t="s">
        <v>394</v>
      </c>
      <c r="G1" t="s">
        <v>402</v>
      </c>
      <c r="H1" t="s">
        <v>387</v>
      </c>
      <c r="I1" t="s">
        <v>395</v>
      </c>
      <c r="J1" t="s">
        <v>403</v>
      </c>
      <c r="K1" t="s">
        <v>392</v>
      </c>
      <c r="L1" t="s">
        <v>400</v>
      </c>
      <c r="M1" t="s">
        <v>408</v>
      </c>
      <c r="N1" t="s">
        <v>388</v>
      </c>
      <c r="O1" t="s">
        <v>396</v>
      </c>
      <c r="P1" t="s">
        <v>404</v>
      </c>
      <c r="Q1" t="s">
        <v>389</v>
      </c>
      <c r="R1" t="s">
        <v>397</v>
      </c>
      <c r="S1" t="s">
        <v>405</v>
      </c>
      <c r="T1" t="s">
        <v>390</v>
      </c>
      <c r="U1" t="s">
        <v>398</v>
      </c>
      <c r="V1" t="s">
        <v>406</v>
      </c>
      <c r="W1" t="s">
        <v>391</v>
      </c>
      <c r="X1" t="s">
        <v>399</v>
      </c>
      <c r="Y1" t="s">
        <v>407</v>
      </c>
    </row>
    <row r="2" spans="1:25" x14ac:dyDescent="0.45">
      <c r="A2" t="s">
        <v>384</v>
      </c>
      <c r="B2" s="8" t="s">
        <v>440</v>
      </c>
      <c r="C2" s="8" t="s">
        <v>440</v>
      </c>
      <c r="D2" s="8" t="s">
        <v>440</v>
      </c>
      <c r="E2" s="8" t="s">
        <v>440</v>
      </c>
      <c r="F2" s="8" t="s">
        <v>440</v>
      </c>
      <c r="G2" s="8" t="s">
        <v>440</v>
      </c>
      <c r="H2" s="9" t="s">
        <v>441</v>
      </c>
      <c r="I2" s="9" t="s">
        <v>441</v>
      </c>
      <c r="J2" s="9" t="s">
        <v>441</v>
      </c>
      <c r="K2" s="9" t="s">
        <v>441</v>
      </c>
      <c r="L2" s="9" t="s">
        <v>441</v>
      </c>
      <c r="M2" s="9" t="s">
        <v>441</v>
      </c>
      <c r="N2" s="10" t="s">
        <v>442</v>
      </c>
      <c r="O2" s="10" t="s">
        <v>442</v>
      </c>
      <c r="P2" s="10" t="s">
        <v>442</v>
      </c>
      <c r="Q2" s="10" t="s">
        <v>442</v>
      </c>
      <c r="R2" s="10" t="s">
        <v>442</v>
      </c>
      <c r="S2" s="10" t="s">
        <v>442</v>
      </c>
      <c r="T2" s="9" t="s">
        <v>443</v>
      </c>
      <c r="U2" s="9" t="s">
        <v>443</v>
      </c>
      <c r="V2" s="9" t="s">
        <v>443</v>
      </c>
      <c r="W2" s="9" t="s">
        <v>443</v>
      </c>
      <c r="X2" s="9" t="s">
        <v>443</v>
      </c>
      <c r="Y2" s="9" t="s">
        <v>443</v>
      </c>
    </row>
    <row r="3" spans="1:25" x14ac:dyDescent="0.45">
      <c r="A3" t="s">
        <v>268</v>
      </c>
      <c r="B3">
        <v>35067882.653993487</v>
      </c>
      <c r="C3">
        <v>54174138.212015443</v>
      </c>
      <c r="D3">
        <v>39490909.935116984</v>
      </c>
      <c r="E3">
        <v>26819883.620394941</v>
      </c>
      <c r="F3">
        <v>25622844.712123629</v>
      </c>
      <c r="G3">
        <v>25253847.03596108</v>
      </c>
      <c r="H3">
        <v>19763299.402055349</v>
      </c>
      <c r="I3">
        <v>61008580.315974787</v>
      </c>
      <c r="J3">
        <v>61994003.058117576</v>
      </c>
      <c r="K3">
        <v>37957677.185703792</v>
      </c>
      <c r="L3">
        <v>100171770.339747</v>
      </c>
      <c r="M3">
        <v>30464098.594538439</v>
      </c>
      <c r="N3">
        <v>21616302.812977638</v>
      </c>
      <c r="O3">
        <v>16237888.948619574</v>
      </c>
      <c r="P3">
        <v>30562147.153513197</v>
      </c>
      <c r="Q3">
        <v>15702430.154412789</v>
      </c>
      <c r="R3">
        <v>36317345.276098512</v>
      </c>
      <c r="S3">
        <v>24443370.407720614</v>
      </c>
      <c r="T3">
        <v>19585723.416060105</v>
      </c>
      <c r="U3">
        <v>43098089.935182475</v>
      </c>
      <c r="V3">
        <v>27946062.862961125</v>
      </c>
      <c r="W3">
        <v>48422102.623526171</v>
      </c>
      <c r="X3">
        <v>34967417.587212339</v>
      </c>
      <c r="Y3">
        <v>38826776.016610615</v>
      </c>
    </row>
    <row r="4" spans="1:25" x14ac:dyDescent="0.45">
      <c r="A4" t="s">
        <v>36</v>
      </c>
      <c r="B4">
        <v>3902017.5146898609</v>
      </c>
      <c r="C4">
        <v>3231689.9787681703</v>
      </c>
      <c r="D4">
        <v>1295862.6524931984</v>
      </c>
      <c r="E4">
        <v>3025183.750473483</v>
      </c>
      <c r="F4">
        <v>7162838.0305382172</v>
      </c>
      <c r="G4">
        <v>6205447.9247885784</v>
      </c>
      <c r="H4">
        <v>7854529.809881717</v>
      </c>
      <c r="I4">
        <v>17905111.555968154</v>
      </c>
      <c r="J4">
        <v>13319276.90835363</v>
      </c>
      <c r="K4">
        <v>15128153.729312995</v>
      </c>
      <c r="L4">
        <v>28596401.542687099</v>
      </c>
      <c r="M4">
        <v>2532481.7970784497</v>
      </c>
      <c r="N4">
        <v>13666417.610240944</v>
      </c>
      <c r="O4">
        <v>15201042.654877502</v>
      </c>
      <c r="P4">
        <v>10104107.624723222</v>
      </c>
      <c r="Q4">
        <v>2537832.3695979244</v>
      </c>
      <c r="R4">
        <v>2477788.4377430771</v>
      </c>
      <c r="S4">
        <v>1975064.9861293603</v>
      </c>
      <c r="T4">
        <v>3328760.0796513315</v>
      </c>
      <c r="U4">
        <v>29162506.326109897</v>
      </c>
      <c r="V4">
        <v>4790928.6757760402</v>
      </c>
      <c r="W4">
        <v>15445150.781720338</v>
      </c>
      <c r="X4">
        <v>20530029.677690685</v>
      </c>
      <c r="Y4">
        <v>28000281.815598298</v>
      </c>
    </row>
    <row r="5" spans="1:25" x14ac:dyDescent="0.45">
      <c r="A5" t="s">
        <v>37</v>
      </c>
      <c r="B5">
        <v>16445613.59407131</v>
      </c>
      <c r="C5">
        <v>20504119.13590318</v>
      </c>
      <c r="D5">
        <v>12746188.115345655</v>
      </c>
      <c r="E5">
        <v>12257542.993052064</v>
      </c>
      <c r="F5">
        <v>11217557.735170109</v>
      </c>
      <c r="G5">
        <v>8764915.9162008334</v>
      </c>
      <c r="H5">
        <v>8144614.9590221848</v>
      </c>
      <c r="I5">
        <v>21426259.55351508</v>
      </c>
      <c r="J5">
        <v>21966252.185345292</v>
      </c>
      <c r="K5">
        <v>17332636.282323483</v>
      </c>
      <c r="L5">
        <v>27120257.404696502</v>
      </c>
      <c r="M5">
        <v>16760758.044635873</v>
      </c>
      <c r="N5">
        <v>10930414.403499214</v>
      </c>
      <c r="O5">
        <v>8916469.3011332452</v>
      </c>
      <c r="P5">
        <v>12360882.984362343</v>
      </c>
      <c r="Q5">
        <v>8132938.6692485278</v>
      </c>
      <c r="R5">
        <v>14963819.531631099</v>
      </c>
      <c r="S5">
        <v>14107072.723030439</v>
      </c>
      <c r="T5">
        <v>11043219.914306609</v>
      </c>
      <c r="U5">
        <v>10131328.767764449</v>
      </c>
      <c r="V5">
        <v>10994957.864426067</v>
      </c>
      <c r="W5">
        <v>18137200.603741694</v>
      </c>
      <c r="X5">
        <v>14466045.215328725</v>
      </c>
      <c r="Y5">
        <v>15641536.522783758</v>
      </c>
    </row>
    <row r="6" spans="1:25" x14ac:dyDescent="0.45">
      <c r="A6" t="s">
        <v>38</v>
      </c>
      <c r="B6">
        <v>10351111.93534236</v>
      </c>
      <c r="C6">
        <v>8113021.1097345408</v>
      </c>
      <c r="D6">
        <v>5594905.3978496743</v>
      </c>
      <c r="E6">
        <v>8801998.8850571048</v>
      </c>
      <c r="F6">
        <v>14307276.17338971</v>
      </c>
      <c r="G6">
        <v>5549510.4934294112</v>
      </c>
      <c r="H6">
        <v>3064805.9455921827</v>
      </c>
      <c r="I6">
        <v>22152018.930756692</v>
      </c>
      <c r="J6">
        <v>8986298.8577069584</v>
      </c>
      <c r="K6">
        <v>6684131.2763323281</v>
      </c>
      <c r="L6">
        <v>13830371.123634599</v>
      </c>
      <c r="M6">
        <v>9099323.7832413111</v>
      </c>
      <c r="N6">
        <v>14372054.880052537</v>
      </c>
      <c r="O6">
        <v>7250610.1085398411</v>
      </c>
      <c r="P6">
        <v>4968044.3988729566</v>
      </c>
      <c r="Q6">
        <v>4267611.7030815668</v>
      </c>
      <c r="R6">
        <v>8554496.2026722655</v>
      </c>
      <c r="S6">
        <v>4433203.3231687546</v>
      </c>
      <c r="T6">
        <v>6142194.9076534649</v>
      </c>
      <c r="U6">
        <v>19776209.03904723</v>
      </c>
      <c r="V6">
        <v>10194521.535167307</v>
      </c>
      <c r="W6">
        <v>8600961.7430881169</v>
      </c>
      <c r="X6">
        <v>11811470.439944571</v>
      </c>
      <c r="Y6">
        <v>8427606.0390608329</v>
      </c>
    </row>
    <row r="7" spans="1:25" x14ac:dyDescent="0.45">
      <c r="A7" t="s">
        <v>39</v>
      </c>
      <c r="B7">
        <v>13382168.372173823</v>
      </c>
      <c r="C7">
        <v>24087254.430651326</v>
      </c>
      <c r="D7">
        <v>10635883.73433955</v>
      </c>
      <c r="E7">
        <v>23772140.519640759</v>
      </c>
      <c r="F7">
        <v>25814245.135416277</v>
      </c>
      <c r="G7">
        <v>23836685.031414609</v>
      </c>
      <c r="H7">
        <v>14572664.716489911</v>
      </c>
      <c r="I7">
        <v>125203240.54133296</v>
      </c>
      <c r="J7">
        <v>32915095.076642513</v>
      </c>
      <c r="K7">
        <v>32541293.541444115</v>
      </c>
      <c r="L7">
        <v>232894167.769925</v>
      </c>
      <c r="M7">
        <v>21017885.835470937</v>
      </c>
      <c r="N7">
        <v>46236433.709519491</v>
      </c>
      <c r="O7">
        <v>31522653.306467928</v>
      </c>
      <c r="P7">
        <v>35661278.966755882</v>
      </c>
      <c r="Q7">
        <v>37101132.787355773</v>
      </c>
      <c r="R7">
        <v>45522023.432242781</v>
      </c>
      <c r="S7">
        <v>21008767.624268666</v>
      </c>
      <c r="T7">
        <v>34535255.143131435</v>
      </c>
      <c r="U7">
        <v>40057826.068609826</v>
      </c>
      <c r="V7">
        <v>19214103.603270512</v>
      </c>
      <c r="W7">
        <v>18097679.152390298</v>
      </c>
      <c r="X7">
        <v>25340312.057636172</v>
      </c>
      <c r="Y7">
        <v>35224219.457599021</v>
      </c>
    </row>
    <row r="8" spans="1:25" x14ac:dyDescent="0.45">
      <c r="A8" t="s">
        <v>40</v>
      </c>
      <c r="B8">
        <v>11868571.143101303</v>
      </c>
      <c r="C8">
        <v>13196726.527962476</v>
      </c>
      <c r="D8">
        <v>7185535.8459387068</v>
      </c>
      <c r="E8">
        <v>9790273.8028868828</v>
      </c>
      <c r="F8">
        <v>12354092.900182238</v>
      </c>
      <c r="G8">
        <v>9717783.4832176957</v>
      </c>
      <c r="H8">
        <v>7225256.8777295211</v>
      </c>
      <c r="I8">
        <v>12111186.310150189</v>
      </c>
      <c r="J8">
        <v>15896827.036122486</v>
      </c>
      <c r="K8">
        <v>12754895.057830373</v>
      </c>
      <c r="L8">
        <v>4643799.0659681195</v>
      </c>
      <c r="M8">
        <v>13485528.295009436</v>
      </c>
      <c r="N8">
        <v>8156374.663893248</v>
      </c>
      <c r="O8">
        <v>9735057.6486476604</v>
      </c>
      <c r="P8">
        <v>8197658.0650748145</v>
      </c>
      <c r="Q8">
        <v>5553654.0150776068</v>
      </c>
      <c r="R8">
        <v>13690730.97713718</v>
      </c>
      <c r="S8">
        <v>13503679.651736021</v>
      </c>
      <c r="T8">
        <v>8423296.1556217037</v>
      </c>
      <c r="U8">
        <v>14100588.444414329</v>
      </c>
      <c r="V8">
        <v>11270856.163662955</v>
      </c>
      <c r="W8">
        <v>13790476.067307187</v>
      </c>
      <c r="X8">
        <v>14473059.03563942</v>
      </c>
      <c r="Y8">
        <v>14601091.460472092</v>
      </c>
    </row>
    <row r="9" spans="1:25" x14ac:dyDescent="0.45">
      <c r="A9" t="s">
        <v>269</v>
      </c>
      <c r="B9">
        <v>3506779.4853495583</v>
      </c>
      <c r="C9">
        <v>3134511.9765865332</v>
      </c>
      <c r="D9">
        <v>1952059.6495030606</v>
      </c>
      <c r="E9">
        <v>2785708.800169629</v>
      </c>
      <c r="F9">
        <v>4282422.3123420775</v>
      </c>
      <c r="G9">
        <v>2240667.4898470193</v>
      </c>
      <c r="H9">
        <v>2799134.2241079737</v>
      </c>
      <c r="I9">
        <v>1905618.309596383</v>
      </c>
      <c r="J9">
        <v>5229730.829321445</v>
      </c>
      <c r="K9">
        <v>5331847.7884975234</v>
      </c>
      <c r="L9">
        <v>4309480.10757853</v>
      </c>
      <c r="M9">
        <v>4050871.7562126438</v>
      </c>
      <c r="N9">
        <v>3343110.2149555762</v>
      </c>
      <c r="O9">
        <v>3393630.988066298</v>
      </c>
      <c r="P9">
        <v>2103496.6068496164</v>
      </c>
      <c r="Q9">
        <v>1445164.4728122754</v>
      </c>
      <c r="R9">
        <v>3786726.4680923638</v>
      </c>
      <c r="S9">
        <v>5129784.749524422</v>
      </c>
      <c r="T9">
        <v>1989122.0923329249</v>
      </c>
      <c r="U9">
        <v>6834909.5978485765</v>
      </c>
      <c r="V9">
        <v>3577086.3975091586</v>
      </c>
      <c r="W9">
        <v>3452753.4398498232</v>
      </c>
      <c r="X9">
        <v>5823598.8726651324</v>
      </c>
      <c r="Y9">
        <v>4215563.3468498727</v>
      </c>
    </row>
    <row r="10" spans="1:25" x14ac:dyDescent="0.45">
      <c r="A10" t="s">
        <v>41</v>
      </c>
      <c r="B10">
        <v>2717663.6144145816</v>
      </c>
      <c r="C10">
        <v>2135155.1593973096</v>
      </c>
      <c r="D10">
        <v>1983032.1296426607</v>
      </c>
      <c r="E10">
        <v>1113939.9830375891</v>
      </c>
      <c r="F10">
        <v>1597788.1576104602</v>
      </c>
      <c r="G10">
        <v>1051125.9336557549</v>
      </c>
      <c r="H10">
        <v>735365.79418221058</v>
      </c>
      <c r="I10">
        <v>9919244.9404494744</v>
      </c>
      <c r="J10">
        <v>3266558.8484549904</v>
      </c>
      <c r="K10">
        <v>1358262.8613787533</v>
      </c>
      <c r="L10">
        <v>4792460.1575963097</v>
      </c>
      <c r="M10">
        <v>1147360.918412325</v>
      </c>
      <c r="N10">
        <v>1629979.4751658838</v>
      </c>
      <c r="O10">
        <v>1291124.8035758724</v>
      </c>
      <c r="P10">
        <v>1106990.1751944034</v>
      </c>
      <c r="Q10">
        <v>398879.62852424831</v>
      </c>
      <c r="R10">
        <v>2617891.8946713745</v>
      </c>
      <c r="S10">
        <v>822259.05933521141</v>
      </c>
      <c r="T10">
        <v>665812.19771699375</v>
      </c>
      <c r="U10">
        <v>1855399.3192306801</v>
      </c>
      <c r="V10">
        <v>1855536.2464071629</v>
      </c>
      <c r="W10">
        <v>4027936.6777957748</v>
      </c>
      <c r="X10">
        <v>1637504.4237296931</v>
      </c>
      <c r="Y10">
        <v>1155781.553879011</v>
      </c>
    </row>
    <row r="11" spans="1:25" x14ac:dyDescent="0.45">
      <c r="A11" t="s">
        <v>42</v>
      </c>
      <c r="B11">
        <v>8638764.4451318495</v>
      </c>
      <c r="C11">
        <v>12659532.663771791</v>
      </c>
      <c r="D11">
        <v>9936417.592125522</v>
      </c>
      <c r="E11">
        <v>12049937.364009179</v>
      </c>
      <c r="F11">
        <v>14561094.713127103</v>
      </c>
      <c r="G11">
        <v>11600893.15136358</v>
      </c>
      <c r="H11">
        <v>11137789.753458964</v>
      </c>
      <c r="I11">
        <v>23170922.75360145</v>
      </c>
      <c r="J11">
        <v>25383933.130020425</v>
      </c>
      <c r="K11">
        <v>24051084.279294185</v>
      </c>
      <c r="L11">
        <v>34494254.410614997</v>
      </c>
      <c r="M11">
        <v>5544700.5577965314</v>
      </c>
      <c r="N11">
        <v>12738593.508868752</v>
      </c>
      <c r="O11">
        <v>13323523.730405638</v>
      </c>
      <c r="P11">
        <v>9871412.8581167236</v>
      </c>
      <c r="Q11">
        <v>8296100.3985787565</v>
      </c>
      <c r="R11">
        <v>16325508.482164977</v>
      </c>
      <c r="S11">
        <v>16045354.474070834</v>
      </c>
      <c r="T11">
        <v>12556974.404165903</v>
      </c>
      <c r="U11">
        <v>24112235.417195134</v>
      </c>
      <c r="V11">
        <v>9137456.9663161393</v>
      </c>
      <c r="W11">
        <v>17284220.616079088</v>
      </c>
      <c r="X11">
        <v>20649399.220544677</v>
      </c>
      <c r="Y11">
        <v>15310779.574137831</v>
      </c>
    </row>
    <row r="12" spans="1:25" x14ac:dyDescent="0.45">
      <c r="A12" t="s">
        <v>43</v>
      </c>
      <c r="B12">
        <v>3216516.4646943263</v>
      </c>
      <c r="C12">
        <v>3136197.4894054225</v>
      </c>
      <c r="D12">
        <v>540157.10311309574</v>
      </c>
      <c r="E12">
        <v>1312042.1839873011</v>
      </c>
      <c r="F12">
        <v>4244502.6917987168</v>
      </c>
      <c r="G12">
        <v>2273780.0766168381</v>
      </c>
      <c r="H12">
        <v>899774.2067830374</v>
      </c>
      <c r="I12">
        <v>2571153.8005880322</v>
      </c>
      <c r="J12">
        <v>7983217.1233461648</v>
      </c>
      <c r="K12">
        <v>3124371.4082354414</v>
      </c>
      <c r="L12">
        <v>3606678.9424799299</v>
      </c>
      <c r="M12">
        <v>2493771.7124584308</v>
      </c>
      <c r="N12">
        <v>2441492.6810292727</v>
      </c>
      <c r="O12">
        <v>2566006.8240951276</v>
      </c>
      <c r="P12">
        <v>1521569.9292686628</v>
      </c>
      <c r="Q12">
        <v>1064237.8715588809</v>
      </c>
      <c r="R12">
        <v>2637059.2545388918</v>
      </c>
      <c r="S12">
        <v>2540511.8417106969</v>
      </c>
      <c r="T12">
        <v>1229006.2552566256</v>
      </c>
      <c r="U12">
        <v>4138330.4170832452</v>
      </c>
      <c r="V12">
        <v>2136289.8903363589</v>
      </c>
      <c r="W12">
        <v>4938814.7384166252</v>
      </c>
      <c r="X12">
        <v>4209290.6581937103</v>
      </c>
      <c r="Y12">
        <v>3190800.1627819785</v>
      </c>
    </row>
    <row r="13" spans="1:25" x14ac:dyDescent="0.45">
      <c r="A13" t="s">
        <v>44</v>
      </c>
      <c r="B13">
        <v>1404961.4212657281</v>
      </c>
      <c r="C13">
        <v>1819076.2694772615</v>
      </c>
      <c r="D13">
        <v>1413732.1480822866</v>
      </c>
      <c r="E13">
        <v>2464471.0214571673</v>
      </c>
      <c r="F13">
        <v>2988666.1142947688</v>
      </c>
      <c r="G13">
        <v>1878029.0318979754</v>
      </c>
      <c r="H13">
        <v>1964006.0197041535</v>
      </c>
      <c r="I13">
        <v>6490541.1582607999</v>
      </c>
      <c r="J13">
        <v>5964540.7487367513</v>
      </c>
      <c r="K13">
        <v>3491180.4068937586</v>
      </c>
      <c r="L13">
        <v>5731471.99580542</v>
      </c>
      <c r="M13">
        <v>2184030.3118890375</v>
      </c>
      <c r="N13">
        <v>4331480.7472144822</v>
      </c>
      <c r="O13">
        <v>2095905.8602008298</v>
      </c>
      <c r="P13">
        <v>1576072.0069712328</v>
      </c>
      <c r="Q13">
        <v>1058488.3898896447</v>
      </c>
      <c r="R13">
        <v>1602534.6937339797</v>
      </c>
      <c r="S13">
        <v>1995529.1854703552</v>
      </c>
      <c r="T13">
        <v>1211016.6160526192</v>
      </c>
      <c r="U13">
        <v>7177949.6619753139</v>
      </c>
      <c r="V13">
        <v>1832078.6922090461</v>
      </c>
      <c r="W13">
        <v>2481833.5671570748</v>
      </c>
      <c r="X13">
        <v>3460320.7938704649</v>
      </c>
      <c r="Y13">
        <v>2248047.472849247</v>
      </c>
    </row>
    <row r="14" spans="1:25" x14ac:dyDescent="0.45">
      <c r="A14" t="s">
        <v>45</v>
      </c>
      <c r="B14">
        <v>25168911.961881753</v>
      </c>
      <c r="C14">
        <v>9204339.8504189439</v>
      </c>
      <c r="D14">
        <v>6527168.976238206</v>
      </c>
      <c r="E14">
        <v>8554801.2912012637</v>
      </c>
      <c r="F14">
        <v>24557975.004643664</v>
      </c>
      <c r="G14">
        <v>7597056.4413498035</v>
      </c>
      <c r="H14">
        <v>14962652.788461136</v>
      </c>
      <c r="I14">
        <v>61973112.939486794</v>
      </c>
      <c r="J14">
        <v>46421951.39416299</v>
      </c>
      <c r="K14">
        <v>25888398.731492791</v>
      </c>
      <c r="L14">
        <v>24654578.613026299</v>
      </c>
      <c r="M14">
        <v>11812252.860313188</v>
      </c>
      <c r="N14">
        <v>12382141.69231182</v>
      </c>
      <c r="O14">
        <v>8555367.1711422876</v>
      </c>
      <c r="P14">
        <v>12765379.81587813</v>
      </c>
      <c r="Q14">
        <v>7973175.5186505606</v>
      </c>
      <c r="R14">
        <v>24609563.86455645</v>
      </c>
      <c r="S14">
        <v>24188336.779742043</v>
      </c>
      <c r="T14">
        <v>7323253.9727713177</v>
      </c>
      <c r="U14">
        <v>27022239.152799387</v>
      </c>
      <c r="V14">
        <v>13053995.575115185</v>
      </c>
      <c r="W14">
        <v>7441257.1850311346</v>
      </c>
      <c r="X14">
        <v>37403243.118861012</v>
      </c>
      <c r="Y14">
        <v>12399187.806800213</v>
      </c>
    </row>
    <row r="15" spans="1:25" x14ac:dyDescent="0.45">
      <c r="A15" t="s">
        <v>46</v>
      </c>
      <c r="B15">
        <v>3554960.8485607742</v>
      </c>
      <c r="C15">
        <v>3809803.1517319181</v>
      </c>
      <c r="D15">
        <v>2415813.9710805584</v>
      </c>
      <c r="E15">
        <v>2761026.205431228</v>
      </c>
      <c r="F15">
        <v>4463829.2075987412</v>
      </c>
      <c r="G15">
        <v>3764819.4989000051</v>
      </c>
      <c r="H15">
        <v>2546453.7215823908</v>
      </c>
      <c r="I15">
        <v>6572134.2381741218</v>
      </c>
      <c r="J15">
        <v>5989290.7389764972</v>
      </c>
      <c r="K15">
        <v>7562056.5630992986</v>
      </c>
      <c r="L15">
        <v>8030607.7262609098</v>
      </c>
      <c r="M15">
        <v>4438150.6741814436</v>
      </c>
      <c r="N15">
        <v>7550994.762627787</v>
      </c>
      <c r="O15">
        <v>4415717.6110217823</v>
      </c>
      <c r="P15">
        <v>2780153.613299665</v>
      </c>
      <c r="Q15">
        <v>4555636.1671783356</v>
      </c>
      <c r="R15">
        <v>4805780.3125336999</v>
      </c>
      <c r="S15">
        <v>6654047.1697398415</v>
      </c>
      <c r="T15">
        <v>2303999.0530518321</v>
      </c>
      <c r="U15">
        <v>8883658.6614438277</v>
      </c>
      <c r="V15">
        <v>3234149.6727605113</v>
      </c>
      <c r="W15">
        <v>2197753.2187565938</v>
      </c>
      <c r="X15">
        <v>4807709.4715127647</v>
      </c>
      <c r="Y15">
        <v>3345578.6116257166</v>
      </c>
    </row>
    <row r="16" spans="1:25" x14ac:dyDescent="0.45">
      <c r="A16" t="s">
        <v>270</v>
      </c>
      <c r="B16">
        <v>816279703.3220365</v>
      </c>
      <c r="C16">
        <v>972431446.22411859</v>
      </c>
      <c r="D16">
        <v>712799146.73077559</v>
      </c>
      <c r="E16">
        <v>892867673.99714184</v>
      </c>
      <c r="F16">
        <v>1332096733.5872447</v>
      </c>
      <c r="G16">
        <v>1026327576.6116618</v>
      </c>
      <c r="H16">
        <v>171703961.35841104</v>
      </c>
      <c r="I16">
        <v>528726898.55622053</v>
      </c>
      <c r="J16">
        <v>631628274.84286618</v>
      </c>
      <c r="K16">
        <v>1262141952.263283</v>
      </c>
      <c r="L16">
        <v>1573029899.8383801</v>
      </c>
      <c r="M16">
        <v>1156143311.9868999</v>
      </c>
      <c r="N16">
        <v>585931564.25497735</v>
      </c>
      <c r="O16">
        <v>978569393.36878729</v>
      </c>
      <c r="P16">
        <v>577087611.5363847</v>
      </c>
      <c r="Q16">
        <v>558691688.92198598</v>
      </c>
      <c r="R16">
        <v>1303183825.6020601</v>
      </c>
      <c r="S16">
        <v>1065144429.6019042</v>
      </c>
      <c r="T16">
        <v>721576791.00075054</v>
      </c>
      <c r="U16">
        <v>1815939186.8840718</v>
      </c>
      <c r="V16">
        <v>1063906306.4322977</v>
      </c>
      <c r="W16">
        <v>1184902468.1681252</v>
      </c>
      <c r="X16">
        <v>1339029753.7834013</v>
      </c>
      <c r="Y16">
        <v>1146023756.8884027</v>
      </c>
    </row>
    <row r="17" spans="1:25" x14ac:dyDescent="0.45">
      <c r="A17" t="s">
        <v>51</v>
      </c>
      <c r="B17">
        <v>231424850.94778812</v>
      </c>
      <c r="C17">
        <v>216358651.45673203</v>
      </c>
      <c r="D17">
        <v>155825186.55540636</v>
      </c>
      <c r="E17">
        <v>209704893.76948604</v>
      </c>
      <c r="F17">
        <v>259540503.95949137</v>
      </c>
      <c r="G17">
        <v>225585667.30097744</v>
      </c>
      <c r="H17">
        <v>182071376.38906363</v>
      </c>
      <c r="I17">
        <v>175031897.65961078</v>
      </c>
      <c r="J17">
        <v>359282254.6234771</v>
      </c>
      <c r="K17">
        <v>397300174.87450272</v>
      </c>
      <c r="L17">
        <v>272006541.92773497</v>
      </c>
      <c r="M17">
        <v>299525894.49478495</v>
      </c>
      <c r="N17">
        <v>317757555.14845198</v>
      </c>
      <c r="O17">
        <v>254289432.93768457</v>
      </c>
      <c r="P17">
        <v>163183866.39725035</v>
      </c>
      <c r="Q17">
        <v>161577806.57286847</v>
      </c>
      <c r="R17">
        <v>298777761.5398128</v>
      </c>
      <c r="S17">
        <v>299330622.48490405</v>
      </c>
      <c r="T17">
        <v>151988371.52224493</v>
      </c>
      <c r="U17">
        <v>449541557.66810924</v>
      </c>
      <c r="V17">
        <v>223378497.1583178</v>
      </c>
      <c r="W17">
        <v>291334306.51016796</v>
      </c>
      <c r="X17">
        <v>366258124.90429211</v>
      </c>
      <c r="Y17">
        <v>354744003.7856828</v>
      </c>
    </row>
    <row r="18" spans="1:25" x14ac:dyDescent="0.45">
      <c r="A18" t="s">
        <v>271</v>
      </c>
      <c r="B18">
        <v>55298968.736580253</v>
      </c>
      <c r="C18">
        <v>43618503.77528587</v>
      </c>
      <c r="D18">
        <v>25029464.653807167</v>
      </c>
      <c r="E18">
        <v>33127435.92696619</v>
      </c>
      <c r="F18">
        <v>62290547.766901262</v>
      </c>
      <c r="G18">
        <v>38352593.597119555</v>
      </c>
      <c r="H18">
        <v>40511245.501188606</v>
      </c>
      <c r="I18">
        <v>320284479.97530502</v>
      </c>
      <c r="J18">
        <v>169153815.42258814</v>
      </c>
      <c r="K18">
        <v>91708807.837850004</v>
      </c>
      <c r="L18">
        <v>154923691.372448</v>
      </c>
      <c r="M18">
        <v>69062333.530944988</v>
      </c>
      <c r="N18">
        <v>42091570.564188994</v>
      </c>
      <c r="O18">
        <v>63893537.00851436</v>
      </c>
      <c r="P18">
        <v>42552656.222763516</v>
      </c>
      <c r="Q18">
        <v>8764215.2196982298</v>
      </c>
      <c r="R18">
        <v>72907859.751274109</v>
      </c>
      <c r="S18">
        <v>48949364.992965937</v>
      </c>
      <c r="T18">
        <v>13009621.871739144</v>
      </c>
      <c r="U18">
        <v>41993213.14600829</v>
      </c>
      <c r="V18">
        <v>32679223.53748076</v>
      </c>
      <c r="W18">
        <v>52933896.220432959</v>
      </c>
      <c r="X18">
        <v>120764885.57297219</v>
      </c>
      <c r="Y18">
        <v>179888991.64687887</v>
      </c>
    </row>
    <row r="19" spans="1:25" x14ac:dyDescent="0.45">
      <c r="A19" t="s">
        <v>272</v>
      </c>
      <c r="B19">
        <v>55272441.209475003</v>
      </c>
      <c r="C19">
        <v>43618503.77528587</v>
      </c>
      <c r="D19">
        <v>25029464.653807167</v>
      </c>
      <c r="E19">
        <v>33127435.92696619</v>
      </c>
      <c r="F19">
        <v>62290547.766901262</v>
      </c>
      <c r="G19">
        <v>38352593.597119555</v>
      </c>
      <c r="H19">
        <v>40761510.337053388</v>
      </c>
      <c r="I19">
        <v>320284479.97530502</v>
      </c>
      <c r="J19">
        <v>166571407.82643247</v>
      </c>
      <c r="K19">
        <v>91432906.822041735</v>
      </c>
      <c r="L19">
        <v>58160265.583743103</v>
      </c>
      <c r="M19">
        <v>69353038.421698123</v>
      </c>
      <c r="N19">
        <v>42116765.87403065</v>
      </c>
      <c r="O19">
        <v>63893537.00851436</v>
      </c>
      <c r="P19">
        <v>42552656.222763516</v>
      </c>
      <c r="Q19">
        <v>8764215.2196982298</v>
      </c>
      <c r="R19">
        <v>72907859.751274109</v>
      </c>
      <c r="S19">
        <v>50255699.754966564</v>
      </c>
      <c r="T19">
        <v>12699784.223934736</v>
      </c>
      <c r="U19">
        <v>45671774.811866514</v>
      </c>
      <c r="V19">
        <v>32679223.53748076</v>
      </c>
      <c r="W19">
        <v>52916359.677209221</v>
      </c>
      <c r="X19">
        <v>120764885.57297219</v>
      </c>
      <c r="Y19">
        <v>58642225.574988805</v>
      </c>
    </row>
    <row r="20" spans="1:25" x14ac:dyDescent="0.45">
      <c r="A20" t="s">
        <v>52</v>
      </c>
      <c r="B20">
        <v>13633035.068571383</v>
      </c>
      <c r="C20">
        <v>19415380.888258308</v>
      </c>
      <c r="D20">
        <v>12413211.713013083</v>
      </c>
      <c r="E20">
        <v>14850981.193357613</v>
      </c>
      <c r="F20">
        <v>17718499.823142432</v>
      </c>
      <c r="G20">
        <v>14837803.641419852</v>
      </c>
      <c r="H20">
        <v>12166518.55139735</v>
      </c>
      <c r="I20">
        <v>21367485.766512245</v>
      </c>
      <c r="J20">
        <v>27651785.301646475</v>
      </c>
      <c r="K20">
        <v>22894521.296020053</v>
      </c>
      <c r="L20">
        <v>28537676.664080199</v>
      </c>
      <c r="M20">
        <v>21178695.23300356</v>
      </c>
      <c r="N20">
        <v>13878998.360230733</v>
      </c>
      <c r="O20">
        <v>14773008.018052714</v>
      </c>
      <c r="P20">
        <v>12263659.671592057</v>
      </c>
      <c r="Q20">
        <v>9629574.8764680214</v>
      </c>
      <c r="R20">
        <v>21535732.912865009</v>
      </c>
      <c r="S20">
        <v>21423478.767557126</v>
      </c>
      <c r="T20">
        <v>12865007.428708456</v>
      </c>
      <c r="U20">
        <v>28726640.118452583</v>
      </c>
      <c r="V20">
        <v>18091884.352458965</v>
      </c>
      <c r="W20">
        <v>20373529.695630953</v>
      </c>
      <c r="X20">
        <v>24336298.994679779</v>
      </c>
      <c r="Y20">
        <v>22387685.086360611</v>
      </c>
    </row>
    <row r="21" spans="1:25" x14ac:dyDescent="0.45">
      <c r="A21" t="s">
        <v>53</v>
      </c>
      <c r="B21">
        <v>97260834.700677395</v>
      </c>
      <c r="C21">
        <v>323640370.24235171</v>
      </c>
      <c r="D21">
        <v>213964264.50500205</v>
      </c>
      <c r="E21">
        <v>146933840.37736428</v>
      </c>
      <c r="F21">
        <v>171347897.25349635</v>
      </c>
      <c r="G21">
        <v>106512420.91927843</v>
      </c>
      <c r="H21">
        <v>38093846.894945264</v>
      </c>
      <c r="I21">
        <v>192835688.24438286</v>
      </c>
      <c r="J21">
        <v>292082172.49077457</v>
      </c>
      <c r="K21">
        <v>191825034.58988646</v>
      </c>
      <c r="L21">
        <v>212092801.635187</v>
      </c>
      <c r="M21">
        <v>126578253.41923313</v>
      </c>
      <c r="N21">
        <v>94117578.006465405</v>
      </c>
      <c r="O21">
        <v>288581199.71887183</v>
      </c>
      <c r="P21">
        <v>187588532.5419091</v>
      </c>
      <c r="Q21">
        <v>94473347.838708788</v>
      </c>
      <c r="R21">
        <v>239339915.35367328</v>
      </c>
      <c r="S21">
        <v>143586741.51735446</v>
      </c>
      <c r="T21">
        <v>135058478.04948369</v>
      </c>
      <c r="U21">
        <v>185532986.93917108</v>
      </c>
      <c r="V21">
        <v>157980284.86421931</v>
      </c>
      <c r="W21">
        <v>238418555.88257599</v>
      </c>
      <c r="X21">
        <v>160014358.92235178</v>
      </c>
      <c r="Y21">
        <v>226281778.101551</v>
      </c>
    </row>
    <row r="22" spans="1:25" x14ac:dyDescent="0.45">
      <c r="A22" t="s">
        <v>54</v>
      </c>
      <c r="B22">
        <v>5963250.6433773665</v>
      </c>
      <c r="C22">
        <v>19464137.139461901</v>
      </c>
      <c r="D22">
        <v>14512351.621034669</v>
      </c>
      <c r="E22">
        <v>17359190.761777185</v>
      </c>
      <c r="F22">
        <v>21483518.886339054</v>
      </c>
      <c r="G22">
        <v>16861889.365243088</v>
      </c>
      <c r="H22">
        <v>8326615.3816606561</v>
      </c>
      <c r="I22">
        <v>16290951.955008244</v>
      </c>
      <c r="J22">
        <v>34654860.261579826</v>
      </c>
      <c r="K22">
        <v>29350546.747148223</v>
      </c>
      <c r="L22">
        <v>34981636.262085102</v>
      </c>
      <c r="M22">
        <v>26400112.354538433</v>
      </c>
      <c r="N22">
        <v>17575677.510682993</v>
      </c>
      <c r="O22">
        <v>18024356.653596438</v>
      </c>
      <c r="P22">
        <v>13825565.031582896</v>
      </c>
      <c r="Q22">
        <v>11310237.28743697</v>
      </c>
      <c r="R22">
        <v>23535313.450219892</v>
      </c>
      <c r="S22">
        <v>23833707.082177415</v>
      </c>
      <c r="T22">
        <v>14853415.671569854</v>
      </c>
      <c r="U22">
        <v>24212110.030838303</v>
      </c>
      <c r="V22">
        <v>17910845.65160064</v>
      </c>
      <c r="W22">
        <v>24401361.526029345</v>
      </c>
      <c r="X22">
        <v>23738546.206377789</v>
      </c>
      <c r="Y22">
        <v>24226306.835675385</v>
      </c>
    </row>
    <row r="23" spans="1:25" x14ac:dyDescent="0.45">
      <c r="A23" t="s">
        <v>55</v>
      </c>
      <c r="B23">
        <v>124863800.27562074</v>
      </c>
      <c r="C23">
        <v>227646580.43898696</v>
      </c>
      <c r="D23">
        <v>164022425.25639674</v>
      </c>
      <c r="E23">
        <v>113944071.64613715</v>
      </c>
      <c r="F23">
        <v>137383985.09168446</v>
      </c>
      <c r="G23">
        <v>110109219.01612058</v>
      </c>
      <c r="H23">
        <v>62248676.383543916</v>
      </c>
      <c r="I23">
        <v>187523987.71380946</v>
      </c>
      <c r="J23">
        <v>224064779.22425345</v>
      </c>
      <c r="K23">
        <v>141743551.92055953</v>
      </c>
      <c r="L23">
        <v>536603168.85842502</v>
      </c>
      <c r="M23">
        <v>125052836.07108687</v>
      </c>
      <c r="N23">
        <v>160060807.25790915</v>
      </c>
      <c r="O23">
        <v>265783895.60937449</v>
      </c>
      <c r="P23">
        <v>130735818.19637974</v>
      </c>
      <c r="Q23">
        <v>51846416.114129499</v>
      </c>
      <c r="R23">
        <v>152071575.54843208</v>
      </c>
      <c r="S23">
        <v>81959074.777131557</v>
      </c>
      <c r="T23">
        <v>77579926.256488085</v>
      </c>
      <c r="U23">
        <v>80539697.991359457</v>
      </c>
      <c r="V23">
        <v>89729489.468444154</v>
      </c>
      <c r="W23">
        <v>282261874.35353905</v>
      </c>
      <c r="X23">
        <v>130892631.64188506</v>
      </c>
      <c r="Y23">
        <v>59306946.955451995</v>
      </c>
    </row>
    <row r="24" spans="1:25" x14ac:dyDescent="0.45">
      <c r="A24" t="s">
        <v>56</v>
      </c>
      <c r="B24">
        <v>822020.39075542148</v>
      </c>
      <c r="C24">
        <v>548009.6981564383</v>
      </c>
      <c r="D24">
        <v>397383.88561911572</v>
      </c>
      <c r="E24">
        <v>757567.57906222972</v>
      </c>
      <c r="F24">
        <v>717709.09570763086</v>
      </c>
      <c r="G24">
        <v>662686.24353491166</v>
      </c>
      <c r="H24">
        <v>1443006.5109388856</v>
      </c>
      <c r="I24">
        <v>1512576.2397610191</v>
      </c>
      <c r="J24">
        <v>2072285.847368811</v>
      </c>
      <c r="K24">
        <v>865734.53579027182</v>
      </c>
      <c r="L24">
        <v>1889925.8818764701</v>
      </c>
      <c r="M24">
        <v>593114.45123317244</v>
      </c>
      <c r="N24">
        <v>459939.23974011233</v>
      </c>
      <c r="O24">
        <v>492281.74175199791</v>
      </c>
      <c r="P24">
        <v>589389.52269368863</v>
      </c>
      <c r="Q24">
        <v>345168.49121226906</v>
      </c>
      <c r="R24">
        <v>1151984.696992181</v>
      </c>
      <c r="S24">
        <v>1769645.9800383437</v>
      </c>
      <c r="T24">
        <v>332442.15924124635</v>
      </c>
      <c r="U24">
        <v>2244486.7705040183</v>
      </c>
      <c r="V24">
        <v>1615309.8921993654</v>
      </c>
      <c r="W24">
        <v>1958293.082179144</v>
      </c>
      <c r="X24">
        <v>2271613.0083078253</v>
      </c>
      <c r="Y24">
        <v>1471862.5525909017</v>
      </c>
    </row>
    <row r="25" spans="1:25" x14ac:dyDescent="0.45">
      <c r="A25" t="s">
        <v>57</v>
      </c>
      <c r="B25">
        <v>9967118.5382931121</v>
      </c>
      <c r="C25">
        <v>14351150.167418355</v>
      </c>
      <c r="D25">
        <v>14518130.826573718</v>
      </c>
      <c r="E25">
        <v>12323627.640939223</v>
      </c>
      <c r="F25">
        <v>21466950.548643757</v>
      </c>
      <c r="G25">
        <v>12058540.277673528</v>
      </c>
      <c r="H25">
        <v>4744163.5291189058</v>
      </c>
      <c r="I25">
        <v>22449653.196040776</v>
      </c>
      <c r="J25">
        <v>24113333.514816221</v>
      </c>
      <c r="K25">
        <v>29330738.483764272</v>
      </c>
      <c r="L25">
        <v>39528578.212188803</v>
      </c>
      <c r="M25">
        <v>14898341.440868</v>
      </c>
      <c r="N25">
        <v>17575677.510682993</v>
      </c>
      <c r="O25">
        <v>18008104.670875214</v>
      </c>
      <c r="P25">
        <v>13822401.095551267</v>
      </c>
      <c r="Q25">
        <v>8061085.7776366426</v>
      </c>
      <c r="R25">
        <v>23530053.040097889</v>
      </c>
      <c r="S25">
        <v>23849888.348750845</v>
      </c>
      <c r="T25">
        <v>14845242.853392124</v>
      </c>
      <c r="U25">
        <v>8154676.0614592331</v>
      </c>
      <c r="V25">
        <v>20504672.24137729</v>
      </c>
      <c r="W25">
        <v>24380550.240942426</v>
      </c>
      <c r="X25">
        <v>16578528.632929044</v>
      </c>
      <c r="Y25">
        <v>20326138.445000045</v>
      </c>
    </row>
    <row r="26" spans="1:25" x14ac:dyDescent="0.45">
      <c r="A26" t="s">
        <v>58</v>
      </c>
      <c r="B26">
        <v>9152616.4696886372</v>
      </c>
      <c r="C26">
        <v>13593228.515576614</v>
      </c>
      <c r="D26">
        <v>9965904.9627082516</v>
      </c>
      <c r="E26">
        <v>11159916.991833448</v>
      </c>
      <c r="F26">
        <v>10795338.388637297</v>
      </c>
      <c r="G26">
        <v>10820586.286875343</v>
      </c>
      <c r="H26">
        <v>5224400.0559997521</v>
      </c>
      <c r="I26">
        <v>21949517.652113002</v>
      </c>
      <c r="J26">
        <v>22777893.39805093</v>
      </c>
      <c r="K26">
        <v>20780742.050062779</v>
      </c>
      <c r="L26">
        <v>26691780.924102999</v>
      </c>
      <c r="M26">
        <v>4089293.4468657314</v>
      </c>
      <c r="N26">
        <v>10115095.7260371</v>
      </c>
      <c r="O26">
        <v>11840035.925081171</v>
      </c>
      <c r="P26">
        <v>9381444.2757785544</v>
      </c>
      <c r="Q26">
        <v>8117784.416825382</v>
      </c>
      <c r="R26">
        <v>16157748.622809617</v>
      </c>
      <c r="S26">
        <v>7219460.041423656</v>
      </c>
      <c r="T26">
        <v>10681587.797499625</v>
      </c>
      <c r="U26">
        <v>22138457.979973231</v>
      </c>
      <c r="V26">
        <v>14605614.379508104</v>
      </c>
      <c r="W26">
        <v>15898983.800568692</v>
      </c>
      <c r="X26">
        <v>17107122.514744401</v>
      </c>
      <c r="Y26">
        <v>16412356.465356575</v>
      </c>
    </row>
    <row r="27" spans="1:25" x14ac:dyDescent="0.45">
      <c r="A27" t="s">
        <v>273</v>
      </c>
      <c r="B27">
        <v>14419588.03142659</v>
      </c>
      <c r="C27">
        <v>17630995.742720559</v>
      </c>
      <c r="D27">
        <v>12868552.564991819</v>
      </c>
      <c r="E27">
        <v>10323996.339401882</v>
      </c>
      <c r="F27">
        <v>25317101.896094263</v>
      </c>
      <c r="G27">
        <v>19992756.867765341</v>
      </c>
      <c r="H27">
        <v>16568298.086663259</v>
      </c>
      <c r="I27">
        <v>52796817.403160281</v>
      </c>
      <c r="J27">
        <v>39993498.262957901</v>
      </c>
      <c r="K27">
        <v>20791578.025630031</v>
      </c>
      <c r="L27">
        <v>63604358.091474801</v>
      </c>
      <c r="M27">
        <v>30560496.316815935</v>
      </c>
      <c r="N27">
        <v>7775956.6952565331</v>
      </c>
      <c r="O27">
        <v>23486135.784681011</v>
      </c>
      <c r="P27">
        <v>9775780.1198341679</v>
      </c>
      <c r="Q27">
        <v>8842574.4664444607</v>
      </c>
      <c r="R27">
        <v>46995121.41158209</v>
      </c>
      <c r="S27">
        <v>45003386.279789433</v>
      </c>
      <c r="T27">
        <v>29226579.60930185</v>
      </c>
      <c r="U27">
        <v>46129473.03562773</v>
      </c>
      <c r="V27">
        <v>27235250.961600319</v>
      </c>
      <c r="W27">
        <v>30585189.550451171</v>
      </c>
      <c r="X27">
        <v>64215171.172773942</v>
      </c>
      <c r="Y27">
        <v>27956106.635369822</v>
      </c>
    </row>
    <row r="28" spans="1:25" x14ac:dyDescent="0.45">
      <c r="A28" t="s">
        <v>59</v>
      </c>
      <c r="B28">
        <v>155860.99122601922</v>
      </c>
      <c r="C28">
        <v>127678.35958916444</v>
      </c>
      <c r="D28">
        <v>472668.21961831913</v>
      </c>
      <c r="E28">
        <v>245616.31916932651</v>
      </c>
      <c r="F28">
        <v>182796.89818625242</v>
      </c>
      <c r="G28">
        <v>264128.20178356371</v>
      </c>
      <c r="H28">
        <v>82526459.754413724</v>
      </c>
      <c r="I28">
        <v>5572454.8570993533</v>
      </c>
      <c r="J28">
        <v>3708469.6862128777</v>
      </c>
      <c r="K28">
        <v>908671.55814593087</v>
      </c>
      <c r="L28">
        <v>68767011.225811899</v>
      </c>
      <c r="M28">
        <v>564974.60000393004</v>
      </c>
      <c r="N28">
        <v>1465072.9023480695</v>
      </c>
      <c r="O28">
        <v>1278417.7747478618</v>
      </c>
      <c r="P28">
        <v>187591.04181677435</v>
      </c>
      <c r="Q28">
        <v>22017963.230842005</v>
      </c>
      <c r="R28">
        <v>53724846.650854215</v>
      </c>
      <c r="S28">
        <v>71185886.23130089</v>
      </c>
      <c r="T28">
        <v>99404.089096711337</v>
      </c>
      <c r="U28">
        <v>1878299.447935357</v>
      </c>
      <c r="V28">
        <v>308445.22384208225</v>
      </c>
      <c r="W28">
        <v>840151.05444215541</v>
      </c>
      <c r="X28">
        <v>1172721.2443729651</v>
      </c>
      <c r="Y28">
        <v>1019621.2478604639</v>
      </c>
    </row>
    <row r="29" spans="1:25" x14ac:dyDescent="0.45">
      <c r="A29" t="s">
        <v>60</v>
      </c>
      <c r="B29">
        <v>320868.74141003721</v>
      </c>
      <c r="C29">
        <v>851044.8866853331</v>
      </c>
      <c r="D29">
        <v>636367.18285440479</v>
      </c>
      <c r="E29">
        <v>352520.74750467786</v>
      </c>
      <c r="F29">
        <v>1007452.450798636</v>
      </c>
      <c r="G29">
        <v>827331.9626259068</v>
      </c>
      <c r="H29">
        <v>9575472.6344583184</v>
      </c>
      <c r="I29">
        <v>52247482.551355347</v>
      </c>
      <c r="J29">
        <v>3894714.7377041583</v>
      </c>
      <c r="K29">
        <v>944843.41251973237</v>
      </c>
      <c r="L29">
        <v>60786966.549309798</v>
      </c>
      <c r="M29">
        <v>1509394.3134562313</v>
      </c>
      <c r="N29">
        <v>5714979.8525640033</v>
      </c>
      <c r="O29">
        <v>1014077.0150551384</v>
      </c>
      <c r="P29">
        <v>608691.27128763567</v>
      </c>
      <c r="Q29">
        <v>7001612.7450529123</v>
      </c>
      <c r="R29">
        <v>25532609.69155987</v>
      </c>
      <c r="S29">
        <v>2041102.164120425</v>
      </c>
      <c r="T29">
        <v>269982.15311894205</v>
      </c>
      <c r="U29">
        <v>1595321.9527867574</v>
      </c>
      <c r="V29">
        <v>719739.43275929277</v>
      </c>
      <c r="W29">
        <v>1335061.0821775191</v>
      </c>
      <c r="X29">
        <v>2852293.1582323415</v>
      </c>
      <c r="Y29">
        <v>2855849.1930048754</v>
      </c>
    </row>
    <row r="30" spans="1:25" x14ac:dyDescent="0.45">
      <c r="A30" t="s">
        <v>61</v>
      </c>
      <c r="B30">
        <v>30763384.676233776</v>
      </c>
      <c r="C30">
        <v>30054283.569162436</v>
      </c>
      <c r="D30">
        <v>20996270.485935625</v>
      </c>
      <c r="E30">
        <v>23328794.498081334</v>
      </c>
      <c r="F30">
        <v>31882199.531892501</v>
      </c>
      <c r="G30">
        <v>20596429.597012989</v>
      </c>
      <c r="H30">
        <v>15944157.802705463</v>
      </c>
      <c r="I30">
        <v>6326831.0323567931</v>
      </c>
      <c r="J30">
        <v>57508005.088505663</v>
      </c>
      <c r="K30">
        <v>46314171.863681741</v>
      </c>
      <c r="L30">
        <v>43477958.038361497</v>
      </c>
      <c r="M30">
        <v>33504514.945597995</v>
      </c>
      <c r="N30">
        <v>21484359.508527651</v>
      </c>
      <c r="O30">
        <v>25169128.394367822</v>
      </c>
      <c r="P30">
        <v>19660064.876531083</v>
      </c>
      <c r="Q30">
        <v>18280255.024697166</v>
      </c>
      <c r="R30">
        <v>80600395.016914606</v>
      </c>
      <c r="S30">
        <v>60199479.170403421</v>
      </c>
      <c r="T30">
        <v>23006435.753895454</v>
      </c>
      <c r="U30">
        <v>54532121.206604317</v>
      </c>
      <c r="V30">
        <v>28623145.50086185</v>
      </c>
      <c r="W30">
        <v>49167378.144698836</v>
      </c>
      <c r="X30">
        <v>49160721.17523098</v>
      </c>
      <c r="Y30">
        <v>44083411.232750162</v>
      </c>
    </row>
    <row r="31" spans="1:25" x14ac:dyDescent="0.45">
      <c r="A31" t="s">
        <v>62</v>
      </c>
      <c r="B31">
        <v>14967203.595964096</v>
      </c>
      <c r="C31">
        <v>17138819.57275058</v>
      </c>
      <c r="D31">
        <v>10606619.916496694</v>
      </c>
      <c r="E31">
        <v>13053665.287382811</v>
      </c>
      <c r="F31">
        <v>16989118.520953462</v>
      </c>
      <c r="G31">
        <v>4088288.9503227598</v>
      </c>
      <c r="H31">
        <v>15470635.599548597</v>
      </c>
      <c r="I31">
        <v>9948926.6313993242</v>
      </c>
      <c r="J31">
        <v>34680725.307778709</v>
      </c>
      <c r="K31">
        <v>32112495.877072606</v>
      </c>
      <c r="L31">
        <v>54899617.049534701</v>
      </c>
      <c r="M31">
        <v>8865630.9409381244</v>
      </c>
      <c r="N31">
        <v>30889131.317597613</v>
      </c>
      <c r="O31">
        <v>22104528.119641121</v>
      </c>
      <c r="P31">
        <v>16472524.3000932</v>
      </c>
      <c r="Q31">
        <v>12727573.944890743</v>
      </c>
      <c r="R31">
        <v>27549076.88833636</v>
      </c>
      <c r="S31">
        <v>29473885.841376305</v>
      </c>
      <c r="T31">
        <v>19080795.154267382</v>
      </c>
      <c r="U31">
        <v>7547927.9414803805</v>
      </c>
      <c r="V31">
        <v>16107822.272625988</v>
      </c>
      <c r="W31">
        <v>20373232.098510962</v>
      </c>
      <c r="X31">
        <v>15311275.485298915</v>
      </c>
      <c r="Y31">
        <v>19859238.955938991</v>
      </c>
    </row>
    <row r="32" spans="1:25" x14ac:dyDescent="0.45">
      <c r="A32" t="s">
        <v>63</v>
      </c>
      <c r="B32">
        <v>889042.22882262303</v>
      </c>
      <c r="C32">
        <v>2962681.0712161702</v>
      </c>
      <c r="D32">
        <v>1722077.0103850083</v>
      </c>
      <c r="E32">
        <v>1246476.1532735466</v>
      </c>
      <c r="F32">
        <v>992711.08157908276</v>
      </c>
      <c r="G32">
        <v>1515891.1726615785</v>
      </c>
      <c r="H32">
        <v>1392455.7188574269</v>
      </c>
      <c r="I32">
        <v>4029323.9076274661</v>
      </c>
      <c r="J32">
        <v>2236661.5321841971</v>
      </c>
      <c r="K32">
        <v>2816198.2992570796</v>
      </c>
      <c r="L32">
        <v>8795489.4618717507</v>
      </c>
      <c r="M32">
        <v>2931667.7918982436</v>
      </c>
      <c r="N32">
        <v>9756728.6055312231</v>
      </c>
      <c r="O32">
        <v>2400457.1079281862</v>
      </c>
      <c r="P32">
        <v>4403389.2489124611</v>
      </c>
      <c r="Q32">
        <v>1227425.0373705942</v>
      </c>
      <c r="R32">
        <v>3447435.3496355228</v>
      </c>
      <c r="S32">
        <v>2955142.5398398899</v>
      </c>
      <c r="T32">
        <v>2742234.9683422744</v>
      </c>
      <c r="U32">
        <v>156024.73750123536</v>
      </c>
      <c r="V32">
        <v>4252079.0956822895</v>
      </c>
      <c r="W32">
        <v>112498.71028255321</v>
      </c>
      <c r="X32">
        <v>209348.17890762814</v>
      </c>
      <c r="Y32">
        <v>188816.20181590185</v>
      </c>
    </row>
    <row r="33" spans="1:25" x14ac:dyDescent="0.45">
      <c r="A33" t="s">
        <v>64</v>
      </c>
      <c r="B33">
        <v>26771608.721795559</v>
      </c>
      <c r="C33">
        <v>30040823.315044221</v>
      </c>
      <c r="D33">
        <v>21542903.965363484</v>
      </c>
      <c r="E33">
        <v>27428801.084027108</v>
      </c>
      <c r="F33">
        <v>37489028.820391893</v>
      </c>
      <c r="G33">
        <v>30141082.456296716</v>
      </c>
      <c r="H33">
        <v>22337798.541801307</v>
      </c>
      <c r="I33">
        <v>31817222.983365804</v>
      </c>
      <c r="J33">
        <v>43558371.65472848</v>
      </c>
      <c r="K33">
        <v>15746728.860758493</v>
      </c>
      <c r="L33">
        <v>29439039.2393439</v>
      </c>
      <c r="M33">
        <v>7255363.3230581246</v>
      </c>
      <c r="N33">
        <v>37950777.78376548</v>
      </c>
      <c r="O33">
        <v>38549979.131346174</v>
      </c>
      <c r="P33">
        <v>28908898.537037861</v>
      </c>
      <c r="Q33">
        <v>2740035.724936896</v>
      </c>
      <c r="R33">
        <v>32032129.830638841</v>
      </c>
      <c r="S33">
        <v>7449970.0173544483</v>
      </c>
      <c r="T33">
        <v>9107209.0653089751</v>
      </c>
      <c r="U33">
        <v>64198767.808554098</v>
      </c>
      <c r="V33">
        <v>35530356.296356224</v>
      </c>
      <c r="W33">
        <v>39339013.06488125</v>
      </c>
      <c r="X33">
        <v>46650437.959684022</v>
      </c>
      <c r="Y33">
        <v>39905351.323221803</v>
      </c>
    </row>
    <row r="34" spans="1:25" x14ac:dyDescent="0.45">
      <c r="A34" t="s">
        <v>65</v>
      </c>
      <c r="B34">
        <v>1350297.4862124582</v>
      </c>
      <c r="C34">
        <v>3238071.7801368213</v>
      </c>
      <c r="D34">
        <v>1317068.4617986567</v>
      </c>
      <c r="E34">
        <v>950421.20463643386</v>
      </c>
      <c r="F34">
        <v>1680200.2805138817</v>
      </c>
      <c r="G34">
        <v>1032857.1768836371</v>
      </c>
      <c r="H34">
        <v>847014.15338067</v>
      </c>
      <c r="I34">
        <v>2200703.7783352239</v>
      </c>
      <c r="J34">
        <v>3586068.7061720146</v>
      </c>
      <c r="K34">
        <v>1559398.6772933574</v>
      </c>
      <c r="L34">
        <v>4453166.7427845905</v>
      </c>
      <c r="M34">
        <v>1456049.3288965437</v>
      </c>
      <c r="N34">
        <v>1928388.4591979012</v>
      </c>
      <c r="O34">
        <v>1478680.8029442821</v>
      </c>
      <c r="P34">
        <v>1287191.3598178306</v>
      </c>
      <c r="Q34">
        <v>638784.52166827209</v>
      </c>
      <c r="R34">
        <v>1965035.2716292327</v>
      </c>
      <c r="S34">
        <v>1382297.9675793094</v>
      </c>
      <c r="T34">
        <v>732048.33643311867</v>
      </c>
      <c r="U34">
        <v>4242670.0276470566</v>
      </c>
      <c r="V34">
        <v>1395632.6127182862</v>
      </c>
      <c r="W34">
        <v>2434296.8326413198</v>
      </c>
      <c r="X34">
        <v>2214892.0364152659</v>
      </c>
      <c r="Y34">
        <v>1294295.5680604768</v>
      </c>
    </row>
    <row r="35" spans="1:25" x14ac:dyDescent="0.45">
      <c r="A35" t="s">
        <v>66</v>
      </c>
      <c r="B35">
        <v>337609.92873550125</v>
      </c>
      <c r="C35">
        <v>962389.37925946293</v>
      </c>
      <c r="D35">
        <v>355102.67881624697</v>
      </c>
      <c r="E35">
        <v>267309.68115635868</v>
      </c>
      <c r="F35">
        <v>426659.64601311967</v>
      </c>
      <c r="G35">
        <v>829262.75845690677</v>
      </c>
      <c r="H35">
        <v>346248.56160790281</v>
      </c>
      <c r="I35">
        <v>1147928.5066633336</v>
      </c>
      <c r="J35">
        <v>416671.52257131477</v>
      </c>
      <c r="K35">
        <v>661957.87658969511</v>
      </c>
      <c r="L35">
        <v>2376005.5817413302</v>
      </c>
      <c r="M35">
        <v>871450.2513853499</v>
      </c>
      <c r="N35">
        <v>435069.01076999475</v>
      </c>
      <c r="O35">
        <v>536411.37984707986</v>
      </c>
      <c r="P35">
        <v>364540.33729052567</v>
      </c>
      <c r="Q35">
        <v>943439.62565093511</v>
      </c>
      <c r="R35">
        <v>1611235.1335910654</v>
      </c>
      <c r="S35">
        <v>1986382.0351310249</v>
      </c>
      <c r="T35">
        <v>420908.95498638129</v>
      </c>
      <c r="U35">
        <v>695289.14591061731</v>
      </c>
      <c r="V35">
        <v>613592.44872072572</v>
      </c>
      <c r="W35">
        <v>634650.35629266943</v>
      </c>
      <c r="X35">
        <v>487710.50211760396</v>
      </c>
      <c r="Y35">
        <v>689427.58902008703</v>
      </c>
    </row>
    <row r="36" spans="1:25" x14ac:dyDescent="0.45">
      <c r="A36" t="s">
        <v>67</v>
      </c>
      <c r="B36">
        <v>950179.74747846741</v>
      </c>
      <c r="C36">
        <v>185129.27410540386</v>
      </c>
      <c r="D36">
        <v>1012867.4066820011</v>
      </c>
      <c r="E36">
        <v>534043.29705933307</v>
      </c>
      <c r="F36">
        <v>991784.89456833189</v>
      </c>
      <c r="G36">
        <v>359669.0423684186</v>
      </c>
      <c r="H36">
        <v>268951.12509444152</v>
      </c>
      <c r="I36">
        <v>789379.21312509675</v>
      </c>
      <c r="J36">
        <v>4280535.7750750752</v>
      </c>
      <c r="K36">
        <v>349321.13835821435</v>
      </c>
      <c r="L36">
        <v>401101.43550133199</v>
      </c>
      <c r="M36">
        <v>306185.71090978122</v>
      </c>
      <c r="N36">
        <v>960516.94301365176</v>
      </c>
      <c r="O36">
        <v>815759.26879227674</v>
      </c>
      <c r="P36">
        <v>282166.93975097296</v>
      </c>
      <c r="Q36">
        <v>28985.834966410745</v>
      </c>
      <c r="R36">
        <v>56640.174867179951</v>
      </c>
      <c r="S36">
        <v>118126.26611671812</v>
      </c>
      <c r="T36">
        <v>137469.70821368491</v>
      </c>
      <c r="U36">
        <v>900270.7955324403</v>
      </c>
      <c r="V36">
        <v>666829.24783617584</v>
      </c>
      <c r="W36">
        <v>700427.08422039065</v>
      </c>
      <c r="X36">
        <v>339777.1601306668</v>
      </c>
      <c r="Y36">
        <v>165639.63834173128</v>
      </c>
    </row>
    <row r="37" spans="1:25" x14ac:dyDescent="0.45">
      <c r="A37" t="s">
        <v>68</v>
      </c>
      <c r="B37">
        <v>136529031.24814683</v>
      </c>
      <c r="C37">
        <v>149631235.13777873</v>
      </c>
      <c r="D37">
        <v>109464574.75433692</v>
      </c>
      <c r="E37">
        <v>135934254.99679595</v>
      </c>
      <c r="F37">
        <v>182215245.3416549</v>
      </c>
      <c r="G37">
        <v>150435047.59818333</v>
      </c>
      <c r="H37">
        <v>109993706.16137598</v>
      </c>
      <c r="I37">
        <v>113618654.68872328</v>
      </c>
      <c r="J37">
        <v>201405922.77904335</v>
      </c>
      <c r="K37">
        <v>23823126.516301554</v>
      </c>
      <c r="L37">
        <v>86134410.529138893</v>
      </c>
      <c r="M37">
        <v>21463984.183705002</v>
      </c>
      <c r="N37">
        <v>178625994.51426283</v>
      </c>
      <c r="O37">
        <v>181827083.04436916</v>
      </c>
      <c r="P37">
        <v>139092328.49127489</v>
      </c>
      <c r="Q37">
        <v>6363985.4604434725</v>
      </c>
      <c r="R37">
        <v>146044411.40894318</v>
      </c>
      <c r="S37">
        <v>11426699.342101604</v>
      </c>
      <c r="T37">
        <v>39277706.622125156</v>
      </c>
      <c r="U37">
        <v>280135802.21648854</v>
      </c>
      <c r="V37">
        <v>164539205.57608235</v>
      </c>
      <c r="W37">
        <v>181305217.96919909</v>
      </c>
      <c r="X37">
        <v>212948614.67364341</v>
      </c>
      <c r="Y37">
        <v>183638732.47200897</v>
      </c>
    </row>
    <row r="38" spans="1:25" x14ac:dyDescent="0.45">
      <c r="A38" t="s">
        <v>373</v>
      </c>
      <c r="B38">
        <v>17294767.062502228</v>
      </c>
      <c r="C38">
        <v>55291454.394111365</v>
      </c>
      <c r="D38">
        <v>17267414.530667119</v>
      </c>
      <c r="E38">
        <v>19144240.826297551</v>
      </c>
      <c r="F38">
        <v>29064023.823559791</v>
      </c>
      <c r="G38">
        <v>33724857.939737447</v>
      </c>
      <c r="H38">
        <v>27344922.308209129</v>
      </c>
      <c r="I38">
        <v>36998783.931318685</v>
      </c>
      <c r="J38">
        <v>33674521.986961655</v>
      </c>
      <c r="K38">
        <v>26187875.588669993</v>
      </c>
      <c r="L38">
        <v>80077011.826123998</v>
      </c>
      <c r="M38">
        <v>46387148.032392748</v>
      </c>
      <c r="N38">
        <v>83199429.906879157</v>
      </c>
      <c r="O38">
        <v>40448037.958037667</v>
      </c>
      <c r="P38">
        <v>35800712.517920472</v>
      </c>
      <c r="Q38">
        <v>41246295.836180985</v>
      </c>
      <c r="R38">
        <v>60647214.871438041</v>
      </c>
      <c r="S38">
        <v>75891467.493925422</v>
      </c>
      <c r="T38">
        <v>34668594.365928337</v>
      </c>
      <c r="U38">
        <v>31978112.39701084</v>
      </c>
      <c r="V38">
        <v>46884704.81719774</v>
      </c>
      <c r="W38">
        <v>28300567.931113202</v>
      </c>
      <c r="X38">
        <v>34899884.946277305</v>
      </c>
      <c r="Y38">
        <v>33491434.15621208</v>
      </c>
    </row>
    <row r="39" spans="1:25" x14ac:dyDescent="0.45">
      <c r="A39" t="s">
        <v>69</v>
      </c>
      <c r="B39">
        <v>7112311.0621870477</v>
      </c>
      <c r="C39">
        <v>9554048.8207393866</v>
      </c>
      <c r="D39">
        <v>6897127.756965681</v>
      </c>
      <c r="E39">
        <v>8623190.4356210232</v>
      </c>
      <c r="F39">
        <v>10016685.818944307</v>
      </c>
      <c r="G39">
        <v>11368413.009807989</v>
      </c>
      <c r="H39">
        <v>7117942.6269382788</v>
      </c>
      <c r="I39">
        <v>6243928.6700980635</v>
      </c>
      <c r="J39">
        <v>13193896.761017727</v>
      </c>
      <c r="K39">
        <v>13386569.284377532</v>
      </c>
      <c r="L39">
        <v>1587028.3730822799</v>
      </c>
      <c r="M39">
        <v>105992.81104006</v>
      </c>
      <c r="N39">
        <v>13853152.00448679</v>
      </c>
      <c r="O39">
        <v>12144314.933081012</v>
      </c>
      <c r="P39">
        <v>10281752.680738734</v>
      </c>
      <c r="Q39">
        <v>5951367.1058859127</v>
      </c>
      <c r="R39">
        <v>9292258.6078536846</v>
      </c>
      <c r="S39">
        <v>14796929.314724082</v>
      </c>
      <c r="T39">
        <v>8440760.3866513968</v>
      </c>
      <c r="U39">
        <v>19353912.666892145</v>
      </c>
      <c r="V39">
        <v>11054868.962030085</v>
      </c>
      <c r="W39">
        <v>14337790.664020583</v>
      </c>
      <c r="X39">
        <v>14317567.580901435</v>
      </c>
      <c r="Y39">
        <v>13004490.829590362</v>
      </c>
    </row>
    <row r="40" spans="1:25" x14ac:dyDescent="0.45">
      <c r="A40" t="s">
        <v>70</v>
      </c>
      <c r="B40">
        <v>631305.22899564693</v>
      </c>
      <c r="C40">
        <v>1279647.8780513636</v>
      </c>
      <c r="D40">
        <v>716777.00653860066</v>
      </c>
      <c r="E40">
        <v>662597.04712185892</v>
      </c>
      <c r="F40">
        <v>955514.02247947128</v>
      </c>
      <c r="G40">
        <v>923177.7668229558</v>
      </c>
      <c r="H40">
        <v>608187.95733210444</v>
      </c>
      <c r="I40">
        <v>15698820.011424234</v>
      </c>
      <c r="J40">
        <v>1693596.4696853126</v>
      </c>
      <c r="K40">
        <v>1168138.592208622</v>
      </c>
      <c r="L40">
        <v>4004903.4877889198</v>
      </c>
      <c r="M40">
        <v>1421659.2870020936</v>
      </c>
      <c r="N40">
        <v>1907633.6520495983</v>
      </c>
      <c r="O40">
        <v>839060.4382934256</v>
      </c>
      <c r="P40">
        <v>1150714.5854542602</v>
      </c>
      <c r="Q40">
        <v>458617.39400976402</v>
      </c>
      <c r="R40">
        <v>3375384.7141037965</v>
      </c>
      <c r="S40">
        <v>768690.75653936563</v>
      </c>
      <c r="T40">
        <v>728020.66775537445</v>
      </c>
      <c r="U40">
        <v>1929147.1857020743</v>
      </c>
      <c r="V40">
        <v>545580.42953445367</v>
      </c>
      <c r="W40">
        <v>1277110.0381101563</v>
      </c>
      <c r="X40">
        <v>3504413.010046511</v>
      </c>
      <c r="Y40">
        <v>2294973.1690174267</v>
      </c>
    </row>
    <row r="41" spans="1:25" x14ac:dyDescent="0.45">
      <c r="A41" t="s">
        <v>71</v>
      </c>
      <c r="B41">
        <v>1087878.6656584754</v>
      </c>
      <c r="C41">
        <v>706192.96385018958</v>
      </c>
      <c r="D41">
        <v>1141144.3455534305</v>
      </c>
      <c r="E41">
        <v>698508.20537191222</v>
      </c>
      <c r="F41">
        <v>803969.48342663515</v>
      </c>
      <c r="G41">
        <v>585869.94833742653</v>
      </c>
      <c r="H41">
        <v>575946.57315189799</v>
      </c>
      <c r="I41">
        <v>1347096.7448984133</v>
      </c>
      <c r="J41">
        <v>1390654.7768380546</v>
      </c>
      <c r="K41">
        <v>1117900.8698535247</v>
      </c>
      <c r="L41">
        <v>4108467.6433508201</v>
      </c>
      <c r="M41">
        <v>1118266.0274115812</v>
      </c>
      <c r="N41">
        <v>1206228.4643910958</v>
      </c>
      <c r="O41">
        <v>902225.16059587244</v>
      </c>
      <c r="P41">
        <v>480265.85158318531</v>
      </c>
      <c r="Q41">
        <v>570486.19165011204</v>
      </c>
      <c r="R41">
        <v>762243.11264234525</v>
      </c>
      <c r="S41">
        <v>1222597.4606517293</v>
      </c>
      <c r="T41">
        <v>579639.69165552955</v>
      </c>
      <c r="U41">
        <v>1971308.6329130293</v>
      </c>
      <c r="V41">
        <v>1008978.1114102557</v>
      </c>
      <c r="W41">
        <v>1196606.3079367781</v>
      </c>
      <c r="X41">
        <v>1573512.8871966822</v>
      </c>
      <c r="Y41">
        <v>1028518.9978775444</v>
      </c>
    </row>
    <row r="42" spans="1:25" x14ac:dyDescent="0.45">
      <c r="A42" t="s">
        <v>72</v>
      </c>
      <c r="B42">
        <v>9253589.8336019088</v>
      </c>
      <c r="C42">
        <v>7299614.1856294442</v>
      </c>
      <c r="D42">
        <v>5093487.0010489831</v>
      </c>
      <c r="E42">
        <v>3666354.055049628</v>
      </c>
      <c r="F42">
        <v>10567520.14866152</v>
      </c>
      <c r="G42">
        <v>2410112.65903376</v>
      </c>
      <c r="H42">
        <v>4174782.5682256669</v>
      </c>
      <c r="I42">
        <v>3299426.6497465842</v>
      </c>
      <c r="J42">
        <v>6938896.8535869299</v>
      </c>
      <c r="K42">
        <v>13567979.095318874</v>
      </c>
      <c r="L42">
        <v>7585306.2162661999</v>
      </c>
      <c r="M42">
        <v>14222750.933378873</v>
      </c>
      <c r="N42">
        <v>9944217.5091037005</v>
      </c>
      <c r="O42">
        <v>3974021.0606352771</v>
      </c>
      <c r="P42">
        <v>3841650.1807225808</v>
      </c>
      <c r="Q42">
        <v>3845978.7827724875</v>
      </c>
      <c r="R42">
        <v>12161183.852797858</v>
      </c>
      <c r="S42">
        <v>15011514.163573375</v>
      </c>
      <c r="T42">
        <v>4333308.8258992825</v>
      </c>
      <c r="U42">
        <v>19417321.425458718</v>
      </c>
      <c r="V42">
        <v>6497477.7110242518</v>
      </c>
      <c r="W42">
        <v>7869030.741722961</v>
      </c>
      <c r="X42">
        <v>13059616.827906005</v>
      </c>
      <c r="Y42">
        <v>13339956.851609953</v>
      </c>
    </row>
    <row r="43" spans="1:25" x14ac:dyDescent="0.45">
      <c r="A43" t="s">
        <v>73</v>
      </c>
      <c r="B43">
        <v>14343659.288551949</v>
      </c>
      <c r="C43">
        <v>20485139.524513096</v>
      </c>
      <c r="D43">
        <v>11655206.781599514</v>
      </c>
      <c r="E43">
        <v>13539670.749550249</v>
      </c>
      <c r="F43">
        <v>26139581.941732626</v>
      </c>
      <c r="G43">
        <v>18856211.711854462</v>
      </c>
      <c r="H43">
        <v>13404355.603645148</v>
      </c>
      <c r="I43">
        <v>19689924.250853315</v>
      </c>
      <c r="J43">
        <v>30519632.550954882</v>
      </c>
      <c r="K43">
        <v>36780453.177493803</v>
      </c>
      <c r="L43">
        <v>41711505.347778901</v>
      </c>
      <c r="M43">
        <v>11519039.736730624</v>
      </c>
      <c r="N43">
        <v>10546580.620813165</v>
      </c>
      <c r="O43">
        <v>26221077.030539844</v>
      </c>
      <c r="P43">
        <v>10228549.814283667</v>
      </c>
      <c r="Q43">
        <v>13175973.342599427</v>
      </c>
      <c r="R43">
        <v>29301334.984898977</v>
      </c>
      <c r="S43">
        <v>46029495.794183634</v>
      </c>
      <c r="T43">
        <v>15208537.77859319</v>
      </c>
      <c r="U43">
        <v>75481321.833751962</v>
      </c>
      <c r="V43">
        <v>14358649.509037135</v>
      </c>
      <c r="W43">
        <v>10584586.273026142</v>
      </c>
      <c r="X43">
        <v>23450602.120655805</v>
      </c>
      <c r="Y43">
        <v>22574132.249034528</v>
      </c>
    </row>
    <row r="44" spans="1:25" x14ac:dyDescent="0.45">
      <c r="A44" t="s">
        <v>74</v>
      </c>
      <c r="B44">
        <v>14281238.665589474</v>
      </c>
      <c r="C44">
        <v>11348944.405745201</v>
      </c>
      <c r="D44">
        <v>9189426.81426505</v>
      </c>
      <c r="E44">
        <v>15496922.698556511</v>
      </c>
      <c r="F44">
        <v>21886129.064192049</v>
      </c>
      <c r="G44">
        <v>14700558.027435441</v>
      </c>
      <c r="H44">
        <v>13592132.865570635</v>
      </c>
      <c r="I44">
        <v>4972190.9283729158</v>
      </c>
      <c r="J44">
        <v>30806674.021401249</v>
      </c>
      <c r="K44">
        <v>25570819.454555746</v>
      </c>
      <c r="L44">
        <v>66474078.337384298</v>
      </c>
      <c r="M44">
        <v>22767914.178342123</v>
      </c>
      <c r="N44">
        <v>5931936.1893468201</v>
      </c>
      <c r="O44">
        <v>15206252.15210399</v>
      </c>
      <c r="P44">
        <v>9651461.7960671335</v>
      </c>
      <c r="Q44">
        <v>9344252.8274221383</v>
      </c>
      <c r="R44">
        <v>16489348.227387264</v>
      </c>
      <c r="S44">
        <v>20795129.466565344</v>
      </c>
      <c r="T44">
        <v>6726058.9083633488</v>
      </c>
      <c r="U44">
        <v>30911304.893108841</v>
      </c>
      <c r="V44">
        <v>11453171.852061551</v>
      </c>
      <c r="W44">
        <v>16703757.446379177</v>
      </c>
      <c r="X44">
        <v>21600862.555655297</v>
      </c>
      <c r="Y44">
        <v>6088004.9077788228</v>
      </c>
    </row>
    <row r="45" spans="1:25" x14ac:dyDescent="0.45">
      <c r="A45" t="s">
        <v>75</v>
      </c>
      <c r="B45">
        <v>17905517.453153703</v>
      </c>
      <c r="C45">
        <v>14996703.398508154</v>
      </c>
      <c r="D45">
        <v>12170738.330860181</v>
      </c>
      <c r="E45">
        <v>19121381.957315031</v>
      </c>
      <c r="F45">
        <v>25661943.362044591</v>
      </c>
      <c r="G45">
        <v>16099249.373490196</v>
      </c>
      <c r="H45">
        <v>14316852.449597603</v>
      </c>
      <c r="I45">
        <v>29379056.730085883</v>
      </c>
      <c r="J45">
        <v>39347954.483259775</v>
      </c>
      <c r="K45">
        <v>29297714.177034475</v>
      </c>
      <c r="L45">
        <v>37362085.644812301</v>
      </c>
      <c r="M45">
        <v>29384519.423337437</v>
      </c>
      <c r="N45">
        <v>29140472.474071357</v>
      </c>
      <c r="O45">
        <v>22595061.447362557</v>
      </c>
      <c r="P45">
        <v>12980350.996365659</v>
      </c>
      <c r="Q45">
        <v>8288148.1971603828</v>
      </c>
      <c r="R45">
        <v>24304154.000014901</v>
      </c>
      <c r="S45">
        <v>35344161.592136472</v>
      </c>
      <c r="T45">
        <v>11250369.437525027</v>
      </c>
      <c r="U45">
        <v>56029233.28352017</v>
      </c>
      <c r="V45">
        <v>19439543.996557124</v>
      </c>
      <c r="W45">
        <v>27877498.686233841</v>
      </c>
      <c r="X45">
        <v>31155779.974291679</v>
      </c>
      <c r="Y45">
        <v>21615913.044395056</v>
      </c>
    </row>
    <row r="46" spans="1:25" x14ac:dyDescent="0.45">
      <c r="A46" t="s">
        <v>76</v>
      </c>
      <c r="B46">
        <v>161448542.61941004</v>
      </c>
      <c r="C46">
        <v>145780932.84585476</v>
      </c>
      <c r="D46">
        <v>89367561.790727958</v>
      </c>
      <c r="E46">
        <v>122218787.97381735</v>
      </c>
      <c r="F46">
        <v>159864179.10116866</v>
      </c>
      <c r="G46">
        <v>110167199.60132352</v>
      </c>
      <c r="H46">
        <v>171310339.5484353</v>
      </c>
      <c r="I46">
        <v>298135537.91305119</v>
      </c>
      <c r="J46">
        <v>338891331.46840388</v>
      </c>
      <c r="K46">
        <v>286307316.58631712</v>
      </c>
      <c r="L46">
        <v>372738473.450854</v>
      </c>
      <c r="M46">
        <v>315545277.21674371</v>
      </c>
      <c r="N46">
        <v>330189587.88342804</v>
      </c>
      <c r="O46">
        <v>206697162.63959149</v>
      </c>
      <c r="P46">
        <v>135154908.65945283</v>
      </c>
      <c r="Q46">
        <v>89920873.202119946</v>
      </c>
      <c r="R46">
        <v>204622537.85161224</v>
      </c>
      <c r="S46">
        <v>318001839.82287508</v>
      </c>
      <c r="T46">
        <v>139756906.78466645</v>
      </c>
      <c r="U46">
        <v>454253160.69731581</v>
      </c>
      <c r="V46">
        <v>168177068.65917718</v>
      </c>
      <c r="W46">
        <v>189671107.29573068</v>
      </c>
      <c r="X46">
        <v>275714101.36540306</v>
      </c>
      <c r="Y46">
        <v>204798681.22868001</v>
      </c>
    </row>
    <row r="47" spans="1:25" x14ac:dyDescent="0.45">
      <c r="A47" t="s">
        <v>274</v>
      </c>
      <c r="B47">
        <v>16787701.623204976</v>
      </c>
      <c r="C47">
        <v>25496559.175202895</v>
      </c>
      <c r="D47">
        <v>17573557.061702169</v>
      </c>
      <c r="E47">
        <v>19066303.431713864</v>
      </c>
      <c r="F47">
        <v>24067226.854685236</v>
      </c>
      <c r="G47">
        <v>13795581.588238627</v>
      </c>
      <c r="H47">
        <v>14442866.121992625</v>
      </c>
      <c r="I47">
        <v>7799090.7331956755</v>
      </c>
      <c r="J47">
        <v>32830181.546413589</v>
      </c>
      <c r="K47">
        <v>24274626.983114555</v>
      </c>
      <c r="L47">
        <v>69133847.724545702</v>
      </c>
      <c r="M47">
        <v>21626455.978031185</v>
      </c>
      <c r="N47">
        <v>28098884.113298256</v>
      </c>
      <c r="O47">
        <v>17850804.708777234</v>
      </c>
      <c r="P47">
        <v>24625013.985895216</v>
      </c>
      <c r="Q47">
        <v>15892316.328757135</v>
      </c>
      <c r="R47">
        <v>26774305.776062377</v>
      </c>
      <c r="S47">
        <v>29850001.551170208</v>
      </c>
      <c r="T47">
        <v>12631780.904760117</v>
      </c>
      <c r="U47">
        <v>19506299.853624243</v>
      </c>
      <c r="V47">
        <v>19120599.705125563</v>
      </c>
      <c r="W47">
        <v>23760716.899882581</v>
      </c>
      <c r="X47">
        <v>29947389.878877018</v>
      </c>
      <c r="Y47">
        <v>23264330.075949471</v>
      </c>
    </row>
    <row r="48" spans="1:25" x14ac:dyDescent="0.45">
      <c r="A48" t="s">
        <v>77</v>
      </c>
      <c r="B48">
        <v>45362683.797092669</v>
      </c>
      <c r="C48">
        <v>42672304.554335415</v>
      </c>
      <c r="D48">
        <v>21767141.625579905</v>
      </c>
      <c r="E48">
        <v>67957151.269215286</v>
      </c>
      <c r="F48">
        <v>113392296.17209138</v>
      </c>
      <c r="G48">
        <v>51214992.929886766</v>
      </c>
      <c r="H48">
        <v>44557556.601754464</v>
      </c>
      <c r="I48">
        <v>154520668.92051631</v>
      </c>
      <c r="J48">
        <v>119865369.25178245</v>
      </c>
      <c r="K48">
        <v>95094377.848242357</v>
      </c>
      <c r="L48">
        <v>1125795480.0392201</v>
      </c>
      <c r="M48">
        <v>56227776.931659624</v>
      </c>
      <c r="N48">
        <v>24205750.852375437</v>
      </c>
      <c r="O48">
        <v>109401545.70052607</v>
      </c>
      <c r="P48">
        <v>91163540.965073705</v>
      </c>
      <c r="Q48">
        <v>39049144.429113291</v>
      </c>
      <c r="R48">
        <v>38633916.234945081</v>
      </c>
      <c r="S48">
        <v>63965936.51142785</v>
      </c>
      <c r="T48">
        <v>44889672.715243876</v>
      </c>
      <c r="U48">
        <v>37043371.224550039</v>
      </c>
      <c r="V48">
        <v>77375901.31634751</v>
      </c>
      <c r="W48">
        <v>137084090.61784005</v>
      </c>
      <c r="X48">
        <v>34231566.971000135</v>
      </c>
      <c r="Y48">
        <v>44753190.104375012</v>
      </c>
    </row>
    <row r="49" spans="1:25" x14ac:dyDescent="0.45">
      <c r="A49" t="s">
        <v>275</v>
      </c>
      <c r="B49">
        <v>24172934.629383471</v>
      </c>
      <c r="C49">
        <v>20684048.765938532</v>
      </c>
      <c r="D49">
        <v>13127804.868722627</v>
      </c>
      <c r="E49">
        <v>34723952.004717506</v>
      </c>
      <c r="F49">
        <v>43033374.154486194</v>
      </c>
      <c r="G49">
        <v>26976576.866287302</v>
      </c>
      <c r="H49">
        <v>20165547.036543079</v>
      </c>
      <c r="I49">
        <v>39133907.432555571</v>
      </c>
      <c r="J49">
        <v>63261335.753522575</v>
      </c>
      <c r="K49">
        <v>53923768.071666524</v>
      </c>
      <c r="L49">
        <v>230413413.14984399</v>
      </c>
      <c r="M49">
        <v>48670394.872714996</v>
      </c>
      <c r="N49">
        <v>31355553.130208533</v>
      </c>
      <c r="O49">
        <v>32632843.885103725</v>
      </c>
      <c r="P49">
        <v>17687701.422145102</v>
      </c>
      <c r="Q49">
        <v>20824477.899523005</v>
      </c>
      <c r="R49">
        <v>50396535.428994998</v>
      </c>
      <c r="S49">
        <v>56610743.645159014</v>
      </c>
      <c r="T49">
        <v>10633144.632207025</v>
      </c>
      <c r="U49">
        <v>35749926.620370097</v>
      </c>
      <c r="V49">
        <v>22317703.123120688</v>
      </c>
      <c r="W49">
        <v>22492827.664437234</v>
      </c>
      <c r="X49">
        <v>30267900.669885237</v>
      </c>
      <c r="Y49">
        <v>27997685.636806149</v>
      </c>
    </row>
    <row r="50" spans="1:25" x14ac:dyDescent="0.45">
      <c r="A50" t="s">
        <v>78</v>
      </c>
      <c r="B50">
        <v>17006992.786650293</v>
      </c>
      <c r="C50">
        <v>29641911.715250991</v>
      </c>
      <c r="D50">
        <v>8372473.7232400402</v>
      </c>
      <c r="E50">
        <v>14191245.123211289</v>
      </c>
      <c r="F50">
        <v>16424222.416569104</v>
      </c>
      <c r="G50">
        <v>17354371.527232941</v>
      </c>
      <c r="H50">
        <v>11657780.387780774</v>
      </c>
      <c r="I50">
        <v>13722562.638940876</v>
      </c>
      <c r="J50">
        <v>18904151.256112222</v>
      </c>
      <c r="K50">
        <v>21396623.103277821</v>
      </c>
      <c r="L50">
        <v>109664984.736719</v>
      </c>
      <c r="M50">
        <v>20371072.642428063</v>
      </c>
      <c r="N50">
        <v>8862917.9518676661</v>
      </c>
      <c r="O50">
        <v>14203471.010117978</v>
      </c>
      <c r="P50">
        <v>18528892.840082131</v>
      </c>
      <c r="Q50">
        <v>11411450.556041617</v>
      </c>
      <c r="R50">
        <v>23202892.526783682</v>
      </c>
      <c r="S50">
        <v>28713480.564430449</v>
      </c>
      <c r="T50">
        <v>9581816.9789083283</v>
      </c>
      <c r="U50">
        <v>17097552.964942645</v>
      </c>
      <c r="V50">
        <v>15689402.299354708</v>
      </c>
      <c r="W50">
        <v>12522247.721144162</v>
      </c>
      <c r="X50">
        <v>16728408.306692339</v>
      </c>
      <c r="Y50">
        <v>20961708.750679664</v>
      </c>
    </row>
    <row r="51" spans="1:25" x14ac:dyDescent="0.45">
      <c r="A51" t="s">
        <v>276</v>
      </c>
      <c r="B51">
        <v>378886254.86743724</v>
      </c>
      <c r="C51">
        <v>405424721.08540672</v>
      </c>
      <c r="D51">
        <v>359846382.39580858</v>
      </c>
      <c r="E51">
        <v>205025678.91720331</v>
      </c>
      <c r="F51">
        <v>220264794.58947</v>
      </c>
      <c r="G51">
        <v>220454126.34713626</v>
      </c>
      <c r="H51">
        <v>91557775.5449972</v>
      </c>
      <c r="I51">
        <v>177923183.09803569</v>
      </c>
      <c r="J51">
        <v>331410667.66146928</v>
      </c>
      <c r="K51">
        <v>316097366.4888404</v>
      </c>
      <c r="L51">
        <v>456832064.71261299</v>
      </c>
      <c r="M51">
        <v>352533504.66354877</v>
      </c>
      <c r="N51">
        <v>104362836.18597884</v>
      </c>
      <c r="O51">
        <v>223220001.25097021</v>
      </c>
      <c r="P51">
        <v>245238795.988969</v>
      </c>
      <c r="Q51">
        <v>170397585.67404556</v>
      </c>
      <c r="R51">
        <v>218524275.8314274</v>
      </c>
      <c r="S51">
        <v>255578857.81521407</v>
      </c>
      <c r="T51">
        <v>219032653.90108052</v>
      </c>
      <c r="U51">
        <v>368914077.57328373</v>
      </c>
      <c r="V51">
        <v>279356213.24342608</v>
      </c>
      <c r="W51">
        <v>309948180.56961089</v>
      </c>
      <c r="X51">
        <v>203930723.14925605</v>
      </c>
      <c r="Y51">
        <v>268323450.54783916</v>
      </c>
    </row>
    <row r="52" spans="1:25" x14ac:dyDescent="0.45">
      <c r="A52" t="s">
        <v>277</v>
      </c>
      <c r="B52">
        <v>441073.88128495897</v>
      </c>
      <c r="C52">
        <v>900231.70275762503</v>
      </c>
      <c r="D52">
        <v>207925.81813790629</v>
      </c>
      <c r="E52">
        <v>394131.61875703547</v>
      </c>
      <c r="F52">
        <v>501152.35822166409</v>
      </c>
      <c r="G52">
        <v>585132.3588035343</v>
      </c>
      <c r="H52">
        <v>148591.4388499074</v>
      </c>
      <c r="I52">
        <v>321859.49773098424</v>
      </c>
      <c r="J52">
        <v>494328.14040676743</v>
      </c>
      <c r="K52">
        <v>488375.18651136541</v>
      </c>
      <c r="L52">
        <v>3733337.4665907598</v>
      </c>
      <c r="M52">
        <v>377189.31976943871</v>
      </c>
      <c r="N52">
        <v>637818.76577390404</v>
      </c>
      <c r="O52">
        <v>605836.90431798948</v>
      </c>
      <c r="P52">
        <v>143285.9730192897</v>
      </c>
      <c r="Q52">
        <v>29144.318647308184</v>
      </c>
      <c r="R52">
        <v>460215.4702864057</v>
      </c>
      <c r="S52">
        <v>557907.47593933623</v>
      </c>
      <c r="T52">
        <v>33132.668513957775</v>
      </c>
      <c r="U52">
        <v>295059.17396563746</v>
      </c>
      <c r="V52">
        <v>170898.02634729751</v>
      </c>
      <c r="W52">
        <v>362625.77534847171</v>
      </c>
      <c r="X52">
        <v>223348.92172687984</v>
      </c>
      <c r="Y52">
        <v>154852.94881801045</v>
      </c>
    </row>
    <row r="53" spans="1:25" x14ac:dyDescent="0.45">
      <c r="A53" t="s">
        <v>278</v>
      </c>
      <c r="B53">
        <v>6335336.1813655784</v>
      </c>
      <c r="C53">
        <v>14533152.486886645</v>
      </c>
      <c r="D53">
        <v>5758724.5638704365</v>
      </c>
      <c r="E53">
        <v>4938658.6335099572</v>
      </c>
      <c r="F53">
        <v>5965418.7492801854</v>
      </c>
      <c r="G53">
        <v>13268152.620254999</v>
      </c>
      <c r="H53">
        <v>4816867.555676857</v>
      </c>
      <c r="I53">
        <v>117838663.17936702</v>
      </c>
      <c r="J53">
        <v>7483119.2524464829</v>
      </c>
      <c r="K53">
        <v>8254507.907591952</v>
      </c>
      <c r="L53">
        <v>16223533.07877</v>
      </c>
      <c r="M53">
        <v>6311103.6510828119</v>
      </c>
      <c r="N53">
        <v>3120594.1912372555</v>
      </c>
      <c r="O53">
        <v>12118778.936488617</v>
      </c>
      <c r="P53">
        <v>15649545.742589831</v>
      </c>
      <c r="Q53">
        <v>1516938.9682713198</v>
      </c>
      <c r="R53">
        <v>14730511.440134309</v>
      </c>
      <c r="S53">
        <v>8293336.7675712612</v>
      </c>
      <c r="T53">
        <v>9233638.1507489383</v>
      </c>
      <c r="U53">
        <v>11732746.986708572</v>
      </c>
      <c r="V53">
        <v>9944350.8138477914</v>
      </c>
      <c r="W53">
        <v>8341855.1787008885</v>
      </c>
      <c r="X53">
        <v>7860643.5332023399</v>
      </c>
      <c r="Y53">
        <v>7754556.5761724543</v>
      </c>
    </row>
    <row r="54" spans="1:25" x14ac:dyDescent="0.45">
      <c r="A54" t="s">
        <v>279</v>
      </c>
      <c r="B54">
        <v>180570553.78008911</v>
      </c>
      <c r="C54">
        <v>170254522.93072945</v>
      </c>
      <c r="D54">
        <v>146929702.96989813</v>
      </c>
      <c r="E54">
        <v>172578905.85067511</v>
      </c>
      <c r="F54">
        <v>212343449.42032474</v>
      </c>
      <c r="G54">
        <v>187330649.41351813</v>
      </c>
      <c r="H54">
        <v>109968847.66374849</v>
      </c>
      <c r="I54">
        <v>143141533.8903375</v>
      </c>
      <c r="J54">
        <v>288950257.16778713</v>
      </c>
      <c r="K54">
        <v>269092335.02610022</v>
      </c>
      <c r="L54">
        <v>479597444.46562999</v>
      </c>
      <c r="M54">
        <v>209072385.058575</v>
      </c>
      <c r="N54">
        <v>197901458.99361646</v>
      </c>
      <c r="O54">
        <v>194706259.71678349</v>
      </c>
      <c r="P54">
        <v>130759078.64088245</v>
      </c>
      <c r="Q54">
        <v>104411788.26866023</v>
      </c>
      <c r="R54">
        <v>231647767.88285688</v>
      </c>
      <c r="S54">
        <v>243095425.87683937</v>
      </c>
      <c r="T54">
        <v>73902395.480801046</v>
      </c>
      <c r="U54">
        <v>323400830.37212402</v>
      </c>
      <c r="V54">
        <v>130076130.60464565</v>
      </c>
      <c r="W54">
        <v>166687116.46043658</v>
      </c>
      <c r="X54">
        <v>224127538.40320379</v>
      </c>
      <c r="Y54">
        <v>168478886.80720416</v>
      </c>
    </row>
    <row r="55" spans="1:25" x14ac:dyDescent="0.45">
      <c r="A55" t="s">
        <v>79</v>
      </c>
      <c r="B55">
        <v>3671251.0481991121</v>
      </c>
      <c r="C55">
        <v>3107737.97000953</v>
      </c>
      <c r="D55">
        <v>2759045.5309997317</v>
      </c>
      <c r="E55">
        <v>3614034.9606073215</v>
      </c>
      <c r="F55">
        <v>2541123.9133893326</v>
      </c>
      <c r="G55">
        <v>3403498.2151238136</v>
      </c>
      <c r="H55">
        <v>3265822.5450232518</v>
      </c>
      <c r="I55">
        <v>11165996.227195291</v>
      </c>
      <c r="J55">
        <v>7750163.1837460957</v>
      </c>
      <c r="K55">
        <v>6591980.2288246937</v>
      </c>
      <c r="L55">
        <v>176829348.68492201</v>
      </c>
      <c r="M55">
        <v>4285110.950864506</v>
      </c>
      <c r="N55">
        <v>9380069.2175055817</v>
      </c>
      <c r="O55">
        <v>4335836.2758918945</v>
      </c>
      <c r="P55">
        <v>5325145.0225009797</v>
      </c>
      <c r="Q55">
        <v>2722657.022861409</v>
      </c>
      <c r="R55">
        <v>4035024.2592301616</v>
      </c>
      <c r="S55">
        <v>4319078.4625743199</v>
      </c>
      <c r="T55">
        <v>2657925.5033091619</v>
      </c>
      <c r="U55">
        <v>7523267.4330990622</v>
      </c>
      <c r="V55">
        <v>4850903.1404555598</v>
      </c>
      <c r="W55">
        <v>4666604.4637772143</v>
      </c>
      <c r="X55">
        <v>4853029.0725705437</v>
      </c>
      <c r="Y55">
        <v>4422085.7770703966</v>
      </c>
    </row>
    <row r="56" spans="1:25" x14ac:dyDescent="0.45">
      <c r="A56" t="s">
        <v>280</v>
      </c>
      <c r="B56">
        <v>13468201.789531516</v>
      </c>
      <c r="C56">
        <v>17305372.088322897</v>
      </c>
      <c r="D56">
        <v>9245014.4325890783</v>
      </c>
      <c r="E56">
        <v>10512215.583411146</v>
      </c>
      <c r="F56">
        <v>14805131.617887363</v>
      </c>
      <c r="G56">
        <v>13395845.110590098</v>
      </c>
      <c r="H56">
        <v>12242557.961401943</v>
      </c>
      <c r="I56">
        <v>11837876.994497649</v>
      </c>
      <c r="J56">
        <v>38420861.077698283</v>
      </c>
      <c r="K56">
        <v>17834525.969537325</v>
      </c>
      <c r="L56">
        <v>26682078.717165601</v>
      </c>
      <c r="M56">
        <v>14453149.184119686</v>
      </c>
      <c r="N56">
        <v>17273490.293953836</v>
      </c>
      <c r="O56">
        <v>13395686.883071013</v>
      </c>
      <c r="P56">
        <v>9241208.7471941784</v>
      </c>
      <c r="Q56">
        <v>62300634.664912015</v>
      </c>
      <c r="R56">
        <v>118070665.68026534</v>
      </c>
      <c r="S56">
        <v>137169814.06908426</v>
      </c>
      <c r="T56">
        <v>8467672.9181545246</v>
      </c>
      <c r="U56">
        <v>22611890.159304034</v>
      </c>
      <c r="V56">
        <v>12428629.051419858</v>
      </c>
      <c r="W56">
        <v>13979361.795558676</v>
      </c>
      <c r="X56">
        <v>15573650.758765897</v>
      </c>
      <c r="Y56">
        <v>15586295.474694518</v>
      </c>
    </row>
    <row r="57" spans="1:25" x14ac:dyDescent="0.45">
      <c r="A57" t="s">
        <v>80</v>
      </c>
      <c r="B57">
        <v>25353943.653751515</v>
      </c>
      <c r="C57">
        <v>23531092.462373603</v>
      </c>
      <c r="D57">
        <v>15600766.159531707</v>
      </c>
      <c r="E57">
        <v>23669953.139429059</v>
      </c>
      <c r="F57">
        <v>26919282.860925235</v>
      </c>
      <c r="G57">
        <v>21126680.299755096</v>
      </c>
      <c r="H57">
        <v>19441961.423460934</v>
      </c>
      <c r="I57">
        <v>25581350.941799026</v>
      </c>
      <c r="J57">
        <v>37425340.22296302</v>
      </c>
      <c r="K57">
        <v>53114099.345981419</v>
      </c>
      <c r="L57">
        <v>25125731.269500401</v>
      </c>
      <c r="M57">
        <v>47441208.062721178</v>
      </c>
      <c r="N57">
        <v>57483307.927984819</v>
      </c>
      <c r="O57">
        <v>32672751.086662076</v>
      </c>
      <c r="P57">
        <v>21081148.798046064</v>
      </c>
      <c r="Q57">
        <v>12323933.838966249</v>
      </c>
      <c r="R57">
        <v>22264038.053891122</v>
      </c>
      <c r="S57">
        <v>26469524.951708853</v>
      </c>
      <c r="T57">
        <v>16717410.894283123</v>
      </c>
      <c r="U57">
        <v>44122547.785995767</v>
      </c>
      <c r="V57">
        <v>24358547.883245714</v>
      </c>
      <c r="W57">
        <v>32514694.918483865</v>
      </c>
      <c r="X57">
        <v>34670205.52596958</v>
      </c>
      <c r="Y57">
        <v>41801399.765007749</v>
      </c>
    </row>
    <row r="58" spans="1:25" x14ac:dyDescent="0.45">
      <c r="A58" t="s">
        <v>281</v>
      </c>
      <c r="B58">
        <v>3656681.3630142612</v>
      </c>
      <c r="C58">
        <v>5681302.0399260316</v>
      </c>
      <c r="D58">
        <v>3444512.7729620757</v>
      </c>
      <c r="E58">
        <v>2894760.5415404812</v>
      </c>
      <c r="F58">
        <v>5240111.1033756258</v>
      </c>
      <c r="G58">
        <v>3573745.1104686814</v>
      </c>
      <c r="H58">
        <v>2635345.0319840279</v>
      </c>
      <c r="I58">
        <v>352398602.75659657</v>
      </c>
      <c r="J58">
        <v>17378818.713506438</v>
      </c>
      <c r="K58">
        <v>4694717.5119650839</v>
      </c>
      <c r="L58">
        <v>59823986.056018703</v>
      </c>
      <c r="M58">
        <v>3658349.7932177121</v>
      </c>
      <c r="N58">
        <v>4532033.5971870599</v>
      </c>
      <c r="O58">
        <v>16071253.655818777</v>
      </c>
      <c r="P58">
        <v>1919705.1278561279</v>
      </c>
      <c r="Q58">
        <v>2346079.4589161179</v>
      </c>
      <c r="R58">
        <v>9044836.9025884625</v>
      </c>
      <c r="S58">
        <v>6616362.2572976239</v>
      </c>
      <c r="T58">
        <v>2446077.6706047202</v>
      </c>
      <c r="U58">
        <v>9072579.921466805</v>
      </c>
      <c r="V58">
        <v>4184156.4163731262</v>
      </c>
      <c r="W58">
        <v>3955261.0610718084</v>
      </c>
      <c r="X58">
        <v>2717926.5269030835</v>
      </c>
      <c r="Y58">
        <v>4622262.1739295488</v>
      </c>
    </row>
    <row r="59" spans="1:25" x14ac:dyDescent="0.45">
      <c r="A59" t="s">
        <v>81</v>
      </c>
      <c r="B59">
        <v>9234526.2644184381</v>
      </c>
      <c r="C59">
        <v>18785490.067204114</v>
      </c>
      <c r="D59">
        <v>7283297.3126536319</v>
      </c>
      <c r="E59">
        <v>8370674.3088986017</v>
      </c>
      <c r="F59">
        <v>11371380.490443749</v>
      </c>
      <c r="G59">
        <v>15662365.434516324</v>
      </c>
      <c r="H59">
        <v>9568254.7870159205</v>
      </c>
      <c r="I59">
        <v>24124201.218833212</v>
      </c>
      <c r="J59">
        <v>16623281.584967434</v>
      </c>
      <c r="K59">
        <v>24105340.802132819</v>
      </c>
      <c r="L59">
        <v>26475649.038741</v>
      </c>
      <c r="M59">
        <v>19037346.259010434</v>
      </c>
      <c r="N59">
        <v>2830033.8859938467</v>
      </c>
      <c r="O59">
        <v>3323514.7075892985</v>
      </c>
      <c r="P59">
        <v>4085122.3813260477</v>
      </c>
      <c r="Q59">
        <v>16172320.447514411</v>
      </c>
      <c r="R59">
        <v>35783678.255810544</v>
      </c>
      <c r="S59">
        <v>36542431.879419379</v>
      </c>
      <c r="T59">
        <v>12819856.903073728</v>
      </c>
      <c r="U59">
        <v>5761340.7258613324</v>
      </c>
      <c r="V59">
        <v>5666973.906570876</v>
      </c>
      <c r="W59">
        <v>3643689.6030336339</v>
      </c>
      <c r="X59">
        <v>17649135.288891394</v>
      </c>
      <c r="Y59">
        <v>23771576.821145155</v>
      </c>
    </row>
    <row r="60" spans="1:25" x14ac:dyDescent="0.45">
      <c r="A60" t="s">
        <v>82</v>
      </c>
      <c r="B60">
        <v>2449489.2957270825</v>
      </c>
      <c r="C60">
        <v>19350178.511555895</v>
      </c>
      <c r="D60">
        <v>7693859.5302677611</v>
      </c>
      <c r="E60">
        <v>5852092.3725984665</v>
      </c>
      <c r="F60">
        <v>4430908.378527537</v>
      </c>
      <c r="G60">
        <v>15955949.774037549</v>
      </c>
      <c r="H60">
        <v>11101149.539552806</v>
      </c>
      <c r="I60">
        <v>7481449.1159950998</v>
      </c>
      <c r="J60">
        <v>4279804.9848804921</v>
      </c>
      <c r="K60">
        <v>15578912.114429783</v>
      </c>
      <c r="L60">
        <v>26499952.660358999</v>
      </c>
      <c r="M60">
        <v>11360822.262586061</v>
      </c>
      <c r="N60">
        <v>9194579.1852031648</v>
      </c>
      <c r="O60">
        <v>9583137.5131022353</v>
      </c>
      <c r="P60">
        <v>17050515.644209903</v>
      </c>
      <c r="Q60">
        <v>11983044.969399797</v>
      </c>
      <c r="R60">
        <v>31200121.994021181</v>
      </c>
      <c r="S60">
        <v>18691755.968305364</v>
      </c>
      <c r="T60">
        <v>16699303.090472398</v>
      </c>
      <c r="U60">
        <v>14416992.82656722</v>
      </c>
      <c r="V60">
        <v>15651764.576974615</v>
      </c>
      <c r="W60">
        <v>6652376.3362187669</v>
      </c>
      <c r="X60">
        <v>16581736.514776483</v>
      </c>
      <c r="Y60">
        <v>23222244.022247151</v>
      </c>
    </row>
    <row r="61" spans="1:25" x14ac:dyDescent="0.45">
      <c r="A61" t="s">
        <v>83</v>
      </c>
      <c r="B61">
        <v>8017938.7716045808</v>
      </c>
      <c r="C61">
        <v>21890043.264747225</v>
      </c>
      <c r="D61">
        <v>12908706.120681148</v>
      </c>
      <c r="E61">
        <v>11028731.453672385</v>
      </c>
      <c r="F61">
        <v>16173445.467188234</v>
      </c>
      <c r="G61">
        <v>11318599.655317795</v>
      </c>
      <c r="H61">
        <v>9139875.168571135</v>
      </c>
      <c r="I61">
        <v>5161399.8986243112</v>
      </c>
      <c r="J61">
        <v>24078339.681761395</v>
      </c>
      <c r="K61">
        <v>21193162.940714907</v>
      </c>
      <c r="L61">
        <v>25492999.285643801</v>
      </c>
      <c r="M61">
        <v>7718921.2837363128</v>
      </c>
      <c r="N61">
        <v>10326757.132332569</v>
      </c>
      <c r="O61">
        <v>17455227.91247128</v>
      </c>
      <c r="P61">
        <v>15083624.809251726</v>
      </c>
      <c r="Q61">
        <v>8684233.9605407938</v>
      </c>
      <c r="R61">
        <v>10513655.983275507</v>
      </c>
      <c r="S61">
        <v>18534433.388456415</v>
      </c>
      <c r="T61">
        <v>13507258.741254641</v>
      </c>
      <c r="U61">
        <v>7596768.8150186082</v>
      </c>
      <c r="V61">
        <v>15532255.154743155</v>
      </c>
      <c r="W61">
        <v>24147950.599448424</v>
      </c>
      <c r="X61">
        <v>5773705.0125716655</v>
      </c>
      <c r="Y61">
        <v>21057133.551349066</v>
      </c>
    </row>
    <row r="62" spans="1:25" x14ac:dyDescent="0.45">
      <c r="A62" t="s">
        <v>84</v>
      </c>
      <c r="B62">
        <v>17677125.183419865</v>
      </c>
      <c r="C62">
        <v>50387653.926020198</v>
      </c>
      <c r="D62">
        <v>28231342.585913002</v>
      </c>
      <c r="E62">
        <v>26513838.443707205</v>
      </c>
      <c r="F62">
        <v>4384621.6914234487</v>
      </c>
      <c r="G62">
        <v>18967658.488845047</v>
      </c>
      <c r="H62">
        <v>12914127.035089301</v>
      </c>
      <c r="I62">
        <v>106727126.4833255</v>
      </c>
      <c r="J62">
        <v>36059590.840106122</v>
      </c>
      <c r="K62">
        <v>19363255.237869121</v>
      </c>
      <c r="L62">
        <v>597797994.979599</v>
      </c>
      <c r="M62">
        <v>3075230.9964736747</v>
      </c>
      <c r="N62">
        <v>24420540.72127948</v>
      </c>
      <c r="O62">
        <v>9428629.2990307976</v>
      </c>
      <c r="P62">
        <v>44497112.904343359</v>
      </c>
      <c r="Q62">
        <v>11590118.677595785</v>
      </c>
      <c r="R62">
        <v>22929467.257848162</v>
      </c>
      <c r="S62">
        <v>20317505.823993873</v>
      </c>
      <c r="T62">
        <v>36237192.91336187</v>
      </c>
      <c r="U62">
        <v>53402607.292395435</v>
      </c>
      <c r="V62">
        <v>34829467.455975369</v>
      </c>
      <c r="W62">
        <v>2206607.8884830489</v>
      </c>
      <c r="X62">
        <v>13749817.386962121</v>
      </c>
      <c r="Y62">
        <v>22975032.752837278</v>
      </c>
    </row>
    <row r="63" spans="1:25" x14ac:dyDescent="0.45">
      <c r="A63" t="s">
        <v>85</v>
      </c>
      <c r="B63">
        <v>7942104.524006662</v>
      </c>
      <c r="C63">
        <v>27280289.223034639</v>
      </c>
      <c r="D63">
        <v>21046696.103514981</v>
      </c>
      <c r="E63">
        <v>13583576.519167013</v>
      </c>
      <c r="F63">
        <v>14685426.90617761</v>
      </c>
      <c r="G63">
        <v>13908642.791916078</v>
      </c>
      <c r="H63">
        <v>4452252.9083828898</v>
      </c>
      <c r="I63">
        <v>17164696.868426792</v>
      </c>
      <c r="J63">
        <v>28610632.964287035</v>
      </c>
      <c r="K63">
        <v>13795953.47776372</v>
      </c>
      <c r="L63">
        <v>50629697.211312398</v>
      </c>
      <c r="M63">
        <v>18267565.352574375</v>
      </c>
      <c r="N63">
        <v>12319186.087293988</v>
      </c>
      <c r="O63">
        <v>23899839.908090852</v>
      </c>
      <c r="P63">
        <v>19627937.119296793</v>
      </c>
      <c r="Q63">
        <v>6370419.2732349234</v>
      </c>
      <c r="R63">
        <v>20534947.349456552</v>
      </c>
      <c r="S63">
        <v>12106480.265428646</v>
      </c>
      <c r="T63">
        <v>13112949.699361958</v>
      </c>
      <c r="U63">
        <v>20795947.031206012</v>
      </c>
      <c r="V63">
        <v>16544209.342510669</v>
      </c>
      <c r="W63">
        <v>34233863.663578331</v>
      </c>
      <c r="X63">
        <v>18843650.933665369</v>
      </c>
      <c r="Y63">
        <v>21255946.020343028</v>
      </c>
    </row>
    <row r="64" spans="1:25" x14ac:dyDescent="0.45">
      <c r="A64" t="s">
        <v>86</v>
      </c>
      <c r="B64">
        <v>17167023.698484261</v>
      </c>
      <c r="C64">
        <v>17954914.917417429</v>
      </c>
      <c r="D64">
        <v>20910684.69149746</v>
      </c>
      <c r="E64">
        <v>18432704.268578313</v>
      </c>
      <c r="F64">
        <v>23591292.177996408</v>
      </c>
      <c r="G64">
        <v>16578629.608949069</v>
      </c>
      <c r="H64">
        <v>16430354.57018397</v>
      </c>
      <c r="I64">
        <v>95303038.428505644</v>
      </c>
      <c r="J64">
        <v>72071724.247228399</v>
      </c>
      <c r="K64">
        <v>37547565.982336067</v>
      </c>
      <c r="L64">
        <v>100400968.714499</v>
      </c>
      <c r="M64">
        <v>39190925.570837624</v>
      </c>
      <c r="N64">
        <v>13419723.444101177</v>
      </c>
      <c r="O64">
        <v>30744642.815898724</v>
      </c>
      <c r="P64">
        <v>10731720.483900918</v>
      </c>
      <c r="Q64">
        <v>17499563.993434791</v>
      </c>
      <c r="R64">
        <v>61982484.240568772</v>
      </c>
      <c r="S64">
        <v>69259243.339235023</v>
      </c>
      <c r="T64">
        <v>12202218.007070296</v>
      </c>
      <c r="U64">
        <v>39862829.488750644</v>
      </c>
      <c r="V64">
        <v>29304376.28336376</v>
      </c>
      <c r="W64">
        <v>41631401.298573956</v>
      </c>
      <c r="X64">
        <v>32130827.121543415</v>
      </c>
      <c r="Y64">
        <v>45860160.327013604</v>
      </c>
    </row>
    <row r="65" spans="1:25" x14ac:dyDescent="0.45">
      <c r="A65" t="s">
        <v>282</v>
      </c>
      <c r="B65">
        <v>30700282.923755925</v>
      </c>
      <c r="C65">
        <v>18691012.336171791</v>
      </c>
      <c r="D65">
        <v>21453302.925873827</v>
      </c>
      <c r="E65">
        <v>24751808.023319658</v>
      </c>
      <c r="F65">
        <v>15079006.674140759</v>
      </c>
      <c r="G65">
        <v>19290693.567469705</v>
      </c>
      <c r="H65">
        <v>22134989.885419082</v>
      </c>
      <c r="I65">
        <v>64412955.735959396</v>
      </c>
      <c r="J65">
        <v>21017834.575932663</v>
      </c>
      <c r="K65">
        <v>52135470.927811839</v>
      </c>
      <c r="L65">
        <v>104611886.64763799</v>
      </c>
      <c r="M65">
        <v>38536392.274913877</v>
      </c>
      <c r="N65">
        <v>40676552.022660963</v>
      </c>
      <c r="O65">
        <v>16839829.144221012</v>
      </c>
      <c r="P65">
        <v>12667975.434494894</v>
      </c>
      <c r="Q65">
        <v>11614750.203686571</v>
      </c>
      <c r="R65">
        <v>87947409.932898507</v>
      </c>
      <c r="S65">
        <v>102118965.62545489</v>
      </c>
      <c r="T65">
        <v>3416708.403466743</v>
      </c>
      <c r="U65">
        <v>44911948.229483061</v>
      </c>
      <c r="V65">
        <v>43194627.26728119</v>
      </c>
      <c r="W65">
        <v>12381134.452574482</v>
      </c>
      <c r="X65">
        <v>51804085.432225555</v>
      </c>
      <c r="Y65">
        <v>44382510.999831468</v>
      </c>
    </row>
    <row r="66" spans="1:25" x14ac:dyDescent="0.45">
      <c r="A66" t="s">
        <v>87</v>
      </c>
      <c r="B66">
        <v>366117551.72665173</v>
      </c>
      <c r="C66">
        <v>324493420.09485996</v>
      </c>
      <c r="D66">
        <v>241911853.92904884</v>
      </c>
      <c r="E66">
        <v>315213578.75619304</v>
      </c>
      <c r="F66">
        <v>491761939.82125115</v>
      </c>
      <c r="G66">
        <v>352005058.07393771</v>
      </c>
      <c r="H66">
        <v>311793197.64182293</v>
      </c>
      <c r="I66">
        <v>603989059.62152112</v>
      </c>
      <c r="J66">
        <v>783335324.56448448</v>
      </c>
      <c r="K66">
        <v>702556488.93230128</v>
      </c>
      <c r="L66">
        <v>945271706.48527503</v>
      </c>
      <c r="M66">
        <v>597320338.45681119</v>
      </c>
      <c r="N66">
        <v>315741067.13291544</v>
      </c>
      <c r="O66">
        <v>463960180.92001599</v>
      </c>
      <c r="P66">
        <v>281658844.17714405</v>
      </c>
      <c r="Q66">
        <v>200806638.21156543</v>
      </c>
      <c r="R66">
        <v>443355172.72298253</v>
      </c>
      <c r="S66">
        <v>520975699.93464261</v>
      </c>
      <c r="T66">
        <v>233563528.73468104</v>
      </c>
      <c r="U66">
        <v>844497969.82802153</v>
      </c>
      <c r="V66">
        <v>418240733.69008023</v>
      </c>
      <c r="W66">
        <v>555598012.99631155</v>
      </c>
      <c r="X66">
        <v>620381607.67740667</v>
      </c>
      <c r="Y66">
        <v>430062193.76477194</v>
      </c>
    </row>
    <row r="67" spans="1:25" x14ac:dyDescent="0.45">
      <c r="A67" t="s">
        <v>88</v>
      </c>
      <c r="B67">
        <v>33650636.58207456</v>
      </c>
      <c r="C67">
        <v>39482345.79526379</v>
      </c>
      <c r="D67">
        <v>24783938.835930817</v>
      </c>
      <c r="E67">
        <v>8229847.1344027789</v>
      </c>
      <c r="F67">
        <v>3945308.4717568979</v>
      </c>
      <c r="G67">
        <v>3894833.590424059</v>
      </c>
      <c r="H67">
        <v>2301079.2781120166</v>
      </c>
      <c r="I67">
        <v>17649175.658466864</v>
      </c>
      <c r="J67">
        <v>14810100.676002605</v>
      </c>
      <c r="K67">
        <v>4187139.7314168867</v>
      </c>
      <c r="L67">
        <v>22396562.429322001</v>
      </c>
      <c r="M67">
        <v>13964298.084490061</v>
      </c>
      <c r="N67">
        <v>24736979.176721785</v>
      </c>
      <c r="O67">
        <v>4147337.1032254044</v>
      </c>
      <c r="P67">
        <v>2167011.3331429791</v>
      </c>
      <c r="Q67">
        <v>10940713.655902734</v>
      </c>
      <c r="R67">
        <v>16057980.65505523</v>
      </c>
      <c r="S67">
        <v>17525254.887691904</v>
      </c>
      <c r="T67">
        <v>2504541.1071058316</v>
      </c>
      <c r="U67">
        <v>6673039.5310940351</v>
      </c>
      <c r="V67">
        <v>2976778.3724274416</v>
      </c>
      <c r="W67">
        <v>4621853.7608391726</v>
      </c>
      <c r="X67">
        <v>15295540.613333017</v>
      </c>
      <c r="Y67">
        <v>5924281.044833757</v>
      </c>
    </row>
    <row r="68" spans="1:25" x14ac:dyDescent="0.45">
      <c r="A68" t="s">
        <v>89</v>
      </c>
      <c r="B68">
        <v>1228417.5718836037</v>
      </c>
      <c r="C68">
        <v>1683882.4418823074</v>
      </c>
      <c r="D68">
        <v>814999.55304581416</v>
      </c>
      <c r="E68">
        <v>3870739.0145235909</v>
      </c>
      <c r="F68">
        <v>4510763.0450501218</v>
      </c>
      <c r="G68">
        <v>2858524.3145323722</v>
      </c>
      <c r="H68">
        <v>1617269.9099811553</v>
      </c>
      <c r="I68">
        <v>1025901.0895899767</v>
      </c>
      <c r="J68">
        <v>3430008.8517234414</v>
      </c>
      <c r="K68">
        <v>2966302.608829427</v>
      </c>
      <c r="L68">
        <v>2754468.2559858798</v>
      </c>
      <c r="M68">
        <v>4240674.3381278059</v>
      </c>
      <c r="N68">
        <v>1309148.1385002544</v>
      </c>
      <c r="O68">
        <v>2255801.0531783244</v>
      </c>
      <c r="P68">
        <v>1980700.8961397412</v>
      </c>
      <c r="Q68">
        <v>2837180.7907337719</v>
      </c>
      <c r="R68">
        <v>2205784.1330590104</v>
      </c>
      <c r="S68">
        <v>4641076.0916136606</v>
      </c>
      <c r="T68">
        <v>2337672.940603517</v>
      </c>
      <c r="U68">
        <v>6757679.6357752075</v>
      </c>
      <c r="V68">
        <v>3299206.5575121306</v>
      </c>
      <c r="W68">
        <v>3788068.6991585731</v>
      </c>
      <c r="X68">
        <v>3530481.5484163505</v>
      </c>
      <c r="Y68">
        <v>6461979.6967969434</v>
      </c>
    </row>
    <row r="69" spans="1:25" x14ac:dyDescent="0.45">
      <c r="A69" t="s">
        <v>283</v>
      </c>
      <c r="B69">
        <v>30659026.646659456</v>
      </c>
      <c r="C69">
        <v>138225388.75398692</v>
      </c>
      <c r="D69">
        <v>58421764.091826901</v>
      </c>
      <c r="E69">
        <v>40137831.508107498</v>
      </c>
      <c r="F69">
        <v>41519045.373249479</v>
      </c>
      <c r="G69">
        <v>70062868.547970101</v>
      </c>
      <c r="H69">
        <v>59476821.268952936</v>
      </c>
      <c r="I69">
        <v>132698000.9344514</v>
      </c>
      <c r="J69">
        <v>98814840.845214099</v>
      </c>
      <c r="K69">
        <v>134227104.97096831</v>
      </c>
      <c r="L69">
        <v>276753628.27002603</v>
      </c>
      <c r="M69">
        <v>76634775.733645618</v>
      </c>
      <c r="N69">
        <v>97887016.777793199</v>
      </c>
      <c r="O69">
        <v>48453549.61321032</v>
      </c>
      <c r="P69">
        <v>92363880.84110637</v>
      </c>
      <c r="Q69">
        <v>135628515.1423195</v>
      </c>
      <c r="R69">
        <v>387909684.21865845</v>
      </c>
      <c r="S69">
        <v>157836763.41808885</v>
      </c>
      <c r="T69">
        <v>139908007.29985127</v>
      </c>
      <c r="U69">
        <v>87455234.699573651</v>
      </c>
      <c r="V69">
        <v>115025717.82760762</v>
      </c>
      <c r="W69">
        <v>63938810.103257902</v>
      </c>
      <c r="X69">
        <v>155973994.25503236</v>
      </c>
      <c r="Y69">
        <v>301240904.04481691</v>
      </c>
    </row>
    <row r="70" spans="1:25" x14ac:dyDescent="0.45">
      <c r="A70" t="s">
        <v>90</v>
      </c>
      <c r="B70">
        <v>32344993.662108704</v>
      </c>
      <c r="C70">
        <v>32823125.59673322</v>
      </c>
      <c r="D70">
        <v>21220445.131030016</v>
      </c>
      <c r="E70">
        <v>34329659.950662211</v>
      </c>
      <c r="F70">
        <v>55787327.863917194</v>
      </c>
      <c r="G70">
        <v>33954182.178682007</v>
      </c>
      <c r="H70">
        <v>32068166.341153145</v>
      </c>
      <c r="I70">
        <v>89807673.347913802</v>
      </c>
      <c r="J70">
        <v>89230585.51524511</v>
      </c>
      <c r="K70">
        <v>55209640.97668872</v>
      </c>
      <c r="L70">
        <v>134348602.03304699</v>
      </c>
      <c r="M70">
        <v>18127226.640968811</v>
      </c>
      <c r="N70">
        <v>58305268.125901133</v>
      </c>
      <c r="O70">
        <v>17712429.239579469</v>
      </c>
      <c r="P70">
        <v>34815639.018892877</v>
      </c>
      <c r="Q70">
        <v>15840204.640559461</v>
      </c>
      <c r="R70">
        <v>45381787.858724408</v>
      </c>
      <c r="S70">
        <v>42428932.399437644</v>
      </c>
      <c r="T70">
        <v>21495780.668426439</v>
      </c>
      <c r="U70">
        <v>70802131.120898291</v>
      </c>
      <c r="V70">
        <v>37572945.469803981</v>
      </c>
      <c r="W70">
        <v>59347490.982147127</v>
      </c>
      <c r="X70">
        <v>74571106.472524598</v>
      </c>
      <c r="Y70">
        <v>43677016.488279931</v>
      </c>
    </row>
    <row r="71" spans="1:25" x14ac:dyDescent="0.45">
      <c r="A71" t="s">
        <v>284</v>
      </c>
      <c r="B71">
        <v>22995053.331606425</v>
      </c>
      <c r="C71">
        <v>20949306.037244629</v>
      </c>
      <c r="D71">
        <v>14370085.41063752</v>
      </c>
      <c r="E71">
        <v>18530736.516099997</v>
      </c>
      <c r="F71">
        <v>27507327.541319415</v>
      </c>
      <c r="G71">
        <v>21859028.822169263</v>
      </c>
      <c r="H71">
        <v>15826164.638911735</v>
      </c>
      <c r="I71">
        <v>26564325.196614239</v>
      </c>
      <c r="J71">
        <v>38510155.009904929</v>
      </c>
      <c r="K71">
        <v>29028221.465998668</v>
      </c>
      <c r="L71">
        <v>40631909.505008303</v>
      </c>
      <c r="M71">
        <v>30199291.275677372</v>
      </c>
      <c r="N71">
        <v>17727331.623393867</v>
      </c>
      <c r="O71">
        <v>22184795.369528621</v>
      </c>
      <c r="P71">
        <v>14632475.283309618</v>
      </c>
      <c r="Q71">
        <v>10488535.3872838</v>
      </c>
      <c r="R71">
        <v>21735801.914661236</v>
      </c>
      <c r="S71">
        <v>29297914.901097354</v>
      </c>
      <c r="T71">
        <v>11502504.36841145</v>
      </c>
      <c r="U71">
        <v>35480577.974528193</v>
      </c>
      <c r="V71">
        <v>21399712.532589052</v>
      </c>
      <c r="W71">
        <v>30837469.380293835</v>
      </c>
      <c r="X71">
        <v>31244825.986058801</v>
      </c>
      <c r="Y71">
        <v>26306931.242629983</v>
      </c>
    </row>
    <row r="72" spans="1:25" x14ac:dyDescent="0.45">
      <c r="A72" t="s">
        <v>285</v>
      </c>
      <c r="B72">
        <v>28707016.727079641</v>
      </c>
      <c r="C72">
        <v>34972928.558612823</v>
      </c>
      <c r="D72">
        <v>20688007.250664357</v>
      </c>
      <c r="E72">
        <v>33883038.491594404</v>
      </c>
      <c r="F72">
        <v>26143753.997330543</v>
      </c>
      <c r="G72">
        <v>24126801.001952942</v>
      </c>
      <c r="H72">
        <v>22379013.199553043</v>
      </c>
      <c r="I72">
        <v>24926736.775878083</v>
      </c>
      <c r="J72">
        <v>38260413.232706875</v>
      </c>
      <c r="K72">
        <v>47345088.737315349</v>
      </c>
      <c r="L72">
        <v>237320762.41631699</v>
      </c>
      <c r="M72">
        <v>40032431.526648246</v>
      </c>
      <c r="N72">
        <v>28531548.785458732</v>
      </c>
      <c r="O72">
        <v>15363347.75852431</v>
      </c>
      <c r="P72">
        <v>23064767.115603037</v>
      </c>
      <c r="Q72">
        <v>22529796.151310146</v>
      </c>
      <c r="R72">
        <v>36523110.651432805</v>
      </c>
      <c r="S72">
        <v>7138190.1937448299</v>
      </c>
      <c r="T72">
        <v>30142835.418445762</v>
      </c>
      <c r="U72">
        <v>80724415.856649026</v>
      </c>
      <c r="V72">
        <v>45052790.077461571</v>
      </c>
      <c r="W72">
        <v>30171718.934471924</v>
      </c>
      <c r="X72">
        <v>44987090.192748263</v>
      </c>
      <c r="Y72">
        <v>51566251.995499566</v>
      </c>
    </row>
    <row r="73" spans="1:25" x14ac:dyDescent="0.45">
      <c r="A73" t="s">
        <v>286</v>
      </c>
      <c r="B73">
        <v>3101943.5003642756</v>
      </c>
      <c r="C73">
        <v>6046160.94456675</v>
      </c>
      <c r="D73">
        <v>3115870.8006715407</v>
      </c>
      <c r="E73">
        <v>2810910.995533241</v>
      </c>
      <c r="F73">
        <v>5589613.4692706931</v>
      </c>
      <c r="G73">
        <v>5057045.3863182841</v>
      </c>
      <c r="H73">
        <v>3567499.7732634591</v>
      </c>
      <c r="I73">
        <v>34941360.132027373</v>
      </c>
      <c r="J73">
        <v>16115138.713261874</v>
      </c>
      <c r="K73">
        <v>6801703.3503610734</v>
      </c>
      <c r="L73">
        <v>49187465.171255603</v>
      </c>
      <c r="M73">
        <v>4340421.5759363184</v>
      </c>
      <c r="N73">
        <v>3468171.8427113951</v>
      </c>
      <c r="O73">
        <v>5265142.5430471124</v>
      </c>
      <c r="P73">
        <v>3080580.8847952853</v>
      </c>
      <c r="Q73">
        <v>3243483.3256073981</v>
      </c>
      <c r="R73">
        <v>10212620.678012256</v>
      </c>
      <c r="S73">
        <v>6027654.1975057255</v>
      </c>
      <c r="T73">
        <v>3569250.6651580012</v>
      </c>
      <c r="U73">
        <v>10005095.820280964</v>
      </c>
      <c r="V73">
        <v>4540386.1199725056</v>
      </c>
      <c r="W73">
        <v>6069836.3464043997</v>
      </c>
      <c r="X73">
        <v>8730268.9493060354</v>
      </c>
      <c r="Y73">
        <v>9525240.5302830078</v>
      </c>
    </row>
    <row r="74" spans="1:25" x14ac:dyDescent="0.45">
      <c r="A74" t="s">
        <v>91</v>
      </c>
      <c r="B74">
        <v>10781663.666608782</v>
      </c>
      <c r="C74">
        <v>14234942.485896379</v>
      </c>
      <c r="D74">
        <v>8419144.3012735024</v>
      </c>
      <c r="E74">
        <v>7135872.8490417153</v>
      </c>
      <c r="F74">
        <v>11775723.488368377</v>
      </c>
      <c r="G74">
        <v>7431320.5629459796</v>
      </c>
      <c r="H74">
        <v>11682212.633229358</v>
      </c>
      <c r="I74">
        <v>27637230.075609885</v>
      </c>
      <c r="J74">
        <v>24434442.980602022</v>
      </c>
      <c r="K74">
        <v>24687067.562476065</v>
      </c>
      <c r="L74">
        <v>46236041.467570297</v>
      </c>
      <c r="M74">
        <v>20969856.552118372</v>
      </c>
      <c r="N74">
        <v>8475534.9422208909</v>
      </c>
      <c r="O74">
        <v>17393153.656778727</v>
      </c>
      <c r="P74">
        <v>9262405.9163299222</v>
      </c>
      <c r="Q74">
        <v>7843447.4604216255</v>
      </c>
      <c r="R74">
        <v>32364234.218774758</v>
      </c>
      <c r="S74">
        <v>34628562.731420368</v>
      </c>
      <c r="T74">
        <v>7041195.3918783125</v>
      </c>
      <c r="U74">
        <v>20795573.329238281</v>
      </c>
      <c r="V74">
        <v>11781069.248318063</v>
      </c>
      <c r="W74">
        <v>18208277.292743873</v>
      </c>
      <c r="X74">
        <v>32352656.986263879</v>
      </c>
      <c r="Y74">
        <v>22762749.840062298</v>
      </c>
    </row>
    <row r="75" spans="1:25" x14ac:dyDescent="0.45">
      <c r="A75" t="s">
        <v>92</v>
      </c>
      <c r="B75">
        <v>6238567.258059389</v>
      </c>
      <c r="C75">
        <v>7860354.0847038068</v>
      </c>
      <c r="D75">
        <v>2747736.1755544245</v>
      </c>
      <c r="E75">
        <v>2962028.1225497229</v>
      </c>
      <c r="F75">
        <v>9284456.2858370021</v>
      </c>
      <c r="G75">
        <v>4268424.7315694308</v>
      </c>
      <c r="H75">
        <v>3580793.9556268901</v>
      </c>
      <c r="I75">
        <v>9593314.3764697574</v>
      </c>
      <c r="J75">
        <v>5178872.1654521255</v>
      </c>
      <c r="K75">
        <v>6511602.5324219773</v>
      </c>
      <c r="L75">
        <v>9540326.4783353601</v>
      </c>
      <c r="M75">
        <v>6521053.3269688124</v>
      </c>
      <c r="N75">
        <v>4358192.2978797508</v>
      </c>
      <c r="O75">
        <v>8199479.6643788833</v>
      </c>
      <c r="P75">
        <v>2780570.6915238067</v>
      </c>
      <c r="Q75">
        <v>3248932.9875770886</v>
      </c>
      <c r="R75">
        <v>13529882.396980265</v>
      </c>
      <c r="S75">
        <v>7522231.4227528861</v>
      </c>
      <c r="T75">
        <v>5154343.7710132487</v>
      </c>
      <c r="U75">
        <v>5122082.9296311243</v>
      </c>
      <c r="V75">
        <v>5776266.7504231259</v>
      </c>
      <c r="W75">
        <v>8596880.0643285122</v>
      </c>
      <c r="X75">
        <v>10538176.887200309</v>
      </c>
      <c r="Y75">
        <v>9591388.596832389</v>
      </c>
    </row>
    <row r="76" spans="1:25" x14ac:dyDescent="0.45">
      <c r="A76" t="s">
        <v>93</v>
      </c>
      <c r="B76">
        <v>1058345674.8347493</v>
      </c>
      <c r="C76">
        <v>822649011.66985083</v>
      </c>
      <c r="D76">
        <v>670266076.7383548</v>
      </c>
      <c r="E76">
        <v>877225168.17370868</v>
      </c>
      <c r="F76">
        <v>986148059.36041212</v>
      </c>
      <c r="G76">
        <v>936189451.93096566</v>
      </c>
      <c r="H76">
        <v>756464143.49856496</v>
      </c>
      <c r="I76">
        <v>1574288832.5272923</v>
      </c>
      <c r="J76">
        <v>1869623031.1272407</v>
      </c>
      <c r="K76">
        <v>1586326156.1698844</v>
      </c>
      <c r="L76">
        <v>2236364610.6201401</v>
      </c>
      <c r="M76">
        <v>1136188855.843925</v>
      </c>
      <c r="N76">
        <v>1964519643.9450333</v>
      </c>
      <c r="O76">
        <v>981791418.4037447</v>
      </c>
      <c r="P76">
        <v>786030967.67718196</v>
      </c>
      <c r="Q76">
        <v>25082922.314167298</v>
      </c>
      <c r="R76">
        <v>117043053.41824001</v>
      </c>
      <c r="S76">
        <v>80475575.913863227</v>
      </c>
      <c r="T76">
        <v>666280162.63122845</v>
      </c>
      <c r="U76">
        <v>3052114967.9784875</v>
      </c>
      <c r="V76">
        <v>1260169383.7994072</v>
      </c>
      <c r="W76">
        <v>1492520783.1573939</v>
      </c>
      <c r="X76">
        <v>1634131412.593771</v>
      </c>
      <c r="Y76">
        <v>1089470063.6976333</v>
      </c>
    </row>
    <row r="77" spans="1:25" x14ac:dyDescent="0.45">
      <c r="A77" t="s">
        <v>94</v>
      </c>
      <c r="B77">
        <v>191010062.20030975</v>
      </c>
      <c r="C77">
        <v>253816261.98282856</v>
      </c>
      <c r="D77">
        <v>204941517.40802553</v>
      </c>
      <c r="E77">
        <v>222670580.2760168</v>
      </c>
      <c r="F77">
        <v>123177468.98042001</v>
      </c>
      <c r="G77">
        <v>157658101.39652106</v>
      </c>
      <c r="H77">
        <v>167294732.17009261</v>
      </c>
      <c r="I77">
        <v>124011576.6185879</v>
      </c>
      <c r="J77">
        <v>431160714.66093999</v>
      </c>
      <c r="K77">
        <v>261039140.68037635</v>
      </c>
      <c r="L77">
        <v>438483687.32617998</v>
      </c>
      <c r="M77">
        <v>246675472.9406625</v>
      </c>
      <c r="N77">
        <v>231471608.47854447</v>
      </c>
      <c r="O77">
        <v>173735123.62081063</v>
      </c>
      <c r="P77">
        <v>192892981.35783726</v>
      </c>
      <c r="Q77">
        <v>121332375.10339087</v>
      </c>
      <c r="R77">
        <v>345404275.23756498</v>
      </c>
      <c r="S77">
        <v>174026506.56376198</v>
      </c>
      <c r="T77">
        <v>123496002.1074847</v>
      </c>
      <c r="U77">
        <v>299221439.63087291</v>
      </c>
      <c r="V77">
        <v>278805268.84592855</v>
      </c>
      <c r="W77">
        <v>207525399.75324467</v>
      </c>
      <c r="X77">
        <v>299034300.13461781</v>
      </c>
      <c r="Y77">
        <v>228176429.74342418</v>
      </c>
    </row>
    <row r="78" spans="1:25" x14ac:dyDescent="0.45">
      <c r="A78" t="s">
        <v>95</v>
      </c>
      <c r="B78">
        <v>2544504.4164557452</v>
      </c>
      <c r="C78">
        <v>5986721.6393085727</v>
      </c>
      <c r="D78">
        <v>3811202.6072304607</v>
      </c>
      <c r="E78">
        <v>680857.68785439047</v>
      </c>
      <c r="F78">
        <v>771235.03049484699</v>
      </c>
      <c r="G78">
        <v>9642120.2006241176</v>
      </c>
      <c r="H78">
        <v>317875.71016312105</v>
      </c>
      <c r="I78">
        <v>12591964.281885553</v>
      </c>
      <c r="J78">
        <v>895645.71379831759</v>
      </c>
      <c r="K78">
        <v>1231195.4959856798</v>
      </c>
      <c r="L78">
        <v>17721247.750460301</v>
      </c>
      <c r="M78">
        <v>2178616.3366644434</v>
      </c>
      <c r="N78">
        <v>13989855.940452296</v>
      </c>
      <c r="O78">
        <v>469971.59746758564</v>
      </c>
      <c r="P78">
        <v>1724585.3202213442</v>
      </c>
      <c r="Q78">
        <v>2705045.4029729189</v>
      </c>
      <c r="R78">
        <v>1432753.5554834723</v>
      </c>
      <c r="S78">
        <v>3101103.6523649581</v>
      </c>
      <c r="T78">
        <v>296992.92535238608</v>
      </c>
      <c r="U78">
        <v>1231140.6705738085</v>
      </c>
      <c r="V78">
        <v>714705.10894523363</v>
      </c>
      <c r="W78">
        <v>648977.77715832891</v>
      </c>
      <c r="X78">
        <v>695608.627236448</v>
      </c>
      <c r="Y78">
        <v>639679.75591251731</v>
      </c>
    </row>
    <row r="79" spans="1:25" x14ac:dyDescent="0.45">
      <c r="A79" t="s">
        <v>96</v>
      </c>
      <c r="B79">
        <v>40006128.660131119</v>
      </c>
      <c r="C79">
        <v>56435338.037312955</v>
      </c>
      <c r="D79">
        <v>45662616.208127454</v>
      </c>
      <c r="E79">
        <v>28782097.956735387</v>
      </c>
      <c r="F79">
        <v>61294348.965466894</v>
      </c>
      <c r="G79">
        <v>35235550.434296615</v>
      </c>
      <c r="H79">
        <v>35420709.528817594</v>
      </c>
      <c r="I79">
        <v>20092989.997743305</v>
      </c>
      <c r="J79">
        <v>105926209.36760253</v>
      </c>
      <c r="K79">
        <v>48297244.723748885</v>
      </c>
      <c r="L79">
        <v>30560433.714767601</v>
      </c>
      <c r="M79">
        <v>30282194.817389123</v>
      </c>
      <c r="N79">
        <v>21356976.29340823</v>
      </c>
      <c r="O79">
        <v>46055246.71926479</v>
      </c>
      <c r="P79">
        <v>37637021.422958799</v>
      </c>
      <c r="Q79">
        <v>16668526.275280466</v>
      </c>
      <c r="R79">
        <v>36060498.271435641</v>
      </c>
      <c r="S79">
        <v>36838162.955505773</v>
      </c>
      <c r="T79">
        <v>25225284.341502454</v>
      </c>
      <c r="U79">
        <v>39242929.272965379</v>
      </c>
      <c r="V79">
        <v>56891835.111959115</v>
      </c>
      <c r="W79">
        <v>75800218.957813323</v>
      </c>
      <c r="X79">
        <v>67915457.15585722</v>
      </c>
      <c r="Y79">
        <v>54997659.341688775</v>
      </c>
    </row>
    <row r="80" spans="1:25" x14ac:dyDescent="0.45">
      <c r="A80" t="s">
        <v>97</v>
      </c>
      <c r="B80">
        <v>8719199.5288210642</v>
      </c>
      <c r="C80">
        <v>11844177.9958985</v>
      </c>
      <c r="D80">
        <v>9538801.7448672187</v>
      </c>
      <c r="E80">
        <v>11024619.871692929</v>
      </c>
      <c r="F80">
        <v>13139622.873283859</v>
      </c>
      <c r="G80">
        <v>9741838.813371323</v>
      </c>
      <c r="H80">
        <v>5494100.1445785556</v>
      </c>
      <c r="I80">
        <v>7712260.4066952923</v>
      </c>
      <c r="J80">
        <v>21247673.953840677</v>
      </c>
      <c r="K80">
        <v>17362524.68427996</v>
      </c>
      <c r="L80">
        <v>20645468.6127734</v>
      </c>
      <c r="M80">
        <v>12376817.956222374</v>
      </c>
      <c r="N80">
        <v>9249068.3340238668</v>
      </c>
      <c r="O80">
        <v>10690578.162419574</v>
      </c>
      <c r="P80">
        <v>8172814.1767791109</v>
      </c>
      <c r="Q80">
        <v>6226914.8468078608</v>
      </c>
      <c r="R80">
        <v>15378104.655381078</v>
      </c>
      <c r="S80">
        <v>10903297.179411948</v>
      </c>
      <c r="T80">
        <v>8772861.603723539</v>
      </c>
      <c r="U80">
        <v>20817548.335204888</v>
      </c>
      <c r="V80">
        <v>12842762.104220243</v>
      </c>
      <c r="W80">
        <v>15473324.398331292</v>
      </c>
      <c r="X80">
        <v>18539543.415424332</v>
      </c>
      <c r="Y80">
        <v>17500275.513024434</v>
      </c>
    </row>
    <row r="81" spans="1:25" x14ac:dyDescent="0.45">
      <c r="A81" t="s">
        <v>287</v>
      </c>
      <c r="B81">
        <v>17931747.148432706</v>
      </c>
      <c r="C81">
        <v>26694506.569287628</v>
      </c>
      <c r="D81">
        <v>25365713.105664738</v>
      </c>
      <c r="E81">
        <v>60612751.374602981</v>
      </c>
      <c r="F81">
        <v>117934714.24302347</v>
      </c>
      <c r="G81">
        <v>91945606.97582598</v>
      </c>
      <c r="H81">
        <v>42130949.292044193</v>
      </c>
      <c r="I81">
        <v>417273326.59826583</v>
      </c>
      <c r="J81">
        <v>20553123.495677777</v>
      </c>
      <c r="K81">
        <v>117286747.14670672</v>
      </c>
      <c r="L81">
        <v>282074327.754673</v>
      </c>
      <c r="M81">
        <v>22554514.932485435</v>
      </c>
      <c r="N81">
        <v>285908250.59518248</v>
      </c>
      <c r="O81">
        <v>30211379.534628566</v>
      </c>
      <c r="P81">
        <v>40996446.97373829</v>
      </c>
      <c r="Q81">
        <v>19349597.142011136</v>
      </c>
      <c r="R81">
        <v>128770056.16592234</v>
      </c>
      <c r="S81">
        <v>201909853.41902155</v>
      </c>
      <c r="T81">
        <v>18930260.319821406</v>
      </c>
      <c r="U81">
        <v>167525331.6369406</v>
      </c>
      <c r="V81">
        <v>17154958.618221067</v>
      </c>
      <c r="W81">
        <v>20491234.857039385</v>
      </c>
      <c r="X81">
        <v>199167291.87526652</v>
      </c>
      <c r="Y81">
        <v>16886140.379888434</v>
      </c>
    </row>
    <row r="82" spans="1:25" x14ac:dyDescent="0.45">
      <c r="A82" t="s">
        <v>98</v>
      </c>
      <c r="B82">
        <v>709270.99565792154</v>
      </c>
      <c r="C82">
        <v>1849859.8174406961</v>
      </c>
      <c r="D82">
        <v>656992.41533250455</v>
      </c>
      <c r="E82">
        <v>656299.77874749631</v>
      </c>
      <c r="F82">
        <v>457464.99564906576</v>
      </c>
      <c r="G82">
        <v>959230.65060604911</v>
      </c>
      <c r="H82">
        <v>1002462.3031486846</v>
      </c>
      <c r="I82">
        <v>929047.44224022073</v>
      </c>
      <c r="J82">
        <v>1097332.4797539907</v>
      </c>
      <c r="K82">
        <v>1506497.1148999836</v>
      </c>
      <c r="L82">
        <v>1246008.7150673999</v>
      </c>
      <c r="M82">
        <v>692168.12363774364</v>
      </c>
      <c r="N82">
        <v>317435.95523792267</v>
      </c>
      <c r="O82">
        <v>566703.70809863298</v>
      </c>
      <c r="P82">
        <v>892264.53551601246</v>
      </c>
      <c r="Q82">
        <v>842853.43228511501</v>
      </c>
      <c r="R82">
        <v>1788094.6196876946</v>
      </c>
      <c r="S82">
        <v>1303732.5016664958</v>
      </c>
      <c r="T82">
        <v>694520.85876844404</v>
      </c>
      <c r="U82">
        <v>914157.89373844629</v>
      </c>
      <c r="V82">
        <v>814151.52244294505</v>
      </c>
      <c r="W82">
        <v>505899.35632959782</v>
      </c>
      <c r="X82">
        <v>794057.72959407466</v>
      </c>
      <c r="Y82">
        <v>1066124.00421566</v>
      </c>
    </row>
    <row r="83" spans="1:25" x14ac:dyDescent="0.45">
      <c r="A83" t="s">
        <v>99</v>
      </c>
      <c r="B83">
        <v>57131219.772807844</v>
      </c>
      <c r="C83">
        <v>49195999.380993053</v>
      </c>
      <c r="D83">
        <v>35104719.650971092</v>
      </c>
      <c r="E83">
        <v>52768528.41498027</v>
      </c>
      <c r="F83">
        <v>70638169.700824156</v>
      </c>
      <c r="G83">
        <v>51895545.436508335</v>
      </c>
      <c r="H83">
        <v>43439455.951950736</v>
      </c>
      <c r="I83">
        <v>267333780.60435683</v>
      </c>
      <c r="J83">
        <v>109153913.46383403</v>
      </c>
      <c r="K83">
        <v>100591287.75944588</v>
      </c>
      <c r="L83">
        <v>553388700.87680304</v>
      </c>
      <c r="M83">
        <v>83693297.780480623</v>
      </c>
      <c r="N83">
        <v>89200688.362989262</v>
      </c>
      <c r="O83">
        <v>59658427.869102664</v>
      </c>
      <c r="P83">
        <v>49497239.072388969</v>
      </c>
      <c r="Q83">
        <v>29726639.079842061</v>
      </c>
      <c r="R83">
        <v>64984319.731219821</v>
      </c>
      <c r="S83">
        <v>67196415.198858604</v>
      </c>
      <c r="T83">
        <v>33629283.490368217</v>
      </c>
      <c r="U83">
        <v>162053178.61174709</v>
      </c>
      <c r="V83">
        <v>57784274.050872363</v>
      </c>
      <c r="W83">
        <v>79899043.15326719</v>
      </c>
      <c r="X83">
        <v>82704171.655816421</v>
      </c>
      <c r="Y83">
        <v>70322845.572891206</v>
      </c>
    </row>
    <row r="84" spans="1:25" x14ac:dyDescent="0.45">
      <c r="A84" t="s">
        <v>100</v>
      </c>
      <c r="B84">
        <v>43192027.646455534</v>
      </c>
      <c r="C84">
        <v>59144260.763807826</v>
      </c>
      <c r="D84">
        <v>39764588.566568039</v>
      </c>
      <c r="E84">
        <v>57922838.718445428</v>
      </c>
      <c r="F84">
        <v>26465723.495151453</v>
      </c>
      <c r="G84">
        <v>35314632.136705145</v>
      </c>
      <c r="H84">
        <v>21423860.006839771</v>
      </c>
      <c r="I84">
        <v>64551944.464211904</v>
      </c>
      <c r="J84">
        <v>76353783.424773559</v>
      </c>
      <c r="K84">
        <v>72506827.288814262</v>
      </c>
      <c r="L84">
        <v>89167491.508837104</v>
      </c>
      <c r="M84">
        <v>44848840.675656624</v>
      </c>
      <c r="N84">
        <v>34965507.861434214</v>
      </c>
      <c r="O84">
        <v>9700498.8165318612</v>
      </c>
      <c r="P84">
        <v>33149454.195815027</v>
      </c>
      <c r="Q84">
        <v>45788675.183739133</v>
      </c>
      <c r="R84">
        <v>70769520.314255729</v>
      </c>
      <c r="S84">
        <v>48289876.491271332</v>
      </c>
      <c r="T84">
        <v>41094739.182662711</v>
      </c>
      <c r="U84">
        <v>70979874.811964571</v>
      </c>
      <c r="V84">
        <v>37233435.930842407</v>
      </c>
      <c r="W84">
        <v>47668297.053840719</v>
      </c>
      <c r="X84">
        <v>98841714.912369624</v>
      </c>
      <c r="Y84">
        <v>70194295.753094077</v>
      </c>
    </row>
    <row r="85" spans="1:25" x14ac:dyDescent="0.45">
      <c r="A85" t="s">
        <v>435</v>
      </c>
      <c r="B85">
        <v>36818534.0450368</v>
      </c>
      <c r="C85">
        <v>65115540.397194117</v>
      </c>
      <c r="D85">
        <v>73804605.492944837</v>
      </c>
      <c r="E85">
        <v>41154640.661674894</v>
      </c>
      <c r="F85">
        <v>85108280.051931918</v>
      </c>
      <c r="G85">
        <v>45101799.33354985</v>
      </c>
      <c r="H85">
        <v>22321823.107288223</v>
      </c>
      <c r="I85">
        <v>62530744.346058004</v>
      </c>
      <c r="J85">
        <v>74345274.909531832</v>
      </c>
      <c r="K85">
        <v>49847927.781951688</v>
      </c>
      <c r="L85">
        <v>485889742.57856399</v>
      </c>
      <c r="M85">
        <v>46374272.581013054</v>
      </c>
      <c r="N85">
        <v>130337846.24682818</v>
      </c>
      <c r="O85">
        <v>129842603.51796331</v>
      </c>
      <c r="P85">
        <v>45876416.280128382</v>
      </c>
      <c r="Q85">
        <v>13562586.330283362</v>
      </c>
      <c r="R85">
        <v>64529404.183832482</v>
      </c>
      <c r="S85">
        <v>15315332.231211543</v>
      </c>
      <c r="T85">
        <v>14747290.435725028</v>
      </c>
      <c r="U85">
        <v>36134955.840512954</v>
      </c>
      <c r="V85">
        <v>19311558.415981732</v>
      </c>
      <c r="W85">
        <v>133174938.04001004</v>
      </c>
      <c r="X85">
        <v>36201051.726105839</v>
      </c>
      <c r="Y85">
        <v>36479348.807293586</v>
      </c>
    </row>
    <row r="86" spans="1:25" x14ac:dyDescent="0.45">
      <c r="A86" t="s">
        <v>101</v>
      </c>
      <c r="B86">
        <v>6969688.7298955191</v>
      </c>
      <c r="C86">
        <v>28840800.455323387</v>
      </c>
      <c r="D86">
        <v>14442135.534873201</v>
      </c>
      <c r="E86">
        <v>41211761.59580978</v>
      </c>
      <c r="F86">
        <v>401259822.51532185</v>
      </c>
      <c r="G86">
        <v>55130474.686773039</v>
      </c>
      <c r="H86">
        <v>4160327.7936718063</v>
      </c>
      <c r="I86">
        <v>29259197.454630792</v>
      </c>
      <c r="J86">
        <v>8086210.0716504958</v>
      </c>
      <c r="K86">
        <v>10996802.457376158</v>
      </c>
      <c r="L86">
        <v>36100967.771447703</v>
      </c>
      <c r="M86">
        <v>8608323.2901544366</v>
      </c>
      <c r="N86">
        <v>646038739.22167063</v>
      </c>
      <c r="O86">
        <v>84390187.124652654</v>
      </c>
      <c r="P86">
        <v>13782290.531561347</v>
      </c>
      <c r="Q86">
        <v>9853845.0561506711</v>
      </c>
      <c r="R86">
        <v>13255163.197306607</v>
      </c>
      <c r="S86">
        <v>51091148.727403976</v>
      </c>
      <c r="T86">
        <v>128767184.65197062</v>
      </c>
      <c r="U86">
        <v>218644153.21728683</v>
      </c>
      <c r="V86">
        <v>49704750.730125003</v>
      </c>
      <c r="W86">
        <v>58376240.274289392</v>
      </c>
      <c r="X86">
        <v>656791855.57571137</v>
      </c>
      <c r="Y86">
        <v>16039387.27849824</v>
      </c>
    </row>
    <row r="87" spans="1:25" x14ac:dyDescent="0.45">
      <c r="A87" t="s">
        <v>102</v>
      </c>
      <c r="B87">
        <v>56947190.974771142</v>
      </c>
      <c r="C87">
        <v>194244602.27494171</v>
      </c>
      <c r="D87">
        <v>122977695.04326968</v>
      </c>
      <c r="E87">
        <v>4381023.6276071845</v>
      </c>
      <c r="F87">
        <v>7916810.8321513506</v>
      </c>
      <c r="G87">
        <v>6549962.9091260778</v>
      </c>
      <c r="H87">
        <v>7569198.0171075733</v>
      </c>
      <c r="I87">
        <v>23783877.63935665</v>
      </c>
      <c r="J87">
        <v>14543315.713051144</v>
      </c>
      <c r="K87">
        <v>40059867.695208587</v>
      </c>
      <c r="L87">
        <v>45921208.739255801</v>
      </c>
      <c r="M87">
        <v>19898639.719552938</v>
      </c>
      <c r="N87">
        <v>10342953.54051142</v>
      </c>
      <c r="O87">
        <v>403450678.83613038</v>
      </c>
      <c r="P87">
        <v>287286244.30582118</v>
      </c>
      <c r="Q87">
        <v>8855037.6634992268</v>
      </c>
      <c r="R87">
        <v>15532499.46575932</v>
      </c>
      <c r="S87">
        <v>35402584.880033799</v>
      </c>
      <c r="T87">
        <v>8825511.492843654</v>
      </c>
      <c r="U87">
        <v>15567869.902700756</v>
      </c>
      <c r="V87">
        <v>12053983.38479252</v>
      </c>
      <c r="W87">
        <v>502589719.90856218</v>
      </c>
      <c r="X87">
        <v>792219755.09107077</v>
      </c>
      <c r="Y87">
        <v>634918948.97566271</v>
      </c>
    </row>
    <row r="88" spans="1:25" x14ac:dyDescent="0.45">
      <c r="A88" t="s">
        <v>103</v>
      </c>
      <c r="B88">
        <v>13510511.645328697</v>
      </c>
      <c r="C88">
        <v>17446066.834539283</v>
      </c>
      <c r="D88">
        <v>6539976.5941376807</v>
      </c>
      <c r="E88">
        <v>172935392.15746838</v>
      </c>
      <c r="F88">
        <v>278660186.04656893</v>
      </c>
      <c r="G88">
        <v>155143664.36679313</v>
      </c>
      <c r="H88">
        <v>149349142.07068112</v>
      </c>
      <c r="I88">
        <v>168030523.27165535</v>
      </c>
      <c r="J88">
        <v>416935750.17474216</v>
      </c>
      <c r="K88">
        <v>490834591.47162336</v>
      </c>
      <c r="L88">
        <v>344587925.58174402</v>
      </c>
      <c r="M88">
        <v>308153292.94538808</v>
      </c>
      <c r="N88">
        <v>575054972.83616316</v>
      </c>
      <c r="O88">
        <v>24961712.757568885</v>
      </c>
      <c r="P88">
        <v>15098001.336873461</v>
      </c>
      <c r="Q88">
        <v>96446050.248708785</v>
      </c>
      <c r="R88">
        <v>187028807.47531703</v>
      </c>
      <c r="S88">
        <v>250738909.75402135</v>
      </c>
      <c r="T88">
        <v>92328875.243763611</v>
      </c>
      <c r="U88">
        <v>657816101.9836179</v>
      </c>
      <c r="V88">
        <v>182091750.86683717</v>
      </c>
      <c r="W88">
        <v>29998786.209496964</v>
      </c>
      <c r="X88">
        <v>34570811.347607985</v>
      </c>
      <c r="Y88">
        <v>26611084.963684924</v>
      </c>
    </row>
    <row r="89" spans="1:25" x14ac:dyDescent="0.45">
      <c r="A89" t="s">
        <v>104</v>
      </c>
      <c r="B89">
        <v>1063830.1388250599</v>
      </c>
      <c r="C89">
        <v>948577.59997457266</v>
      </c>
      <c r="D89">
        <v>630950.58118243585</v>
      </c>
      <c r="E89">
        <v>540482.68372576556</v>
      </c>
      <c r="F89">
        <v>1777336.3847841816</v>
      </c>
      <c r="G89">
        <v>673833.61757555883</v>
      </c>
      <c r="H89">
        <v>629942.26851627999</v>
      </c>
      <c r="I89">
        <v>628129.67920988868</v>
      </c>
      <c r="J89">
        <v>1778077.7010284693</v>
      </c>
      <c r="K89">
        <v>2127359.1424134462</v>
      </c>
      <c r="L89">
        <v>7997686.2383701103</v>
      </c>
      <c r="M89">
        <v>1709123.1602780875</v>
      </c>
      <c r="N89">
        <v>1788906.4736922099</v>
      </c>
      <c r="O89">
        <v>1427536.6279153777</v>
      </c>
      <c r="P89">
        <v>549722.14083783387</v>
      </c>
      <c r="Q89">
        <v>640712.6388308442</v>
      </c>
      <c r="R89">
        <v>171357815.5200966</v>
      </c>
      <c r="S89">
        <v>2640449.1624300051</v>
      </c>
      <c r="T89">
        <v>658187.63519208645</v>
      </c>
      <c r="U89">
        <v>1895413.0187405767</v>
      </c>
      <c r="V89">
        <v>945864.87074180774</v>
      </c>
      <c r="W89">
        <v>1319850.681792574</v>
      </c>
      <c r="X89">
        <v>2286153.4219536982</v>
      </c>
      <c r="Y89">
        <v>1362713.1244376155</v>
      </c>
    </row>
    <row r="90" spans="1:25" x14ac:dyDescent="0.45">
      <c r="A90" t="s">
        <v>105</v>
      </c>
      <c r="B90">
        <v>12279209.92334252</v>
      </c>
      <c r="C90">
        <v>23398984.292996008</v>
      </c>
      <c r="D90">
        <v>9464934.5330578517</v>
      </c>
      <c r="E90">
        <v>13088861.301294228</v>
      </c>
      <c r="F90">
        <v>15138237.221181115</v>
      </c>
      <c r="G90">
        <v>13461763.264555098</v>
      </c>
      <c r="H90">
        <v>18148061.043332461</v>
      </c>
      <c r="I90">
        <v>68785854.841110304</v>
      </c>
      <c r="J90">
        <v>37940459.401391402</v>
      </c>
      <c r="K90">
        <v>38040736.229918793</v>
      </c>
      <c r="L90">
        <v>181589200.18011501</v>
      </c>
      <c r="M90">
        <v>25405545.179973751</v>
      </c>
      <c r="N90">
        <v>44887706.321544833</v>
      </c>
      <c r="O90">
        <v>23178409.550399419</v>
      </c>
      <c r="P90">
        <v>22767076.586741745</v>
      </c>
      <c r="Q90">
        <v>7042580.119167597</v>
      </c>
      <c r="R90">
        <v>33753954.632420637</v>
      </c>
      <c r="S90">
        <v>27009287.833816163</v>
      </c>
      <c r="T90">
        <v>12908028.79397692</v>
      </c>
      <c r="U90">
        <v>64348953.600703306</v>
      </c>
      <c r="V90">
        <v>24039697.127017964</v>
      </c>
      <c r="W90">
        <v>18580356.031063348</v>
      </c>
      <c r="X90">
        <v>40296453.5675238</v>
      </c>
      <c r="Y90">
        <v>31446341.186916444</v>
      </c>
    </row>
    <row r="91" spans="1:25" x14ac:dyDescent="0.45">
      <c r="A91" t="s">
        <v>106</v>
      </c>
      <c r="B91">
        <v>1763354.0440760851</v>
      </c>
      <c r="C91">
        <v>4767894.4731377978</v>
      </c>
      <c r="D91">
        <v>2871687.1706849001</v>
      </c>
      <c r="E91">
        <v>1124883.6619190844</v>
      </c>
      <c r="F91">
        <v>856593.81168947881</v>
      </c>
      <c r="G91">
        <v>7542120.0731330393</v>
      </c>
      <c r="H91">
        <v>6143010.0814667167</v>
      </c>
      <c r="I91">
        <v>3875612.0287043164</v>
      </c>
      <c r="J91">
        <v>3342724.7089771088</v>
      </c>
      <c r="K91">
        <v>9014467.1488329452</v>
      </c>
      <c r="L91">
        <v>4093546.36533943</v>
      </c>
      <c r="M91">
        <v>6246955.2922824314</v>
      </c>
      <c r="N91">
        <v>1239248.4681343187</v>
      </c>
      <c r="O91">
        <v>972894.11927680334</v>
      </c>
      <c r="P91">
        <v>2557799.4929095278</v>
      </c>
      <c r="Q91">
        <v>4501328.0932076992</v>
      </c>
      <c r="R91">
        <v>11934591.681850707</v>
      </c>
      <c r="S91">
        <v>5038031.2982933717</v>
      </c>
      <c r="T91">
        <v>3532245.5285639544</v>
      </c>
      <c r="U91">
        <v>2487965.6638017232</v>
      </c>
      <c r="V91">
        <v>4773576.3379361695</v>
      </c>
      <c r="W91">
        <v>1669753.6355362074</v>
      </c>
      <c r="X91">
        <v>9491272.649989251</v>
      </c>
      <c r="Y91">
        <v>10131480.598734833</v>
      </c>
    </row>
    <row r="92" spans="1:25" x14ac:dyDescent="0.45">
      <c r="A92" t="s">
        <v>107</v>
      </c>
      <c r="B92">
        <v>22830.104706714235</v>
      </c>
      <c r="C92">
        <v>701284.2030907775</v>
      </c>
      <c r="D92">
        <v>19237.504113571831</v>
      </c>
      <c r="E92">
        <v>20675.181817315341</v>
      </c>
      <c r="F92">
        <v>27669.19364482733</v>
      </c>
      <c r="G92">
        <v>243186.14597311718</v>
      </c>
      <c r="H92">
        <v>299822.9122368393</v>
      </c>
      <c r="I92">
        <v>59422.764789265151</v>
      </c>
      <c r="J92">
        <v>38468.597788490624</v>
      </c>
      <c r="K92">
        <v>381036.08897696226</v>
      </c>
      <c r="L92">
        <v>461870.01719051303</v>
      </c>
      <c r="M92">
        <v>349330.17012943618</v>
      </c>
      <c r="N92">
        <v>305182.73817186378</v>
      </c>
      <c r="O92">
        <v>31644.390556294366</v>
      </c>
      <c r="P92">
        <v>102832.19259659083</v>
      </c>
      <c r="Q92">
        <v>758653.84049413889</v>
      </c>
      <c r="R92">
        <v>2406332.0739201978</v>
      </c>
      <c r="S92">
        <v>514370.59426543658</v>
      </c>
      <c r="T92">
        <v>485096.68538815505</v>
      </c>
      <c r="U92">
        <v>35519.335012878153</v>
      </c>
      <c r="V92">
        <v>418926.23157579987</v>
      </c>
      <c r="W92">
        <v>85884.06908676587</v>
      </c>
      <c r="X92">
        <v>889595.39498581365</v>
      </c>
      <c r="Y92">
        <v>1276979.5205684223</v>
      </c>
    </row>
    <row r="93" spans="1:25" x14ac:dyDescent="0.45">
      <c r="A93" t="s">
        <v>108</v>
      </c>
      <c r="B93">
        <v>11908334.654155532</v>
      </c>
      <c r="C93">
        <v>11695796.137507154</v>
      </c>
      <c r="D93">
        <v>8744667.377965115</v>
      </c>
      <c r="E93">
        <v>9374299.4375048038</v>
      </c>
      <c r="F93">
        <v>14180124.453147424</v>
      </c>
      <c r="G93">
        <v>11079777.827887744</v>
      </c>
      <c r="H93">
        <v>9660502.0742606558</v>
      </c>
      <c r="I93">
        <v>18829827.679509744</v>
      </c>
      <c r="J93">
        <v>21612189.226222444</v>
      </c>
      <c r="K93">
        <v>18875373.235422976</v>
      </c>
      <c r="L93">
        <v>46637170.952535599</v>
      </c>
      <c r="M93">
        <v>18887361.30981975</v>
      </c>
      <c r="N93">
        <v>9705729.6964485794</v>
      </c>
      <c r="O93">
        <v>5496007.2229973413</v>
      </c>
      <c r="P93">
        <v>10882704.13619655</v>
      </c>
      <c r="Q93">
        <v>2358991.135672993</v>
      </c>
      <c r="R93">
        <v>6536834.0946548553</v>
      </c>
      <c r="S93">
        <v>8468779.8873738237</v>
      </c>
      <c r="T93">
        <v>2649911.8804749735</v>
      </c>
      <c r="U93">
        <v>18886256.759465523</v>
      </c>
      <c r="V93">
        <v>14154876.443962542</v>
      </c>
      <c r="W93">
        <v>15638023.654724384</v>
      </c>
      <c r="X93">
        <v>20439031.274806362</v>
      </c>
      <c r="Y93">
        <v>17120409.237614147</v>
      </c>
    </row>
    <row r="94" spans="1:25" x14ac:dyDescent="0.45">
      <c r="A94" t="s">
        <v>109</v>
      </c>
      <c r="B94">
        <v>561166.7075476317</v>
      </c>
      <c r="C94">
        <v>222500.30005752726</v>
      </c>
      <c r="D94">
        <v>118317.42760703246</v>
      </c>
      <c r="E94">
        <v>212361.90101931573</v>
      </c>
      <c r="F94">
        <v>555253.25152233895</v>
      </c>
      <c r="G94">
        <v>242667.76736758137</v>
      </c>
      <c r="H94">
        <v>202216.70649001922</v>
      </c>
      <c r="I94">
        <v>532362.49921595247</v>
      </c>
      <c r="J94">
        <v>604159.8732350861</v>
      </c>
      <c r="K94">
        <v>854865.96135278</v>
      </c>
      <c r="L94">
        <v>381966.259188784</v>
      </c>
      <c r="M94">
        <v>588042.18011576938</v>
      </c>
      <c r="N94">
        <v>351819.56377219391</v>
      </c>
      <c r="O94">
        <v>280709.20124919788</v>
      </c>
      <c r="P94">
        <v>113027.52129847344</v>
      </c>
      <c r="Q94">
        <v>71489.356211250764</v>
      </c>
      <c r="R94">
        <v>505790.15572699939</v>
      </c>
      <c r="S94">
        <v>889620.96083767083</v>
      </c>
      <c r="T94">
        <v>58384.982803649793</v>
      </c>
      <c r="U94">
        <v>1179485.7401375147</v>
      </c>
      <c r="V94">
        <v>252470.8099784395</v>
      </c>
      <c r="W94">
        <v>212972.03774164003</v>
      </c>
      <c r="X94">
        <v>424633.43181397195</v>
      </c>
      <c r="Y94">
        <v>93145.565970625641</v>
      </c>
    </row>
    <row r="95" spans="1:25" x14ac:dyDescent="0.45">
      <c r="A95" t="s">
        <v>110</v>
      </c>
      <c r="B95">
        <v>11033080.965453798</v>
      </c>
      <c r="C95">
        <v>16390887.450922985</v>
      </c>
      <c r="D95">
        <v>6824976.5410667229</v>
      </c>
      <c r="E95">
        <v>16449820.961863521</v>
      </c>
      <c r="F95">
        <v>22458447.943093691</v>
      </c>
      <c r="G95">
        <v>6647729.9706129413</v>
      </c>
      <c r="H95">
        <v>11322676.524997959</v>
      </c>
      <c r="I95">
        <v>23259932.018817458</v>
      </c>
      <c r="J95">
        <v>26231971.705546807</v>
      </c>
      <c r="K95">
        <v>29081359.17333746</v>
      </c>
      <c r="L95">
        <v>69538836.644035205</v>
      </c>
      <c r="M95">
        <v>7663533.6022997489</v>
      </c>
      <c r="N95">
        <v>11954201.04753883</v>
      </c>
      <c r="O95">
        <v>16546571.105723511</v>
      </c>
      <c r="P95">
        <v>12764168.713592483</v>
      </c>
      <c r="Q95">
        <v>9335529.533074392</v>
      </c>
      <c r="R95">
        <v>7236836.1239092285</v>
      </c>
      <c r="S95">
        <v>22140186.429266647</v>
      </c>
      <c r="T95">
        <v>16700992.938399252</v>
      </c>
      <c r="U95">
        <v>5901944.0946749672</v>
      </c>
      <c r="V95">
        <v>22306117.087946881</v>
      </c>
      <c r="W95">
        <v>11078155.514156085</v>
      </c>
      <c r="X95">
        <v>24934922.795991704</v>
      </c>
      <c r="Y95">
        <v>24896955.044253573</v>
      </c>
    </row>
    <row r="96" spans="1:25" x14ac:dyDescent="0.45">
      <c r="A96" t="s">
        <v>368</v>
      </c>
      <c r="B96">
        <v>9540016.1055679191</v>
      </c>
      <c r="C96">
        <v>12551169.629173903</v>
      </c>
      <c r="D96">
        <v>3728735.0239238627</v>
      </c>
      <c r="E96">
        <v>11088051.924554389</v>
      </c>
      <c r="F96">
        <v>13884452.460289806</v>
      </c>
      <c r="G96">
        <v>11256892.715536322</v>
      </c>
      <c r="H96">
        <v>14011233.757090511</v>
      </c>
      <c r="I96">
        <v>25190395.377913527</v>
      </c>
      <c r="J96">
        <v>28233541.453420438</v>
      </c>
      <c r="K96">
        <v>27320327.766324814</v>
      </c>
      <c r="L96">
        <v>26432585.377848901</v>
      </c>
      <c r="M96">
        <v>18609735.740765184</v>
      </c>
      <c r="N96">
        <v>26532526.274940107</v>
      </c>
      <c r="O96">
        <v>13072639.150374895</v>
      </c>
      <c r="P96">
        <v>9157013.7597974669</v>
      </c>
      <c r="Q96">
        <v>4756224.3100778824</v>
      </c>
      <c r="R96">
        <v>31745511.762443706</v>
      </c>
      <c r="S96">
        <v>19107091.474605095</v>
      </c>
      <c r="T96">
        <v>4885762.7908451948</v>
      </c>
      <c r="U96">
        <v>29283285.118789304</v>
      </c>
      <c r="V96">
        <v>15452792.106557235</v>
      </c>
      <c r="W96">
        <v>15149714.3303743</v>
      </c>
      <c r="X96">
        <v>26848762.788069937</v>
      </c>
      <c r="Y96">
        <v>18221342.55969112</v>
      </c>
    </row>
    <row r="97" spans="1:25" x14ac:dyDescent="0.45">
      <c r="A97" t="s">
        <v>288</v>
      </c>
      <c r="B97">
        <v>203070733.41146916</v>
      </c>
      <c r="C97">
        <v>460528331.52903783</v>
      </c>
      <c r="D97">
        <v>169813435.87078857</v>
      </c>
      <c r="E97">
        <v>369089051.81883246</v>
      </c>
      <c r="F97">
        <v>355968637.38553226</v>
      </c>
      <c r="G97">
        <v>401803153.09456468</v>
      </c>
      <c r="H97">
        <v>139136875.97609481</v>
      </c>
      <c r="I97">
        <v>328422245.48638749</v>
      </c>
      <c r="J97">
        <v>751023442.50120962</v>
      </c>
      <c r="K97">
        <v>554952159.91489792</v>
      </c>
      <c r="L97">
        <v>896359320.55029595</v>
      </c>
      <c r="M97">
        <v>553618219.35220563</v>
      </c>
      <c r="N97">
        <v>631511529.94915938</v>
      </c>
      <c r="O97">
        <v>428786195.75766653</v>
      </c>
      <c r="P97">
        <v>641615593.82192123</v>
      </c>
      <c r="Q97">
        <v>283939524.06818873</v>
      </c>
      <c r="R97">
        <v>750618282.10831344</v>
      </c>
      <c r="S97">
        <v>546049763.41283882</v>
      </c>
      <c r="T97">
        <v>662463333.60890031</v>
      </c>
      <c r="U97">
        <v>1159260935.3389363</v>
      </c>
      <c r="V97">
        <v>969387550.68677211</v>
      </c>
      <c r="W97">
        <v>354709982.78932226</v>
      </c>
      <c r="X97">
        <v>530990260.77895135</v>
      </c>
      <c r="Y97">
        <v>399514187.47013789</v>
      </c>
    </row>
    <row r="98" spans="1:25" x14ac:dyDescent="0.45">
      <c r="A98" t="s">
        <v>112</v>
      </c>
      <c r="B98">
        <v>4328290.7170864837</v>
      </c>
      <c r="C98">
        <v>10064283.378938589</v>
      </c>
      <c r="D98">
        <v>3642014.6460840227</v>
      </c>
      <c r="E98">
        <v>5566029.3109825812</v>
      </c>
      <c r="F98">
        <v>9318642.0142513346</v>
      </c>
      <c r="G98">
        <v>10002047.919624656</v>
      </c>
      <c r="H98">
        <v>8548335.0195482671</v>
      </c>
      <c r="I98">
        <v>31901142.791343436</v>
      </c>
      <c r="J98">
        <v>9282840.31674085</v>
      </c>
      <c r="K98">
        <v>16014568.734528709</v>
      </c>
      <c r="L98">
        <v>27325272.2128403</v>
      </c>
      <c r="M98">
        <v>12438853.454737125</v>
      </c>
      <c r="N98">
        <v>16888099.403814413</v>
      </c>
      <c r="O98">
        <v>7319874.7016713833</v>
      </c>
      <c r="P98">
        <v>9686669.1335025188</v>
      </c>
      <c r="Q98">
        <v>35298622.744992062</v>
      </c>
      <c r="R98">
        <v>19909888.72045242</v>
      </c>
      <c r="S98">
        <v>29289366.130424965</v>
      </c>
      <c r="T98">
        <v>5450392.4442262817</v>
      </c>
      <c r="U98">
        <v>11005246.128009938</v>
      </c>
      <c r="V98">
        <v>6094839.7679036539</v>
      </c>
      <c r="W98">
        <v>7375741.6358543178</v>
      </c>
      <c r="X98">
        <v>20695992.513606712</v>
      </c>
      <c r="Y98">
        <v>22034830.89173197</v>
      </c>
    </row>
    <row r="99" spans="1:25" x14ac:dyDescent="0.45">
      <c r="A99" t="s">
        <v>113</v>
      </c>
      <c r="B99">
        <v>2987455.9500389122</v>
      </c>
      <c r="C99">
        <v>6838049.1351638632</v>
      </c>
      <c r="D99">
        <v>2313827.1481652698</v>
      </c>
      <c r="E99">
        <v>1938605.905227328</v>
      </c>
      <c r="F99">
        <v>3746745.1927788691</v>
      </c>
      <c r="G99">
        <v>4704144.6667356966</v>
      </c>
      <c r="H99">
        <v>2057650.3586513526</v>
      </c>
      <c r="I99">
        <v>3738978.9032315249</v>
      </c>
      <c r="J99">
        <v>4826123.3621509438</v>
      </c>
      <c r="K99">
        <v>6128164.3309946675</v>
      </c>
      <c r="L99">
        <v>2730261.49176133</v>
      </c>
      <c r="M99">
        <v>7956888.0498185623</v>
      </c>
      <c r="N99">
        <v>1025695.6380220377</v>
      </c>
      <c r="O99">
        <v>1038029.6974504256</v>
      </c>
      <c r="P99">
        <v>1436326.8824170001</v>
      </c>
      <c r="Q99">
        <v>3867468.8759743082</v>
      </c>
      <c r="R99">
        <v>16737024.591933651</v>
      </c>
      <c r="S99">
        <v>11202651.04929797</v>
      </c>
      <c r="T99">
        <v>1351436.753716764</v>
      </c>
      <c r="U99">
        <v>2490532.4524265495</v>
      </c>
      <c r="V99">
        <v>2739157.4035925106</v>
      </c>
      <c r="W99">
        <v>3316808.1321021719</v>
      </c>
      <c r="X99">
        <v>3280689.3985213949</v>
      </c>
      <c r="Y99">
        <v>6554929.3715835083</v>
      </c>
    </row>
    <row r="100" spans="1:25" x14ac:dyDescent="0.45">
      <c r="A100" t="s">
        <v>114</v>
      </c>
      <c r="B100">
        <v>62458349.583587363</v>
      </c>
      <c r="C100">
        <v>46872104.727017783</v>
      </c>
      <c r="D100">
        <v>50689421.750388972</v>
      </c>
      <c r="E100">
        <v>52402458.205017149</v>
      </c>
      <c r="F100">
        <v>65148711.595639184</v>
      </c>
      <c r="G100">
        <v>60711849.309272543</v>
      </c>
      <c r="H100">
        <v>29443859.109298728</v>
      </c>
      <c r="I100">
        <v>166291241.1635541</v>
      </c>
      <c r="J100">
        <v>160238876.38990837</v>
      </c>
      <c r="K100">
        <v>77420694.30788058</v>
      </c>
      <c r="L100">
        <v>126616202.33033</v>
      </c>
      <c r="M100">
        <v>49313807.25699874</v>
      </c>
      <c r="N100">
        <v>81971208.723718956</v>
      </c>
      <c r="O100">
        <v>69150130.806377128</v>
      </c>
      <c r="P100">
        <v>71625113.212656543</v>
      </c>
      <c r="Q100">
        <v>28892327.18541358</v>
      </c>
      <c r="R100">
        <v>65255848.226436272</v>
      </c>
      <c r="S100">
        <v>51949805.203343615</v>
      </c>
      <c r="T100">
        <v>50991613.512783803</v>
      </c>
      <c r="U100">
        <v>156307066.94043937</v>
      </c>
      <c r="V100">
        <v>53445374.385921933</v>
      </c>
      <c r="W100">
        <v>54291628.995768398</v>
      </c>
      <c r="X100">
        <v>53577255.33447627</v>
      </c>
      <c r="Y100">
        <v>56378071.144595988</v>
      </c>
    </row>
    <row r="101" spans="1:25" x14ac:dyDescent="0.45">
      <c r="A101" t="s">
        <v>351</v>
      </c>
      <c r="B101">
        <v>104671984.45277493</v>
      </c>
      <c r="C101">
        <v>110916951.67682105</v>
      </c>
      <c r="D101">
        <v>74845782.00632374</v>
      </c>
      <c r="E101">
        <v>33417642.670117423</v>
      </c>
      <c r="F101">
        <v>71834942.818781078</v>
      </c>
      <c r="G101">
        <v>46309491.976696223</v>
      </c>
      <c r="H101">
        <v>79978733.078448534</v>
      </c>
      <c r="I101">
        <v>244404889.82944012</v>
      </c>
      <c r="J101">
        <v>176025450.25268856</v>
      </c>
      <c r="K101">
        <v>140336551.31523669</v>
      </c>
      <c r="L101">
        <v>134843191.35451099</v>
      </c>
      <c r="M101">
        <v>9046529.6956886239</v>
      </c>
      <c r="N101">
        <v>113003190.85153075</v>
      </c>
      <c r="O101">
        <v>159121334.2908133</v>
      </c>
      <c r="P101">
        <v>106093981.24936634</v>
      </c>
      <c r="Q101">
        <v>86045149.715607002</v>
      </c>
      <c r="R101">
        <v>139155000.50877309</v>
      </c>
      <c r="S101">
        <v>185735600.1556949</v>
      </c>
      <c r="T101">
        <v>38049351.400352105</v>
      </c>
      <c r="U101">
        <v>127308331.42450842</v>
      </c>
      <c r="V101">
        <v>73370264.251425847</v>
      </c>
      <c r="W101">
        <v>34677046.042727411</v>
      </c>
      <c r="X101">
        <v>36188124.200266235</v>
      </c>
      <c r="Y101">
        <v>18767410.889656916</v>
      </c>
    </row>
    <row r="102" spans="1:25" x14ac:dyDescent="0.45">
      <c r="A102" t="s">
        <v>289</v>
      </c>
      <c r="B102">
        <v>18501712.735943072</v>
      </c>
      <c r="C102">
        <v>26852249.708890915</v>
      </c>
      <c r="D102">
        <v>9662281.8976799548</v>
      </c>
      <c r="E102">
        <v>16713021.837091109</v>
      </c>
      <c r="F102">
        <v>25519699.110662937</v>
      </c>
      <c r="G102">
        <v>15732700.390956715</v>
      </c>
      <c r="H102">
        <v>27459483.866241928</v>
      </c>
      <c r="I102">
        <v>4469760.9891782999</v>
      </c>
      <c r="J102">
        <v>71415298.641386494</v>
      </c>
      <c r="K102">
        <v>33646586.038266398</v>
      </c>
      <c r="L102">
        <v>58082237.527580298</v>
      </c>
      <c r="M102">
        <v>26208116.860328</v>
      </c>
      <c r="N102">
        <v>24109227.378221765</v>
      </c>
      <c r="O102">
        <v>34125384.138954043</v>
      </c>
      <c r="P102">
        <v>23552539.177795757</v>
      </c>
      <c r="Q102">
        <v>5223097.0360015612</v>
      </c>
      <c r="R102">
        <v>61015194.596987091</v>
      </c>
      <c r="S102">
        <v>36259463.00022871</v>
      </c>
      <c r="T102">
        <v>4085524.927021387</v>
      </c>
      <c r="U102">
        <v>39000852.266944282</v>
      </c>
      <c r="V102">
        <v>21233662.7156852</v>
      </c>
      <c r="W102">
        <v>23920611.412824277</v>
      </c>
      <c r="X102">
        <v>61880935.772550769</v>
      </c>
      <c r="Y102">
        <v>34830821.169567823</v>
      </c>
    </row>
    <row r="103" spans="1:25" x14ac:dyDescent="0.45">
      <c r="A103" t="s">
        <v>438</v>
      </c>
      <c r="B103">
        <v>87058571.304662839</v>
      </c>
      <c r="C103">
        <v>855392593.78291547</v>
      </c>
      <c r="D103">
        <v>944000986.07071447</v>
      </c>
      <c r="E103">
        <v>593539322.90194011</v>
      </c>
      <c r="F103">
        <v>499638814.97235161</v>
      </c>
      <c r="G103">
        <v>723874196.2658236</v>
      </c>
      <c r="H103">
        <v>871246376.54883242</v>
      </c>
      <c r="I103">
        <v>4729060124.982996</v>
      </c>
      <c r="J103">
        <v>2732995938.0261793</v>
      </c>
      <c r="K103">
        <v>191607858.9227843</v>
      </c>
      <c r="L103">
        <v>3658772937.8090601</v>
      </c>
      <c r="M103">
        <v>224081101.16181186</v>
      </c>
      <c r="N103">
        <v>78013514.436049312</v>
      </c>
      <c r="O103">
        <v>1398420840.3082235</v>
      </c>
      <c r="P103">
        <v>687726402.67731035</v>
      </c>
      <c r="Q103">
        <v>770690677.22231114</v>
      </c>
      <c r="R103">
        <v>2076720190.2447932</v>
      </c>
      <c r="S103">
        <v>2174484779.0179353</v>
      </c>
      <c r="T103">
        <v>706230238.34256804</v>
      </c>
      <c r="U103">
        <v>386620534.7251603</v>
      </c>
      <c r="V103">
        <v>1633547956.5761282</v>
      </c>
      <c r="W103">
        <v>199317984.53935099</v>
      </c>
      <c r="X103">
        <v>153358366.50248703</v>
      </c>
      <c r="Y103">
        <v>171657592.94215778</v>
      </c>
    </row>
    <row r="104" spans="1:25" x14ac:dyDescent="0.45">
      <c r="A104" t="s">
        <v>115</v>
      </c>
      <c r="B104">
        <v>14039794.921260657</v>
      </c>
      <c r="C104">
        <v>27653057.173318107</v>
      </c>
      <c r="D104">
        <v>22509754.664404623</v>
      </c>
      <c r="E104">
        <v>24639205.388080355</v>
      </c>
      <c r="F104">
        <v>57773788.349502578</v>
      </c>
      <c r="G104">
        <v>30746182.527255636</v>
      </c>
      <c r="H104">
        <v>16500425.395034224</v>
      </c>
      <c r="I104">
        <v>238472716.21598235</v>
      </c>
      <c r="J104">
        <v>87772607.139142796</v>
      </c>
      <c r="K104">
        <v>19056334.531564433</v>
      </c>
      <c r="L104">
        <v>142249592.21183199</v>
      </c>
      <c r="M104">
        <v>20481163.036327623</v>
      </c>
      <c r="N104">
        <v>27571966.954096276</v>
      </c>
      <c r="O104">
        <v>40638182.523131706</v>
      </c>
      <c r="P104">
        <v>17465599.987839833</v>
      </c>
      <c r="Q104">
        <v>23531134.750072535</v>
      </c>
      <c r="R104">
        <v>55830093.862779498</v>
      </c>
      <c r="S104">
        <v>25421055.79641775</v>
      </c>
      <c r="T104">
        <v>17305391.058390468</v>
      </c>
      <c r="U104">
        <v>41976566.36018949</v>
      </c>
      <c r="V104">
        <v>19342846.543241914</v>
      </c>
      <c r="W104">
        <v>48816840.150013901</v>
      </c>
      <c r="X104">
        <v>69632395.98870036</v>
      </c>
      <c r="Y104">
        <v>49133485.007677451</v>
      </c>
    </row>
    <row r="105" spans="1:25" x14ac:dyDescent="0.45">
      <c r="A105" t="s">
        <v>374</v>
      </c>
      <c r="B105">
        <v>12519839.244989116</v>
      </c>
      <c r="C105">
        <v>50360590.507374562</v>
      </c>
      <c r="D105">
        <v>25725525.053511493</v>
      </c>
      <c r="E105">
        <v>16509910.082335329</v>
      </c>
      <c r="F105">
        <v>33616502.337754361</v>
      </c>
      <c r="G105">
        <v>27965374.120393235</v>
      </c>
      <c r="H105">
        <v>21635294.777786814</v>
      </c>
      <c r="I105">
        <v>305651415.9615677</v>
      </c>
      <c r="J105">
        <v>65820097.635091014</v>
      </c>
      <c r="K105">
        <v>41174968.321135648</v>
      </c>
      <c r="L105">
        <v>221673819.20947099</v>
      </c>
      <c r="M105">
        <v>24703866.991388686</v>
      </c>
      <c r="N105">
        <v>82357155.704580426</v>
      </c>
      <c r="O105">
        <v>24145362.891980637</v>
      </c>
      <c r="P105">
        <v>33597805.54809469</v>
      </c>
      <c r="Q105">
        <v>56186460.599618249</v>
      </c>
      <c r="R105">
        <v>124804126.18590666</v>
      </c>
      <c r="S105">
        <v>96726513.173924372</v>
      </c>
      <c r="T105">
        <v>47912520.745896831</v>
      </c>
      <c r="U105">
        <v>47561546.788012803</v>
      </c>
      <c r="V105">
        <v>29187078.648307819</v>
      </c>
      <c r="W105">
        <v>26943575.955209091</v>
      </c>
      <c r="X105">
        <v>50588787.662156031</v>
      </c>
      <c r="Y105">
        <v>64106323.18400605</v>
      </c>
    </row>
    <row r="106" spans="1:25" x14ac:dyDescent="0.45">
      <c r="A106" t="s">
        <v>116</v>
      </c>
      <c r="B106">
        <v>6564066.248510126</v>
      </c>
      <c r="C106">
        <v>5159562.6474050749</v>
      </c>
      <c r="D106">
        <v>4363735.5866354359</v>
      </c>
      <c r="E106">
        <v>4124903.6148810959</v>
      </c>
      <c r="F106">
        <v>7776936.9693955742</v>
      </c>
      <c r="G106">
        <v>1414729.2721438627</v>
      </c>
      <c r="H106">
        <v>3539906.3519522701</v>
      </c>
      <c r="I106">
        <v>1653443.1559821379</v>
      </c>
      <c r="J106">
        <v>10746550.548024002</v>
      </c>
      <c r="K106">
        <v>10119391.403900011</v>
      </c>
      <c r="L106">
        <v>11074903.028266501</v>
      </c>
      <c r="M106">
        <v>6227002.2798317997</v>
      </c>
      <c r="N106">
        <v>7622580.4519876214</v>
      </c>
      <c r="O106">
        <v>4408992.7350537553</v>
      </c>
      <c r="P106">
        <v>2729693.7112819953</v>
      </c>
      <c r="Q106">
        <v>3028024.0863344781</v>
      </c>
      <c r="R106">
        <v>5957498.6020598933</v>
      </c>
      <c r="S106">
        <v>6258887.6800152129</v>
      </c>
      <c r="T106">
        <v>2558524.1646764046</v>
      </c>
      <c r="U106">
        <v>9213029.0966099016</v>
      </c>
      <c r="V106">
        <v>5893943.2983938893</v>
      </c>
      <c r="W106">
        <v>5731437.2847545445</v>
      </c>
      <c r="X106">
        <v>9339231.9579586536</v>
      </c>
      <c r="Y106">
        <v>6667525.2266959902</v>
      </c>
    </row>
    <row r="107" spans="1:25" x14ac:dyDescent="0.45">
      <c r="A107" t="s">
        <v>117</v>
      </c>
      <c r="B107">
        <v>294022320.03261906</v>
      </c>
      <c r="C107">
        <v>918132926.9054985</v>
      </c>
      <c r="D107">
        <v>513350174.78842288</v>
      </c>
      <c r="E107">
        <v>218122480.89871779</v>
      </c>
      <c r="F107">
        <v>78722896.194524318</v>
      </c>
      <c r="G107">
        <v>205082553.39885196</v>
      </c>
      <c r="H107">
        <v>103601634.50841226</v>
      </c>
      <c r="I107">
        <v>218008940.59381118</v>
      </c>
      <c r="J107">
        <v>269102104.78234351</v>
      </c>
      <c r="K107">
        <v>259724806.29284394</v>
      </c>
      <c r="L107">
        <v>871472510.30868399</v>
      </c>
      <c r="M107">
        <v>127424820.56712374</v>
      </c>
      <c r="N107">
        <v>57832373.254315563</v>
      </c>
      <c r="O107">
        <v>138265043.76269522</v>
      </c>
      <c r="P107">
        <v>369476246.71852636</v>
      </c>
      <c r="Q107">
        <v>237690301.23957959</v>
      </c>
      <c r="R107">
        <v>338606331.38409829</v>
      </c>
      <c r="S107">
        <v>118153557.39950874</v>
      </c>
      <c r="T107">
        <v>397267760.6205222</v>
      </c>
      <c r="U107">
        <v>244656401.70701644</v>
      </c>
      <c r="V107">
        <v>366628022.90584266</v>
      </c>
      <c r="W107">
        <v>256994196.98574883</v>
      </c>
      <c r="X107">
        <v>144146220.52414611</v>
      </c>
      <c r="Y107">
        <v>404755936.02446204</v>
      </c>
    </row>
    <row r="108" spans="1:25" x14ac:dyDescent="0.45">
      <c r="A108" t="s">
        <v>118</v>
      </c>
      <c r="B108">
        <v>5351674.6558361109</v>
      </c>
      <c r="C108">
        <v>10197281.586929217</v>
      </c>
      <c r="D108">
        <v>4647342.4024386266</v>
      </c>
      <c r="E108">
        <v>3329905.8473980939</v>
      </c>
      <c r="F108">
        <v>4824240.860796378</v>
      </c>
      <c r="G108">
        <v>5083037.8082033824</v>
      </c>
      <c r="H108">
        <v>2852531.3886906616</v>
      </c>
      <c r="I108">
        <v>10185665.731384274</v>
      </c>
      <c r="J108">
        <v>6157153.5775004579</v>
      </c>
      <c r="K108">
        <v>7588829.4756292254</v>
      </c>
      <c r="L108">
        <v>4519325.8993883803</v>
      </c>
      <c r="M108">
        <v>5169597.2160237627</v>
      </c>
      <c r="N108">
        <v>4359073.8043486103</v>
      </c>
      <c r="O108">
        <v>4420447.2382633938</v>
      </c>
      <c r="P108">
        <v>3927281.4094922645</v>
      </c>
      <c r="Q108">
        <v>3757552.9815251189</v>
      </c>
      <c r="R108">
        <v>7327992.9741288228</v>
      </c>
      <c r="S108">
        <v>8995608.4146387074</v>
      </c>
      <c r="T108">
        <v>3244340.2469973559</v>
      </c>
      <c r="U108">
        <v>7635825.2446587402</v>
      </c>
      <c r="V108">
        <v>5291864.5903191017</v>
      </c>
      <c r="W108">
        <v>4408240.3796153655</v>
      </c>
      <c r="X108">
        <v>5330261.3893161165</v>
      </c>
      <c r="Y108">
        <v>7627353.2561058523</v>
      </c>
    </row>
    <row r="109" spans="1:25" x14ac:dyDescent="0.45">
      <c r="A109" t="s">
        <v>119</v>
      </c>
      <c r="B109">
        <v>9780728.8354911562</v>
      </c>
      <c r="C109">
        <v>9405647.5861094184</v>
      </c>
      <c r="D109">
        <v>6561792.9956113929</v>
      </c>
      <c r="E109">
        <v>9274862.6586411949</v>
      </c>
      <c r="F109">
        <v>10397187.216555219</v>
      </c>
      <c r="G109">
        <v>3816342.1660881862</v>
      </c>
      <c r="H109">
        <v>7575369.7589481045</v>
      </c>
      <c r="I109">
        <v>2253582.0734942388</v>
      </c>
      <c r="J109">
        <v>14960038.425910598</v>
      </c>
      <c r="K109">
        <v>9234158.9725046288</v>
      </c>
      <c r="L109">
        <v>4770018.2747352002</v>
      </c>
      <c r="M109">
        <v>13042308.731975874</v>
      </c>
      <c r="N109">
        <v>5658176.6685339808</v>
      </c>
      <c r="O109">
        <v>7506609.0069890432</v>
      </c>
      <c r="P109">
        <v>2312877.8628211394</v>
      </c>
      <c r="Q109">
        <v>7077673.3565569185</v>
      </c>
      <c r="R109">
        <v>11421917.113383397</v>
      </c>
      <c r="S109">
        <v>15732608.400366666</v>
      </c>
      <c r="T109">
        <v>5579885.1227844348</v>
      </c>
      <c r="U109">
        <v>4781788.343518055</v>
      </c>
      <c r="V109">
        <v>5747414.1903077206</v>
      </c>
      <c r="W109">
        <v>13056642.456652584</v>
      </c>
      <c r="X109">
        <v>8861158.6039407756</v>
      </c>
      <c r="Y109">
        <v>13754797.914668739</v>
      </c>
    </row>
    <row r="110" spans="1:25" x14ac:dyDescent="0.45">
      <c r="A110" t="s">
        <v>120</v>
      </c>
      <c r="B110">
        <v>16399561.820028272</v>
      </c>
      <c r="C110">
        <v>19724921.456632905</v>
      </c>
      <c r="D110">
        <v>10871982.251914904</v>
      </c>
      <c r="E110">
        <v>15039907.210551456</v>
      </c>
      <c r="F110">
        <v>17379889.309939813</v>
      </c>
      <c r="G110">
        <v>16392682.394421518</v>
      </c>
      <c r="H110">
        <v>12617613.218465906</v>
      </c>
      <c r="I110">
        <v>9960820.4405897986</v>
      </c>
      <c r="J110">
        <v>22737272.398892049</v>
      </c>
      <c r="K110">
        <v>17532839.981013637</v>
      </c>
      <c r="L110">
        <v>21089959.6962975</v>
      </c>
      <c r="M110">
        <v>22985406.028243687</v>
      </c>
      <c r="N110">
        <v>15740903.794683503</v>
      </c>
      <c r="O110">
        <v>21335588.659379043</v>
      </c>
      <c r="P110">
        <v>16854559.993946534</v>
      </c>
      <c r="Q110">
        <v>7299877.4553683186</v>
      </c>
      <c r="R110">
        <v>22746347.627770729</v>
      </c>
      <c r="S110">
        <v>22892310.654461209</v>
      </c>
      <c r="T110">
        <v>11023975.915083706</v>
      </c>
      <c r="U110">
        <v>25729075.042753462</v>
      </c>
      <c r="V110">
        <v>17769096.962445118</v>
      </c>
      <c r="W110">
        <v>20814026.307792988</v>
      </c>
      <c r="X110">
        <v>25548138.727788113</v>
      </c>
      <c r="Y110">
        <v>18782188.73813346</v>
      </c>
    </row>
    <row r="111" spans="1:25" x14ac:dyDescent="0.45">
      <c r="A111" t="s">
        <v>121</v>
      </c>
      <c r="B111">
        <v>1527107.8171728982</v>
      </c>
      <c r="C111">
        <v>286264.74320500903</v>
      </c>
      <c r="D111">
        <v>1790344.3923937238</v>
      </c>
      <c r="E111">
        <v>1873379.0730597954</v>
      </c>
      <c r="F111">
        <v>7763598.8115984369</v>
      </c>
      <c r="G111">
        <v>3606361.500471157</v>
      </c>
      <c r="H111">
        <v>1542597.7554328896</v>
      </c>
      <c r="I111">
        <v>5400094.5466126828</v>
      </c>
      <c r="J111">
        <v>5088808.5020216554</v>
      </c>
      <c r="K111">
        <v>3446326.5402176273</v>
      </c>
      <c r="L111">
        <v>2519998.6450687801</v>
      </c>
      <c r="M111">
        <v>3141155.9748048498</v>
      </c>
      <c r="N111">
        <v>9869030.8554229382</v>
      </c>
      <c r="O111">
        <v>8455937.3768611178</v>
      </c>
      <c r="P111">
        <v>1475355.3885497253</v>
      </c>
      <c r="Q111">
        <v>1433994.1145536506</v>
      </c>
      <c r="R111">
        <v>2934035.2144466522</v>
      </c>
      <c r="S111">
        <v>2722660.3739013872</v>
      </c>
      <c r="T111">
        <v>2729502.32278874</v>
      </c>
      <c r="U111">
        <v>7380833.8993288865</v>
      </c>
      <c r="V111">
        <v>2279256.5975694489</v>
      </c>
      <c r="W111">
        <v>2251149.9562874795</v>
      </c>
      <c r="X111">
        <v>2611324.7906069481</v>
      </c>
      <c r="Y111">
        <v>2615467.1990586286</v>
      </c>
    </row>
    <row r="112" spans="1:25" x14ac:dyDescent="0.45">
      <c r="A112" t="s">
        <v>122</v>
      </c>
      <c r="B112">
        <v>3709439.0747241196</v>
      </c>
      <c r="C112">
        <v>5282328.2790144328</v>
      </c>
      <c r="D112">
        <v>2712615.5244662976</v>
      </c>
      <c r="E112">
        <v>2029001.4757221502</v>
      </c>
      <c r="F112">
        <v>3638186.8141192864</v>
      </c>
      <c r="G112">
        <v>4459723.156248034</v>
      </c>
      <c r="H112">
        <v>1929648.4701049493</v>
      </c>
      <c r="I112">
        <v>2672510.7685650373</v>
      </c>
      <c r="J112">
        <v>3289258.7498376356</v>
      </c>
      <c r="K112">
        <v>4159278.4694216694</v>
      </c>
      <c r="L112">
        <v>7150663.0469617201</v>
      </c>
      <c r="M112">
        <v>5365910.2879862254</v>
      </c>
      <c r="N112">
        <v>314449.25611774164</v>
      </c>
      <c r="O112">
        <v>2936461.6060763989</v>
      </c>
      <c r="P112">
        <v>1452962.7751924393</v>
      </c>
      <c r="Q112">
        <v>2542755.739915207</v>
      </c>
      <c r="R112">
        <v>631708.49686470046</v>
      </c>
      <c r="S112">
        <v>414419.69168746052</v>
      </c>
      <c r="T112">
        <v>1891500.8098298756</v>
      </c>
      <c r="U112">
        <v>2724570.0515889814</v>
      </c>
      <c r="V112">
        <v>3866650.8329763561</v>
      </c>
      <c r="W112">
        <v>4575508.8095308365</v>
      </c>
      <c r="X112">
        <v>2704664.4047081047</v>
      </c>
      <c r="Y112">
        <v>4086165.7407950684</v>
      </c>
    </row>
    <row r="113" spans="1:25" x14ac:dyDescent="0.45">
      <c r="A113" t="s">
        <v>123</v>
      </c>
      <c r="B113">
        <v>3302253.5111498642</v>
      </c>
      <c r="C113">
        <v>3447688.7920870446</v>
      </c>
      <c r="D113">
        <v>2286306.1013713973</v>
      </c>
      <c r="E113">
        <v>3688988.6887779795</v>
      </c>
      <c r="F113">
        <v>3471843.8770744912</v>
      </c>
      <c r="G113">
        <v>3434129.0110155297</v>
      </c>
      <c r="H113">
        <v>28670258.94679438</v>
      </c>
      <c r="I113">
        <v>35092686.722909369</v>
      </c>
      <c r="J113">
        <v>57099074.497896545</v>
      </c>
      <c r="K113">
        <v>53305988.069968008</v>
      </c>
      <c r="L113">
        <v>60621980.995545797</v>
      </c>
      <c r="M113">
        <v>48994262.947997935</v>
      </c>
      <c r="N113">
        <v>39134447.163859457</v>
      </c>
      <c r="O113">
        <v>25293497.938944735</v>
      </c>
      <c r="P113">
        <v>38976081.713812575</v>
      </c>
      <c r="Q113">
        <v>22180175.472648602</v>
      </c>
      <c r="R113">
        <v>17958643.185890645</v>
      </c>
      <c r="S113">
        <v>20160110.794338591</v>
      </c>
      <c r="T113">
        <v>4082971.6291372892</v>
      </c>
      <c r="U113">
        <v>4511333.7613614602</v>
      </c>
      <c r="V113">
        <v>3501851.6193595128</v>
      </c>
      <c r="W113">
        <v>10981850.261522541</v>
      </c>
      <c r="X113">
        <v>7154590.7747843126</v>
      </c>
      <c r="Y113">
        <v>6257202.6366362786</v>
      </c>
    </row>
    <row r="114" spans="1:25" x14ac:dyDescent="0.45">
      <c r="A114" t="s">
        <v>434</v>
      </c>
      <c r="B114">
        <v>5223364.4416202856</v>
      </c>
      <c r="C114">
        <v>31613396.962051261</v>
      </c>
      <c r="D114">
        <v>15797509.54053295</v>
      </c>
      <c r="E114">
        <v>11857421.38595468</v>
      </c>
      <c r="F114">
        <v>11017286.000303175</v>
      </c>
      <c r="G114">
        <v>13558268.270884559</v>
      </c>
      <c r="H114">
        <v>4312262.0439640246</v>
      </c>
      <c r="I114">
        <v>8595823.9298924282</v>
      </c>
      <c r="J114">
        <v>24559989.844463632</v>
      </c>
      <c r="K114">
        <v>18716850.537640344</v>
      </c>
      <c r="L114">
        <v>9193461.5920003597</v>
      </c>
      <c r="M114">
        <v>19307060.528699249</v>
      </c>
      <c r="N114">
        <v>9500787.3424283992</v>
      </c>
      <c r="O114">
        <v>11053265.60980165</v>
      </c>
      <c r="P114">
        <v>14720874.017357675</v>
      </c>
      <c r="Q114">
        <v>9857457.1149188206</v>
      </c>
      <c r="R114">
        <v>21874662.786990166</v>
      </c>
      <c r="S114">
        <v>14986656.476853177</v>
      </c>
      <c r="T114">
        <v>15080491.665619044</v>
      </c>
      <c r="U114">
        <v>19232373.156891573</v>
      </c>
      <c r="V114">
        <v>9720856.0415517166</v>
      </c>
      <c r="W114">
        <v>23495245.574471217</v>
      </c>
      <c r="X114">
        <v>16565083.899708992</v>
      </c>
      <c r="Y114">
        <v>22774741.691915497</v>
      </c>
    </row>
    <row r="115" spans="1:25" x14ac:dyDescent="0.45">
      <c r="A115" t="s">
        <v>124</v>
      </c>
      <c r="B115">
        <v>60071799.152145877</v>
      </c>
      <c r="C115">
        <v>49613484.338824287</v>
      </c>
      <c r="D115">
        <v>38435849.457511976</v>
      </c>
      <c r="E115">
        <v>60997833.862283729</v>
      </c>
      <c r="F115">
        <v>64481840.921997719</v>
      </c>
      <c r="G115">
        <v>45578681.987385631</v>
      </c>
      <c r="H115">
        <v>61724884.722678386</v>
      </c>
      <c r="I115">
        <v>24070674.336116299</v>
      </c>
      <c r="J115">
        <v>116805877.8687472</v>
      </c>
      <c r="K115">
        <v>79229855.802135125</v>
      </c>
      <c r="L115">
        <v>55521538.516889699</v>
      </c>
      <c r="M115">
        <v>75422014.014429376</v>
      </c>
      <c r="N115">
        <v>31948548.151075311</v>
      </c>
      <c r="O115">
        <v>43109124.380935058</v>
      </c>
      <c r="P115">
        <v>41936734.260824889</v>
      </c>
      <c r="Q115">
        <v>27731825.270107247</v>
      </c>
      <c r="R115">
        <v>57635436.381611407</v>
      </c>
      <c r="S115">
        <v>88671375.55639489</v>
      </c>
      <c r="T115">
        <v>18845073.226593338</v>
      </c>
      <c r="U115">
        <v>106765454.42229219</v>
      </c>
      <c r="V115">
        <v>44708175.748000361</v>
      </c>
      <c r="W115">
        <v>98043705.55419828</v>
      </c>
      <c r="X115">
        <v>126370760.40438345</v>
      </c>
      <c r="Y115">
        <v>110766143.78290287</v>
      </c>
    </row>
    <row r="116" spans="1:25" x14ac:dyDescent="0.45">
      <c r="A116" t="s">
        <v>357</v>
      </c>
      <c r="B116">
        <v>17378693.326677486</v>
      </c>
      <c r="C116">
        <v>14952572.666203968</v>
      </c>
      <c r="D116">
        <v>12759819.022698184</v>
      </c>
      <c r="E116">
        <v>79252159.15126802</v>
      </c>
      <c r="F116">
        <v>297643902.65003055</v>
      </c>
      <c r="G116">
        <v>100676650.24001862</v>
      </c>
      <c r="H116">
        <v>96744032.2998631</v>
      </c>
      <c r="I116">
        <v>48280753.155690387</v>
      </c>
      <c r="J116">
        <v>361736967.7028774</v>
      </c>
      <c r="K116">
        <v>726719690.42527997</v>
      </c>
      <c r="L116">
        <v>202312843.65443099</v>
      </c>
      <c r="M116">
        <v>324553369.34321123</v>
      </c>
      <c r="N116">
        <v>317186397.28162694</v>
      </c>
      <c r="O116">
        <v>59358983.149383515</v>
      </c>
      <c r="P116">
        <v>5667280.4446054846</v>
      </c>
      <c r="Q116">
        <v>28935575.29685938</v>
      </c>
      <c r="R116">
        <v>244960717.58284089</v>
      </c>
      <c r="S116">
        <v>536196765.49244529</v>
      </c>
      <c r="T116">
        <v>45167282.040159337</v>
      </c>
      <c r="U116">
        <v>746768561.54803336</v>
      </c>
      <c r="V116">
        <v>110145326.12365912</v>
      </c>
      <c r="W116">
        <v>58124405.050672531</v>
      </c>
      <c r="X116">
        <v>75533480.230130076</v>
      </c>
      <c r="Y116">
        <v>16019060.905337127</v>
      </c>
    </row>
    <row r="117" spans="1:25" x14ac:dyDescent="0.45">
      <c r="A117" t="s">
        <v>125</v>
      </c>
      <c r="B117">
        <v>6589148.386347048</v>
      </c>
      <c r="C117">
        <v>6830049.712523032</v>
      </c>
      <c r="D117">
        <v>6924159.214224169</v>
      </c>
      <c r="E117">
        <v>6678714.7389427423</v>
      </c>
      <c r="F117">
        <v>10338093.362632863</v>
      </c>
      <c r="G117">
        <v>5696905.8474255884</v>
      </c>
      <c r="H117">
        <v>2719286.8218480623</v>
      </c>
      <c r="I117">
        <v>22156229.455110129</v>
      </c>
      <c r="J117">
        <v>26496977.844976012</v>
      </c>
      <c r="K117">
        <v>8710095.4550336376</v>
      </c>
      <c r="L117">
        <v>70788550.618041903</v>
      </c>
      <c r="M117">
        <v>7290880.1568343742</v>
      </c>
      <c r="N117">
        <v>11733545.103223376</v>
      </c>
      <c r="O117">
        <v>12189056.277305745</v>
      </c>
      <c r="P117">
        <v>3877160.9949739585</v>
      </c>
      <c r="Q117">
        <v>1918522.0030649505</v>
      </c>
      <c r="R117">
        <v>16661028.395006906</v>
      </c>
      <c r="S117">
        <v>5640830.7780388081</v>
      </c>
      <c r="T117">
        <v>3741465.0842356961</v>
      </c>
      <c r="U117">
        <v>19758333.552661352</v>
      </c>
      <c r="V117">
        <v>6695344.2557763951</v>
      </c>
      <c r="W117">
        <v>9601934.2479834948</v>
      </c>
      <c r="X117">
        <v>7525646.7339833062</v>
      </c>
      <c r="Y117">
        <v>5747168.2309856238</v>
      </c>
    </row>
    <row r="118" spans="1:25" x14ac:dyDescent="0.45">
      <c r="A118" t="s">
        <v>126</v>
      </c>
      <c r="B118">
        <v>2438246620.3859973</v>
      </c>
      <c r="C118">
        <v>4554122264.1340494</v>
      </c>
      <c r="D118">
        <v>2461899724.9631262</v>
      </c>
      <c r="E118">
        <v>258005127.00386959</v>
      </c>
      <c r="F118">
        <v>537047105.55698955</v>
      </c>
      <c r="G118">
        <v>234057893.63791862</v>
      </c>
      <c r="H118">
        <v>165029730.78176576</v>
      </c>
      <c r="I118">
        <v>18195517854.815067</v>
      </c>
      <c r="J118">
        <v>1910734900.5631809</v>
      </c>
      <c r="K118">
        <v>444927622.54900694</v>
      </c>
      <c r="L118">
        <v>2485813188.3221598</v>
      </c>
      <c r="M118">
        <v>271703857.41004372</v>
      </c>
      <c r="N118">
        <v>968976386.33119941</v>
      </c>
      <c r="O118">
        <v>1708118604.2463777</v>
      </c>
      <c r="P118">
        <v>436696462.32213521</v>
      </c>
      <c r="Q118">
        <v>76545861.15186584</v>
      </c>
      <c r="R118">
        <v>6880978489.7031727</v>
      </c>
      <c r="S118">
        <v>172003113.10453907</v>
      </c>
      <c r="T118">
        <v>5386608137.384161</v>
      </c>
      <c r="U118">
        <v>2566927889.0925465</v>
      </c>
      <c r="V118">
        <v>7838306177.8862038</v>
      </c>
      <c r="W118">
        <v>337471346.86110324</v>
      </c>
      <c r="X118">
        <v>194166929.84921324</v>
      </c>
      <c r="Y118">
        <v>60506999.385106161</v>
      </c>
    </row>
    <row r="119" spans="1:25" x14ac:dyDescent="0.45">
      <c r="A119" t="s">
        <v>127</v>
      </c>
      <c r="B119">
        <v>41698022.564157896</v>
      </c>
      <c r="C119">
        <v>112324025.99996686</v>
      </c>
      <c r="D119">
        <v>43854619.694053404</v>
      </c>
      <c r="E119">
        <v>22606100.203150801</v>
      </c>
      <c r="F119">
        <v>29999682.103655439</v>
      </c>
      <c r="G119">
        <v>41411549.634521373</v>
      </c>
      <c r="H119">
        <v>46094871.858201869</v>
      </c>
      <c r="I119">
        <v>32834889.979122475</v>
      </c>
      <c r="J119">
        <v>43905200.749486335</v>
      </c>
      <c r="K119">
        <v>75885840.445391431</v>
      </c>
      <c r="L119">
        <v>301437852.18618399</v>
      </c>
      <c r="M119">
        <v>33080824.386414059</v>
      </c>
      <c r="N119">
        <v>22029472.522018384</v>
      </c>
      <c r="O119">
        <v>13702736.291975586</v>
      </c>
      <c r="P119">
        <v>144097718.3917309</v>
      </c>
      <c r="Q119">
        <v>37712467.291787818</v>
      </c>
      <c r="R119">
        <v>266728726.58508047</v>
      </c>
      <c r="S119">
        <v>47718531.43415641</v>
      </c>
      <c r="T119">
        <v>107869718.60464856</v>
      </c>
      <c r="U119">
        <v>35798655.240615532</v>
      </c>
      <c r="V119">
        <v>94633000.241195366</v>
      </c>
      <c r="W119">
        <v>30616938.613399573</v>
      </c>
      <c r="X119">
        <v>129342793.24061295</v>
      </c>
      <c r="Y119">
        <v>186797850.97163811</v>
      </c>
    </row>
    <row r="120" spans="1:25" x14ac:dyDescent="0.45">
      <c r="A120" t="s">
        <v>369</v>
      </c>
      <c r="B120">
        <v>137561712.11691049</v>
      </c>
      <c r="C120">
        <v>79910116.356541365</v>
      </c>
      <c r="D120">
        <v>16895061.032383043</v>
      </c>
      <c r="E120">
        <v>30642268.555001944</v>
      </c>
      <c r="F120">
        <v>78953678.913085297</v>
      </c>
      <c r="G120">
        <v>25003859.776107796</v>
      </c>
      <c r="H120">
        <v>19507180.85146657</v>
      </c>
      <c r="I120">
        <v>106216658.79825069</v>
      </c>
      <c r="J120">
        <v>43565491.34993805</v>
      </c>
      <c r="K120">
        <v>375939002.1305365</v>
      </c>
      <c r="L120">
        <v>246646769.897701</v>
      </c>
      <c r="M120">
        <v>257714587.53396812</v>
      </c>
      <c r="N120">
        <v>69672031.730729073</v>
      </c>
      <c r="O120">
        <v>25933425.786159042</v>
      </c>
      <c r="P120">
        <v>16364057.043705909</v>
      </c>
      <c r="Q120">
        <v>1403820.5313692903</v>
      </c>
      <c r="R120">
        <v>139581739.0669165</v>
      </c>
      <c r="S120">
        <v>78960154.322435305</v>
      </c>
      <c r="T120">
        <v>29720451.902702004</v>
      </c>
      <c r="U120">
        <v>142351292.26216415</v>
      </c>
      <c r="V120">
        <v>30049530.249167442</v>
      </c>
      <c r="W120">
        <v>224601072.12178701</v>
      </c>
      <c r="X120">
        <v>432390018.02041161</v>
      </c>
      <c r="Y120">
        <v>518551055.84337997</v>
      </c>
    </row>
    <row r="121" spans="1:25" x14ac:dyDescent="0.45">
      <c r="A121" t="s">
        <v>290</v>
      </c>
      <c r="B121">
        <v>17843815.201433986</v>
      </c>
      <c r="C121">
        <v>11618059.139066089</v>
      </c>
      <c r="D121">
        <v>14182601.570570411</v>
      </c>
      <c r="E121">
        <v>10116163.679665033</v>
      </c>
      <c r="F121">
        <v>23060540.690213285</v>
      </c>
      <c r="G121">
        <v>14698189.156176079</v>
      </c>
      <c r="H121">
        <v>12796540.715482932</v>
      </c>
      <c r="I121">
        <v>21473393.553661097</v>
      </c>
      <c r="J121">
        <v>41312632.937683925</v>
      </c>
      <c r="K121">
        <v>20966019.553517066</v>
      </c>
      <c r="L121">
        <v>43238116.217008799</v>
      </c>
      <c r="M121">
        <v>13984216.2860405</v>
      </c>
      <c r="N121">
        <v>4629165.1740808683</v>
      </c>
      <c r="O121">
        <v>19453220.214940798</v>
      </c>
      <c r="P121">
        <v>11802005.13326014</v>
      </c>
      <c r="Q121">
        <v>8242690.5574711505</v>
      </c>
      <c r="R121">
        <v>17393121.086975727</v>
      </c>
      <c r="S121">
        <v>14193470.47635402</v>
      </c>
      <c r="T121">
        <v>3966288.0054121097</v>
      </c>
      <c r="U121">
        <v>8420354.7180292532</v>
      </c>
      <c r="V121">
        <v>13123271.546180934</v>
      </c>
      <c r="W121">
        <v>19633434.72705194</v>
      </c>
      <c r="X121">
        <v>21879634.605175029</v>
      </c>
      <c r="Y121">
        <v>14188483.645885436</v>
      </c>
    </row>
    <row r="122" spans="1:25" x14ac:dyDescent="0.45">
      <c r="A122" t="s">
        <v>128</v>
      </c>
      <c r="B122">
        <v>10516923.450391443</v>
      </c>
      <c r="C122">
        <v>10399116.030542413</v>
      </c>
      <c r="D122">
        <v>12123841.489077009</v>
      </c>
      <c r="E122">
        <v>11541413.874769792</v>
      </c>
      <c r="F122">
        <v>14570253.156593159</v>
      </c>
      <c r="G122">
        <v>10309735.784371519</v>
      </c>
      <c r="H122">
        <v>11187072.677599302</v>
      </c>
      <c r="I122">
        <v>78038575.03563638</v>
      </c>
      <c r="J122">
        <v>50126351.156143256</v>
      </c>
      <c r="K122">
        <v>28897045.826622132</v>
      </c>
      <c r="L122">
        <v>73171337.706157804</v>
      </c>
      <c r="M122">
        <v>28596089.881625064</v>
      </c>
      <c r="N122">
        <v>13113235.345287718</v>
      </c>
      <c r="O122">
        <v>21040258.880575001</v>
      </c>
      <c r="P122">
        <v>8175132.1028301585</v>
      </c>
      <c r="Q122">
        <v>11229874.751180718</v>
      </c>
      <c r="R122">
        <v>43669553.765737027</v>
      </c>
      <c r="S122">
        <v>46396647.012844771</v>
      </c>
      <c r="T122">
        <v>7832654.6298461137</v>
      </c>
      <c r="U122">
        <v>30017219.550858788</v>
      </c>
      <c r="V122">
        <v>20053303.643360753</v>
      </c>
      <c r="W122">
        <v>27649386.276695196</v>
      </c>
      <c r="X122">
        <v>22931769.072404053</v>
      </c>
      <c r="Y122">
        <v>31891597.712230407</v>
      </c>
    </row>
    <row r="123" spans="1:25" x14ac:dyDescent="0.45">
      <c r="A123" t="s">
        <v>129</v>
      </c>
      <c r="B123">
        <v>119371127.53851855</v>
      </c>
      <c r="C123">
        <v>104463594.57134323</v>
      </c>
      <c r="D123">
        <v>70623499.979298204</v>
      </c>
      <c r="E123">
        <v>99153848.640219629</v>
      </c>
      <c r="F123">
        <v>110712019.92582871</v>
      </c>
      <c r="G123">
        <v>123688360.91755293</v>
      </c>
      <c r="H123">
        <v>62134680.349161185</v>
      </c>
      <c r="I123">
        <v>122029822.1684147</v>
      </c>
      <c r="J123">
        <v>259436890.16493535</v>
      </c>
      <c r="K123">
        <v>277236283.28791457</v>
      </c>
      <c r="L123">
        <v>363311686.76738</v>
      </c>
      <c r="M123">
        <v>106444789.31449562</v>
      </c>
      <c r="N123">
        <v>210662013.2611253</v>
      </c>
      <c r="O123">
        <v>81299773.054400012</v>
      </c>
      <c r="P123">
        <v>82416497.398638695</v>
      </c>
      <c r="Q123">
        <v>58210123.567580052</v>
      </c>
      <c r="R123">
        <v>206035622.42766595</v>
      </c>
      <c r="S123">
        <v>255776072.45743874</v>
      </c>
      <c r="T123">
        <v>98545063.479930699</v>
      </c>
      <c r="U123">
        <v>1057213386.5567108</v>
      </c>
      <c r="V123">
        <v>118208257.30162136</v>
      </c>
      <c r="W123">
        <v>174535082.59586763</v>
      </c>
      <c r="X123">
        <v>171210617.4550496</v>
      </c>
      <c r="Y123">
        <v>149306835.49677905</v>
      </c>
    </row>
    <row r="124" spans="1:25" x14ac:dyDescent="0.45">
      <c r="A124" t="s">
        <v>130</v>
      </c>
      <c r="B124">
        <v>320577218.60442144</v>
      </c>
      <c r="C124">
        <v>239081515.70982847</v>
      </c>
      <c r="D124">
        <v>162453429.11462539</v>
      </c>
      <c r="E124">
        <v>514382077.55840224</v>
      </c>
      <c r="F124">
        <v>747965692.46539772</v>
      </c>
      <c r="G124">
        <v>374285485.17955345</v>
      </c>
      <c r="H124">
        <v>231498018.61159432</v>
      </c>
      <c r="I124">
        <v>674136003.51408315</v>
      </c>
      <c r="J124">
        <v>616036255.64044845</v>
      </c>
      <c r="K124">
        <v>577745696.34709847</v>
      </c>
      <c r="L124">
        <v>5823717000.5795002</v>
      </c>
      <c r="M124">
        <v>318499802.73192626</v>
      </c>
      <c r="N124">
        <v>209435883.92916781</v>
      </c>
      <c r="O124">
        <v>528142168.31481224</v>
      </c>
      <c r="P124">
        <v>382818207.23883414</v>
      </c>
      <c r="Q124">
        <v>171649591.44212389</v>
      </c>
      <c r="R124">
        <v>225168068.09152454</v>
      </c>
      <c r="S124">
        <v>283399917.39598435</v>
      </c>
      <c r="T124">
        <v>277766688.96086615</v>
      </c>
      <c r="U124">
        <v>526473085.62482435</v>
      </c>
      <c r="V124">
        <v>387220575.76270235</v>
      </c>
      <c r="W124">
        <v>707391849.4802146</v>
      </c>
      <c r="X124">
        <v>268410419.34449002</v>
      </c>
      <c r="Y124">
        <v>310850635.40444791</v>
      </c>
    </row>
    <row r="125" spans="1:25" x14ac:dyDescent="0.45">
      <c r="A125" t="s">
        <v>131</v>
      </c>
      <c r="B125">
        <v>266642542.3528246</v>
      </c>
      <c r="C125">
        <v>338426313.4617756</v>
      </c>
      <c r="D125">
        <v>180565775.60821694</v>
      </c>
      <c r="E125">
        <v>235173838.07845691</v>
      </c>
      <c r="F125">
        <v>383146156.02025712</v>
      </c>
      <c r="G125">
        <v>402377463.87300342</v>
      </c>
      <c r="H125">
        <v>244750861.80069026</v>
      </c>
      <c r="I125">
        <v>898483688.61421359</v>
      </c>
      <c r="J125">
        <v>377127328.34549481</v>
      </c>
      <c r="K125">
        <v>448520841.74531502</v>
      </c>
      <c r="L125">
        <v>349030658.38551599</v>
      </c>
      <c r="M125">
        <v>465951663.16383064</v>
      </c>
      <c r="N125">
        <v>87537297.912728861</v>
      </c>
      <c r="O125">
        <v>259318963.89602289</v>
      </c>
      <c r="P125">
        <v>135771671.17719066</v>
      </c>
      <c r="Q125">
        <v>156061758.52847365</v>
      </c>
      <c r="R125">
        <v>441558889.92630988</v>
      </c>
      <c r="S125">
        <v>400968470.39123291</v>
      </c>
      <c r="T125">
        <v>135049838.44092837</v>
      </c>
      <c r="U125">
        <v>232157453.30373791</v>
      </c>
      <c r="V125">
        <v>279443272.36373383</v>
      </c>
      <c r="W125">
        <v>346996596.7472744</v>
      </c>
      <c r="X125">
        <v>393116515.17895132</v>
      </c>
      <c r="Y125">
        <v>358475257.89661509</v>
      </c>
    </row>
    <row r="126" spans="1:25" x14ac:dyDescent="0.45">
      <c r="A126" t="s">
        <v>375</v>
      </c>
      <c r="B126">
        <v>22034354.833857745</v>
      </c>
      <c r="C126">
        <v>14303830.011460047</v>
      </c>
      <c r="D126">
        <v>6896170.380390496</v>
      </c>
      <c r="E126">
        <v>18697603.98856191</v>
      </c>
      <c r="F126">
        <v>17924705.333625574</v>
      </c>
      <c r="G126">
        <v>14869751.551519657</v>
      </c>
      <c r="H126">
        <v>11364627.86180521</v>
      </c>
      <c r="I126">
        <v>33175189.930581767</v>
      </c>
      <c r="J126">
        <v>29609223.766307779</v>
      </c>
      <c r="K126">
        <v>27063373.93049898</v>
      </c>
      <c r="L126">
        <v>99319286.837889999</v>
      </c>
      <c r="M126">
        <v>25615267.288307745</v>
      </c>
      <c r="N126">
        <v>21600833.605140459</v>
      </c>
      <c r="O126">
        <v>12222473.166027287</v>
      </c>
      <c r="P126">
        <v>11212647.152415074</v>
      </c>
      <c r="Q126">
        <v>7936240.3139035786</v>
      </c>
      <c r="R126">
        <v>17350372.348887179</v>
      </c>
      <c r="S126">
        <v>22278549.734044261</v>
      </c>
      <c r="T126">
        <v>10349750.693334257</v>
      </c>
      <c r="U126">
        <v>22267972.470376246</v>
      </c>
      <c r="V126">
        <v>15205883.118760385</v>
      </c>
      <c r="W126">
        <v>19694482.814569924</v>
      </c>
      <c r="X126">
        <v>11650519.408806631</v>
      </c>
      <c r="Y126">
        <v>18841336.544918675</v>
      </c>
    </row>
    <row r="127" spans="1:25" x14ac:dyDescent="0.45">
      <c r="A127" t="s">
        <v>132</v>
      </c>
      <c r="B127">
        <v>7936745.7127984837</v>
      </c>
      <c r="C127">
        <v>3754730.5102907876</v>
      </c>
      <c r="D127">
        <v>6272216.2364659524</v>
      </c>
      <c r="E127">
        <v>5252545.5769110592</v>
      </c>
      <c r="F127">
        <v>5125339.1602808069</v>
      </c>
      <c r="G127">
        <v>4192037.6403011666</v>
      </c>
      <c r="H127">
        <v>2512684.3546926794</v>
      </c>
      <c r="I127">
        <v>6102566.7632824993</v>
      </c>
      <c r="J127">
        <v>10063525.263980478</v>
      </c>
      <c r="K127">
        <v>5913728.6647626972</v>
      </c>
      <c r="L127">
        <v>62590840.817097299</v>
      </c>
      <c r="M127">
        <v>6724764.4345806874</v>
      </c>
      <c r="N127">
        <v>2336117.3435862022</v>
      </c>
      <c r="O127">
        <v>3578076.0812933086</v>
      </c>
      <c r="P127">
        <v>3750109.8752316809</v>
      </c>
      <c r="Q127">
        <v>555354.71729041857</v>
      </c>
      <c r="R127">
        <v>1630759.0813099351</v>
      </c>
      <c r="S127">
        <v>1151878.9309510584</v>
      </c>
      <c r="T127">
        <v>826088.19892214763</v>
      </c>
      <c r="U127">
        <v>8773602.6822259277</v>
      </c>
      <c r="V127">
        <v>1723023.384344839</v>
      </c>
      <c r="W127">
        <v>2910995.7034353702</v>
      </c>
      <c r="X127">
        <v>1876909.6847382875</v>
      </c>
      <c r="Y127">
        <v>1084998.9366231491</v>
      </c>
    </row>
    <row r="128" spans="1:25" x14ac:dyDescent="0.45">
      <c r="A128" t="s">
        <v>133</v>
      </c>
      <c r="B128">
        <v>34413661.05231338</v>
      </c>
      <c r="C128">
        <v>17442541.582184646</v>
      </c>
      <c r="D128">
        <v>28835400.751163151</v>
      </c>
      <c r="E128">
        <v>25017727.674059588</v>
      </c>
      <c r="F128">
        <v>21838779.953444406</v>
      </c>
      <c r="G128">
        <v>19905975.115981665</v>
      </c>
      <c r="H128">
        <v>12755630.638131445</v>
      </c>
      <c r="I128">
        <v>34958093.154763073</v>
      </c>
      <c r="J128">
        <v>43693298.006835267</v>
      </c>
      <c r="K128">
        <v>28251492.650292318</v>
      </c>
      <c r="L128">
        <v>247511688.50434101</v>
      </c>
      <c r="M128">
        <v>34319963.544146374</v>
      </c>
      <c r="N128">
        <v>12324867.321652357</v>
      </c>
      <c r="O128">
        <v>16680883.026563566</v>
      </c>
      <c r="P128">
        <v>18245727.866681125</v>
      </c>
      <c r="Q128">
        <v>8749298.5873425081</v>
      </c>
      <c r="R128">
        <v>8334588.6658545434</v>
      </c>
      <c r="S128">
        <v>5545650.6389968107</v>
      </c>
      <c r="T128">
        <v>4475782.1138700685</v>
      </c>
      <c r="U128">
        <v>39458731.540504925</v>
      </c>
      <c r="V128">
        <v>8690630.7989086807</v>
      </c>
      <c r="W128">
        <v>13970599.219390798</v>
      </c>
      <c r="X128">
        <v>9629493.6932148896</v>
      </c>
      <c r="Y128">
        <v>5422030.5119913844</v>
      </c>
    </row>
    <row r="129" spans="1:25" x14ac:dyDescent="0.45">
      <c r="A129" t="s">
        <v>140</v>
      </c>
      <c r="B129">
        <v>164241825.16693205</v>
      </c>
      <c r="C129">
        <v>137360669.45241687</v>
      </c>
      <c r="D129">
        <v>178537565.81757346</v>
      </c>
      <c r="E129">
        <v>18517062.041573759</v>
      </c>
      <c r="F129">
        <v>21156602.499939021</v>
      </c>
      <c r="G129">
        <v>106531673.80725393</v>
      </c>
      <c r="H129">
        <v>8060886.7444691323</v>
      </c>
      <c r="I129">
        <v>1639943961.1211562</v>
      </c>
      <c r="J129">
        <v>41777798.566505454</v>
      </c>
      <c r="K129">
        <v>17059291.640875112</v>
      </c>
      <c r="L129">
        <v>296988782.30767</v>
      </c>
      <c r="M129">
        <v>4556423.7337569501</v>
      </c>
      <c r="N129">
        <v>925694031.65233457</v>
      </c>
      <c r="O129">
        <v>499465631.17913514</v>
      </c>
      <c r="P129">
        <v>266841324.08757576</v>
      </c>
      <c r="Q129">
        <v>37276147.191242702</v>
      </c>
      <c r="R129">
        <v>9355450.4635307509</v>
      </c>
      <c r="S129">
        <v>17117408.594185445</v>
      </c>
      <c r="T129">
        <v>11847008.904977115</v>
      </c>
      <c r="U129">
        <v>46109498.864120401</v>
      </c>
      <c r="V129">
        <v>51194884.210776925</v>
      </c>
      <c r="W129">
        <v>7054201.7758082161</v>
      </c>
      <c r="X129">
        <v>14991564.258912288</v>
      </c>
      <c r="Y129">
        <v>17330166.004699852</v>
      </c>
    </row>
    <row r="130" spans="1:25" x14ac:dyDescent="0.45">
      <c r="A130" t="s">
        <v>417</v>
      </c>
      <c r="B130">
        <v>46122755.713682905</v>
      </c>
      <c r="C130">
        <v>79244533.635026291</v>
      </c>
      <c r="D130">
        <v>38979754.092740834</v>
      </c>
      <c r="E130">
        <v>56585444.25046894</v>
      </c>
      <c r="F130">
        <v>60186946.714911312</v>
      </c>
      <c r="G130">
        <v>114303037.81306715</v>
      </c>
      <c r="H130">
        <v>77680056.144490987</v>
      </c>
      <c r="I130">
        <v>32168918.013534848</v>
      </c>
      <c r="J130">
        <v>113856786.87060013</v>
      </c>
      <c r="K130">
        <v>126215656.92405497</v>
      </c>
      <c r="L130">
        <v>103905623.657572</v>
      </c>
      <c r="M130">
        <v>120682304.45781687</v>
      </c>
      <c r="N130">
        <v>106409812.63863587</v>
      </c>
      <c r="O130">
        <v>69129835.588417023</v>
      </c>
      <c r="P130">
        <v>47505714.699967124</v>
      </c>
      <c r="Q130">
        <v>72105198.653983861</v>
      </c>
      <c r="R130">
        <v>207797714.97785759</v>
      </c>
      <c r="S130">
        <v>142928629.975005</v>
      </c>
      <c r="T130">
        <v>42986728.633516088</v>
      </c>
      <c r="U130">
        <v>44425526.9792355</v>
      </c>
      <c r="V130">
        <v>65202440.5715198</v>
      </c>
      <c r="W130">
        <v>50316070.48926644</v>
      </c>
      <c r="X130">
        <v>146412221.66222659</v>
      </c>
      <c r="Y130">
        <v>172094484.76578686</v>
      </c>
    </row>
    <row r="131" spans="1:25" x14ac:dyDescent="0.45">
      <c r="A131" t="s">
        <v>418</v>
      </c>
      <c r="B131">
        <v>1699467.1247099848</v>
      </c>
      <c r="C131">
        <v>8112718.6459993152</v>
      </c>
      <c r="D131">
        <v>4515488.7430371093</v>
      </c>
      <c r="E131">
        <v>2908628.9199466854</v>
      </c>
      <c r="F131">
        <v>5371207.0508431913</v>
      </c>
      <c r="G131">
        <v>4626787.3816128084</v>
      </c>
      <c r="H131">
        <v>4033710.5561779914</v>
      </c>
      <c r="I131">
        <v>58519735.687150016</v>
      </c>
      <c r="J131">
        <v>9267431.3282822017</v>
      </c>
      <c r="K131">
        <v>5613673.2578837788</v>
      </c>
      <c r="L131">
        <v>47668848.551077597</v>
      </c>
      <c r="M131">
        <v>3983890.9040122</v>
      </c>
      <c r="N131">
        <v>16280351.87808528</v>
      </c>
      <c r="O131">
        <v>5284322.4444391867</v>
      </c>
      <c r="P131">
        <v>8016935.9874039711</v>
      </c>
      <c r="Q131">
        <v>12538572.703682385</v>
      </c>
      <c r="R131">
        <v>19234799.657302011</v>
      </c>
      <c r="S131">
        <v>14294098.088148739</v>
      </c>
      <c r="T131">
        <v>10070249.254034948</v>
      </c>
      <c r="U131">
        <v>7258773.8586295396</v>
      </c>
      <c r="V131">
        <v>5287265.0993212042</v>
      </c>
      <c r="W131">
        <v>4019407.2709067874</v>
      </c>
      <c r="X131">
        <v>7072410.6571200294</v>
      </c>
      <c r="Y131">
        <v>9829054.4200796112</v>
      </c>
    </row>
    <row r="132" spans="1:25" x14ac:dyDescent="0.45">
      <c r="A132" t="s">
        <v>141</v>
      </c>
      <c r="B132">
        <v>10582028.289964827</v>
      </c>
      <c r="C132">
        <v>13864644.459893951</v>
      </c>
      <c r="D132">
        <v>5047949.990717019</v>
      </c>
      <c r="E132">
        <v>5747309.4218108486</v>
      </c>
      <c r="F132">
        <v>8182382.3893885054</v>
      </c>
      <c r="G132">
        <v>6615031.3639296563</v>
      </c>
      <c r="H132">
        <v>4972662.6466413774</v>
      </c>
      <c r="I132">
        <v>10037282.627337549</v>
      </c>
      <c r="J132">
        <v>10901783.410307925</v>
      </c>
      <c r="K132">
        <v>19065296.405093823</v>
      </c>
      <c r="L132">
        <v>13666234.897907199</v>
      </c>
      <c r="M132">
        <v>15851092.174645435</v>
      </c>
      <c r="N132">
        <v>15126184.79995719</v>
      </c>
      <c r="O132">
        <v>7612204.5485678725</v>
      </c>
      <c r="P132">
        <v>6170734.942925198</v>
      </c>
      <c r="Q132">
        <v>5009084.0641436037</v>
      </c>
      <c r="R132">
        <v>17749566.214121949</v>
      </c>
      <c r="S132">
        <v>16231937.774236189</v>
      </c>
      <c r="T132">
        <v>8883353.9032174628</v>
      </c>
      <c r="U132">
        <v>14317829.177344427</v>
      </c>
      <c r="V132">
        <v>9731053.0163658112</v>
      </c>
      <c r="W132">
        <v>12741571.548967879</v>
      </c>
      <c r="X132">
        <v>19715115.649075139</v>
      </c>
      <c r="Y132">
        <v>22134590.324062284</v>
      </c>
    </row>
    <row r="133" spans="1:25" x14ac:dyDescent="0.45">
      <c r="A133" t="s">
        <v>142</v>
      </c>
      <c r="B133">
        <v>382966.6646493178</v>
      </c>
      <c r="C133">
        <v>524033.61454814213</v>
      </c>
      <c r="D133">
        <v>382107.68133442733</v>
      </c>
      <c r="E133">
        <v>334882.59457594593</v>
      </c>
      <c r="F133">
        <v>376653.7548381231</v>
      </c>
      <c r="G133">
        <v>4400801.8516490394</v>
      </c>
      <c r="H133">
        <v>225470.82832359272</v>
      </c>
      <c r="I133">
        <v>314905.99002657813</v>
      </c>
      <c r="J133">
        <v>775174.85537016508</v>
      </c>
      <c r="K133">
        <v>356544.96180174197</v>
      </c>
      <c r="L133">
        <v>515111.39374693198</v>
      </c>
      <c r="M133">
        <v>373035.86011836992</v>
      </c>
      <c r="N133">
        <v>173818.98067054796</v>
      </c>
      <c r="O133">
        <v>497087.07578337076</v>
      </c>
      <c r="P133">
        <v>267630.99890545267</v>
      </c>
      <c r="Q133">
        <v>210165.54156304261</v>
      </c>
      <c r="R133">
        <v>448312.06367249653</v>
      </c>
      <c r="S133">
        <v>249746.23197780375</v>
      </c>
      <c r="T133">
        <v>206616.24440975295</v>
      </c>
      <c r="U133">
        <v>369071.33630722121</v>
      </c>
      <c r="V133">
        <v>381402.76913401723</v>
      </c>
      <c r="W133">
        <v>664382.26481701399</v>
      </c>
      <c r="X133">
        <v>456536.6331009352</v>
      </c>
      <c r="Y133">
        <v>394006.55077836954</v>
      </c>
    </row>
    <row r="134" spans="1:25" x14ac:dyDescent="0.45">
      <c r="A134" t="s">
        <v>143</v>
      </c>
      <c r="B134">
        <v>262487328.50318497</v>
      </c>
      <c r="C134">
        <v>155105512.42818314</v>
      </c>
      <c r="D134">
        <v>142241431.24491173</v>
      </c>
      <c r="E134">
        <v>231259373.43653718</v>
      </c>
      <c r="F134">
        <v>367232204.52099639</v>
      </c>
      <c r="G134">
        <v>188185698.91551766</v>
      </c>
      <c r="H134">
        <v>283681170.03811145</v>
      </c>
      <c r="I134">
        <v>685425682.3562721</v>
      </c>
      <c r="J134">
        <v>701302473.8002826</v>
      </c>
      <c r="K134">
        <v>419314959.26419431</v>
      </c>
      <c r="L134">
        <v>674296739.65254498</v>
      </c>
      <c r="M134">
        <v>255646418.78775001</v>
      </c>
      <c r="N134">
        <v>574542093.04635048</v>
      </c>
      <c r="O134">
        <v>258353618.95292768</v>
      </c>
      <c r="P134">
        <v>157150426.90236697</v>
      </c>
      <c r="Q134">
        <v>95301012.177795976</v>
      </c>
      <c r="R134">
        <v>240292282.5905326</v>
      </c>
      <c r="S134">
        <v>223703883.74023229</v>
      </c>
      <c r="T134">
        <v>123366398.29550099</v>
      </c>
      <c r="U134">
        <v>850404996.36908269</v>
      </c>
      <c r="V134">
        <v>256052829.18275875</v>
      </c>
      <c r="W134">
        <v>350707022.90135777</v>
      </c>
      <c r="X134">
        <v>396859845.82535231</v>
      </c>
      <c r="Y134">
        <v>225741868.67345166</v>
      </c>
    </row>
    <row r="135" spans="1:25" x14ac:dyDescent="0.45">
      <c r="A135" t="s">
        <v>295</v>
      </c>
      <c r="B135">
        <v>4982458.7322115228</v>
      </c>
      <c r="C135">
        <v>7798714.6225702344</v>
      </c>
      <c r="D135">
        <v>5440344.4152912721</v>
      </c>
      <c r="E135">
        <v>2234153.1777697336</v>
      </c>
      <c r="F135">
        <v>4179085.9670026954</v>
      </c>
      <c r="G135">
        <v>3168182.4831215884</v>
      </c>
      <c r="H135">
        <v>3521239.6320696655</v>
      </c>
      <c r="I135">
        <v>10487620.201987136</v>
      </c>
      <c r="J135">
        <v>10814450.187378511</v>
      </c>
      <c r="K135">
        <v>6624578.7931113215</v>
      </c>
      <c r="L135">
        <v>40232270.028068297</v>
      </c>
      <c r="M135">
        <v>6649579.8928463748</v>
      </c>
      <c r="N135">
        <v>927725.3554640332</v>
      </c>
      <c r="O135">
        <v>6495266.7066905322</v>
      </c>
      <c r="P135">
        <v>2544203.008972846</v>
      </c>
      <c r="Q135">
        <v>3559443.7184173046</v>
      </c>
      <c r="R135">
        <v>27332695.415136002</v>
      </c>
      <c r="S135">
        <v>20431440.576084711</v>
      </c>
      <c r="T135">
        <v>4282549.818352595</v>
      </c>
      <c r="U135">
        <v>7634428.1097000688</v>
      </c>
      <c r="V135">
        <v>5323339.4879026916</v>
      </c>
      <c r="W135">
        <v>9262350.95885255</v>
      </c>
      <c r="X135">
        <v>10027489.400330387</v>
      </c>
      <c r="Y135">
        <v>8870481.7635062207</v>
      </c>
    </row>
    <row r="136" spans="1:25" x14ac:dyDescent="0.45">
      <c r="A136" t="s">
        <v>382</v>
      </c>
      <c r="B136">
        <v>10185241.249523943</v>
      </c>
      <c r="C136">
        <v>6148519.0923540331</v>
      </c>
      <c r="D136">
        <v>3639074.8709837827</v>
      </c>
      <c r="E136">
        <v>5159950.5542197404</v>
      </c>
      <c r="F136">
        <v>8872262.6923198644</v>
      </c>
      <c r="G136">
        <v>4848384.646763254</v>
      </c>
      <c r="H136">
        <v>9321754.2212064508</v>
      </c>
      <c r="I136">
        <v>51612580.99080202</v>
      </c>
      <c r="J136">
        <v>22351325.570844188</v>
      </c>
      <c r="K136">
        <v>12663189.379520694</v>
      </c>
      <c r="L136">
        <v>7501240.2665676698</v>
      </c>
      <c r="M136">
        <v>7339613.4231081866</v>
      </c>
      <c r="N136">
        <v>2968118.3576052785</v>
      </c>
      <c r="O136">
        <v>6657955.8095153198</v>
      </c>
      <c r="P136">
        <v>1967463.4117586049</v>
      </c>
      <c r="Q136">
        <v>1808061.6941266204</v>
      </c>
      <c r="R136">
        <v>14563269.375376036</v>
      </c>
      <c r="S136">
        <v>15458833.584288426</v>
      </c>
      <c r="T136">
        <v>2694858.9686397999</v>
      </c>
      <c r="U136">
        <v>7914859.3021844337</v>
      </c>
      <c r="V136">
        <v>4376362.6647436908</v>
      </c>
      <c r="W136">
        <v>12953683.820045419</v>
      </c>
      <c r="X136">
        <v>33945845.056180961</v>
      </c>
      <c r="Y136">
        <v>13301914.773956407</v>
      </c>
    </row>
    <row r="137" spans="1:25" x14ac:dyDescent="0.45">
      <c r="A137" t="s">
        <v>296</v>
      </c>
      <c r="B137">
        <v>780992.05152032711</v>
      </c>
      <c r="C137">
        <v>73260289.7229525</v>
      </c>
      <c r="D137">
        <v>4084383.4273944888</v>
      </c>
      <c r="E137">
        <v>1157854.2742626672</v>
      </c>
      <c r="F137">
        <v>500205.2623027995</v>
      </c>
      <c r="G137">
        <v>22844522.629063629</v>
      </c>
      <c r="H137">
        <v>22951846.998904359</v>
      </c>
      <c r="I137">
        <v>222419.11501946399</v>
      </c>
      <c r="J137">
        <v>1716464.2149224945</v>
      </c>
      <c r="K137">
        <v>10938874.013542263</v>
      </c>
      <c r="L137">
        <v>262878.51002977102</v>
      </c>
      <c r="M137">
        <v>5815307.6106271064</v>
      </c>
      <c r="N137">
        <v>1041586.6122016752</v>
      </c>
      <c r="O137">
        <v>1256765.1290385958</v>
      </c>
      <c r="P137">
        <v>50303991.466770895</v>
      </c>
      <c r="Q137">
        <v>28236581.934195437</v>
      </c>
      <c r="R137">
        <v>41484355.513397433</v>
      </c>
      <c r="S137">
        <v>8850165.9884903133</v>
      </c>
      <c r="T137">
        <v>86723364.856047571</v>
      </c>
      <c r="U137">
        <v>887084.91176336585</v>
      </c>
      <c r="V137">
        <v>18040953.21054868</v>
      </c>
      <c r="W137">
        <v>2036851.3434502648</v>
      </c>
      <c r="X137">
        <v>17075100.113436185</v>
      </c>
      <c r="Y137">
        <v>30505461.702032398</v>
      </c>
    </row>
    <row r="138" spans="1:25" x14ac:dyDescent="0.45">
      <c r="A138" t="s">
        <v>144</v>
      </c>
      <c r="B138">
        <v>13436203.04955278</v>
      </c>
      <c r="C138">
        <v>19413769.486084584</v>
      </c>
      <c r="D138">
        <v>9925419.5363810677</v>
      </c>
      <c r="E138">
        <v>11857440.59428744</v>
      </c>
      <c r="F138">
        <v>15579390.647551512</v>
      </c>
      <c r="G138">
        <v>14858050.256187694</v>
      </c>
      <c r="H138">
        <v>12019858.67893854</v>
      </c>
      <c r="I138">
        <v>21380669.788526773</v>
      </c>
      <c r="J138">
        <v>27651259.023861356</v>
      </c>
      <c r="K138">
        <v>22995607.292682648</v>
      </c>
      <c r="L138">
        <v>28544050.176762599</v>
      </c>
      <c r="M138">
        <v>21176855.718313437</v>
      </c>
      <c r="N138">
        <v>13878998.360230733</v>
      </c>
      <c r="O138">
        <v>14758873.506408459</v>
      </c>
      <c r="P138">
        <v>12260288.478148645</v>
      </c>
      <c r="Q138">
        <v>7083513.3085513664</v>
      </c>
      <c r="R138">
        <v>21597030.434072223</v>
      </c>
      <c r="S138">
        <v>21404292.135415219</v>
      </c>
      <c r="T138">
        <v>12852944.143514778</v>
      </c>
      <c r="U138">
        <v>23519206.699014205</v>
      </c>
      <c r="V138">
        <v>13886647.939850049</v>
      </c>
      <c r="W138">
        <v>16405237.273928931</v>
      </c>
      <c r="X138">
        <v>24393275.153832</v>
      </c>
      <c r="Y138">
        <v>22384884.788373072</v>
      </c>
    </row>
    <row r="139" spans="1:25" x14ac:dyDescent="0.45">
      <c r="A139" t="s">
        <v>145</v>
      </c>
      <c r="B139">
        <v>55311503.716798209</v>
      </c>
      <c r="C139">
        <v>73691920.41632919</v>
      </c>
      <c r="D139">
        <v>34171194.57626754</v>
      </c>
      <c r="E139">
        <v>40968889.78722547</v>
      </c>
      <c r="F139">
        <v>86066961.5777255</v>
      </c>
      <c r="G139">
        <v>28877817.646953482</v>
      </c>
      <c r="H139">
        <v>112880662.97760871</v>
      </c>
      <c r="I139">
        <v>257752644.72538856</v>
      </c>
      <c r="J139">
        <v>306493923.52155614</v>
      </c>
      <c r="K139">
        <v>82587810.969140187</v>
      </c>
      <c r="L139">
        <v>119094066.613297</v>
      </c>
      <c r="M139">
        <v>50209015.225947686</v>
      </c>
      <c r="N139">
        <v>50969849.233598143</v>
      </c>
      <c r="O139">
        <v>44365828.014281489</v>
      </c>
      <c r="P139">
        <v>47216615.69890102</v>
      </c>
      <c r="Q139">
        <v>72974292.773031831</v>
      </c>
      <c r="R139">
        <v>159761372.07850271</v>
      </c>
      <c r="S139">
        <v>131648647.96938677</v>
      </c>
      <c r="T139">
        <v>45862081.326954424</v>
      </c>
      <c r="U139">
        <v>173182008.29341316</v>
      </c>
      <c r="V139">
        <v>75635599.938126564</v>
      </c>
      <c r="W139">
        <v>44674683.492151335</v>
      </c>
      <c r="X139">
        <v>133557560.70740218</v>
      </c>
      <c r="Y139">
        <v>91041952.87584962</v>
      </c>
    </row>
    <row r="140" spans="1:25" x14ac:dyDescent="0.45">
      <c r="A140" t="s">
        <v>146</v>
      </c>
      <c r="B140">
        <v>3021314.2489320883</v>
      </c>
      <c r="C140">
        <v>3163308.4549830244</v>
      </c>
      <c r="D140">
        <v>2373760.1802142826</v>
      </c>
      <c r="E140">
        <v>2374227.5944265863</v>
      </c>
      <c r="F140">
        <v>1434444.3982993758</v>
      </c>
      <c r="G140">
        <v>5598857.9485009806</v>
      </c>
      <c r="H140">
        <v>2182062.119260422</v>
      </c>
      <c r="I140">
        <v>5419303.947579748</v>
      </c>
      <c r="J140">
        <v>6382040.2477559056</v>
      </c>
      <c r="K140">
        <v>4416998.913289954</v>
      </c>
      <c r="L140">
        <v>16635324.7684674</v>
      </c>
      <c r="M140">
        <v>3308004.2211337308</v>
      </c>
      <c r="N140">
        <v>5464495.6783760954</v>
      </c>
      <c r="O140">
        <v>2198893.658560399</v>
      </c>
      <c r="P140">
        <v>2921043.9668463171</v>
      </c>
      <c r="Q140">
        <v>1886945.8983030438</v>
      </c>
      <c r="R140">
        <v>3935183.5893918131</v>
      </c>
      <c r="S140">
        <v>4878280.1810920043</v>
      </c>
      <c r="T140">
        <v>1798626.3168936423</v>
      </c>
      <c r="U140">
        <v>5206718.4423884163</v>
      </c>
      <c r="V140">
        <v>4122163.6938762176</v>
      </c>
      <c r="W140">
        <v>3498070.0044470299</v>
      </c>
      <c r="X140">
        <v>4934072.4161577364</v>
      </c>
      <c r="Y140">
        <v>4531466.545985912</v>
      </c>
    </row>
    <row r="141" spans="1:25" x14ac:dyDescent="0.45">
      <c r="A141" t="s">
        <v>298</v>
      </c>
      <c r="B141">
        <v>32750605.6901282</v>
      </c>
      <c r="C141">
        <v>7552576.0770494444</v>
      </c>
      <c r="D141">
        <v>11214179.184842581</v>
      </c>
      <c r="E141">
        <v>14279095.242436277</v>
      </c>
      <c r="F141">
        <v>40656378.841555133</v>
      </c>
      <c r="G141">
        <v>10089892.718008187</v>
      </c>
      <c r="H141">
        <v>10969473.972946797</v>
      </c>
      <c r="I141">
        <v>684385583.82300794</v>
      </c>
      <c r="J141">
        <v>71565351.887182638</v>
      </c>
      <c r="K141">
        <v>35100552.506300479</v>
      </c>
      <c r="L141">
        <v>100403629.62026601</v>
      </c>
      <c r="M141">
        <v>15413398.159208251</v>
      </c>
      <c r="N141">
        <v>102294947.42974108</v>
      </c>
      <c r="O141">
        <v>28766887.830712926</v>
      </c>
      <c r="P141">
        <v>11847930.934880283</v>
      </c>
      <c r="Q141">
        <v>2642183.066077</v>
      </c>
      <c r="R141">
        <v>15715411.123851394</v>
      </c>
      <c r="S141">
        <v>14548848.648664022</v>
      </c>
      <c r="T141">
        <v>4965645.0840968508</v>
      </c>
      <c r="U141">
        <v>31850300.673654448</v>
      </c>
      <c r="V141">
        <v>10483239.454792321</v>
      </c>
      <c r="W141">
        <v>33264395.792097565</v>
      </c>
      <c r="X141">
        <v>55281767.835740924</v>
      </c>
      <c r="Y141">
        <v>15014611.946804943</v>
      </c>
    </row>
    <row r="142" spans="1:25" x14ac:dyDescent="0.45">
      <c r="A142" t="s">
        <v>155</v>
      </c>
      <c r="B142">
        <v>51841579.375385903</v>
      </c>
      <c r="C142">
        <v>65459393.68500565</v>
      </c>
      <c r="D142">
        <v>29862507.730768394</v>
      </c>
      <c r="E142">
        <v>48863940.211360343</v>
      </c>
      <c r="F142">
        <v>67866726.82943894</v>
      </c>
      <c r="G142">
        <v>45365189.317894854</v>
      </c>
      <c r="H142">
        <v>59157997.768995151</v>
      </c>
      <c r="I142">
        <v>273848696.10020459</v>
      </c>
      <c r="J142">
        <v>139707899.87330452</v>
      </c>
      <c r="K142">
        <v>122969105.45481633</v>
      </c>
      <c r="L142">
        <v>518229077.95553797</v>
      </c>
      <c r="M142">
        <v>79689334.908335</v>
      </c>
      <c r="N142">
        <v>110899958.31384343</v>
      </c>
      <c r="O142">
        <v>75757574.664798945</v>
      </c>
      <c r="P142">
        <v>57880961.106664754</v>
      </c>
      <c r="Q142">
        <v>18255373.896593023</v>
      </c>
      <c r="R142">
        <v>103294123.5867165</v>
      </c>
      <c r="S142">
        <v>84652748.210192606</v>
      </c>
      <c r="T142">
        <v>33152925.027875494</v>
      </c>
      <c r="U142">
        <v>191064806.30765927</v>
      </c>
      <c r="V142">
        <v>67447479.664069012</v>
      </c>
      <c r="W142">
        <v>65828867.934653044</v>
      </c>
      <c r="X142">
        <v>121267062.18782797</v>
      </c>
      <c r="Y142">
        <v>89767423.711679891</v>
      </c>
    </row>
    <row r="143" spans="1:25" x14ac:dyDescent="0.45">
      <c r="A143" t="s">
        <v>300</v>
      </c>
      <c r="B143">
        <v>1773002.7846758908</v>
      </c>
      <c r="C143">
        <v>1569611.627247774</v>
      </c>
      <c r="D143">
        <v>1125957.0643928912</v>
      </c>
      <c r="E143">
        <v>82429347.657501861</v>
      </c>
      <c r="F143">
        <v>72767203.423637837</v>
      </c>
      <c r="G143">
        <v>1572722.3704439069</v>
      </c>
      <c r="H143">
        <v>58391192.427949898</v>
      </c>
      <c r="I143">
        <v>7693410.9334353022</v>
      </c>
      <c r="J143">
        <v>218730802.09635505</v>
      </c>
      <c r="K143">
        <v>106875027.27876633</v>
      </c>
      <c r="L143">
        <v>315110355.34034997</v>
      </c>
      <c r="M143">
        <v>58036987.29852131</v>
      </c>
      <c r="N143">
        <v>2549194.1303769476</v>
      </c>
      <c r="O143">
        <v>2785641.8193506757</v>
      </c>
      <c r="P143">
        <v>1327821.6458473753</v>
      </c>
      <c r="Q143">
        <v>22449749.14500723</v>
      </c>
      <c r="R143">
        <v>77623585.61390613</v>
      </c>
      <c r="S143">
        <v>21851474.667272687</v>
      </c>
      <c r="T143">
        <v>33123858.816975228</v>
      </c>
      <c r="U143">
        <v>149060528.12559059</v>
      </c>
      <c r="V143">
        <v>80026732.509715378</v>
      </c>
      <c r="W143">
        <v>92912064.627495304</v>
      </c>
      <c r="X143">
        <v>113365130.46925946</v>
      </c>
      <c r="Y143">
        <v>34482353.606199786</v>
      </c>
    </row>
    <row r="144" spans="1:25" x14ac:dyDescent="0.45">
      <c r="A144" t="s">
        <v>421</v>
      </c>
      <c r="B144">
        <v>3220441.6917278618</v>
      </c>
      <c r="C144">
        <v>2064394.4309520565</v>
      </c>
      <c r="D144">
        <v>2257360.6313905101</v>
      </c>
      <c r="E144">
        <v>96238.971451434903</v>
      </c>
      <c r="F144">
        <v>209592.20421391638</v>
      </c>
      <c r="G144">
        <v>187548.27388240246</v>
      </c>
      <c r="H144">
        <v>2218905.1162067931</v>
      </c>
      <c r="I144">
        <v>7152742.0872221766</v>
      </c>
      <c r="J144">
        <v>10339605.891141383</v>
      </c>
      <c r="K144">
        <v>5123355.1233058479</v>
      </c>
      <c r="L144">
        <v>7253721.2718449403</v>
      </c>
      <c r="M144">
        <v>5070862.4428030932</v>
      </c>
      <c r="N144">
        <v>122161.87732745944</v>
      </c>
      <c r="O144">
        <v>3793462.5339421863</v>
      </c>
      <c r="P144">
        <v>1559314.2045868451</v>
      </c>
      <c r="Q144">
        <v>2400010.4123321883</v>
      </c>
      <c r="R144">
        <v>4080888.2062406586</v>
      </c>
      <c r="S144">
        <v>4227413.5076912008</v>
      </c>
      <c r="T144">
        <v>75959.341698675576</v>
      </c>
      <c r="U144">
        <v>165555.02485440989</v>
      </c>
      <c r="V144">
        <v>1176338.9046336417</v>
      </c>
      <c r="W144">
        <v>3959359.4866712894</v>
      </c>
      <c r="X144">
        <v>786768.45580003387</v>
      </c>
      <c r="Y144">
        <v>4190917.467215396</v>
      </c>
    </row>
    <row r="145" spans="1:25" x14ac:dyDescent="0.45">
      <c r="A145" t="s">
        <v>157</v>
      </c>
      <c r="B145">
        <v>169977.69786449004</v>
      </c>
      <c r="C145">
        <v>344040.10519230261</v>
      </c>
      <c r="D145">
        <v>315111.64156064816</v>
      </c>
      <c r="E145">
        <v>492424.74071165477</v>
      </c>
      <c r="F145">
        <v>806684.18917849066</v>
      </c>
      <c r="G145">
        <v>491865.67488749023</v>
      </c>
      <c r="H145">
        <v>447360.3827285096</v>
      </c>
      <c r="I145">
        <v>3771576.4228283539</v>
      </c>
      <c r="J145">
        <v>1039410.1392067526</v>
      </c>
      <c r="K145">
        <v>447419.89526362607</v>
      </c>
      <c r="L145">
        <v>2551244.5068129702</v>
      </c>
      <c r="M145">
        <v>449154.24215186189</v>
      </c>
      <c r="N145">
        <v>4452348.0382457497</v>
      </c>
      <c r="O145">
        <v>583700.0343928776</v>
      </c>
      <c r="P145">
        <v>447680.60261304618</v>
      </c>
      <c r="Q145">
        <v>1984162.6452070042</v>
      </c>
      <c r="R145">
        <v>3729460.8783244728</v>
      </c>
      <c r="S145">
        <v>673861.64969343937</v>
      </c>
      <c r="T145">
        <v>360805.0051704428</v>
      </c>
      <c r="U145">
        <v>1882197.625104778</v>
      </c>
      <c r="V145">
        <v>1020285.7903324523</v>
      </c>
      <c r="W145">
        <v>190403.86200433914</v>
      </c>
      <c r="X145">
        <v>968909.22160614131</v>
      </c>
      <c r="Y145">
        <v>968780.83464448608</v>
      </c>
    </row>
    <row r="146" spans="1:25" x14ac:dyDescent="0.45">
      <c r="A146" t="s">
        <v>301</v>
      </c>
      <c r="B146">
        <v>1141219037.6501389</v>
      </c>
      <c r="C146">
        <v>1069377529.5663137</v>
      </c>
      <c r="D146">
        <v>657673623.96376145</v>
      </c>
      <c r="E146">
        <v>746536826.11587703</v>
      </c>
      <c r="F146">
        <v>1216633347.7591326</v>
      </c>
      <c r="G146">
        <v>865133426.43364704</v>
      </c>
      <c r="H146">
        <v>903597604.21613097</v>
      </c>
      <c r="I146">
        <v>3246667143.7106009</v>
      </c>
      <c r="J146">
        <v>2792634151.2429671</v>
      </c>
      <c r="K146">
        <v>718404632.38409674</v>
      </c>
      <c r="L146">
        <v>3563394258.9503798</v>
      </c>
      <c r="M146">
        <v>1080534126.3570936</v>
      </c>
      <c r="N146">
        <v>1221509070.0394289</v>
      </c>
      <c r="O146">
        <v>1452043843.9649522</v>
      </c>
      <c r="P146">
        <v>798423431.2066251</v>
      </c>
      <c r="Q146">
        <v>285502702.63146937</v>
      </c>
      <c r="R146">
        <v>1306988826.407932</v>
      </c>
      <c r="S146">
        <v>1027792280.0275084</v>
      </c>
      <c r="T146">
        <v>476798520.66718829</v>
      </c>
      <c r="U146">
        <v>1754513224.0987279</v>
      </c>
      <c r="V146">
        <v>1010727160.0136167</v>
      </c>
      <c r="W146">
        <v>1317487482.8642647</v>
      </c>
      <c r="X146">
        <v>1946314532.2270844</v>
      </c>
      <c r="Y146">
        <v>1116813894.6334934</v>
      </c>
    </row>
    <row r="147" spans="1:25" x14ac:dyDescent="0.45">
      <c r="A147" t="s">
        <v>302</v>
      </c>
      <c r="B147">
        <v>44019289.785888381</v>
      </c>
      <c r="C147">
        <v>30372619.932466056</v>
      </c>
      <c r="D147">
        <v>30031225.950003948</v>
      </c>
      <c r="E147">
        <v>74467357.036463439</v>
      </c>
      <c r="F147">
        <v>94510165.203972206</v>
      </c>
      <c r="G147">
        <v>61743189.205631375</v>
      </c>
      <c r="H147">
        <v>54649335.578942105</v>
      </c>
      <c r="I147">
        <v>86905525.025879532</v>
      </c>
      <c r="J147">
        <v>84677355.650999442</v>
      </c>
      <c r="K147">
        <v>66424292.779963166</v>
      </c>
      <c r="L147">
        <v>292538514.17513001</v>
      </c>
      <c r="M147">
        <v>16085383.934837248</v>
      </c>
      <c r="N147">
        <v>126050252.26238188</v>
      </c>
      <c r="O147">
        <v>47621042.38912452</v>
      </c>
      <c r="P147">
        <v>18877540.965252202</v>
      </c>
      <c r="Q147">
        <v>8795366.2464286666</v>
      </c>
      <c r="R147">
        <v>16573174.433456935</v>
      </c>
      <c r="S147">
        <v>20455385.858681668</v>
      </c>
      <c r="T147">
        <v>24183331.110288464</v>
      </c>
      <c r="U147">
        <v>202908999.91325635</v>
      </c>
      <c r="V147">
        <v>86217937.311428562</v>
      </c>
      <c r="W147">
        <v>31878761.594053511</v>
      </c>
      <c r="X147">
        <v>37852335.584931053</v>
      </c>
      <c r="Y147">
        <v>11445112.257581331</v>
      </c>
    </row>
    <row r="148" spans="1:25" x14ac:dyDescent="0.45">
      <c r="A148" t="s">
        <v>159</v>
      </c>
      <c r="B148">
        <v>13576183.896408902</v>
      </c>
      <c r="C148">
        <v>17035742.441108663</v>
      </c>
      <c r="D148">
        <v>13218869.35410274</v>
      </c>
      <c r="E148">
        <v>27646754.627779342</v>
      </c>
      <c r="F148">
        <v>27360003.991539106</v>
      </c>
      <c r="G148">
        <v>46300570.865987204</v>
      </c>
      <c r="H148">
        <v>31360766.844630741</v>
      </c>
      <c r="I148">
        <v>623728207.69740009</v>
      </c>
      <c r="J148">
        <v>43939272.473435052</v>
      </c>
      <c r="K148">
        <v>41692022.499566905</v>
      </c>
      <c r="L148">
        <v>566567445.57707405</v>
      </c>
      <c r="M148">
        <v>41322410.025420062</v>
      </c>
      <c r="N148">
        <v>55762158.195524544</v>
      </c>
      <c r="O148">
        <v>26311018.661813725</v>
      </c>
      <c r="P148">
        <v>22962755.613519013</v>
      </c>
      <c r="Q148">
        <v>22621378.222953904</v>
      </c>
      <c r="R148">
        <v>84475346.525559306</v>
      </c>
      <c r="S148">
        <v>57085890.09770821</v>
      </c>
      <c r="T148">
        <v>28333291.38810743</v>
      </c>
      <c r="U148">
        <v>25504258.774315316</v>
      </c>
      <c r="V148">
        <v>30750362.47995998</v>
      </c>
      <c r="W148">
        <v>8378544.1133527709</v>
      </c>
      <c r="X148">
        <v>13395691.019412162</v>
      </c>
      <c r="Y148">
        <v>18085297.916883297</v>
      </c>
    </row>
    <row r="149" spans="1:25" x14ac:dyDescent="0.45">
      <c r="A149" t="s">
        <v>160</v>
      </c>
      <c r="B149">
        <v>1941907.5352783611</v>
      </c>
      <c r="C149">
        <v>8506598.6923962831</v>
      </c>
      <c r="D149">
        <v>4820920.6533839181</v>
      </c>
      <c r="E149">
        <v>1111801.151278801</v>
      </c>
      <c r="F149">
        <v>5496888.0008739196</v>
      </c>
      <c r="G149">
        <v>1508776.0090666814</v>
      </c>
      <c r="H149">
        <v>1543510.0779299398</v>
      </c>
      <c r="I149">
        <v>249210293.05430958</v>
      </c>
      <c r="J149">
        <v>9245709.8183290642</v>
      </c>
      <c r="K149">
        <v>318055768.15284497</v>
      </c>
      <c r="L149">
        <v>30658888.747025698</v>
      </c>
      <c r="M149">
        <v>331886114.47577876</v>
      </c>
      <c r="N149">
        <v>296864248.29640234</v>
      </c>
      <c r="O149">
        <v>8679372.6632300001</v>
      </c>
      <c r="P149">
        <v>5977565.779725017</v>
      </c>
      <c r="Q149">
        <v>7165294.4513214473</v>
      </c>
      <c r="R149">
        <v>17856356.585299954</v>
      </c>
      <c r="S149">
        <v>3595407.8323522625</v>
      </c>
      <c r="T149">
        <v>15110190.352451768</v>
      </c>
      <c r="U149">
        <v>12811805.35063578</v>
      </c>
      <c r="V149">
        <v>8136755.2849347787</v>
      </c>
      <c r="W149">
        <v>4216070.3434546404</v>
      </c>
      <c r="X149">
        <v>6501007.2614708329</v>
      </c>
      <c r="Y149">
        <v>7951508.2092228606</v>
      </c>
    </row>
    <row r="150" spans="1:25" x14ac:dyDescent="0.45">
      <c r="A150" t="s">
        <v>161</v>
      </c>
      <c r="B150">
        <v>11073208.389698392</v>
      </c>
      <c r="C150">
        <v>12255313.838856969</v>
      </c>
      <c r="D150">
        <v>7759119.4890147094</v>
      </c>
      <c r="E150">
        <v>4886256.4841182614</v>
      </c>
      <c r="F150">
        <v>8878403.7855846714</v>
      </c>
      <c r="G150">
        <v>8072496.2237874512</v>
      </c>
      <c r="H150">
        <v>9498625.7128223199</v>
      </c>
      <c r="I150">
        <v>38952555.752665833</v>
      </c>
      <c r="J150">
        <v>17273035.5562598</v>
      </c>
      <c r="K150">
        <v>36385173.510765299</v>
      </c>
      <c r="L150">
        <v>126186399.138854</v>
      </c>
      <c r="M150">
        <v>28045312.329220559</v>
      </c>
      <c r="N150">
        <v>15623405.405313587</v>
      </c>
      <c r="O150">
        <v>10788342.177718351</v>
      </c>
      <c r="P150">
        <v>13317309.753324438</v>
      </c>
      <c r="Q150">
        <v>7172382.0483395467</v>
      </c>
      <c r="R150">
        <v>14010310.156840803</v>
      </c>
      <c r="S150">
        <v>13456772.288618166</v>
      </c>
      <c r="T150">
        <v>10753070.23163924</v>
      </c>
      <c r="U150">
        <v>31431235.184327912</v>
      </c>
      <c r="V150">
        <v>14273231.142321268</v>
      </c>
      <c r="W150">
        <v>12640890.563724179</v>
      </c>
      <c r="X150">
        <v>32860072.98782403</v>
      </c>
      <c r="Y150">
        <v>27164379.356166501</v>
      </c>
    </row>
    <row r="151" spans="1:25" x14ac:dyDescent="0.45">
      <c r="A151" t="s">
        <v>162</v>
      </c>
      <c r="B151">
        <v>45467613.027274236</v>
      </c>
      <c r="C151">
        <v>42998347.917123355</v>
      </c>
      <c r="D151">
        <v>56268596.10276027</v>
      </c>
      <c r="E151">
        <v>38669118.952143498</v>
      </c>
      <c r="F151">
        <v>42709830.150491633</v>
      </c>
      <c r="G151">
        <v>47896387.954000585</v>
      </c>
      <c r="H151">
        <v>136682011.31810841</v>
      </c>
      <c r="I151">
        <v>1588291606.2929082</v>
      </c>
      <c r="J151">
        <v>518033545.66630906</v>
      </c>
      <c r="K151">
        <v>24988649.039191615</v>
      </c>
      <c r="L151">
        <v>408854108.23367703</v>
      </c>
      <c r="M151">
        <v>15157817.033165749</v>
      </c>
      <c r="N151">
        <v>785888901.55868876</v>
      </c>
      <c r="O151">
        <v>1000378586.8240691</v>
      </c>
      <c r="P151">
        <v>475662342.32366222</v>
      </c>
      <c r="Q151">
        <v>16710567.290148599</v>
      </c>
      <c r="R151">
        <v>166899630.02035421</v>
      </c>
      <c r="S151">
        <v>88857291.423589796</v>
      </c>
      <c r="T151">
        <v>25390936.859407421</v>
      </c>
      <c r="U151">
        <v>93840641.051773161</v>
      </c>
      <c r="V151">
        <v>168137979.23768312</v>
      </c>
      <c r="W151">
        <v>16397549.840930667</v>
      </c>
      <c r="X151">
        <v>20503848.68929508</v>
      </c>
      <c r="Y151">
        <v>4921838.2617404973</v>
      </c>
    </row>
    <row r="152" spans="1:25" x14ac:dyDescent="0.45">
      <c r="A152" t="s">
        <v>163</v>
      </c>
      <c r="B152">
        <v>3895051.2104296293</v>
      </c>
      <c r="C152">
        <v>5697783.5390517665</v>
      </c>
      <c r="D152">
        <v>1896331.6540031775</v>
      </c>
      <c r="E152">
        <v>4743592.542682711</v>
      </c>
      <c r="F152">
        <v>7354257.3682819586</v>
      </c>
      <c r="G152">
        <v>6505639.4630362745</v>
      </c>
      <c r="H152">
        <v>4555506.0942364</v>
      </c>
      <c r="I152">
        <v>2981492.644332591</v>
      </c>
      <c r="J152">
        <v>7409476.8079402167</v>
      </c>
      <c r="K152">
        <v>7005453.1203523595</v>
      </c>
      <c r="L152">
        <v>13583182.6083668</v>
      </c>
      <c r="M152">
        <v>5117669.0716654556</v>
      </c>
      <c r="N152">
        <v>2060209.2469048693</v>
      </c>
      <c r="O152">
        <v>6868098.5016137771</v>
      </c>
      <c r="P152">
        <v>4288501.700898964</v>
      </c>
      <c r="Q152">
        <v>2942719.4752332545</v>
      </c>
      <c r="R152">
        <v>5275650.5350534106</v>
      </c>
      <c r="S152">
        <v>4932930.8530575279</v>
      </c>
      <c r="T152">
        <v>4066093.124241218</v>
      </c>
      <c r="U152">
        <v>5459739.6106191278</v>
      </c>
      <c r="V152">
        <v>6142106.6832750207</v>
      </c>
      <c r="W152">
        <v>8437982.3068115544</v>
      </c>
      <c r="X152">
        <v>5196261.4800962899</v>
      </c>
      <c r="Y152">
        <v>6015322.2779377382</v>
      </c>
    </row>
    <row r="153" spans="1:25" x14ac:dyDescent="0.45">
      <c r="A153" t="s">
        <v>303</v>
      </c>
      <c r="B153">
        <v>15306077.265810765</v>
      </c>
      <c r="C153">
        <v>79555870.852892339</v>
      </c>
      <c r="D153">
        <v>17815869.500005942</v>
      </c>
      <c r="E153">
        <v>49328310.888139181</v>
      </c>
      <c r="F153">
        <v>18480096.438715093</v>
      </c>
      <c r="G153">
        <v>101147608.95630538</v>
      </c>
      <c r="H153">
        <v>7944867.4557148945</v>
      </c>
      <c r="I153">
        <v>1047475295.3318951</v>
      </c>
      <c r="J153">
        <v>16405799.38965141</v>
      </c>
      <c r="K153">
        <v>44819938.857605666</v>
      </c>
      <c r="L153">
        <v>746237623.27300596</v>
      </c>
      <c r="M153">
        <v>9212354.6680844985</v>
      </c>
      <c r="N153">
        <v>1512026759.9986193</v>
      </c>
      <c r="O153">
        <v>47295382.098109096</v>
      </c>
      <c r="P153">
        <v>78936833.828610197</v>
      </c>
      <c r="Q153">
        <v>58926368.846359678</v>
      </c>
      <c r="R153">
        <v>242051675.47165304</v>
      </c>
      <c r="S153">
        <v>37949770.147129312</v>
      </c>
      <c r="T153">
        <v>69884814.404383063</v>
      </c>
      <c r="U153">
        <v>61364510.341931403</v>
      </c>
      <c r="V153">
        <v>64368899.445415884</v>
      </c>
      <c r="W153">
        <v>28602980.481835846</v>
      </c>
      <c r="X153">
        <v>24224520.980675895</v>
      </c>
      <c r="Y153">
        <v>14505923.431232914</v>
      </c>
    </row>
    <row r="154" spans="1:25" x14ac:dyDescent="0.45">
      <c r="A154" t="s">
        <v>422</v>
      </c>
      <c r="B154">
        <v>1906165.5257630665</v>
      </c>
      <c r="C154">
        <v>10729494.85925879</v>
      </c>
      <c r="D154">
        <v>4307933.4630229259</v>
      </c>
      <c r="E154">
        <v>3794551.3938561692</v>
      </c>
      <c r="F154">
        <v>3290388.7977262111</v>
      </c>
      <c r="G154">
        <v>5660241.1012717653</v>
      </c>
      <c r="H154">
        <v>7628521.4708677782</v>
      </c>
      <c r="I154">
        <v>10360754.031428244</v>
      </c>
      <c r="J154">
        <v>6898014.6900130417</v>
      </c>
      <c r="K154">
        <v>4905168.7710265592</v>
      </c>
      <c r="L154">
        <v>11202523.3611132</v>
      </c>
      <c r="M154">
        <v>8167278.6350869369</v>
      </c>
      <c r="N154">
        <v>4683953.5079653254</v>
      </c>
      <c r="O154">
        <v>3651542.0027021701</v>
      </c>
      <c r="P154">
        <v>2336276.8468272011</v>
      </c>
      <c r="Q154">
        <v>5770764.5163734471</v>
      </c>
      <c r="R154">
        <v>15003213.592545601</v>
      </c>
      <c r="S154">
        <v>9494222.219438104</v>
      </c>
      <c r="T154">
        <v>5599222.9671897152</v>
      </c>
      <c r="U154">
        <v>7069224.1920944937</v>
      </c>
      <c r="V154">
        <v>6956891.2940897718</v>
      </c>
      <c r="W154">
        <v>2799132.5319469245</v>
      </c>
      <c r="X154">
        <v>5400871.3861943781</v>
      </c>
      <c r="Y154">
        <v>7435023.3070750646</v>
      </c>
    </row>
    <row r="155" spans="1:25" x14ac:dyDescent="0.45">
      <c r="A155" t="s">
        <v>433</v>
      </c>
      <c r="B155">
        <v>149320.0525006103</v>
      </c>
      <c r="C155">
        <v>182027.91546009845</v>
      </c>
      <c r="D155">
        <v>141370.85774408357</v>
      </c>
      <c r="E155">
        <v>148338.24500967719</v>
      </c>
      <c r="F155">
        <v>199430.95828607032</v>
      </c>
      <c r="G155">
        <v>222549.85689670392</v>
      </c>
      <c r="H155">
        <v>164029.64691555881</v>
      </c>
      <c r="I155">
        <v>2484417.1682041814</v>
      </c>
      <c r="J155">
        <v>1151821.4172061011</v>
      </c>
      <c r="K155">
        <v>91444.467275570569</v>
      </c>
      <c r="L155">
        <v>187998.059226079</v>
      </c>
      <c r="M155">
        <v>55488.953652965123</v>
      </c>
      <c r="N155">
        <v>523299697.52051014</v>
      </c>
      <c r="O155">
        <v>210442.5018577149</v>
      </c>
      <c r="P155">
        <v>108353.9158117575</v>
      </c>
      <c r="Q155">
        <v>1100777.8841508171</v>
      </c>
      <c r="R155">
        <v>1153268.6160473654</v>
      </c>
      <c r="S155">
        <v>1262490.8106786064</v>
      </c>
      <c r="T155">
        <v>160581.60588963324</v>
      </c>
      <c r="U155">
        <v>1711270.5750292805</v>
      </c>
      <c r="V155">
        <v>252135.63110947734</v>
      </c>
      <c r="W155">
        <v>163907.4573527833</v>
      </c>
      <c r="X155">
        <v>297806.36507894931</v>
      </c>
      <c r="Y155">
        <v>487070.0797821898</v>
      </c>
    </row>
    <row r="156" spans="1:25" x14ac:dyDescent="0.45">
      <c r="A156" t="s">
        <v>352</v>
      </c>
      <c r="B156">
        <v>45464042.145297088</v>
      </c>
      <c r="C156">
        <v>81469847.177059188</v>
      </c>
      <c r="D156">
        <v>36471758.765944988</v>
      </c>
      <c r="E156">
        <v>55806071.789210774</v>
      </c>
      <c r="F156">
        <v>95662918.092523217</v>
      </c>
      <c r="G156">
        <v>79652377.175167635</v>
      </c>
      <c r="H156">
        <v>32668783.738535203</v>
      </c>
      <c r="I156">
        <v>23734802.414888304</v>
      </c>
      <c r="J156">
        <v>133019126.48934615</v>
      </c>
      <c r="K156">
        <v>88279323.507991835</v>
      </c>
      <c r="L156">
        <v>33788063.076142997</v>
      </c>
      <c r="M156">
        <v>57076610.030437313</v>
      </c>
      <c r="N156">
        <v>138932464.83363262</v>
      </c>
      <c r="O156">
        <v>96909596.04281649</v>
      </c>
      <c r="P156">
        <v>46849407.610382043</v>
      </c>
      <c r="Q156">
        <v>16519703.698401991</v>
      </c>
      <c r="R156">
        <v>127940116.76387846</v>
      </c>
      <c r="S156">
        <v>78059209.420211256</v>
      </c>
      <c r="T156">
        <v>42047727.907211654</v>
      </c>
      <c r="U156">
        <v>136789752.53276607</v>
      </c>
      <c r="V156">
        <v>84920233.440433756</v>
      </c>
      <c r="W156">
        <v>73487346.695712671</v>
      </c>
      <c r="X156">
        <v>77617961.589580774</v>
      </c>
      <c r="Y156">
        <v>63575159.278957345</v>
      </c>
    </row>
    <row r="157" spans="1:25" x14ac:dyDescent="0.45">
      <c r="A157" t="s">
        <v>370</v>
      </c>
      <c r="B157">
        <v>3775387.7834838713</v>
      </c>
      <c r="C157">
        <v>11943753.628718596</v>
      </c>
      <c r="D157">
        <v>5427858.4678335879</v>
      </c>
      <c r="E157">
        <v>7760001.4086408056</v>
      </c>
      <c r="F157">
        <v>10536897.029850328</v>
      </c>
      <c r="G157">
        <v>10726976.458266864</v>
      </c>
      <c r="H157">
        <v>5151351.2170099393</v>
      </c>
      <c r="I157">
        <v>10080981.765568508</v>
      </c>
      <c r="J157">
        <v>14020848.060268763</v>
      </c>
      <c r="K157">
        <v>10106847.789112903</v>
      </c>
      <c r="L157">
        <v>13683034.864075201</v>
      </c>
      <c r="M157">
        <v>10139100.638912937</v>
      </c>
      <c r="N157">
        <v>14130093.452350967</v>
      </c>
      <c r="O157">
        <v>10498441.388564629</v>
      </c>
      <c r="P157">
        <v>6504135.58325464</v>
      </c>
      <c r="Q157">
        <v>8424456.7857851703</v>
      </c>
      <c r="R157">
        <v>15602844.990283219</v>
      </c>
      <c r="S157">
        <v>27593276.162694231</v>
      </c>
      <c r="T157">
        <v>9358500.4538880438</v>
      </c>
      <c r="U157">
        <v>7951339.7398799164</v>
      </c>
      <c r="V157">
        <v>8984110.9252515864</v>
      </c>
      <c r="W157">
        <v>5896265.7280052798</v>
      </c>
      <c r="X157">
        <v>8171822.4746087743</v>
      </c>
      <c r="Y157">
        <v>10317050.250311518</v>
      </c>
    </row>
    <row r="158" spans="1:25" x14ac:dyDescent="0.45">
      <c r="A158" t="s">
        <v>358</v>
      </c>
      <c r="B158">
        <v>40824164.046261773</v>
      </c>
      <c r="C158">
        <v>81178561.270157024</v>
      </c>
      <c r="D158">
        <v>44986393.061303206</v>
      </c>
      <c r="E158">
        <v>44413277.623581067</v>
      </c>
      <c r="F158">
        <v>79854631.716166377</v>
      </c>
      <c r="G158">
        <v>77706596.602607355</v>
      </c>
      <c r="H158">
        <v>47752546.85270305</v>
      </c>
      <c r="I158">
        <v>335432967.44801927</v>
      </c>
      <c r="J158">
        <v>209601195.98328656</v>
      </c>
      <c r="K158">
        <v>84488096.731154338</v>
      </c>
      <c r="L158">
        <v>452952393.88281298</v>
      </c>
      <c r="M158">
        <v>59000152.737545371</v>
      </c>
      <c r="N158">
        <v>48427792.020938881</v>
      </c>
      <c r="O158">
        <v>82415258.476760641</v>
      </c>
      <c r="P158">
        <v>44390621.768009298</v>
      </c>
      <c r="Q158">
        <v>43180042.289968804</v>
      </c>
      <c r="R158">
        <v>120122193.71725687</v>
      </c>
      <c r="S158">
        <v>80597215.607725099</v>
      </c>
      <c r="T158">
        <v>50560708.717010491</v>
      </c>
      <c r="U158">
        <v>136496973.61933243</v>
      </c>
      <c r="V158">
        <v>61108806.421552636</v>
      </c>
      <c r="W158">
        <v>88753921.178292528</v>
      </c>
      <c r="X158">
        <v>104966194.31105736</v>
      </c>
      <c r="Y158">
        <v>119890734.40241139</v>
      </c>
    </row>
    <row r="159" spans="1:25" x14ac:dyDescent="0.45">
      <c r="A159" t="s">
        <v>165</v>
      </c>
      <c r="B159">
        <v>5814416.4697944475</v>
      </c>
      <c r="C159">
        <v>6753201.1943518389</v>
      </c>
      <c r="D159">
        <v>8115827.3933435623</v>
      </c>
      <c r="E159">
        <v>9402048.9733896181</v>
      </c>
      <c r="F159">
        <v>13459794.950848809</v>
      </c>
      <c r="G159">
        <v>16588929.571798725</v>
      </c>
      <c r="H159">
        <v>8321755.8567947578</v>
      </c>
      <c r="I159">
        <v>103078552.19968165</v>
      </c>
      <c r="J159">
        <v>45990987.99995549</v>
      </c>
      <c r="K159">
        <v>13589600.212054204</v>
      </c>
      <c r="L159">
        <v>37522327.479195103</v>
      </c>
      <c r="M159">
        <v>9278118.6678203754</v>
      </c>
      <c r="N159">
        <v>25297483.73657956</v>
      </c>
      <c r="O159">
        <v>10511300.56721181</v>
      </c>
      <c r="P159">
        <v>8451096.4267189093</v>
      </c>
      <c r="Q159">
        <v>5163674.2671649149</v>
      </c>
      <c r="R159">
        <v>17855736.217195991</v>
      </c>
      <c r="S159">
        <v>8589962.0016711671</v>
      </c>
      <c r="T159">
        <v>13735877.861395547</v>
      </c>
      <c r="U159">
        <v>23040326.585696168</v>
      </c>
      <c r="V159">
        <v>29315318.600211535</v>
      </c>
      <c r="W159">
        <v>10588307.038887123</v>
      </c>
      <c r="X159">
        <v>13301026.03035723</v>
      </c>
      <c r="Y159">
        <v>8722259.0352541395</v>
      </c>
    </row>
    <row r="160" spans="1:25" x14ac:dyDescent="0.45">
      <c r="A160" t="s">
        <v>166</v>
      </c>
      <c r="B160">
        <v>1013444.0056986829</v>
      </c>
      <c r="C160">
        <v>2279225.3933565123</v>
      </c>
      <c r="D160">
        <v>1882543.8058972917</v>
      </c>
      <c r="E160">
        <v>2012044.3918230981</v>
      </c>
      <c r="F160">
        <v>4111873.2121914881</v>
      </c>
      <c r="G160">
        <v>1947566.4190781126</v>
      </c>
      <c r="H160">
        <v>843630.78674620611</v>
      </c>
      <c r="I160">
        <v>26279739.492897328</v>
      </c>
      <c r="J160">
        <v>6703878.9518769365</v>
      </c>
      <c r="K160">
        <v>2917845.884483214</v>
      </c>
      <c r="L160">
        <v>33904010.214464203</v>
      </c>
      <c r="M160">
        <v>2008608.0257862124</v>
      </c>
      <c r="N160">
        <v>3668294.7175471121</v>
      </c>
      <c r="O160">
        <v>2262515.3960074042</v>
      </c>
      <c r="P160">
        <v>1467315.0964135851</v>
      </c>
      <c r="Q160">
        <v>1635040.7901929838</v>
      </c>
      <c r="R160">
        <v>4978376.7629315164</v>
      </c>
      <c r="S160">
        <v>2718412.3833059957</v>
      </c>
      <c r="T160">
        <v>1835741.4898505032</v>
      </c>
      <c r="U160">
        <v>4604848.3207420101</v>
      </c>
      <c r="V160">
        <v>2078667.6336684402</v>
      </c>
      <c r="W160">
        <v>2907710.2866935385</v>
      </c>
      <c r="X160">
        <v>2711504.1865848806</v>
      </c>
      <c r="Y160">
        <v>3429477.4756929683</v>
      </c>
    </row>
    <row r="161" spans="1:25" x14ac:dyDescent="0.45">
      <c r="A161" t="s">
        <v>423</v>
      </c>
      <c r="B161">
        <v>40292718.222931467</v>
      </c>
      <c r="C161">
        <v>38851983.082947217</v>
      </c>
      <c r="D161">
        <v>46499271.641668536</v>
      </c>
      <c r="E161">
        <v>30774902.626001723</v>
      </c>
      <c r="F161">
        <v>22864617.234160978</v>
      </c>
      <c r="G161">
        <v>37587871.63423647</v>
      </c>
      <c r="H161">
        <v>37525265.395112485</v>
      </c>
      <c r="I161">
        <v>205044002.57702175</v>
      </c>
      <c r="J161">
        <v>94578485.505108908</v>
      </c>
      <c r="K161">
        <v>211110282.11148894</v>
      </c>
      <c r="L161">
        <v>266844365.12914199</v>
      </c>
      <c r="M161">
        <v>236446447.86223122</v>
      </c>
      <c r="N161">
        <v>210506034.62683082</v>
      </c>
      <c r="O161">
        <v>57323993.021026596</v>
      </c>
      <c r="P161">
        <v>29583717.205387209</v>
      </c>
      <c r="Q161">
        <v>16333179.749029661</v>
      </c>
      <c r="R161">
        <v>78751100.257561117</v>
      </c>
      <c r="S161">
        <v>72916024.714533508</v>
      </c>
      <c r="T161">
        <v>23059884.546313658</v>
      </c>
      <c r="U161">
        <v>99863916.299286813</v>
      </c>
      <c r="V161">
        <v>14217009.349202342</v>
      </c>
      <c r="W161">
        <v>54080023.078263901</v>
      </c>
      <c r="X161">
        <v>89075085.198533848</v>
      </c>
      <c r="Y161">
        <v>70481985.238600835</v>
      </c>
    </row>
    <row r="162" spans="1:25" x14ac:dyDescent="0.45">
      <c r="A162" t="s">
        <v>167</v>
      </c>
      <c r="B162">
        <v>991065.40603388636</v>
      </c>
      <c r="C162">
        <v>657626.68342654838</v>
      </c>
      <c r="D162">
        <v>505938.29687074403</v>
      </c>
      <c r="E162">
        <v>914689.28969300271</v>
      </c>
      <c r="F162">
        <v>2772766.5526861977</v>
      </c>
      <c r="G162">
        <v>1014730.9633467793</v>
      </c>
      <c r="H162">
        <v>743328.08470788214</v>
      </c>
      <c r="I162">
        <v>475779.61954623775</v>
      </c>
      <c r="J162">
        <v>3011504.1140637845</v>
      </c>
      <c r="K162">
        <v>1907512.5031984176</v>
      </c>
      <c r="L162">
        <v>514745.32659530401</v>
      </c>
      <c r="M162">
        <v>1979770.6449028435</v>
      </c>
      <c r="N162">
        <v>774276.12207752652</v>
      </c>
      <c r="O162">
        <v>1434277.3449412978</v>
      </c>
      <c r="P162">
        <v>347090.42262207967</v>
      </c>
      <c r="Q162">
        <v>285780.77584922093</v>
      </c>
      <c r="R162">
        <v>1962323.2243462096</v>
      </c>
      <c r="S162">
        <v>2511232.2017499208</v>
      </c>
      <c r="T162">
        <v>286583.46758482419</v>
      </c>
      <c r="U162">
        <v>1717340.6611806012</v>
      </c>
      <c r="V162">
        <v>677933.28548452852</v>
      </c>
      <c r="W162">
        <v>1932406.4267021606</v>
      </c>
      <c r="X162">
        <v>1543526.4702701783</v>
      </c>
      <c r="Y162">
        <v>1107831.6906488675</v>
      </c>
    </row>
    <row r="163" spans="1:25" x14ac:dyDescent="0.45">
      <c r="A163" t="s">
        <v>168</v>
      </c>
      <c r="B163">
        <v>14360167.619113052</v>
      </c>
      <c r="C163">
        <v>11633061.711196709</v>
      </c>
      <c r="D163">
        <v>17007496.808539964</v>
      </c>
      <c r="E163">
        <v>5813058.2148418818</v>
      </c>
      <c r="F163">
        <v>13543710.082072128</v>
      </c>
      <c r="G163">
        <v>4471796.0250638183</v>
      </c>
      <c r="H163">
        <v>4112245.6439369982</v>
      </c>
      <c r="I163">
        <v>28692706.654246602</v>
      </c>
      <c r="J163">
        <v>36794335.273110904</v>
      </c>
      <c r="K163">
        <v>9142895.3522058986</v>
      </c>
      <c r="L163">
        <v>469593377.25070202</v>
      </c>
      <c r="M163">
        <v>15502338.734913062</v>
      </c>
      <c r="N163">
        <v>3878143.2055377299</v>
      </c>
      <c r="O163">
        <v>27507801.903842345</v>
      </c>
      <c r="P163">
        <v>3804849.4970546947</v>
      </c>
      <c r="Q163">
        <v>3494423.7420945801</v>
      </c>
      <c r="R163">
        <v>20747742.821094118</v>
      </c>
      <c r="S163">
        <v>9423424.7436987292</v>
      </c>
      <c r="T163">
        <v>5339694.8134154743</v>
      </c>
      <c r="U163">
        <v>40863481.473412327</v>
      </c>
      <c r="V163">
        <v>8357285.3094050279</v>
      </c>
      <c r="W163">
        <v>28562193.270692065</v>
      </c>
      <c r="X163">
        <v>21483469.836986303</v>
      </c>
      <c r="Y163">
        <v>6589359.8698833231</v>
      </c>
    </row>
    <row r="164" spans="1:25" x14ac:dyDescent="0.45">
      <c r="A164" t="s">
        <v>169</v>
      </c>
      <c r="B164">
        <v>9624666.8450134452</v>
      </c>
      <c r="C164">
        <v>18535306.502643567</v>
      </c>
      <c r="D164">
        <v>8757310.885325266</v>
      </c>
      <c r="E164">
        <v>4727307.4828282865</v>
      </c>
      <c r="F164">
        <v>3201566.9868344795</v>
      </c>
      <c r="G164">
        <v>5216492.5851533338</v>
      </c>
      <c r="H164">
        <v>1050482.2222589483</v>
      </c>
      <c r="I164">
        <v>26630913.80615418</v>
      </c>
      <c r="J164">
        <v>13542903.856001103</v>
      </c>
      <c r="K164">
        <v>6997203.6027862513</v>
      </c>
      <c r="L164">
        <v>40360083.3968537</v>
      </c>
      <c r="M164">
        <v>19039882.920627873</v>
      </c>
      <c r="N164">
        <v>1106217.0849645883</v>
      </c>
      <c r="O164">
        <v>4028009.3093500589</v>
      </c>
      <c r="P164">
        <v>6625772.5695275515</v>
      </c>
      <c r="Q164">
        <v>3500707.1532275937</v>
      </c>
      <c r="R164">
        <v>12162606.400866767</v>
      </c>
      <c r="S164">
        <v>158958.15177617958</v>
      </c>
      <c r="T164">
        <v>3274400.2277475717</v>
      </c>
      <c r="U164">
        <v>5835715.7050315179</v>
      </c>
      <c r="V164">
        <v>3733642.8169198642</v>
      </c>
      <c r="W164">
        <v>3322867.4120690147</v>
      </c>
      <c r="X164">
        <v>10175597.641940178</v>
      </c>
      <c r="Y164">
        <v>7561149.7884236481</v>
      </c>
    </row>
    <row r="165" spans="1:25" x14ac:dyDescent="0.45">
      <c r="A165" t="s">
        <v>170</v>
      </c>
      <c r="B165">
        <v>2686327.2347404994</v>
      </c>
      <c r="C165">
        <v>4135999.0951197259</v>
      </c>
      <c r="D165">
        <v>2739380.410379447</v>
      </c>
      <c r="E165">
        <v>2526821.3429473029</v>
      </c>
      <c r="F165">
        <v>2966204.6280879453</v>
      </c>
      <c r="G165">
        <v>3724920.409495044</v>
      </c>
      <c r="H165">
        <v>3273103.2126225033</v>
      </c>
      <c r="I165">
        <v>9330686.6463677511</v>
      </c>
      <c r="J165">
        <v>5435532.5765746711</v>
      </c>
      <c r="K165">
        <v>5108964.9437105106</v>
      </c>
      <c r="L165">
        <v>19993496.0282842</v>
      </c>
      <c r="M165">
        <v>5572013.2438978804</v>
      </c>
      <c r="N165">
        <v>2956890.3659905703</v>
      </c>
      <c r="O165">
        <v>3635653.9691403033</v>
      </c>
      <c r="P165">
        <v>4101529.6885034125</v>
      </c>
      <c r="Q165">
        <v>3021524.5562602375</v>
      </c>
      <c r="R165">
        <v>6331074.8190543232</v>
      </c>
      <c r="S165">
        <v>5551234.501915819</v>
      </c>
      <c r="T165">
        <v>4069796.7476220094</v>
      </c>
      <c r="U165">
        <v>5495368.9766148292</v>
      </c>
      <c r="V165">
        <v>5492102.7317058621</v>
      </c>
      <c r="W165">
        <v>4505561.1160088712</v>
      </c>
      <c r="X165">
        <v>6039806.3435410336</v>
      </c>
      <c r="Y165">
        <v>5970076.4243287668</v>
      </c>
    </row>
    <row r="166" spans="1:25" x14ac:dyDescent="0.45">
      <c r="A166" t="s">
        <v>171</v>
      </c>
      <c r="B166">
        <v>186752.45493294921</v>
      </c>
      <c r="C166">
        <v>3649493.9006574773</v>
      </c>
      <c r="D166">
        <v>128720.8939068563</v>
      </c>
      <c r="E166">
        <v>183930.53101186824</v>
      </c>
      <c r="F166">
        <v>281970.20502870448</v>
      </c>
      <c r="G166">
        <v>4655002.509929372</v>
      </c>
      <c r="H166">
        <v>135036.17162860581</v>
      </c>
      <c r="I166">
        <v>7461605.3059784472</v>
      </c>
      <c r="J166">
        <v>9376934.6022941489</v>
      </c>
      <c r="K166">
        <v>4868922.4791115178</v>
      </c>
      <c r="L166">
        <v>20753942.6091027</v>
      </c>
      <c r="M166">
        <v>289746.59925123188</v>
      </c>
      <c r="N166">
        <v>5530552.6403339729</v>
      </c>
      <c r="O166">
        <v>5411710.3866622336</v>
      </c>
      <c r="P166">
        <v>9351718.2793153003</v>
      </c>
      <c r="Q166">
        <v>2207702.2936656312</v>
      </c>
      <c r="R166">
        <v>327700.85084975295</v>
      </c>
      <c r="S166">
        <v>309350.06509515428</v>
      </c>
      <c r="T166">
        <v>1939248.7530085428</v>
      </c>
      <c r="U166">
        <v>8371611.5680091744</v>
      </c>
      <c r="V166">
        <v>8803787.9000805337</v>
      </c>
      <c r="W166">
        <v>3599514.3953207838</v>
      </c>
      <c r="X166">
        <v>355812.15416656964</v>
      </c>
      <c r="Y166">
        <v>5013460.1376326447</v>
      </c>
    </row>
    <row r="167" spans="1:25" x14ac:dyDescent="0.45">
      <c r="A167" t="s">
        <v>172</v>
      </c>
      <c r="B167">
        <v>12100957.602876617</v>
      </c>
      <c r="C167">
        <v>16857636.723082129</v>
      </c>
      <c r="D167">
        <v>10514407.830586342</v>
      </c>
      <c r="E167">
        <v>9833765.5176741648</v>
      </c>
      <c r="F167">
        <v>21439029.152777947</v>
      </c>
      <c r="G167">
        <v>17117911.674134314</v>
      </c>
      <c r="H167">
        <v>15592268.052162906</v>
      </c>
      <c r="I167">
        <v>8168868.7071795464</v>
      </c>
      <c r="J167">
        <v>28435083.50481052</v>
      </c>
      <c r="K167">
        <v>23564173.809631694</v>
      </c>
      <c r="L167">
        <v>50465083.412576102</v>
      </c>
      <c r="M167">
        <v>22974263.698714375</v>
      </c>
      <c r="N167">
        <v>2710761.8135518292</v>
      </c>
      <c r="O167">
        <v>22301105.047278032</v>
      </c>
      <c r="P167">
        <v>9080370.4860246293</v>
      </c>
      <c r="Q167">
        <v>5294850.3288500803</v>
      </c>
      <c r="R167">
        <v>16799570.886579428</v>
      </c>
      <c r="S167">
        <v>21885148.007879332</v>
      </c>
      <c r="T167">
        <v>5139882.1982255746</v>
      </c>
      <c r="U167">
        <v>39759755.60925439</v>
      </c>
      <c r="V167">
        <v>13755258.310243333</v>
      </c>
      <c r="W167">
        <v>19812370.044563904</v>
      </c>
      <c r="X167">
        <v>19326870.986733843</v>
      </c>
      <c r="Y167">
        <v>13331029.839243472</v>
      </c>
    </row>
    <row r="168" spans="1:25" x14ac:dyDescent="0.45">
      <c r="A168" t="s">
        <v>173</v>
      </c>
      <c r="B168">
        <v>6187511.7006791821</v>
      </c>
      <c r="C168">
        <v>9434655.0602202509</v>
      </c>
      <c r="D168">
        <v>3891478.9586879755</v>
      </c>
      <c r="E168">
        <v>8150946.6078750752</v>
      </c>
      <c r="F168">
        <v>902098.44322732929</v>
      </c>
      <c r="G168">
        <v>11813232.730770342</v>
      </c>
      <c r="H168">
        <v>7322569.910134336</v>
      </c>
      <c r="I168">
        <v>10522911.281249484</v>
      </c>
      <c r="J168">
        <v>14487830.837443231</v>
      </c>
      <c r="K168">
        <v>8963854.4629311357</v>
      </c>
      <c r="L168">
        <v>8126589.0190642299</v>
      </c>
      <c r="M168">
        <v>1484181.8873055</v>
      </c>
      <c r="N168">
        <v>3321243.4873607075</v>
      </c>
      <c r="O168">
        <v>17391158.279375959</v>
      </c>
      <c r="P168">
        <v>4311938.2446633391</v>
      </c>
      <c r="Q168">
        <v>2751568.939462455</v>
      </c>
      <c r="R168">
        <v>4684939.3203012832</v>
      </c>
      <c r="S168">
        <v>9038273.2949936874</v>
      </c>
      <c r="T168">
        <v>4042228.7517500366</v>
      </c>
      <c r="U168">
        <v>23216427.278083526</v>
      </c>
      <c r="V168">
        <v>1208832.2800500363</v>
      </c>
      <c r="W168">
        <v>3098008.6341744363</v>
      </c>
      <c r="X168">
        <v>1646518.8857567299</v>
      </c>
      <c r="Y168">
        <v>1859082.7117402749</v>
      </c>
    </row>
    <row r="169" spans="1:25" x14ac:dyDescent="0.45">
      <c r="A169" t="s">
        <v>359</v>
      </c>
      <c r="B169">
        <v>20564168.915329095</v>
      </c>
      <c r="C169">
        <v>50301418.991076693</v>
      </c>
      <c r="D169">
        <v>27807150.430487689</v>
      </c>
      <c r="E169">
        <v>31296715.582052927</v>
      </c>
      <c r="F169">
        <v>62729873.18760135</v>
      </c>
      <c r="G169">
        <v>43506030.391996957</v>
      </c>
      <c r="H169">
        <v>23225291.417694524</v>
      </c>
      <c r="I169">
        <v>198888169.70988011</v>
      </c>
      <c r="J169">
        <v>145400140.04267222</v>
      </c>
      <c r="K169">
        <v>39337292.574542396</v>
      </c>
      <c r="L169">
        <v>195368151.271092</v>
      </c>
      <c r="M169">
        <v>38015832.813300498</v>
      </c>
      <c r="N169">
        <v>48261031.937912658</v>
      </c>
      <c r="O169">
        <v>41385173.357033141</v>
      </c>
      <c r="P169">
        <v>20145366.189598523</v>
      </c>
      <c r="Q169">
        <v>26832807.133423243</v>
      </c>
      <c r="R169">
        <v>120371046.10136344</v>
      </c>
      <c r="S169">
        <v>69799354.349215671</v>
      </c>
      <c r="T169">
        <v>24350768.619688541</v>
      </c>
      <c r="U169">
        <v>74055156.077778116</v>
      </c>
      <c r="V169">
        <v>34864912.820403919</v>
      </c>
      <c r="W169">
        <v>53182470.130734108</v>
      </c>
      <c r="X169">
        <v>71755689.478524193</v>
      </c>
      <c r="Y169">
        <v>69180857.971013695</v>
      </c>
    </row>
    <row r="170" spans="1:25" x14ac:dyDescent="0.45">
      <c r="A170" t="s">
        <v>304</v>
      </c>
      <c r="B170">
        <v>951724242.59819746</v>
      </c>
      <c r="C170">
        <v>792247733.3803122</v>
      </c>
      <c r="D170">
        <v>386683586.81826806</v>
      </c>
      <c r="E170">
        <v>959386560.08044875</v>
      </c>
      <c r="F170">
        <v>178186357.77232617</v>
      </c>
      <c r="G170">
        <v>705912434.39931858</v>
      </c>
      <c r="H170">
        <v>606840790.387447</v>
      </c>
      <c r="I170">
        <v>104587015.17674658</v>
      </c>
      <c r="J170">
        <v>498204823.87341392</v>
      </c>
      <c r="K170">
        <v>1013204468.6478171</v>
      </c>
      <c r="L170">
        <v>444112266.48849899</v>
      </c>
      <c r="M170">
        <v>794168204.86870623</v>
      </c>
      <c r="N170">
        <v>22622250.757121742</v>
      </c>
      <c r="O170">
        <v>193227477.90813351</v>
      </c>
      <c r="P170">
        <v>469612656.70347023</v>
      </c>
      <c r="Q170">
        <v>658330872.6529423</v>
      </c>
      <c r="R170">
        <v>569065602.14889896</v>
      </c>
      <c r="S170">
        <v>758236027.28010511</v>
      </c>
      <c r="T170">
        <v>861662424.76016462</v>
      </c>
      <c r="U170">
        <v>448981147.66504312</v>
      </c>
      <c r="V170">
        <v>940663145.95803344</v>
      </c>
      <c r="W170">
        <v>405401434.94423878</v>
      </c>
      <c r="X170">
        <v>787853777.56185246</v>
      </c>
      <c r="Y170">
        <v>1054940782.1462221</v>
      </c>
    </row>
    <row r="171" spans="1:25" x14ac:dyDescent="0.45">
      <c r="A171" t="s">
        <v>174</v>
      </c>
      <c r="B171">
        <v>83739066.677326739</v>
      </c>
      <c r="C171">
        <v>395221520.70555168</v>
      </c>
      <c r="D171">
        <v>81804224.184055865</v>
      </c>
      <c r="E171">
        <v>100563443.89523052</v>
      </c>
      <c r="F171">
        <v>106062061.22550344</v>
      </c>
      <c r="G171">
        <v>323554440.74609214</v>
      </c>
      <c r="H171">
        <v>100911197.40286379</v>
      </c>
      <c r="I171">
        <v>650162894.69116485</v>
      </c>
      <c r="J171">
        <v>266825550.92980984</v>
      </c>
      <c r="K171">
        <v>335648865.58485234</v>
      </c>
      <c r="L171">
        <v>1302503627.23281</v>
      </c>
      <c r="M171">
        <v>413764024.34114814</v>
      </c>
      <c r="N171">
        <v>49562876.176790059</v>
      </c>
      <c r="O171">
        <v>120799672.07083139</v>
      </c>
      <c r="P171">
        <v>259980034.75762701</v>
      </c>
      <c r="Q171">
        <v>243970261.14327571</v>
      </c>
      <c r="R171">
        <v>776307839.05451787</v>
      </c>
      <c r="S171">
        <v>29708444.123706613</v>
      </c>
      <c r="T171">
        <v>228303553.97876251</v>
      </c>
      <c r="U171">
        <v>193613801.03411329</v>
      </c>
      <c r="V171">
        <v>257983269.34829813</v>
      </c>
      <c r="W171">
        <v>128775348.51225452</v>
      </c>
      <c r="X171">
        <v>771734518.3325547</v>
      </c>
      <c r="Y171">
        <v>882903476.34813333</v>
      </c>
    </row>
    <row r="172" spans="1:25" x14ac:dyDescent="0.45">
      <c r="A172" t="s">
        <v>424</v>
      </c>
      <c r="B172">
        <v>2006583.9582364305</v>
      </c>
      <c r="C172">
        <v>2062774.8397343669</v>
      </c>
      <c r="D172">
        <v>2022060.8464296097</v>
      </c>
      <c r="E172">
        <v>1489580.2107664836</v>
      </c>
      <c r="F172">
        <v>2610706.9881128282</v>
      </c>
      <c r="G172">
        <v>2639429.9880900001</v>
      </c>
      <c r="H172">
        <v>1768661.5127263027</v>
      </c>
      <c r="I172">
        <v>71095024.063026816</v>
      </c>
      <c r="J172">
        <v>17787457.128744215</v>
      </c>
      <c r="K172">
        <v>3855627.2503909352</v>
      </c>
      <c r="L172">
        <v>36528005.611094996</v>
      </c>
      <c r="M172">
        <v>3493951.6777216997</v>
      </c>
      <c r="N172">
        <v>4555791.0373499896</v>
      </c>
      <c r="O172">
        <v>2690669.2155557978</v>
      </c>
      <c r="P172">
        <v>2994756.7909990922</v>
      </c>
      <c r="Q172">
        <v>1645041.5667397596</v>
      </c>
      <c r="R172">
        <v>3829814.6055791001</v>
      </c>
      <c r="S172">
        <v>3571827.6829883885</v>
      </c>
      <c r="T172">
        <v>1367442.7407151414</v>
      </c>
      <c r="U172">
        <v>6910497.4342362257</v>
      </c>
      <c r="V172">
        <v>2654433.7715494237</v>
      </c>
      <c r="W172">
        <v>2346803.0968516325</v>
      </c>
      <c r="X172">
        <v>4126485.6245804266</v>
      </c>
      <c r="Y172">
        <v>4558080.4092389932</v>
      </c>
    </row>
    <row r="173" spans="1:25" x14ac:dyDescent="0.45">
      <c r="A173" t="s">
        <v>305</v>
      </c>
      <c r="B173">
        <v>13451803.595278682</v>
      </c>
      <c r="C173">
        <v>28573316.058939073</v>
      </c>
      <c r="D173">
        <v>7974334.149378988</v>
      </c>
      <c r="E173">
        <v>10145338.966078881</v>
      </c>
      <c r="F173">
        <v>11271326.613041073</v>
      </c>
      <c r="G173">
        <v>10940529.42108348</v>
      </c>
      <c r="H173">
        <v>8502011.6580116153</v>
      </c>
      <c r="I173">
        <v>31503502.107534666</v>
      </c>
      <c r="J173">
        <v>21871934.84259177</v>
      </c>
      <c r="K173">
        <v>17199916.768798679</v>
      </c>
      <c r="L173">
        <v>87477597.416941896</v>
      </c>
      <c r="M173">
        <v>16964003.674452126</v>
      </c>
      <c r="N173">
        <v>5176074.2283826387</v>
      </c>
      <c r="O173">
        <v>11546131.337888086</v>
      </c>
      <c r="P173">
        <v>10491412.352294331</v>
      </c>
      <c r="Q173">
        <v>9491887.7645531874</v>
      </c>
      <c r="R173">
        <v>21595139.506744478</v>
      </c>
      <c r="S173">
        <v>24177337.20685529</v>
      </c>
      <c r="T173">
        <v>9219423.133768972</v>
      </c>
      <c r="U173">
        <v>18417599.475878622</v>
      </c>
      <c r="V173">
        <v>10947770.03321017</v>
      </c>
      <c r="W173">
        <v>12494633.680845486</v>
      </c>
      <c r="X173">
        <v>16781230.534259968</v>
      </c>
      <c r="Y173">
        <v>18747900.425593954</v>
      </c>
    </row>
    <row r="174" spans="1:25" x14ac:dyDescent="0.45">
      <c r="A174" t="s">
        <v>306</v>
      </c>
      <c r="B174">
        <v>36665996.979104348</v>
      </c>
      <c r="C174">
        <v>31017506.207281325</v>
      </c>
      <c r="D174">
        <v>24448610.40935811</v>
      </c>
      <c r="E174">
        <v>47054755.463447839</v>
      </c>
      <c r="F174">
        <v>50108146.590341814</v>
      </c>
      <c r="G174">
        <v>4594392.2441612156</v>
      </c>
      <c r="H174">
        <v>37701609.211615942</v>
      </c>
      <c r="I174">
        <v>34264765.604842357</v>
      </c>
      <c r="J174">
        <v>79628695.011175632</v>
      </c>
      <c r="K174">
        <v>73802677.459033996</v>
      </c>
      <c r="L174">
        <v>113322732.728825</v>
      </c>
      <c r="M174">
        <v>67957897.90746437</v>
      </c>
      <c r="N174">
        <v>45965991.174283624</v>
      </c>
      <c r="O174">
        <v>44784827.109115906</v>
      </c>
      <c r="P174">
        <v>27220192.29344184</v>
      </c>
      <c r="Q174">
        <v>20914822.978357606</v>
      </c>
      <c r="R174">
        <v>48052669.530472085</v>
      </c>
      <c r="S174">
        <v>51759289.749450579</v>
      </c>
      <c r="T174">
        <v>27246849.504753534</v>
      </c>
      <c r="U174">
        <v>72642697.061731994</v>
      </c>
      <c r="V174">
        <v>42718252.680717058</v>
      </c>
      <c r="W174">
        <v>60694101.423508555</v>
      </c>
      <c r="X174">
        <v>73630291.879322007</v>
      </c>
      <c r="Y174">
        <v>61283892.481505163</v>
      </c>
    </row>
    <row r="175" spans="1:25" x14ac:dyDescent="0.45">
      <c r="A175" t="s">
        <v>425</v>
      </c>
      <c r="B175">
        <v>22469570.950737622</v>
      </c>
      <c r="C175">
        <v>125776815.96464138</v>
      </c>
      <c r="D175">
        <v>23029908.491917837</v>
      </c>
      <c r="E175">
        <v>25360770.511345614</v>
      </c>
      <c r="F175">
        <v>25941313.980084587</v>
      </c>
      <c r="G175">
        <v>89688662.727292165</v>
      </c>
      <c r="H175">
        <v>24227965.644202486</v>
      </c>
      <c r="I175">
        <v>253572112.26383537</v>
      </c>
      <c r="J175">
        <v>57933938.155936748</v>
      </c>
      <c r="K175">
        <v>80864859.242600113</v>
      </c>
      <c r="L175">
        <v>188857135.480782</v>
      </c>
      <c r="M175">
        <v>95844101.087942496</v>
      </c>
      <c r="N175">
        <v>10800559.290875167</v>
      </c>
      <c r="O175">
        <v>24822831.277688034</v>
      </c>
      <c r="P175">
        <v>66520534.912277147</v>
      </c>
      <c r="Q175">
        <v>67389106.295965925</v>
      </c>
      <c r="R175">
        <v>247446844.3491469</v>
      </c>
      <c r="S175">
        <v>9015818.0418539476</v>
      </c>
      <c r="T175">
        <v>64856017.420523942</v>
      </c>
      <c r="U175">
        <v>38090300.585061528</v>
      </c>
      <c r="V175">
        <v>73036206.003076494</v>
      </c>
      <c r="W175">
        <v>28790690.193315428</v>
      </c>
      <c r="X175">
        <v>201793857.33924949</v>
      </c>
      <c r="Y175">
        <v>237915266.92266017</v>
      </c>
    </row>
    <row r="176" spans="1:25" x14ac:dyDescent="0.45">
      <c r="A176" t="s">
        <v>307</v>
      </c>
      <c r="B176">
        <v>1752827.0128290399</v>
      </c>
      <c r="C176">
        <v>2784272.5699497713</v>
      </c>
      <c r="D176">
        <v>1873005.1310180037</v>
      </c>
      <c r="E176">
        <v>2467294.9417450763</v>
      </c>
      <c r="F176">
        <v>3351415.5671103825</v>
      </c>
      <c r="G176">
        <v>2757764.9280685144</v>
      </c>
      <c r="H176">
        <v>5173240.7222265247</v>
      </c>
      <c r="I176">
        <v>8628042.3576283958</v>
      </c>
      <c r="J176">
        <v>10333861.471294839</v>
      </c>
      <c r="K176">
        <v>7452110.0551186781</v>
      </c>
      <c r="L176">
        <v>224796706.710471</v>
      </c>
      <c r="M176">
        <v>10731015.423250375</v>
      </c>
      <c r="N176">
        <v>14755563.324068446</v>
      </c>
      <c r="O176">
        <v>9182609.3716083523</v>
      </c>
      <c r="P176">
        <v>6862306.3339179466</v>
      </c>
      <c r="Q176">
        <v>2535433.1330575338</v>
      </c>
      <c r="R176">
        <v>7926171.5584788127</v>
      </c>
      <c r="S176">
        <v>8232216.8883092394</v>
      </c>
      <c r="T176">
        <v>984296.83724653267</v>
      </c>
      <c r="U176">
        <v>4951563.2929125307</v>
      </c>
      <c r="V176">
        <v>1341241.6702571623</v>
      </c>
      <c r="W176">
        <v>3905927.3979692394</v>
      </c>
      <c r="X176">
        <v>4009652.7196159433</v>
      </c>
      <c r="Y176">
        <v>3551505.5048425165</v>
      </c>
    </row>
    <row r="177" spans="1:25" x14ac:dyDescent="0.45">
      <c r="A177" t="s">
        <v>376</v>
      </c>
      <c r="B177">
        <v>309483766.56086767</v>
      </c>
      <c r="C177">
        <v>229100605.32978329</v>
      </c>
      <c r="D177">
        <v>431553799.51722747</v>
      </c>
      <c r="E177">
        <v>487430733.266958</v>
      </c>
      <c r="F177">
        <v>848006098.70045686</v>
      </c>
      <c r="G177">
        <v>360914142.22802693</v>
      </c>
      <c r="H177">
        <v>291939368.42860073</v>
      </c>
      <c r="I177">
        <v>2678475553.4392185</v>
      </c>
      <c r="J177">
        <v>2008960469.2231913</v>
      </c>
      <c r="K177">
        <v>901831660.66111374</v>
      </c>
      <c r="L177">
        <v>3610153993.7079501</v>
      </c>
      <c r="M177">
        <v>535520301.91046685</v>
      </c>
      <c r="N177">
        <v>721972432.21690404</v>
      </c>
      <c r="O177">
        <v>831383360.7439841</v>
      </c>
      <c r="P177">
        <v>194652547.99808285</v>
      </c>
      <c r="Q177">
        <v>255614127.03175622</v>
      </c>
      <c r="R177">
        <v>1130476802.1461768</v>
      </c>
      <c r="S177">
        <v>1897441771.4525511</v>
      </c>
      <c r="T177">
        <v>194216254.82792336</v>
      </c>
      <c r="U177">
        <v>1591818158.7594061</v>
      </c>
      <c r="V177">
        <v>401723908.95567179</v>
      </c>
      <c r="W177">
        <v>604906898.74825585</v>
      </c>
      <c r="X177">
        <v>524609692.3928048</v>
      </c>
      <c r="Y177">
        <v>471666575.32493591</v>
      </c>
    </row>
    <row r="178" spans="1:25" x14ac:dyDescent="0.45">
      <c r="A178" t="s">
        <v>175</v>
      </c>
      <c r="B178">
        <v>5715917.4134437768</v>
      </c>
      <c r="C178">
        <v>906113.27460129117</v>
      </c>
      <c r="D178">
        <v>4635135.854471528</v>
      </c>
      <c r="E178">
        <v>5710087.3388159228</v>
      </c>
      <c r="F178">
        <v>9092869.9292124324</v>
      </c>
      <c r="G178">
        <v>11106691.737185931</v>
      </c>
      <c r="H178">
        <v>23392064.775796764</v>
      </c>
      <c r="I178">
        <v>123274951.94743113</v>
      </c>
      <c r="J178">
        <v>61579137.291839167</v>
      </c>
      <c r="K178">
        <v>19023939.781911954</v>
      </c>
      <c r="L178">
        <v>79202665.477125898</v>
      </c>
      <c r="M178">
        <v>1983060.9483648436</v>
      </c>
      <c r="N178">
        <v>71502540.93725279</v>
      </c>
      <c r="O178">
        <v>11536814.338701436</v>
      </c>
      <c r="P178">
        <v>9874558.0043026134</v>
      </c>
      <c r="Q178">
        <v>8034802.752611978</v>
      </c>
      <c r="R178">
        <v>9460557.4356905073</v>
      </c>
      <c r="S178">
        <v>22035649.893888604</v>
      </c>
      <c r="T178">
        <v>6636169.2281363392</v>
      </c>
      <c r="U178">
        <v>107832735.7918445</v>
      </c>
      <c r="V178">
        <v>27995778.850052919</v>
      </c>
      <c r="W178">
        <v>35503421.313955292</v>
      </c>
      <c r="X178">
        <v>41903735.132817894</v>
      </c>
      <c r="Y178">
        <v>1827775.1156005119</v>
      </c>
    </row>
    <row r="179" spans="1:25" x14ac:dyDescent="0.45">
      <c r="A179" t="s">
        <v>176</v>
      </c>
      <c r="B179">
        <v>2196819.7336163097</v>
      </c>
      <c r="C179">
        <v>2030349.2364284841</v>
      </c>
      <c r="D179">
        <v>3937862.3512507561</v>
      </c>
      <c r="E179">
        <v>1749373.5147136927</v>
      </c>
      <c r="F179">
        <v>4763245.3332012966</v>
      </c>
      <c r="G179">
        <v>1247352.6521979116</v>
      </c>
      <c r="H179">
        <v>1178142.6941295678</v>
      </c>
      <c r="I179">
        <v>10049324.789699506</v>
      </c>
      <c r="J179">
        <v>7099342.2803032054</v>
      </c>
      <c r="K179">
        <v>3873250.096848255</v>
      </c>
      <c r="L179">
        <v>22113060.1938252</v>
      </c>
      <c r="M179">
        <v>2657203.3711544126</v>
      </c>
      <c r="N179">
        <v>6924430.8586569857</v>
      </c>
      <c r="O179">
        <v>7018332.4643198941</v>
      </c>
      <c r="P179">
        <v>2092788.3340065628</v>
      </c>
      <c r="Q179">
        <v>883804.65007988375</v>
      </c>
      <c r="R179">
        <v>2496319.5226955465</v>
      </c>
      <c r="S179">
        <v>4030963.9056258756</v>
      </c>
      <c r="T179">
        <v>2592807.6785779358</v>
      </c>
      <c r="U179">
        <v>5786316.9537827065</v>
      </c>
      <c r="V179">
        <v>3787447.6880284823</v>
      </c>
      <c r="W179">
        <v>3803541.0039095287</v>
      </c>
      <c r="X179">
        <v>2193174.6891803094</v>
      </c>
      <c r="Y179">
        <v>2472233.258760313</v>
      </c>
    </row>
    <row r="180" spans="1:25" x14ac:dyDescent="0.45">
      <c r="A180" t="s">
        <v>177</v>
      </c>
      <c r="B180">
        <v>2979343.067920709</v>
      </c>
      <c r="C180">
        <v>2619225.4789989581</v>
      </c>
      <c r="D180">
        <v>2511895.8418691889</v>
      </c>
      <c r="E180">
        <v>4266552.6878996659</v>
      </c>
      <c r="F180">
        <v>5648052.2225758862</v>
      </c>
      <c r="G180">
        <v>3659561.5875098775</v>
      </c>
      <c r="H180">
        <v>2570993.7930395692</v>
      </c>
      <c r="I180">
        <v>4815731.6540908534</v>
      </c>
      <c r="J180">
        <v>5782613.2636706876</v>
      </c>
      <c r="K180">
        <v>5405347.9448926002</v>
      </c>
      <c r="L180">
        <v>5591701.9787296802</v>
      </c>
      <c r="M180">
        <v>5158726.6149708563</v>
      </c>
      <c r="N180">
        <v>3502993.979391716</v>
      </c>
      <c r="O180">
        <v>3536981.4741457393</v>
      </c>
      <c r="P180">
        <v>74906.562612253445</v>
      </c>
      <c r="Q180">
        <v>179431.23121483641</v>
      </c>
      <c r="R180">
        <v>849589.23887817259</v>
      </c>
      <c r="S180">
        <v>1107261.0385573916</v>
      </c>
      <c r="T180">
        <v>2191172.7001893306</v>
      </c>
      <c r="U180">
        <v>6618788.4370907545</v>
      </c>
      <c r="V180">
        <v>4007508.7333242199</v>
      </c>
      <c r="W180">
        <v>5520298.7567327889</v>
      </c>
      <c r="X180">
        <v>5923970.5952904001</v>
      </c>
      <c r="Y180">
        <v>4377617.5655010678</v>
      </c>
    </row>
    <row r="181" spans="1:25" x14ac:dyDescent="0.45">
      <c r="A181" t="s">
        <v>178</v>
      </c>
      <c r="B181">
        <v>85810416.081426397</v>
      </c>
      <c r="C181">
        <v>79342308.197612986</v>
      </c>
      <c r="D181">
        <v>56598148.612868637</v>
      </c>
      <c r="E181">
        <v>72833503.714379281</v>
      </c>
      <c r="F181">
        <v>90521543.996516213</v>
      </c>
      <c r="G181">
        <v>77275470.516841173</v>
      </c>
      <c r="H181">
        <v>64615823.644006945</v>
      </c>
      <c r="I181">
        <v>56856034.952910893</v>
      </c>
      <c r="J181">
        <v>124754053.29330106</v>
      </c>
      <c r="K181">
        <v>133748156.69173492</v>
      </c>
      <c r="L181">
        <v>180971707.17431101</v>
      </c>
      <c r="M181">
        <v>103183578.81844436</v>
      </c>
      <c r="N181">
        <v>105740294.14591503</v>
      </c>
      <c r="O181">
        <v>85796329.930099472</v>
      </c>
      <c r="P181">
        <v>58017699.452290155</v>
      </c>
      <c r="Q181">
        <v>56756385.32486625</v>
      </c>
      <c r="R181">
        <v>102478093.64071301</v>
      </c>
      <c r="S181">
        <v>100145411.97781312</v>
      </c>
      <c r="T181">
        <v>50881216.888365932</v>
      </c>
      <c r="U181">
        <v>152010980.39979377</v>
      </c>
      <c r="V181">
        <v>77731265.271642447</v>
      </c>
      <c r="W181">
        <v>102186536.13428865</v>
      </c>
      <c r="X181">
        <v>122051670.41153286</v>
      </c>
      <c r="Y181">
        <v>118155401.52419628</v>
      </c>
    </row>
    <row r="182" spans="1:25" x14ac:dyDescent="0.45">
      <c r="A182" t="s">
        <v>192</v>
      </c>
      <c r="B182">
        <v>90948759.020885244</v>
      </c>
      <c r="C182">
        <v>61881794.699660644</v>
      </c>
      <c r="D182">
        <v>58054715.177938931</v>
      </c>
      <c r="E182">
        <v>99074551.109936461</v>
      </c>
      <c r="F182">
        <v>123989240.57230599</v>
      </c>
      <c r="G182">
        <v>78213902.056744605</v>
      </c>
      <c r="H182">
        <v>60404155.656912871</v>
      </c>
      <c r="I182">
        <v>99184196.157767326</v>
      </c>
      <c r="J182">
        <v>157164770.09492633</v>
      </c>
      <c r="K182">
        <v>126222439.70504029</v>
      </c>
      <c r="L182">
        <v>66436487.450291798</v>
      </c>
      <c r="M182">
        <v>118921542.45171186</v>
      </c>
      <c r="N182">
        <v>109939759.68691179</v>
      </c>
      <c r="O182">
        <v>86521150.781086177</v>
      </c>
      <c r="P182">
        <v>68636707.311080188</v>
      </c>
      <c r="Q182">
        <v>56163326.27712585</v>
      </c>
      <c r="R182">
        <v>141746403.64207983</v>
      </c>
      <c r="S182">
        <v>156374588.98305634</v>
      </c>
      <c r="T182">
        <v>39287567.136562869</v>
      </c>
      <c r="U182">
        <v>191697001.09701791</v>
      </c>
      <c r="V182">
        <v>70188032.39892748</v>
      </c>
      <c r="W182">
        <v>115778021.37325789</v>
      </c>
      <c r="X182">
        <v>135046984.70037201</v>
      </c>
      <c r="Y182">
        <v>109240711.84094898</v>
      </c>
    </row>
    <row r="183" spans="1:25" x14ac:dyDescent="0.45">
      <c r="A183" t="s">
        <v>193</v>
      </c>
      <c r="B183">
        <v>7506286.5823307848</v>
      </c>
      <c r="C183">
        <v>5961350.50216108</v>
      </c>
      <c r="D183">
        <v>4950149.2593809767</v>
      </c>
      <c r="E183">
        <v>8600158.6311113797</v>
      </c>
      <c r="F183">
        <v>11928325.463704823</v>
      </c>
      <c r="G183">
        <v>7614277.3336768625</v>
      </c>
      <c r="H183">
        <v>6622637.5429215413</v>
      </c>
      <c r="I183">
        <v>10801362.416309979</v>
      </c>
      <c r="J183">
        <v>16969054.243825864</v>
      </c>
      <c r="K183">
        <v>13165183.113285435</v>
      </c>
      <c r="L183">
        <v>9957880.1021133997</v>
      </c>
      <c r="M183">
        <v>12672541.077151</v>
      </c>
      <c r="N183">
        <v>13175734.950137567</v>
      </c>
      <c r="O183">
        <v>8901309.7131672874</v>
      </c>
      <c r="P183">
        <v>6999336.3234650912</v>
      </c>
      <c r="Q183">
        <v>5065532.6535789296</v>
      </c>
      <c r="R183">
        <v>10435247.087455867</v>
      </c>
      <c r="S183">
        <v>13776821.169392385</v>
      </c>
      <c r="T183">
        <v>3982526.6591931172</v>
      </c>
      <c r="U183">
        <v>20034626.773702048</v>
      </c>
      <c r="V183">
        <v>6512998.784343333</v>
      </c>
      <c r="W183">
        <v>12051486.293246556</v>
      </c>
      <c r="X183">
        <v>14769776.129041165</v>
      </c>
      <c r="Y183">
        <v>11317928.402112434</v>
      </c>
    </row>
    <row r="184" spans="1:25" x14ac:dyDescent="0.45">
      <c r="A184" t="s">
        <v>349</v>
      </c>
      <c r="B184">
        <v>9368711.6228865497</v>
      </c>
      <c r="C184">
        <v>5312407.9612095822</v>
      </c>
      <c r="D184">
        <v>1837733.8882428978</v>
      </c>
      <c r="E184">
        <v>1589732.3580573925</v>
      </c>
      <c r="F184">
        <v>4227179.5693351459</v>
      </c>
      <c r="G184">
        <v>4173068.7506415835</v>
      </c>
      <c r="H184">
        <v>2095556.8021147791</v>
      </c>
      <c r="I184">
        <v>9856946.2823733259</v>
      </c>
      <c r="J184">
        <v>6490406.6458389098</v>
      </c>
      <c r="K184">
        <v>3500209.4167332007</v>
      </c>
      <c r="L184">
        <v>8995961.3205239307</v>
      </c>
      <c r="M184">
        <v>4756997.1820126055</v>
      </c>
      <c r="N184">
        <v>26580221.157511838</v>
      </c>
      <c r="O184">
        <v>1223493.5149907395</v>
      </c>
      <c r="P184">
        <v>1603719.9032801988</v>
      </c>
      <c r="Q184">
        <v>1531499.3715014025</v>
      </c>
      <c r="R184">
        <v>11153361.214962393</v>
      </c>
      <c r="S184">
        <v>5895910.7934245244</v>
      </c>
      <c r="T184">
        <v>1522638.7082180544</v>
      </c>
      <c r="U184">
        <v>2699136.9447677038</v>
      </c>
      <c r="V184">
        <v>5523416.1374216378</v>
      </c>
      <c r="W184">
        <v>2370527.2072443916</v>
      </c>
      <c r="X184">
        <v>13977937.447273424</v>
      </c>
      <c r="Y184">
        <v>3736979.3488974399</v>
      </c>
    </row>
    <row r="185" spans="1:25" x14ac:dyDescent="0.45">
      <c r="A185" t="s">
        <v>371</v>
      </c>
      <c r="B185">
        <v>12225120.686910167</v>
      </c>
      <c r="C185">
        <v>6862688.0478752023</v>
      </c>
      <c r="D185">
        <v>2381429.203852586</v>
      </c>
      <c r="E185">
        <v>12114956.566028319</v>
      </c>
      <c r="F185">
        <v>27399885.173892446</v>
      </c>
      <c r="G185">
        <v>9017684.5225666668</v>
      </c>
      <c r="H185">
        <v>7190639.5708984034</v>
      </c>
      <c r="I185">
        <v>27460386.488856349</v>
      </c>
      <c r="J185">
        <v>38125424.466808483</v>
      </c>
      <c r="K185">
        <v>6106601.2671786752</v>
      </c>
      <c r="L185">
        <v>252351587.133165</v>
      </c>
      <c r="M185">
        <v>13030552.074105436</v>
      </c>
      <c r="N185">
        <v>11562539.825280998</v>
      </c>
      <c r="O185">
        <v>16832865.350232713</v>
      </c>
      <c r="P185">
        <v>5246727.0692595728</v>
      </c>
      <c r="Q185">
        <v>1330303.9148060344</v>
      </c>
      <c r="R185">
        <v>7264322.564371123</v>
      </c>
      <c r="S185">
        <v>24048381.553877626</v>
      </c>
      <c r="T185">
        <v>1494630.9366027748</v>
      </c>
      <c r="U185">
        <v>14023791.808618695</v>
      </c>
      <c r="V185">
        <v>9400101.2409837525</v>
      </c>
      <c r="W185">
        <v>15997166.281080296</v>
      </c>
      <c r="X185">
        <v>12694602.25955759</v>
      </c>
      <c r="Y185">
        <v>9183424.9293363895</v>
      </c>
    </row>
    <row r="186" spans="1:25" x14ac:dyDescent="0.45">
      <c r="A186" t="s">
        <v>310</v>
      </c>
      <c r="B186">
        <v>26598060.426966686</v>
      </c>
      <c r="C186">
        <v>19587277.624391019</v>
      </c>
      <c r="D186">
        <v>27716467.977015026</v>
      </c>
      <c r="E186">
        <v>19927186.900575832</v>
      </c>
      <c r="F186">
        <v>28789563.698817473</v>
      </c>
      <c r="G186">
        <v>18139170.19087946</v>
      </c>
      <c r="H186">
        <v>6513450.5693446733</v>
      </c>
      <c r="I186">
        <v>32655466.195246633</v>
      </c>
      <c r="J186">
        <v>61953873.914529964</v>
      </c>
      <c r="K186">
        <v>19340178.983821169</v>
      </c>
      <c r="L186">
        <v>91527865.095997304</v>
      </c>
      <c r="M186">
        <v>18969884.99510156</v>
      </c>
      <c r="N186">
        <v>15829937.21086253</v>
      </c>
      <c r="O186">
        <v>27650932.372260001</v>
      </c>
      <c r="P186">
        <v>7843869.9820325691</v>
      </c>
      <c r="Q186">
        <v>3941011.6106703905</v>
      </c>
      <c r="R186">
        <v>19392046.702284224</v>
      </c>
      <c r="S186">
        <v>30128360.334844843</v>
      </c>
      <c r="T186">
        <v>5236793.2141462239</v>
      </c>
      <c r="U186">
        <v>52413248.15308246</v>
      </c>
      <c r="V186">
        <v>15304720.533962073</v>
      </c>
      <c r="W186">
        <v>26547237.052944712</v>
      </c>
      <c r="X186">
        <v>13836081.227183534</v>
      </c>
      <c r="Y186">
        <v>10875908.582764165</v>
      </c>
    </row>
    <row r="187" spans="1:25" x14ac:dyDescent="0.45">
      <c r="A187" t="s">
        <v>194</v>
      </c>
      <c r="B187">
        <v>2846841.3951717662</v>
      </c>
      <c r="C187">
        <v>3399789.9639820801</v>
      </c>
      <c r="D187">
        <v>2572053.3101059827</v>
      </c>
      <c r="E187">
        <v>2124290.0143076754</v>
      </c>
      <c r="F187">
        <v>1539206.4546592787</v>
      </c>
      <c r="G187">
        <v>2619676.5582445785</v>
      </c>
      <c r="H187">
        <v>3223125.3842671397</v>
      </c>
      <c r="I187">
        <v>1182305.3880137922</v>
      </c>
      <c r="J187">
        <v>2017201.5103724229</v>
      </c>
      <c r="K187">
        <v>694864.45210735791</v>
      </c>
      <c r="L187">
        <v>401633.06983710802</v>
      </c>
      <c r="M187">
        <v>942962.25088233128</v>
      </c>
      <c r="N187">
        <v>755830.12069208222</v>
      </c>
      <c r="O187">
        <v>719644.40713037772</v>
      </c>
      <c r="P187">
        <v>1685803.333737798</v>
      </c>
      <c r="Q187">
        <v>2047780.3122958371</v>
      </c>
      <c r="R187">
        <v>1199028.9087550507</v>
      </c>
      <c r="S187">
        <v>5485860.6437897868</v>
      </c>
      <c r="T187">
        <v>294181.75439624448</v>
      </c>
      <c r="U187">
        <v>1056234.0165405939</v>
      </c>
      <c r="V187">
        <v>328881.30598242552</v>
      </c>
      <c r="W187">
        <v>484144.31074650044</v>
      </c>
      <c r="X187">
        <v>535494.70043409592</v>
      </c>
      <c r="Y187">
        <v>248006.90439140063</v>
      </c>
    </row>
    <row r="188" spans="1:25" x14ac:dyDescent="0.45">
      <c r="A188" t="s">
        <v>195</v>
      </c>
      <c r="B188">
        <v>133363079.78788663</v>
      </c>
      <c r="C188">
        <v>624670661.38234603</v>
      </c>
      <c r="D188">
        <v>261451985.13999394</v>
      </c>
      <c r="E188">
        <v>169025952.48692551</v>
      </c>
      <c r="F188">
        <v>168639673.6622287</v>
      </c>
      <c r="G188">
        <v>301690149.11210245</v>
      </c>
      <c r="H188">
        <v>258252658.49379933</v>
      </c>
      <c r="I188">
        <v>511544809.66241014</v>
      </c>
      <c r="J188">
        <v>418133296.26626438</v>
      </c>
      <c r="K188">
        <v>539286829.64750612</v>
      </c>
      <c r="L188">
        <v>1128223073.9699199</v>
      </c>
      <c r="M188">
        <v>303896881.8814981</v>
      </c>
      <c r="N188">
        <v>382041344.36258233</v>
      </c>
      <c r="O188">
        <v>191823452.62405536</v>
      </c>
      <c r="P188">
        <v>401766145.64539868</v>
      </c>
      <c r="Q188">
        <v>616058817.11839604</v>
      </c>
      <c r="R188">
        <v>1762791858.7043576</v>
      </c>
      <c r="S188">
        <v>659405442.44633842</v>
      </c>
      <c r="T188">
        <v>616073409.02816617</v>
      </c>
      <c r="U188">
        <v>360207989.34952998</v>
      </c>
      <c r="V188">
        <v>490239926.04309821</v>
      </c>
      <c r="W188">
        <v>253970877.23684916</v>
      </c>
      <c r="X188">
        <v>661783474.5922972</v>
      </c>
      <c r="Y188">
        <v>1301631426.7630787</v>
      </c>
    </row>
    <row r="189" spans="1:25" x14ac:dyDescent="0.45">
      <c r="A189" t="s">
        <v>196</v>
      </c>
      <c r="B189">
        <v>46930016.156802796</v>
      </c>
      <c r="C189">
        <v>99997114.162932903</v>
      </c>
      <c r="D189">
        <v>77266095.896494046</v>
      </c>
      <c r="E189">
        <v>66230131.384705946</v>
      </c>
      <c r="F189">
        <v>138057225.13718292</v>
      </c>
      <c r="G189">
        <v>92928282.575622544</v>
      </c>
      <c r="H189">
        <v>65434166.034920208</v>
      </c>
      <c r="I189">
        <v>2248416798.3328567</v>
      </c>
      <c r="J189">
        <v>604676453.55775464</v>
      </c>
      <c r="K189">
        <v>114687866.58302706</v>
      </c>
      <c r="L189">
        <v>1336177538.64853</v>
      </c>
      <c r="M189">
        <v>94403842.562936872</v>
      </c>
      <c r="N189">
        <v>169449705.35885</v>
      </c>
      <c r="O189">
        <v>110226973.42181596</v>
      </c>
      <c r="P189">
        <v>60574128.552864358</v>
      </c>
      <c r="Q189">
        <v>75792001.117265627</v>
      </c>
      <c r="R189">
        <v>238919823.63189465</v>
      </c>
      <c r="S189">
        <v>154254807.06869042</v>
      </c>
      <c r="T189">
        <v>54245009.991531536</v>
      </c>
      <c r="U189">
        <v>215162922.20886025</v>
      </c>
      <c r="V189">
        <v>89353764.259912461</v>
      </c>
      <c r="W189">
        <v>87748330.675366849</v>
      </c>
      <c r="X189">
        <v>161832764.36943653</v>
      </c>
      <c r="Y189">
        <v>207989012.35630715</v>
      </c>
    </row>
    <row r="190" spans="1:25" x14ac:dyDescent="0.45">
      <c r="A190" t="s">
        <v>437</v>
      </c>
      <c r="B190">
        <v>3791108.9843100538</v>
      </c>
      <c r="C190">
        <v>14566928.587912977</v>
      </c>
      <c r="D190">
        <v>9101188.024146473</v>
      </c>
      <c r="E190">
        <v>3716893.7166186878</v>
      </c>
      <c r="F190">
        <v>8620980.012397103</v>
      </c>
      <c r="G190">
        <v>3733928.6806520149</v>
      </c>
      <c r="H190">
        <v>10415568.708363404</v>
      </c>
      <c r="I190">
        <v>19652040.454063315</v>
      </c>
      <c r="J190">
        <v>8861050.5676390771</v>
      </c>
      <c r="K190">
        <v>19807415.651579659</v>
      </c>
      <c r="L190">
        <v>39003575.802623697</v>
      </c>
      <c r="M190">
        <v>4651756.2645158432</v>
      </c>
      <c r="N190">
        <v>4593915.6160987159</v>
      </c>
      <c r="O190">
        <v>14184709.782661436</v>
      </c>
      <c r="P190">
        <v>6619124.5816166168</v>
      </c>
      <c r="Q190">
        <v>1830238.0865629141</v>
      </c>
      <c r="R190">
        <v>15414006.634135284</v>
      </c>
      <c r="S190">
        <v>14937375.39629803</v>
      </c>
      <c r="T190">
        <v>7760243.8386174161</v>
      </c>
      <c r="U190">
        <v>21129681.754524425</v>
      </c>
      <c r="V190">
        <v>14114878.90380007</v>
      </c>
      <c r="W190">
        <v>8055296.8581489222</v>
      </c>
      <c r="X190">
        <v>20948093.718828764</v>
      </c>
      <c r="Y190">
        <v>16982130.827806469</v>
      </c>
    </row>
    <row r="191" spans="1:25" x14ac:dyDescent="0.45">
      <c r="A191" t="s">
        <v>197</v>
      </c>
      <c r="B191">
        <v>109940.12685409734</v>
      </c>
      <c r="C191">
        <v>130505.82584447652</v>
      </c>
      <c r="D191">
        <v>75042.967620417636</v>
      </c>
      <c r="E191">
        <v>123085.4178335601</v>
      </c>
      <c r="F191">
        <v>169951.00800577752</v>
      </c>
      <c r="G191">
        <v>115815.14784651715</v>
      </c>
      <c r="H191">
        <v>152115.45761021465</v>
      </c>
      <c r="I191">
        <v>527395.03764946805</v>
      </c>
      <c r="J191">
        <v>401203.35715328751</v>
      </c>
      <c r="K191">
        <v>325770.78361775127</v>
      </c>
      <c r="L191">
        <v>421362.72984052403</v>
      </c>
      <c r="M191">
        <v>196540.04231967061</v>
      </c>
      <c r="N191">
        <v>323280.22224178049</v>
      </c>
      <c r="O191">
        <v>173054.64061867818</v>
      </c>
      <c r="P191">
        <v>120220.78750272423</v>
      </c>
      <c r="Q191">
        <v>57519.722096305471</v>
      </c>
      <c r="R191">
        <v>215883.62985786976</v>
      </c>
      <c r="S191">
        <v>235858.38679442447</v>
      </c>
      <c r="T191">
        <v>86458.975295883865</v>
      </c>
      <c r="U191">
        <v>207267.85229184487</v>
      </c>
      <c r="V191">
        <v>147199.73349020514</v>
      </c>
      <c r="W191">
        <v>229180.48531271942</v>
      </c>
      <c r="X191">
        <v>181450.15471989711</v>
      </c>
      <c r="Y191">
        <v>229505.07820368075</v>
      </c>
    </row>
    <row r="192" spans="1:25" x14ac:dyDescent="0.45">
      <c r="A192" t="s">
        <v>311</v>
      </c>
      <c r="B192">
        <v>6138286262.8759708</v>
      </c>
      <c r="C192">
        <v>2825270277.7404962</v>
      </c>
      <c r="D192">
        <v>2120866903.3424041</v>
      </c>
      <c r="E192">
        <v>4363936319.6259842</v>
      </c>
      <c r="F192">
        <v>7185506380.1395359</v>
      </c>
      <c r="G192">
        <v>5111156138.7937737</v>
      </c>
      <c r="H192">
        <v>2737903940.8929992</v>
      </c>
      <c r="I192">
        <v>20907287176.503223</v>
      </c>
      <c r="J192">
        <v>15723191139.261915</v>
      </c>
      <c r="K192">
        <v>3460862224.3669386</v>
      </c>
      <c r="L192">
        <v>19928396686.019001</v>
      </c>
      <c r="M192">
        <v>2319218159.7123499</v>
      </c>
      <c r="N192">
        <v>6100946933.6753016</v>
      </c>
      <c r="O192">
        <v>3485657244.6324472</v>
      </c>
      <c r="P192">
        <v>3610912564.8069239</v>
      </c>
      <c r="Q192">
        <v>784776560.18974149</v>
      </c>
      <c r="R192">
        <v>4999035576.4616995</v>
      </c>
      <c r="S192">
        <v>3834167097.44277</v>
      </c>
      <c r="T192">
        <v>809915763.14203107</v>
      </c>
      <c r="U192">
        <v>6045107464.4460917</v>
      </c>
      <c r="V192">
        <v>3441147674.8614407</v>
      </c>
      <c r="W192">
        <v>6711455744.5895891</v>
      </c>
      <c r="X192">
        <v>6031088606.8568697</v>
      </c>
      <c r="Y192">
        <v>4076895815.3509378</v>
      </c>
    </row>
    <row r="193" spans="1:25" x14ac:dyDescent="0.45">
      <c r="A193" t="s">
        <v>198</v>
      </c>
      <c r="B193">
        <v>28989819.220792312</v>
      </c>
      <c r="C193">
        <v>7489342.3261309043</v>
      </c>
      <c r="D193">
        <v>18110557.540071599</v>
      </c>
      <c r="E193">
        <v>18992166.045277003</v>
      </c>
      <c r="F193">
        <v>49244804.967417262</v>
      </c>
      <c r="G193">
        <v>27436930.590520881</v>
      </c>
      <c r="H193">
        <v>36660481.870019779</v>
      </c>
      <c r="I193">
        <v>166590658.72156057</v>
      </c>
      <c r="J193">
        <v>155141522.75163257</v>
      </c>
      <c r="K193">
        <v>19756238.1198209</v>
      </c>
      <c r="L193">
        <v>76210025.090474501</v>
      </c>
      <c r="M193">
        <v>30857377.860154752</v>
      </c>
      <c r="N193">
        <v>20082937.696866497</v>
      </c>
      <c r="O193">
        <v>32261098.530819416</v>
      </c>
      <c r="P193">
        <v>13778316.835685959</v>
      </c>
      <c r="Q193">
        <v>12415849.1712541</v>
      </c>
      <c r="R193">
        <v>20111450.708635315</v>
      </c>
      <c r="S193">
        <v>13046724.220536342</v>
      </c>
      <c r="T193">
        <v>5310317.418381677</v>
      </c>
      <c r="U193">
        <v>19606802.089502551</v>
      </c>
      <c r="V193">
        <v>27227393.342083495</v>
      </c>
      <c r="W193">
        <v>35821863.284472115</v>
      </c>
      <c r="X193">
        <v>61880454.472952984</v>
      </c>
      <c r="Y193">
        <v>25741396.788064025</v>
      </c>
    </row>
    <row r="194" spans="1:25" x14ac:dyDescent="0.45">
      <c r="A194" t="s">
        <v>312</v>
      </c>
      <c r="B194">
        <v>646960.83112298464</v>
      </c>
      <c r="C194">
        <v>524435.24568560498</v>
      </c>
      <c r="D194">
        <v>349728.99915846786</v>
      </c>
      <c r="E194">
        <v>12886319.141211685</v>
      </c>
      <c r="F194">
        <v>2696623.4406888732</v>
      </c>
      <c r="G194">
        <v>3501466.041182314</v>
      </c>
      <c r="H194">
        <v>424631.16759019363</v>
      </c>
      <c r="I194">
        <v>2246469.6132666995</v>
      </c>
      <c r="J194">
        <v>1582150.7344568737</v>
      </c>
      <c r="K194">
        <v>827112.30799269117</v>
      </c>
      <c r="L194">
        <v>6446783.4509918196</v>
      </c>
      <c r="M194">
        <v>27270345.944642249</v>
      </c>
      <c r="N194">
        <v>648312.89883793425</v>
      </c>
      <c r="O194">
        <v>909969.45623337245</v>
      </c>
      <c r="P194">
        <v>399290.06331710418</v>
      </c>
      <c r="Q194">
        <v>174045.6699917966</v>
      </c>
      <c r="R194">
        <v>731206.83956980391</v>
      </c>
      <c r="S194">
        <v>518489.2722439252</v>
      </c>
      <c r="T194">
        <v>6245916.298188501</v>
      </c>
      <c r="U194">
        <v>3711310.015828595</v>
      </c>
      <c r="V194">
        <v>14000143.430586923</v>
      </c>
      <c r="W194">
        <v>11223063.751465263</v>
      </c>
      <c r="X194">
        <v>38304726.760374106</v>
      </c>
      <c r="Y194">
        <v>32200723.044434063</v>
      </c>
    </row>
    <row r="195" spans="1:25" x14ac:dyDescent="0.45">
      <c r="A195" t="s">
        <v>360</v>
      </c>
      <c r="B195">
        <v>215229322.38032389</v>
      </c>
      <c r="C195">
        <v>350955190.22212309</v>
      </c>
      <c r="D195">
        <v>210874298.43665382</v>
      </c>
      <c r="E195">
        <v>141994689.57902837</v>
      </c>
      <c r="F195">
        <v>308608939.32640505</v>
      </c>
      <c r="G195">
        <v>182308996.86973676</v>
      </c>
      <c r="H195">
        <v>163535945.31189805</v>
      </c>
      <c r="I195">
        <v>1077167773.491384</v>
      </c>
      <c r="J195">
        <v>277356590.14284283</v>
      </c>
      <c r="K195">
        <v>563021441.89188945</v>
      </c>
      <c r="L195">
        <v>893904450.61026299</v>
      </c>
      <c r="M195">
        <v>504694980.68955559</v>
      </c>
      <c r="N195">
        <v>218665103.59631729</v>
      </c>
      <c r="O195">
        <v>254255995.15470535</v>
      </c>
      <c r="P195">
        <v>119241258.50320952</v>
      </c>
      <c r="Q195">
        <v>280422865.27089685</v>
      </c>
      <c r="R195">
        <v>908284202.49412274</v>
      </c>
      <c r="S195">
        <v>1022939545.1006812</v>
      </c>
      <c r="T195">
        <v>295060053.33860266</v>
      </c>
      <c r="U195">
        <v>290375378.61198574</v>
      </c>
      <c r="V195">
        <v>357979429.38130808</v>
      </c>
      <c r="W195">
        <v>392961487.74230242</v>
      </c>
      <c r="X195">
        <v>548941716.14549065</v>
      </c>
      <c r="Y195">
        <v>699465701.25582504</v>
      </c>
    </row>
    <row r="196" spans="1:25" x14ac:dyDescent="0.45">
      <c r="A196" t="s">
        <v>361</v>
      </c>
      <c r="B196">
        <v>2375101.8185338862</v>
      </c>
      <c r="C196">
        <v>7559617.9190655965</v>
      </c>
      <c r="D196">
        <v>3800594.4749663426</v>
      </c>
      <c r="E196">
        <v>2956023.5647757375</v>
      </c>
      <c r="F196">
        <v>6819062.4984872891</v>
      </c>
      <c r="G196">
        <v>10181963.149935883</v>
      </c>
      <c r="H196">
        <v>2997448.6946265171</v>
      </c>
      <c r="I196">
        <v>19931365.148874164</v>
      </c>
      <c r="J196">
        <v>8334826.5093752248</v>
      </c>
      <c r="K196">
        <v>2783887.9274107045</v>
      </c>
      <c r="L196">
        <v>15595727.859009299</v>
      </c>
      <c r="M196">
        <v>2197417.0308765001</v>
      </c>
      <c r="N196">
        <v>4524080.5611055493</v>
      </c>
      <c r="O196">
        <v>5254578.7995458404</v>
      </c>
      <c r="P196">
        <v>1195691.1876430172</v>
      </c>
      <c r="Q196">
        <v>14153554.852854963</v>
      </c>
      <c r="R196">
        <v>11359568.547756238</v>
      </c>
      <c r="S196">
        <v>4894843.7375463713</v>
      </c>
      <c r="T196">
        <v>6172363.7882641563</v>
      </c>
      <c r="U196">
        <v>5584410.8963490613</v>
      </c>
      <c r="V196">
        <v>6090522.185702051</v>
      </c>
      <c r="W196">
        <v>3045047.3285874114</v>
      </c>
      <c r="X196">
        <v>1966671.6439878268</v>
      </c>
      <c r="Y196">
        <v>1594522.6593303129</v>
      </c>
    </row>
    <row r="197" spans="1:25" x14ac:dyDescent="0.45">
      <c r="A197" t="s">
        <v>353</v>
      </c>
      <c r="B197">
        <v>143201.75767644736</v>
      </c>
      <c r="C197">
        <v>173565.55499928244</v>
      </c>
      <c r="D197">
        <v>177043.49541385556</v>
      </c>
      <c r="E197">
        <v>620424.44274334225</v>
      </c>
      <c r="F197">
        <v>1157369.2695487433</v>
      </c>
      <c r="G197">
        <v>1105314.1451612548</v>
      </c>
      <c r="H197">
        <v>562471.8816723472</v>
      </c>
      <c r="I197">
        <v>668963.65053700842</v>
      </c>
      <c r="J197">
        <v>839712.96857920522</v>
      </c>
      <c r="K197">
        <v>698046.3770152959</v>
      </c>
      <c r="L197">
        <v>760545.13277377596</v>
      </c>
      <c r="M197">
        <v>638528.38143896253</v>
      </c>
      <c r="N197">
        <v>572045.85525707249</v>
      </c>
      <c r="O197">
        <v>240837.83537569203</v>
      </c>
      <c r="P197">
        <v>470461.63372853439</v>
      </c>
      <c r="Q197">
        <v>508555.94118521432</v>
      </c>
      <c r="R197">
        <v>1037246.343172538</v>
      </c>
      <c r="S197">
        <v>1511834.385586729</v>
      </c>
      <c r="T197">
        <v>845034.962832866</v>
      </c>
      <c r="U197">
        <v>629843.98840826866</v>
      </c>
      <c r="V197">
        <v>827911.26113370364</v>
      </c>
      <c r="W197">
        <v>169267.50924940937</v>
      </c>
      <c r="X197">
        <v>262260.19744435279</v>
      </c>
      <c r="Y197">
        <v>596233.65723585675</v>
      </c>
    </row>
    <row r="198" spans="1:25" x14ac:dyDescent="0.45">
      <c r="A198" t="s">
        <v>372</v>
      </c>
      <c r="B198">
        <v>1038643.5434539947</v>
      </c>
      <c r="C198">
        <v>1012342.6194739518</v>
      </c>
      <c r="D198">
        <v>869927.74349526351</v>
      </c>
      <c r="E198">
        <v>908092.94534040731</v>
      </c>
      <c r="F198">
        <v>1340006.4388985133</v>
      </c>
      <c r="G198">
        <v>1395595.9281687499</v>
      </c>
      <c r="H198">
        <v>772208.20531708526</v>
      </c>
      <c r="I198">
        <v>890850.2544874032</v>
      </c>
      <c r="J198">
        <v>1484889.0309316129</v>
      </c>
      <c r="K198">
        <v>1289464.2792197077</v>
      </c>
      <c r="L198">
        <v>2063928.6572143901</v>
      </c>
      <c r="M198">
        <v>1216457.0303818563</v>
      </c>
      <c r="N198">
        <v>1318641.7351890248</v>
      </c>
      <c r="O198">
        <v>1250581.0442872022</v>
      </c>
      <c r="P198">
        <v>684498.31771870726</v>
      </c>
      <c r="Q198">
        <v>884173.99055643752</v>
      </c>
      <c r="R198">
        <v>2131797.3254029672</v>
      </c>
      <c r="S198">
        <v>1660720.070587521</v>
      </c>
      <c r="T198">
        <v>932193.0330056625</v>
      </c>
      <c r="U198">
        <v>2412977.8154418999</v>
      </c>
      <c r="V198">
        <v>1460136.7577681062</v>
      </c>
      <c r="W198">
        <v>1036983.9340537665</v>
      </c>
      <c r="X198">
        <v>1315487.2861368794</v>
      </c>
      <c r="Y198">
        <v>1261390.3445367063</v>
      </c>
    </row>
    <row r="199" spans="1:25" x14ac:dyDescent="0.45">
      <c r="A199" t="s">
        <v>314</v>
      </c>
      <c r="B199">
        <v>15212675.136731198</v>
      </c>
      <c r="C199">
        <v>15036707.217895718</v>
      </c>
      <c r="D199">
        <v>7598655.0290418733</v>
      </c>
      <c r="E199">
        <v>5385436.4520003535</v>
      </c>
      <c r="F199">
        <v>15968574.298526155</v>
      </c>
      <c r="G199">
        <v>9992590.2866375986</v>
      </c>
      <c r="H199">
        <v>12136543.516817376</v>
      </c>
      <c r="I199">
        <v>19869961.390619371</v>
      </c>
      <c r="J199">
        <v>38800445.233259581</v>
      </c>
      <c r="K199">
        <v>33970094.104157783</v>
      </c>
      <c r="L199">
        <v>47231479.552852899</v>
      </c>
      <c r="M199">
        <v>16945184.788331937</v>
      </c>
      <c r="N199">
        <v>14489698.5459358</v>
      </c>
      <c r="O199">
        <v>7327266.9732872341</v>
      </c>
      <c r="P199">
        <v>7624144.1401838791</v>
      </c>
      <c r="Q199">
        <v>6753944.5766446143</v>
      </c>
      <c r="R199">
        <v>34066388.476476967</v>
      </c>
      <c r="S199">
        <v>33948091.465422161</v>
      </c>
      <c r="T199">
        <v>12294272.726012232</v>
      </c>
      <c r="U199">
        <v>35561144.792950936</v>
      </c>
      <c r="V199">
        <v>17466942.053310953</v>
      </c>
      <c r="W199">
        <v>12942798.904120484</v>
      </c>
      <c r="X199">
        <v>60993983.466947258</v>
      </c>
      <c r="Y199">
        <v>27763122.320548933</v>
      </c>
    </row>
    <row r="200" spans="1:25" x14ac:dyDescent="0.45">
      <c r="A200" t="s">
        <v>367</v>
      </c>
      <c r="B200">
        <v>81925736.938486025</v>
      </c>
      <c r="C200">
        <v>65634213.433772177</v>
      </c>
      <c r="D200">
        <v>105977291.72270933</v>
      </c>
      <c r="E200">
        <v>67840999.579226255</v>
      </c>
      <c r="F200">
        <v>141563854.97281209</v>
      </c>
      <c r="G200">
        <v>44524180.852975875</v>
      </c>
      <c r="H200">
        <v>41504803.152767777</v>
      </c>
      <c r="I200">
        <v>389614427.69637287</v>
      </c>
      <c r="J200">
        <v>226336985.72286451</v>
      </c>
      <c r="K200">
        <v>153324068.54777944</v>
      </c>
      <c r="L200">
        <v>526470399.90677297</v>
      </c>
      <c r="M200">
        <v>94092454.379038751</v>
      </c>
      <c r="N200">
        <v>148779165.07313374</v>
      </c>
      <c r="O200">
        <v>100054160.43073457</v>
      </c>
      <c r="P200">
        <v>48019986.051154792</v>
      </c>
      <c r="Q200">
        <v>51792646.026233107</v>
      </c>
      <c r="R200">
        <v>144578844.44285178</v>
      </c>
      <c r="S200">
        <v>255867884.48714426</v>
      </c>
      <c r="T200">
        <v>40293288.414032646</v>
      </c>
      <c r="U200">
        <v>159940116.18939695</v>
      </c>
      <c r="V200">
        <v>40942143.389801458</v>
      </c>
      <c r="W200">
        <v>110670100.8142297</v>
      </c>
      <c r="X200">
        <v>114083071.04465787</v>
      </c>
      <c r="Y200">
        <v>115316099.58386257</v>
      </c>
    </row>
    <row r="201" spans="1:25" x14ac:dyDescent="0.45">
      <c r="A201" t="s">
        <v>377</v>
      </c>
      <c r="B201">
        <v>16614326.279402472</v>
      </c>
      <c r="C201">
        <v>15390047.947914386</v>
      </c>
      <c r="D201">
        <v>29462277.592104692</v>
      </c>
      <c r="E201">
        <v>12632445.282432241</v>
      </c>
      <c r="F201">
        <v>33241369.015253022</v>
      </c>
      <c r="G201">
        <v>9321057.4328999016</v>
      </c>
      <c r="H201">
        <v>8186854.3872788772</v>
      </c>
      <c r="I201">
        <v>67181325.727620602</v>
      </c>
      <c r="J201">
        <v>48903352.489447802</v>
      </c>
      <c r="K201">
        <v>25204341.801541261</v>
      </c>
      <c r="L201">
        <v>132168563.939505</v>
      </c>
      <c r="M201">
        <v>17183698.992440999</v>
      </c>
      <c r="N201">
        <v>45428736.587375484</v>
      </c>
      <c r="O201">
        <v>44821053.534454048</v>
      </c>
      <c r="P201">
        <v>13550175.472612919</v>
      </c>
      <c r="Q201">
        <v>6342943.9563124496</v>
      </c>
      <c r="R201">
        <v>17280201.532896481</v>
      </c>
      <c r="S201">
        <v>27122805.47481196</v>
      </c>
      <c r="T201">
        <v>18218624.605017118</v>
      </c>
      <c r="U201">
        <v>34401942.064669348</v>
      </c>
      <c r="V201">
        <v>24053089.372608781</v>
      </c>
      <c r="W201">
        <v>23907778.184339106</v>
      </c>
      <c r="X201">
        <v>13666520.798924152</v>
      </c>
      <c r="Y201">
        <v>15873242.070077518</v>
      </c>
    </row>
    <row r="202" spans="1:25" x14ac:dyDescent="0.45">
      <c r="A202" t="s">
        <v>206</v>
      </c>
      <c r="B202">
        <v>2542042.5138966171</v>
      </c>
      <c r="C202">
        <v>1298811.4054976967</v>
      </c>
      <c r="D202">
        <v>4828922.806153913</v>
      </c>
      <c r="E202">
        <v>12517111.316621635</v>
      </c>
      <c r="F202">
        <v>15575524.531802576</v>
      </c>
      <c r="G202">
        <v>9926221.5625530872</v>
      </c>
      <c r="H202">
        <v>8488763.0705607459</v>
      </c>
      <c r="I202">
        <v>11204766.04884875</v>
      </c>
      <c r="J202">
        <v>18670675.436007634</v>
      </c>
      <c r="K202">
        <v>9563229.112174226</v>
      </c>
      <c r="L202">
        <v>16811252.478984401</v>
      </c>
      <c r="M202">
        <v>4550062.1943491744</v>
      </c>
      <c r="N202">
        <v>19429339.120075576</v>
      </c>
      <c r="O202">
        <v>6560972.6019913834</v>
      </c>
      <c r="P202">
        <v>8737565.8935923204</v>
      </c>
      <c r="Q202">
        <v>1597818.897518317</v>
      </c>
      <c r="R202">
        <v>15139308.775416873</v>
      </c>
      <c r="S202">
        <v>7372227.4886417501</v>
      </c>
      <c r="T202">
        <v>4548052.4859820725</v>
      </c>
      <c r="U202">
        <v>34013793.217533067</v>
      </c>
      <c r="V202">
        <v>8654451.2258193586</v>
      </c>
      <c r="W202">
        <v>2268971.8293558983</v>
      </c>
      <c r="X202">
        <v>7023124.0224415231</v>
      </c>
      <c r="Y202">
        <v>4880881.6823887164</v>
      </c>
    </row>
    <row r="203" spans="1:25" x14ac:dyDescent="0.45">
      <c r="A203" t="s">
        <v>315</v>
      </c>
      <c r="B203">
        <v>57764909.426359311</v>
      </c>
      <c r="C203">
        <v>323852972.39887685</v>
      </c>
      <c r="D203">
        <v>148524712.10203448</v>
      </c>
      <c r="E203">
        <v>104890141.19066703</v>
      </c>
      <c r="F203">
        <v>127024765.12101781</v>
      </c>
      <c r="G203">
        <v>805482981.82811761</v>
      </c>
      <c r="H203">
        <v>200142758.6828104</v>
      </c>
      <c r="I203">
        <v>504617848.30088282</v>
      </c>
      <c r="J203">
        <v>140523124.7174032</v>
      </c>
      <c r="K203">
        <v>63777670.632880047</v>
      </c>
      <c r="L203">
        <v>549923739.86410606</v>
      </c>
      <c r="M203">
        <v>41644836.393712372</v>
      </c>
      <c r="N203">
        <v>338169653.31094819</v>
      </c>
      <c r="O203">
        <v>14562243.834280744</v>
      </c>
      <c r="P203">
        <v>147284381.20129251</v>
      </c>
      <c r="Q203">
        <v>127041612.72332449</v>
      </c>
      <c r="R203">
        <v>257828974.79745144</v>
      </c>
      <c r="S203">
        <v>30116023.508058105</v>
      </c>
      <c r="T203">
        <v>155730776.39131507</v>
      </c>
      <c r="U203">
        <v>83224279.983749807</v>
      </c>
      <c r="V203">
        <v>125576155.86057599</v>
      </c>
      <c r="W203">
        <v>245544658.07879567</v>
      </c>
      <c r="X203">
        <v>330859802.18902993</v>
      </c>
      <c r="Y203">
        <v>177950787.33874038</v>
      </c>
    </row>
    <row r="204" spans="1:25" x14ac:dyDescent="0.45">
      <c r="A204" t="s">
        <v>316</v>
      </c>
      <c r="B204">
        <v>6698253.2973021213</v>
      </c>
      <c r="C204">
        <v>5135890.6316517778</v>
      </c>
      <c r="D204">
        <v>4096527.7737285621</v>
      </c>
      <c r="E204">
        <v>4532237.642589177</v>
      </c>
      <c r="F204">
        <v>10395843.581731267</v>
      </c>
      <c r="G204">
        <v>6379587.5520159798</v>
      </c>
      <c r="H204">
        <v>6471163.9165154016</v>
      </c>
      <c r="I204">
        <v>7632662.3745187595</v>
      </c>
      <c r="J204">
        <v>15310375.314662619</v>
      </c>
      <c r="K204">
        <v>12676938.749630332</v>
      </c>
      <c r="L204">
        <v>11667186.574232301</v>
      </c>
      <c r="M204">
        <v>9499200.3935448751</v>
      </c>
      <c r="N204">
        <v>4576677.3164500836</v>
      </c>
      <c r="O204">
        <v>8003451.5890367562</v>
      </c>
      <c r="P204">
        <v>4545167.5307075512</v>
      </c>
      <c r="Q204">
        <v>2888415.9559210585</v>
      </c>
      <c r="R204">
        <v>8485538.362123834</v>
      </c>
      <c r="S204">
        <v>9148866.6748978328</v>
      </c>
      <c r="T204">
        <v>3272838.379732918</v>
      </c>
      <c r="U204">
        <v>12337842.610685781</v>
      </c>
      <c r="V204">
        <v>7371378.9256715737</v>
      </c>
      <c r="W204">
        <v>9278449.281334212</v>
      </c>
      <c r="X204">
        <v>11409005.546166573</v>
      </c>
      <c r="Y204">
        <v>7974424.1551088979</v>
      </c>
    </row>
    <row r="205" spans="1:25" x14ac:dyDescent="0.45">
      <c r="A205" t="s">
        <v>317</v>
      </c>
      <c r="B205">
        <v>81255153.087551668</v>
      </c>
      <c r="C205">
        <v>79759913.159724683</v>
      </c>
      <c r="D205">
        <v>50495804.687231615</v>
      </c>
      <c r="E205">
        <v>130262499.58817533</v>
      </c>
      <c r="F205">
        <v>105955506.13606165</v>
      </c>
      <c r="G205">
        <v>72908672.561315194</v>
      </c>
      <c r="H205">
        <v>33194504.70772963</v>
      </c>
      <c r="I205">
        <v>52942206.727046095</v>
      </c>
      <c r="J205">
        <v>77464762.605050534</v>
      </c>
      <c r="K205">
        <v>103685464.08087595</v>
      </c>
      <c r="L205">
        <v>355858857.86635602</v>
      </c>
      <c r="M205">
        <v>100912807.19242436</v>
      </c>
      <c r="N205">
        <v>58184190.863577113</v>
      </c>
      <c r="O205">
        <v>83727197.689511716</v>
      </c>
      <c r="P205">
        <v>53846404.612113521</v>
      </c>
      <c r="Q205">
        <v>40362498.222748771</v>
      </c>
      <c r="R205">
        <v>100951633.59253845</v>
      </c>
      <c r="S205">
        <v>120029519.93568666</v>
      </c>
      <c r="T205">
        <v>47307792.454301476</v>
      </c>
      <c r="U205">
        <v>135227061.69121647</v>
      </c>
      <c r="V205">
        <v>74254732.427189097</v>
      </c>
      <c r="W205">
        <v>91382556.153363809</v>
      </c>
      <c r="X205">
        <v>109907218.31480359</v>
      </c>
      <c r="Y205">
        <v>106293850.41218416</v>
      </c>
    </row>
    <row r="206" spans="1:25" x14ac:dyDescent="0.45">
      <c r="A206" t="s">
        <v>207</v>
      </c>
      <c r="B206">
        <v>16097790.897003943</v>
      </c>
      <c r="C206">
        <v>17944238.441717621</v>
      </c>
      <c r="D206">
        <v>8671467.3237431254</v>
      </c>
      <c r="E206">
        <v>25065351.374478437</v>
      </c>
      <c r="F206">
        <v>34228317.965757191</v>
      </c>
      <c r="G206">
        <v>28330899.306700196</v>
      </c>
      <c r="H206">
        <v>20845977.325810317</v>
      </c>
      <c r="I206">
        <v>75156594.198684469</v>
      </c>
      <c r="J206">
        <v>30378191.125645943</v>
      </c>
      <c r="K206">
        <v>17419877.411482304</v>
      </c>
      <c r="L206">
        <v>17723726.5942115</v>
      </c>
      <c r="M206">
        <v>33207342.135733936</v>
      </c>
      <c r="N206">
        <v>130760415.57862446</v>
      </c>
      <c r="O206">
        <v>32385803.273356065</v>
      </c>
      <c r="P206">
        <v>25114057.656907998</v>
      </c>
      <c r="Q206">
        <v>15192083.556595065</v>
      </c>
      <c r="R206">
        <v>82098915.180088118</v>
      </c>
      <c r="S206">
        <v>64299656.22442206</v>
      </c>
      <c r="T206">
        <v>11436676.822196456</v>
      </c>
      <c r="U206">
        <v>54694452.158731423</v>
      </c>
      <c r="V206">
        <v>33014257.757975377</v>
      </c>
      <c r="W206">
        <v>14761723.621317394</v>
      </c>
      <c r="X206">
        <v>15819642.210493008</v>
      </c>
      <c r="Y206">
        <v>13437436.161548324</v>
      </c>
    </row>
    <row r="207" spans="1:25" x14ac:dyDescent="0.45">
      <c r="A207" t="s">
        <v>318</v>
      </c>
      <c r="B207">
        <v>5878860.7844018815</v>
      </c>
      <c r="C207">
        <v>11167548.231707113</v>
      </c>
      <c r="D207">
        <v>11567362.090341859</v>
      </c>
      <c r="E207">
        <v>12404999.880247081</v>
      </c>
      <c r="F207">
        <v>22733970.766120616</v>
      </c>
      <c r="G207">
        <v>11018018.088427451</v>
      </c>
      <c r="H207">
        <v>13603988.516427558</v>
      </c>
      <c r="I207">
        <v>62235885.68732252</v>
      </c>
      <c r="J207">
        <v>35779336.975713082</v>
      </c>
      <c r="K207">
        <v>27293999.949562211</v>
      </c>
      <c r="L207">
        <v>17432288.034693401</v>
      </c>
      <c r="M207">
        <v>10028407.090578312</v>
      </c>
      <c r="N207">
        <v>4251694.6564893648</v>
      </c>
      <c r="O207">
        <v>16682212.515735639</v>
      </c>
      <c r="P207">
        <v>10424542.140308375</v>
      </c>
      <c r="Q207">
        <v>5952123.1487748474</v>
      </c>
      <c r="R207">
        <v>17571812.432431769</v>
      </c>
      <c r="S207">
        <v>28108250.194092397</v>
      </c>
      <c r="T207">
        <v>11050235.618715011</v>
      </c>
      <c r="U207">
        <v>30993342.012194987</v>
      </c>
      <c r="V207">
        <v>12661615.968146922</v>
      </c>
      <c r="W207">
        <v>20473427.777489707</v>
      </c>
      <c r="X207">
        <v>12603992.46035986</v>
      </c>
      <c r="Y207">
        <v>24087536.064652666</v>
      </c>
    </row>
    <row r="208" spans="1:25" x14ac:dyDescent="0.45">
      <c r="A208" t="s">
        <v>208</v>
      </c>
      <c r="B208">
        <v>2788658.2709286874</v>
      </c>
      <c r="C208">
        <v>3170938.5319010224</v>
      </c>
      <c r="D208">
        <v>1743874.8190348849</v>
      </c>
      <c r="E208">
        <v>2343744.455171884</v>
      </c>
      <c r="F208">
        <v>8853633.3678428121</v>
      </c>
      <c r="G208">
        <v>2942134.1473815585</v>
      </c>
      <c r="H208">
        <v>2494080.272320806</v>
      </c>
      <c r="I208">
        <v>453913.58094603318</v>
      </c>
      <c r="J208">
        <v>9956651.0158319399</v>
      </c>
      <c r="K208">
        <v>9315035.5873269122</v>
      </c>
      <c r="L208">
        <v>5732526.6490716403</v>
      </c>
      <c r="M208">
        <v>8564148.515795812</v>
      </c>
      <c r="N208">
        <v>5243319.647180968</v>
      </c>
      <c r="O208">
        <v>5926260.9937068624</v>
      </c>
      <c r="P208">
        <v>729104.2348495879</v>
      </c>
      <c r="Q208">
        <v>775772.55781469482</v>
      </c>
      <c r="R208">
        <v>12660948.808108643</v>
      </c>
      <c r="S208">
        <v>10996479.631405333</v>
      </c>
      <c r="T208">
        <v>718792.8097968665</v>
      </c>
      <c r="U208">
        <v>11757200.342161193</v>
      </c>
      <c r="V208">
        <v>2941870.2208600431</v>
      </c>
      <c r="W208">
        <v>9524690.4678722285</v>
      </c>
      <c r="X208">
        <v>33453311.108660258</v>
      </c>
      <c r="Y208">
        <v>8624509.6542119533</v>
      </c>
    </row>
    <row r="209" spans="1:25" x14ac:dyDescent="0.45">
      <c r="A209" t="s">
        <v>209</v>
      </c>
      <c r="B209">
        <v>214937636.82466531</v>
      </c>
      <c r="C209">
        <v>326280278.2947129</v>
      </c>
      <c r="D209">
        <v>159643098.13190848</v>
      </c>
      <c r="E209">
        <v>140620607.43045521</v>
      </c>
      <c r="F209">
        <v>102823844.44766107</v>
      </c>
      <c r="G209">
        <v>144334556.13959214</v>
      </c>
      <c r="H209">
        <v>227284574.52529576</v>
      </c>
      <c r="I209">
        <v>597479461.30011201</v>
      </c>
      <c r="J209">
        <v>402528265.31343406</v>
      </c>
      <c r="K209">
        <v>483895284.507945</v>
      </c>
      <c r="L209">
        <v>2198764244.0392399</v>
      </c>
      <c r="M209">
        <v>438154953.98950619</v>
      </c>
      <c r="N209">
        <v>298515392.92015684</v>
      </c>
      <c r="O209">
        <v>283821762.84502769</v>
      </c>
      <c r="P209">
        <v>243427150.45829946</v>
      </c>
      <c r="Q209">
        <v>125916590.71556681</v>
      </c>
      <c r="R209">
        <v>320086672.95750558</v>
      </c>
      <c r="S209">
        <v>292990621.06846654</v>
      </c>
      <c r="T209">
        <v>221884080.07897812</v>
      </c>
      <c r="U209">
        <v>585232916.25792336</v>
      </c>
      <c r="V209">
        <v>352059874.62660944</v>
      </c>
      <c r="W209">
        <v>249264740.48409754</v>
      </c>
      <c r="X209">
        <v>318983238.94175583</v>
      </c>
      <c r="Y209">
        <v>389707294.83102733</v>
      </c>
    </row>
    <row r="210" spans="1:25" x14ac:dyDescent="0.45">
      <c r="A210" t="s">
        <v>210</v>
      </c>
      <c r="B210">
        <v>87243714.707664564</v>
      </c>
      <c r="C210">
        <v>145886125.83677095</v>
      </c>
      <c r="D210">
        <v>82204507.744864523</v>
      </c>
      <c r="E210">
        <v>57416214.493164368</v>
      </c>
      <c r="F210">
        <v>76736158.678925425</v>
      </c>
      <c r="G210">
        <v>82963445.342684314</v>
      </c>
      <c r="H210">
        <v>98215884.844288781</v>
      </c>
      <c r="I210">
        <v>345599499.33924174</v>
      </c>
      <c r="J210">
        <v>221828590.41242859</v>
      </c>
      <c r="K210">
        <v>211672557.27239278</v>
      </c>
      <c r="L210">
        <v>1059938142.89592</v>
      </c>
      <c r="M210">
        <v>185397126.01653937</v>
      </c>
      <c r="N210">
        <v>145020732.21261087</v>
      </c>
      <c r="O210">
        <v>130643136.28122129</v>
      </c>
      <c r="P210">
        <v>114604674.70949388</v>
      </c>
      <c r="Q210">
        <v>109319989.97993121</v>
      </c>
      <c r="R210">
        <v>65073743.998209476</v>
      </c>
      <c r="S210">
        <v>269219454.49352622</v>
      </c>
      <c r="T210">
        <v>125716371.34275237</v>
      </c>
      <c r="U210">
        <v>221858478.7871533</v>
      </c>
      <c r="V210">
        <v>182154331.80543846</v>
      </c>
      <c r="W210">
        <v>136273620.13495493</v>
      </c>
      <c r="X210">
        <v>175377650.41982847</v>
      </c>
      <c r="Y210">
        <v>187952576.53934807</v>
      </c>
    </row>
    <row r="211" spans="1:25" x14ac:dyDescent="0.45">
      <c r="A211" t="s">
        <v>211</v>
      </c>
      <c r="B211">
        <v>16261054.069389062</v>
      </c>
      <c r="C211">
        <v>14134470.667057211</v>
      </c>
      <c r="D211">
        <v>11401261.755575551</v>
      </c>
      <c r="E211">
        <v>11095746.682579178</v>
      </c>
      <c r="F211">
        <v>23152412.460274883</v>
      </c>
      <c r="G211">
        <v>10460713.134432059</v>
      </c>
      <c r="H211">
        <v>9629801.2277639527</v>
      </c>
      <c r="I211">
        <v>2507280.7952898759</v>
      </c>
      <c r="J211">
        <v>38053343.196705967</v>
      </c>
      <c r="K211">
        <v>23957793.343306787</v>
      </c>
      <c r="L211">
        <v>15242923.019110801</v>
      </c>
      <c r="M211">
        <v>25572249.013443187</v>
      </c>
      <c r="N211">
        <v>13985337.43894407</v>
      </c>
      <c r="O211">
        <v>17700846.129615266</v>
      </c>
      <c r="P211">
        <v>6250548.9585674386</v>
      </c>
      <c r="Q211">
        <v>5360276.3214777252</v>
      </c>
      <c r="R211">
        <v>38070514.121571034</v>
      </c>
      <c r="S211">
        <v>32465388.815233137</v>
      </c>
      <c r="T211">
        <v>6627138.6553256009</v>
      </c>
      <c r="U211">
        <v>25991458.688776255</v>
      </c>
      <c r="V211">
        <v>13479530.677891772</v>
      </c>
      <c r="W211">
        <v>22415957.114742763</v>
      </c>
      <c r="X211">
        <v>24941931.503960673</v>
      </c>
      <c r="Y211">
        <v>18832031.907405563</v>
      </c>
    </row>
    <row r="212" spans="1:25" x14ac:dyDescent="0.45">
      <c r="A212" t="s">
        <v>212</v>
      </c>
      <c r="B212">
        <v>462430996.12142181</v>
      </c>
      <c r="C212">
        <v>406328962.37485158</v>
      </c>
      <c r="D212">
        <v>313508443.03733963</v>
      </c>
      <c r="E212">
        <v>339395687.19173747</v>
      </c>
      <c r="F212">
        <v>186829142.63540801</v>
      </c>
      <c r="G212">
        <v>210485085.48396423</v>
      </c>
      <c r="H212">
        <v>194425440.88214603</v>
      </c>
      <c r="I212">
        <v>269946380.73110241</v>
      </c>
      <c r="J212">
        <v>350547671.67797178</v>
      </c>
      <c r="K212">
        <v>262690966.75045726</v>
      </c>
      <c r="L212">
        <v>664395232.17247796</v>
      </c>
      <c r="M212">
        <v>836662125.93044364</v>
      </c>
      <c r="N212">
        <v>80299476.863009676</v>
      </c>
      <c r="O212">
        <v>268905413.10229415</v>
      </c>
      <c r="P212">
        <v>312992340.73995262</v>
      </c>
      <c r="Q212">
        <v>142024455.63209772</v>
      </c>
      <c r="R212">
        <v>464139822.839872</v>
      </c>
      <c r="S212">
        <v>455500003.52213657</v>
      </c>
      <c r="T212">
        <v>104686330.70548555</v>
      </c>
      <c r="U212">
        <v>101531367.5973006</v>
      </c>
      <c r="V212">
        <v>114002111.75029145</v>
      </c>
      <c r="W212">
        <v>491928527.44225198</v>
      </c>
      <c r="X212">
        <v>516889791.12053198</v>
      </c>
      <c r="Y212">
        <v>934905246.13132489</v>
      </c>
    </row>
    <row r="213" spans="1:25" x14ac:dyDescent="0.45">
      <c r="A213" t="s">
        <v>319</v>
      </c>
      <c r="B213">
        <v>15640706.588481847</v>
      </c>
      <c r="C213">
        <v>24055308.750524033</v>
      </c>
      <c r="D213">
        <v>13556316.922526324</v>
      </c>
      <c r="E213">
        <v>11678906.441290213</v>
      </c>
      <c r="F213">
        <v>17932193.863994375</v>
      </c>
      <c r="G213">
        <v>20537146.280633919</v>
      </c>
      <c r="H213">
        <v>12134072.434353229</v>
      </c>
      <c r="I213">
        <v>8131070.7201466113</v>
      </c>
      <c r="J213">
        <v>18455991.962080453</v>
      </c>
      <c r="K213">
        <v>17857108.987822626</v>
      </c>
      <c r="L213">
        <v>11349664.0684001</v>
      </c>
      <c r="M213">
        <v>24858029.785078622</v>
      </c>
      <c r="N213">
        <v>3594162.0286057922</v>
      </c>
      <c r="O213">
        <v>13401722.57903</v>
      </c>
      <c r="P213">
        <v>10317029.259774528</v>
      </c>
      <c r="Q213">
        <v>14598130.163045753</v>
      </c>
      <c r="R213">
        <v>21210726.578442074</v>
      </c>
      <c r="S213">
        <v>27432483.606451001</v>
      </c>
      <c r="T213">
        <v>11373872.721663533</v>
      </c>
      <c r="U213">
        <v>15359423.619688451</v>
      </c>
      <c r="V213">
        <v>17064723.239406709</v>
      </c>
      <c r="W213">
        <v>20845632.613939852</v>
      </c>
      <c r="X213">
        <v>20965871.409094121</v>
      </c>
      <c r="Y213">
        <v>23184863.827246983</v>
      </c>
    </row>
    <row r="214" spans="1:25" x14ac:dyDescent="0.45">
      <c r="A214" t="s">
        <v>213</v>
      </c>
      <c r="B214">
        <v>18785552.641848821</v>
      </c>
      <c r="C214">
        <v>15051388.548510943</v>
      </c>
      <c r="D214">
        <v>14871403.164085796</v>
      </c>
      <c r="E214">
        <v>19348520.713990796</v>
      </c>
      <c r="F214">
        <v>7868715.2899565706</v>
      </c>
      <c r="G214">
        <v>18105015.063938774</v>
      </c>
      <c r="H214">
        <v>10948318.775436925</v>
      </c>
      <c r="I214">
        <v>74739676.078523174</v>
      </c>
      <c r="J214">
        <v>52685903.875310943</v>
      </c>
      <c r="K214">
        <v>22614986.934831571</v>
      </c>
      <c r="L214">
        <v>38418718.833892599</v>
      </c>
      <c r="M214">
        <v>16731567.134296563</v>
      </c>
      <c r="N214">
        <v>15219874.275489252</v>
      </c>
      <c r="O214">
        <v>22202049.168867342</v>
      </c>
      <c r="P214">
        <v>18148641.538692765</v>
      </c>
      <c r="Q214">
        <v>9730079.8211501911</v>
      </c>
      <c r="R214">
        <v>14917271.998915242</v>
      </c>
      <c r="S214">
        <v>21186853.314805791</v>
      </c>
      <c r="T214">
        <v>12942966.013789287</v>
      </c>
      <c r="U214">
        <v>48275680.446740381</v>
      </c>
      <c r="V214">
        <v>17905980.930414878</v>
      </c>
      <c r="W214">
        <v>21200839.926877476</v>
      </c>
      <c r="X214">
        <v>19633459.86761919</v>
      </c>
      <c r="Y214">
        <v>18892257.134605877</v>
      </c>
    </row>
    <row r="215" spans="1:25" x14ac:dyDescent="0.45">
      <c r="A215" t="s">
        <v>320</v>
      </c>
      <c r="B215">
        <v>21927338.620736651</v>
      </c>
      <c r="C215">
        <v>26592922.085870963</v>
      </c>
      <c r="D215">
        <v>15225866.92998603</v>
      </c>
      <c r="E215">
        <v>23859275.020358276</v>
      </c>
      <c r="F215">
        <v>32231518.7280019</v>
      </c>
      <c r="G215">
        <v>25434629.842986617</v>
      </c>
      <c r="H215">
        <v>22469820.871661477</v>
      </c>
      <c r="I215">
        <v>57876844.147666179</v>
      </c>
      <c r="J215">
        <v>54352410.278402373</v>
      </c>
      <c r="K215">
        <v>39945476.617499523</v>
      </c>
      <c r="L215">
        <v>93923349.877645701</v>
      </c>
      <c r="M215">
        <v>36066411.350033499</v>
      </c>
      <c r="N215">
        <v>47686752.161495984</v>
      </c>
      <c r="O215">
        <v>54878268.690717027</v>
      </c>
      <c r="P215">
        <v>34242017.275113098</v>
      </c>
      <c r="Q215">
        <v>16451618.176388863</v>
      </c>
      <c r="R215">
        <v>30021775.423413903</v>
      </c>
      <c r="S215">
        <v>42538402.854977973</v>
      </c>
      <c r="T215">
        <v>12758950.608438991</v>
      </c>
      <c r="U215">
        <v>64978894.717901148</v>
      </c>
      <c r="V215">
        <v>18683203.684508562</v>
      </c>
      <c r="W215">
        <v>46446517.40506456</v>
      </c>
      <c r="X215">
        <v>49802071.405871049</v>
      </c>
      <c r="Y215">
        <v>47142366.215195417</v>
      </c>
    </row>
    <row r="216" spans="1:25" x14ac:dyDescent="0.45">
      <c r="A216" t="s">
        <v>321</v>
      </c>
      <c r="B216">
        <v>3270100.6103345756</v>
      </c>
      <c r="C216">
        <v>2755490.5409839218</v>
      </c>
      <c r="D216">
        <v>4158647.6688439278</v>
      </c>
      <c r="E216">
        <v>6122617.131990972</v>
      </c>
      <c r="F216">
        <v>10860339.646374915</v>
      </c>
      <c r="G216">
        <v>7878743.3418826954</v>
      </c>
      <c r="H216">
        <v>4586954.5862754118</v>
      </c>
      <c r="I216">
        <v>81547430.111863002</v>
      </c>
      <c r="J216">
        <v>21882682.461660571</v>
      </c>
      <c r="K216">
        <v>4520650.7309864024</v>
      </c>
      <c r="L216">
        <v>8633828.2052903809</v>
      </c>
      <c r="M216">
        <v>2192103.7487743562</v>
      </c>
      <c r="N216">
        <v>594339996.05405807</v>
      </c>
      <c r="O216">
        <v>4620878.241557505</v>
      </c>
      <c r="P216">
        <v>7061248.7078373255</v>
      </c>
      <c r="Q216">
        <v>3636576.6929761078</v>
      </c>
      <c r="R216">
        <v>6758927.6360451374</v>
      </c>
      <c r="S216">
        <v>3470758.4555677832</v>
      </c>
      <c r="T216">
        <v>2090826.3788189534</v>
      </c>
      <c r="U216">
        <v>22615749.75714216</v>
      </c>
      <c r="V216">
        <v>4492849.3799547581</v>
      </c>
      <c r="W216">
        <v>7926361.4674418019</v>
      </c>
      <c r="X216">
        <v>6109306.1956237843</v>
      </c>
      <c r="Y216">
        <v>4750836.5359329777</v>
      </c>
    </row>
    <row r="217" spans="1:25" x14ac:dyDescent="0.45">
      <c r="A217" t="s">
        <v>322</v>
      </c>
      <c r="B217">
        <v>40453144.970567487</v>
      </c>
      <c r="C217">
        <v>117084162.39100678</v>
      </c>
      <c r="D217">
        <v>42183773.23517786</v>
      </c>
      <c r="E217">
        <v>41134869.370861322</v>
      </c>
      <c r="F217">
        <v>56653054.800000072</v>
      </c>
      <c r="G217">
        <v>61002272.275338233</v>
      </c>
      <c r="H217">
        <v>67653798.472499564</v>
      </c>
      <c r="I217">
        <v>88444082.562934667</v>
      </c>
      <c r="J217">
        <v>91699026.450397238</v>
      </c>
      <c r="K217">
        <v>167548616.67253256</v>
      </c>
      <c r="L217">
        <v>378828874.99545199</v>
      </c>
      <c r="M217">
        <v>97339602.526663125</v>
      </c>
      <c r="N217">
        <v>139849995.89616027</v>
      </c>
      <c r="O217">
        <v>128497469.12430213</v>
      </c>
      <c r="P217">
        <v>87069561.153997928</v>
      </c>
      <c r="Q217">
        <v>157625688.65460849</v>
      </c>
      <c r="R217">
        <v>270634976.18767095</v>
      </c>
      <c r="S217">
        <v>145208989.2653648</v>
      </c>
      <c r="T217">
        <v>134327047.31948081</v>
      </c>
      <c r="U217">
        <v>93872903.867714152</v>
      </c>
      <c r="V217">
        <v>88349276.142795876</v>
      </c>
      <c r="W217">
        <v>33561364.916296646</v>
      </c>
      <c r="X217">
        <v>99237941.360360846</v>
      </c>
      <c r="Y217">
        <v>165092869.35284436</v>
      </c>
    </row>
    <row r="218" spans="1:25" x14ac:dyDescent="0.45">
      <c r="A218" t="s">
        <v>323</v>
      </c>
      <c r="B218">
        <v>8654477.6018802598</v>
      </c>
      <c r="C218">
        <v>9667425.6154145095</v>
      </c>
      <c r="D218">
        <v>7435296.2004067143</v>
      </c>
      <c r="E218">
        <v>10725881.969689017</v>
      </c>
      <c r="F218">
        <v>9336523.2818581909</v>
      </c>
      <c r="G218">
        <v>9750407.7910826467</v>
      </c>
      <c r="H218">
        <v>11402922.451241519</v>
      </c>
      <c r="I218">
        <v>16497478.148541814</v>
      </c>
      <c r="J218">
        <v>32176890.271758378</v>
      </c>
      <c r="K218">
        <v>23212645.070666488</v>
      </c>
      <c r="L218">
        <v>501791406.56715101</v>
      </c>
      <c r="M218">
        <v>12925819.910549812</v>
      </c>
      <c r="N218">
        <v>9550440.096855687</v>
      </c>
      <c r="O218">
        <v>12244096.104112394</v>
      </c>
      <c r="P218">
        <v>8294575.9052653778</v>
      </c>
      <c r="Q218">
        <v>2210917.5289080082</v>
      </c>
      <c r="R218">
        <v>4613464.2189215906</v>
      </c>
      <c r="S218">
        <v>10075190.981641624</v>
      </c>
      <c r="T218">
        <v>11544607.479637891</v>
      </c>
      <c r="U218">
        <v>29844314.24069063</v>
      </c>
      <c r="V218">
        <v>14377749.095464651</v>
      </c>
      <c r="W218">
        <v>26051190.174470954</v>
      </c>
      <c r="X218">
        <v>20881599.239826232</v>
      </c>
      <c r="Y218">
        <v>36886968.277671486</v>
      </c>
    </row>
    <row r="219" spans="1:25" x14ac:dyDescent="0.45">
      <c r="A219" t="s">
        <v>324</v>
      </c>
      <c r="B219">
        <v>3044221.8384044408</v>
      </c>
      <c r="C219">
        <v>3614327.0077280481</v>
      </c>
      <c r="D219">
        <v>2261756.5963488924</v>
      </c>
      <c r="E219">
        <v>3181399.83520489</v>
      </c>
      <c r="F219">
        <v>3968487.9129125928</v>
      </c>
      <c r="G219">
        <v>3098174.6242981912</v>
      </c>
      <c r="H219">
        <v>25810944.146133039</v>
      </c>
      <c r="I219">
        <v>117439805.38779081</v>
      </c>
      <c r="J219">
        <v>4651757.5254182769</v>
      </c>
      <c r="K219">
        <v>4013635.2970757349</v>
      </c>
      <c r="L219">
        <v>11643744.349977201</v>
      </c>
      <c r="M219">
        <v>4213391.327779281</v>
      </c>
      <c r="N219">
        <v>62565596.575703926</v>
      </c>
      <c r="O219">
        <v>51736332.53196048</v>
      </c>
      <c r="P219">
        <v>38371187.900378764</v>
      </c>
      <c r="Q219">
        <v>1852927.5810302834</v>
      </c>
      <c r="R219">
        <v>4405777.629902917</v>
      </c>
      <c r="S219">
        <v>4927031.0504233725</v>
      </c>
      <c r="T219">
        <v>2068650.1641306777</v>
      </c>
      <c r="U219">
        <v>6048872.824749846</v>
      </c>
      <c r="V219">
        <v>2887780.2492720941</v>
      </c>
      <c r="W219">
        <v>4055973.9685710235</v>
      </c>
      <c r="X219">
        <v>5207638.6292868098</v>
      </c>
      <c r="Y219">
        <v>50527034.810222507</v>
      </c>
    </row>
    <row r="220" spans="1:25" x14ac:dyDescent="0.45">
      <c r="A220" t="s">
        <v>214</v>
      </c>
      <c r="B220">
        <v>33414147.364832919</v>
      </c>
      <c r="C220">
        <v>25780840.657571208</v>
      </c>
      <c r="D220">
        <v>17653053.93122948</v>
      </c>
      <c r="E220">
        <v>48462512.811656505</v>
      </c>
      <c r="F220">
        <v>36148152.051508851</v>
      </c>
      <c r="G220">
        <v>29637846.934716813</v>
      </c>
      <c r="H220">
        <v>36943764.509449311</v>
      </c>
      <c r="I220">
        <v>9971261.6197591517</v>
      </c>
      <c r="J220">
        <v>50203401.559519827</v>
      </c>
      <c r="K220">
        <v>62590886.466786146</v>
      </c>
      <c r="L220">
        <v>111548945.917192</v>
      </c>
      <c r="M220">
        <v>62478611.516807936</v>
      </c>
      <c r="N220">
        <v>11227821.469609056</v>
      </c>
      <c r="O220">
        <v>28671826.871892609</v>
      </c>
      <c r="P220">
        <v>22294059.490026437</v>
      </c>
      <c r="Q220">
        <v>29053113.840077803</v>
      </c>
      <c r="R220">
        <v>33284583.010105219</v>
      </c>
      <c r="S220">
        <v>50910811.687275968</v>
      </c>
      <c r="T220">
        <v>7953444.5956215607</v>
      </c>
      <c r="U220">
        <v>98858225.498523533</v>
      </c>
      <c r="V220">
        <v>24057718.827804089</v>
      </c>
      <c r="W220">
        <v>58023434.357238322</v>
      </c>
      <c r="X220">
        <v>71956949.463430181</v>
      </c>
      <c r="Y220">
        <v>93549852.317919523</v>
      </c>
    </row>
    <row r="221" spans="1:25" x14ac:dyDescent="0.45">
      <c r="A221" t="s">
        <v>215</v>
      </c>
      <c r="B221">
        <v>5990403.8521562768</v>
      </c>
      <c r="C221">
        <v>4328912.28693341</v>
      </c>
      <c r="D221">
        <v>7483060.1232300252</v>
      </c>
      <c r="E221">
        <v>10532756.572404953</v>
      </c>
      <c r="F221">
        <v>14281784.816855347</v>
      </c>
      <c r="G221">
        <v>6709183.1706443625</v>
      </c>
      <c r="H221">
        <v>6062769.5320528448</v>
      </c>
      <c r="I221">
        <v>38981735.956104726</v>
      </c>
      <c r="J221">
        <v>28716238.970811781</v>
      </c>
      <c r="K221">
        <v>22080120.095380671</v>
      </c>
      <c r="L221">
        <v>93058056.445905894</v>
      </c>
      <c r="M221">
        <v>15271626.302615874</v>
      </c>
      <c r="N221">
        <v>266485669.88952175</v>
      </c>
      <c r="O221">
        <v>11793739.991803458</v>
      </c>
      <c r="P221">
        <v>3184365.8049585582</v>
      </c>
      <c r="Q221">
        <v>2432837.5407559136</v>
      </c>
      <c r="R221">
        <v>10615603.43248859</v>
      </c>
      <c r="S221">
        <v>14322117.131916199</v>
      </c>
      <c r="T221">
        <v>7261527.7120373053</v>
      </c>
      <c r="U221">
        <v>15586577.636601487</v>
      </c>
      <c r="V221">
        <v>6651820.9371167729</v>
      </c>
      <c r="W221">
        <v>8694372.2522444502</v>
      </c>
      <c r="X221">
        <v>24344752.792541619</v>
      </c>
      <c r="Y221">
        <v>10771017.670811027</v>
      </c>
    </row>
    <row r="222" spans="1:25" x14ac:dyDescent="0.45">
      <c r="A222" t="s">
        <v>325</v>
      </c>
      <c r="B222">
        <v>22874794.116530105</v>
      </c>
      <c r="C222">
        <v>161965374.78553644</v>
      </c>
      <c r="D222">
        <v>37733953.470192082</v>
      </c>
      <c r="E222">
        <v>21704581.342559304</v>
      </c>
      <c r="F222">
        <v>25406382.226863157</v>
      </c>
      <c r="G222">
        <v>12222666.347363137</v>
      </c>
      <c r="H222">
        <v>26032328.280696213</v>
      </c>
      <c r="I222">
        <v>363308607.10293776</v>
      </c>
      <c r="J222">
        <v>85055962.177050143</v>
      </c>
      <c r="K222">
        <v>80277532.312161773</v>
      </c>
      <c r="L222">
        <v>334513497.10255402</v>
      </c>
      <c r="M222">
        <v>52442801.747415997</v>
      </c>
      <c r="N222">
        <v>127620977.58783792</v>
      </c>
      <c r="O222">
        <v>50970506.211628355</v>
      </c>
      <c r="P222">
        <v>26769142.425406612</v>
      </c>
      <c r="Q222">
        <v>96842859.234668985</v>
      </c>
      <c r="R222">
        <v>301580566.73468035</v>
      </c>
      <c r="S222">
        <v>198176053.48735395</v>
      </c>
      <c r="T222">
        <v>241304212.87537995</v>
      </c>
      <c r="U222">
        <v>185027418.3524234</v>
      </c>
      <c r="V222">
        <v>100451241.59054892</v>
      </c>
      <c r="W222">
        <v>49960868.592918977</v>
      </c>
      <c r="X222">
        <v>148802872.20106193</v>
      </c>
      <c r="Y222">
        <v>196839544.64361444</v>
      </c>
    </row>
    <row r="223" spans="1:25" x14ac:dyDescent="0.45">
      <c r="A223" t="s">
        <v>216</v>
      </c>
      <c r="B223">
        <v>2048643.2142507886</v>
      </c>
      <c r="C223">
        <v>3670561.4300965015</v>
      </c>
      <c r="D223">
        <v>1734773.2967074791</v>
      </c>
      <c r="E223">
        <v>1887763.721610921</v>
      </c>
      <c r="F223">
        <v>2452446.7807912244</v>
      </c>
      <c r="G223">
        <v>2167843.5970403678</v>
      </c>
      <c r="H223">
        <v>1750486.8470529332</v>
      </c>
      <c r="I223">
        <v>5354869.3876955323</v>
      </c>
      <c r="J223">
        <v>2982246.4109597937</v>
      </c>
      <c r="K223">
        <v>9109469.4377528727</v>
      </c>
      <c r="L223">
        <v>5226633.7861391203</v>
      </c>
      <c r="M223">
        <v>6190987.0552837867</v>
      </c>
      <c r="N223">
        <v>10319603.110259041</v>
      </c>
      <c r="O223">
        <v>8472738.6341490429</v>
      </c>
      <c r="P223">
        <v>12294918.848088609</v>
      </c>
      <c r="Q223">
        <v>3828988.0121978354</v>
      </c>
      <c r="R223">
        <v>11627544.223735614</v>
      </c>
      <c r="S223">
        <v>8357631.7036828436</v>
      </c>
      <c r="T223">
        <v>9778969.2297526579</v>
      </c>
      <c r="U223">
        <v>6682778.7602085229</v>
      </c>
      <c r="V223">
        <v>2541034.7044679276</v>
      </c>
      <c r="W223">
        <v>2397019.2011397476</v>
      </c>
      <c r="X223">
        <v>3775388.3864391171</v>
      </c>
      <c r="Y223">
        <v>5487709.0059785768</v>
      </c>
    </row>
    <row r="224" spans="1:25" x14ac:dyDescent="0.45">
      <c r="A224" t="s">
        <v>217</v>
      </c>
      <c r="B224">
        <v>149703630.63905364</v>
      </c>
      <c r="C224">
        <v>130549188.8971251</v>
      </c>
      <c r="D224">
        <v>86835817.109573901</v>
      </c>
      <c r="E224">
        <v>121169801.99836129</v>
      </c>
      <c r="F224">
        <v>174287317.17181063</v>
      </c>
      <c r="G224">
        <v>116427975.06250882</v>
      </c>
      <c r="H224">
        <v>103275429.80634199</v>
      </c>
      <c r="I224">
        <v>168015521.22123477</v>
      </c>
      <c r="J224">
        <v>263652747.85399005</v>
      </c>
      <c r="K224">
        <v>233342194.35679454</v>
      </c>
      <c r="L224">
        <v>215890857.609938</v>
      </c>
      <c r="M224">
        <v>225109409.76806062</v>
      </c>
      <c r="N224">
        <v>124765080.91113596</v>
      </c>
      <c r="O224">
        <v>188815684.91776541</v>
      </c>
      <c r="P224">
        <v>119551856.20204364</v>
      </c>
      <c r="Q224">
        <v>67051963.374996565</v>
      </c>
      <c r="R224">
        <v>135820047.28911513</v>
      </c>
      <c r="S224">
        <v>195155189.66810781</v>
      </c>
      <c r="T224">
        <v>75277378.81024836</v>
      </c>
      <c r="U224">
        <v>292613021.89059412</v>
      </c>
      <c r="V224">
        <v>136751691.85312065</v>
      </c>
      <c r="W224">
        <v>191892772.8075445</v>
      </c>
      <c r="X224">
        <v>203829969.40499464</v>
      </c>
      <c r="Y224">
        <v>162315144.34365156</v>
      </c>
    </row>
    <row r="225" spans="1:25" x14ac:dyDescent="0.45">
      <c r="A225" t="s">
        <v>326</v>
      </c>
      <c r="B225">
        <v>616416.46708393819</v>
      </c>
      <c r="C225">
        <v>1216563.2730843404</v>
      </c>
      <c r="D225">
        <v>664805.39099886268</v>
      </c>
      <c r="E225">
        <v>874890.61921938625</v>
      </c>
      <c r="F225">
        <v>910125.81393388088</v>
      </c>
      <c r="G225">
        <v>1704209.9757330148</v>
      </c>
      <c r="H225">
        <v>1205563.9630714273</v>
      </c>
      <c r="I225">
        <v>2535186.833736876</v>
      </c>
      <c r="J225">
        <v>1618687.7499666794</v>
      </c>
      <c r="K225">
        <v>1739387.3038504554</v>
      </c>
      <c r="L225">
        <v>2754164.83191839</v>
      </c>
      <c r="M225">
        <v>1435790.055442631</v>
      </c>
      <c r="N225">
        <v>20754730.417940386</v>
      </c>
      <c r="O225">
        <v>1497077.2383564308</v>
      </c>
      <c r="P225">
        <v>1814152.1401320035</v>
      </c>
      <c r="Q225">
        <v>439654.99912041129</v>
      </c>
      <c r="R225">
        <v>2724427.056246771</v>
      </c>
      <c r="S225">
        <v>2102972.1362836887</v>
      </c>
      <c r="T225">
        <v>17632373.263806451</v>
      </c>
      <c r="U225">
        <v>1396425.3599343889</v>
      </c>
      <c r="V225">
        <v>1647124.9054258952</v>
      </c>
      <c r="W225">
        <v>2047191.4155692344</v>
      </c>
      <c r="X225">
        <v>2932854.9017967358</v>
      </c>
      <c r="Y225">
        <v>3913250.779328268</v>
      </c>
    </row>
    <row r="226" spans="1:25" x14ac:dyDescent="0.45">
      <c r="A226" t="s">
        <v>218</v>
      </c>
      <c r="B226">
        <v>17985998.848185506</v>
      </c>
      <c r="C226">
        <v>15252940.275773574</v>
      </c>
      <c r="D226">
        <v>31922060.3072013</v>
      </c>
      <c r="E226">
        <v>23420031.082861446</v>
      </c>
      <c r="F226">
        <v>38203647.28310895</v>
      </c>
      <c r="G226">
        <v>20066551.882745046</v>
      </c>
      <c r="H226">
        <v>9288376.1088496353</v>
      </c>
      <c r="I226">
        <v>101199171.69131945</v>
      </c>
      <c r="J226">
        <v>70777089.424289107</v>
      </c>
      <c r="K226">
        <v>19759546.943661548</v>
      </c>
      <c r="L226">
        <v>74124945.130036101</v>
      </c>
      <c r="M226">
        <v>13575740.862017937</v>
      </c>
      <c r="N226">
        <v>54985800.402061105</v>
      </c>
      <c r="O226">
        <v>44446628.038873464</v>
      </c>
      <c r="P226">
        <v>15554870.276999615</v>
      </c>
      <c r="Q226">
        <v>7722702.3671461418</v>
      </c>
      <c r="R226">
        <v>26439632.73095011</v>
      </c>
      <c r="S226">
        <v>28245385.555796936</v>
      </c>
      <c r="T226">
        <v>12798246.271291951</v>
      </c>
      <c r="U226">
        <v>73611873.12159577</v>
      </c>
      <c r="V226">
        <v>31325675.875061594</v>
      </c>
      <c r="W226">
        <v>21614906.259225897</v>
      </c>
      <c r="X226">
        <v>22132571.825157568</v>
      </c>
      <c r="Y226">
        <v>14705383.034532554</v>
      </c>
    </row>
    <row r="227" spans="1:25" x14ac:dyDescent="0.45">
      <c r="A227" t="s">
        <v>219</v>
      </c>
      <c r="B227">
        <v>7483021.7077749334</v>
      </c>
      <c r="C227">
        <v>17996941.074943926</v>
      </c>
      <c r="D227">
        <v>3570966.7189634419</v>
      </c>
      <c r="E227">
        <v>7080409.6057573026</v>
      </c>
      <c r="F227">
        <v>33550015.193768252</v>
      </c>
      <c r="G227">
        <v>11466568.118241178</v>
      </c>
      <c r="H227">
        <v>5164145.253121186</v>
      </c>
      <c r="I227">
        <v>32445979.030489057</v>
      </c>
      <c r="J227">
        <v>5879426.4793109065</v>
      </c>
      <c r="K227">
        <v>19243354.056847613</v>
      </c>
      <c r="L227">
        <v>29039065.131979398</v>
      </c>
      <c r="M227">
        <v>27710342.560960997</v>
      </c>
      <c r="N227">
        <v>77228696.776140094</v>
      </c>
      <c r="O227">
        <v>41917281.439525642</v>
      </c>
      <c r="P227">
        <v>8127786.4027328556</v>
      </c>
      <c r="Q227">
        <v>18869329.033950575</v>
      </c>
      <c r="R227">
        <v>14819534.038856704</v>
      </c>
      <c r="S227">
        <v>10799931.047150364</v>
      </c>
      <c r="T227">
        <v>19808218.819292556</v>
      </c>
      <c r="U227">
        <v>43518949.048828535</v>
      </c>
      <c r="V227">
        <v>6213947.5817796085</v>
      </c>
      <c r="W227">
        <v>27466977.393166315</v>
      </c>
      <c r="X227">
        <v>36157269.35519553</v>
      </c>
      <c r="Y227">
        <v>18199679.13210151</v>
      </c>
    </row>
    <row r="228" spans="1:25" x14ac:dyDescent="0.45">
      <c r="A228" t="s">
        <v>220</v>
      </c>
      <c r="B228">
        <v>137211325.77296355</v>
      </c>
      <c r="C228">
        <v>105610612.45187138</v>
      </c>
      <c r="D228">
        <v>84360392.197868794</v>
      </c>
      <c r="E228">
        <v>139546802.57224944</v>
      </c>
      <c r="F228">
        <v>142167795.67125031</v>
      </c>
      <c r="G228">
        <v>102336353.98617058</v>
      </c>
      <c r="H228">
        <v>136983768.24535838</v>
      </c>
      <c r="I228">
        <v>32261265.622352667</v>
      </c>
      <c r="J228">
        <v>258329590.48933005</v>
      </c>
      <c r="K228">
        <v>158953649.28408349</v>
      </c>
      <c r="L228">
        <v>8654922.9846343193</v>
      </c>
      <c r="M228">
        <v>144887760.34108812</v>
      </c>
      <c r="N228">
        <v>53832546.166074015</v>
      </c>
      <c r="O228">
        <v>98256225.500439361</v>
      </c>
      <c r="P228">
        <v>89047478.233903781</v>
      </c>
      <c r="Q228">
        <v>61594658.600152634</v>
      </c>
      <c r="R228">
        <v>116965611.56515209</v>
      </c>
      <c r="S228">
        <v>180715583.19330761</v>
      </c>
      <c r="T228">
        <v>34731887.011816658</v>
      </c>
      <c r="U228">
        <v>230247603.65918586</v>
      </c>
      <c r="V228">
        <v>86546633.241618454</v>
      </c>
      <c r="W228">
        <v>216053484.37482837</v>
      </c>
      <c r="X228">
        <v>276694409.87683535</v>
      </c>
      <c r="Y228">
        <v>244321368.48284858</v>
      </c>
    </row>
    <row r="229" spans="1:25" x14ac:dyDescent="0.45">
      <c r="A229" t="s">
        <v>327</v>
      </c>
      <c r="B229">
        <v>3629781.650287346</v>
      </c>
      <c r="C229">
        <v>53893929.212888151</v>
      </c>
      <c r="D229">
        <v>10442091.236404259</v>
      </c>
      <c r="E229">
        <v>5860425.1792080076</v>
      </c>
      <c r="F229">
        <v>3597067.290116101</v>
      </c>
      <c r="G229">
        <v>23488822.82814838</v>
      </c>
      <c r="H229">
        <v>22492179.331109989</v>
      </c>
      <c r="I229">
        <v>240976.06361372559</v>
      </c>
      <c r="J229">
        <v>8645395.6858899519</v>
      </c>
      <c r="K229">
        <v>24963972.362166036</v>
      </c>
      <c r="L229">
        <v>1177384.128217</v>
      </c>
      <c r="M229">
        <v>14591290.573164625</v>
      </c>
      <c r="N229">
        <v>9770736.1875526216</v>
      </c>
      <c r="O229">
        <v>4323440.555120171</v>
      </c>
      <c r="P229">
        <v>46807672.004904844</v>
      </c>
      <c r="Q229">
        <v>30848767.981462266</v>
      </c>
      <c r="R229">
        <v>74346794.603210375</v>
      </c>
      <c r="S229">
        <v>24506922.485592749</v>
      </c>
      <c r="T229">
        <v>44771020.294697046</v>
      </c>
      <c r="U229">
        <v>2735715.3297238983</v>
      </c>
      <c r="V229">
        <v>28599874.064069107</v>
      </c>
      <c r="W229">
        <v>6236940.8177319001</v>
      </c>
      <c r="X229">
        <v>35607583.067726977</v>
      </c>
      <c r="Y229">
        <v>50295021.725665309</v>
      </c>
    </row>
    <row r="230" spans="1:25" x14ac:dyDescent="0.45">
      <c r="A230" t="s">
        <v>221</v>
      </c>
      <c r="B230">
        <v>72973355.079085574</v>
      </c>
      <c r="C230">
        <v>74342048.759286463</v>
      </c>
      <c r="D230">
        <v>84091882.382365525</v>
      </c>
      <c r="E230">
        <v>75005300.278970554</v>
      </c>
      <c r="F230">
        <v>98282311.757786319</v>
      </c>
      <c r="G230">
        <v>65033352.389286764</v>
      </c>
      <c r="H230">
        <v>70887436.093344823</v>
      </c>
      <c r="I230">
        <v>460249348.77680653</v>
      </c>
      <c r="J230">
        <v>317323843.0467456</v>
      </c>
      <c r="K230">
        <v>172975402.95713091</v>
      </c>
      <c r="L230">
        <v>448766148.65517998</v>
      </c>
      <c r="M230">
        <v>168864501.17367497</v>
      </c>
      <c r="N230">
        <v>59322522.511273861</v>
      </c>
      <c r="O230">
        <v>128284591.27479257</v>
      </c>
      <c r="P230">
        <v>43661363.128125452</v>
      </c>
      <c r="Q230">
        <v>69754685.799478143</v>
      </c>
      <c r="R230">
        <v>258344228.28892359</v>
      </c>
      <c r="S230">
        <v>280687832.84159696</v>
      </c>
      <c r="T230">
        <v>50043205.094946787</v>
      </c>
      <c r="U230">
        <v>182620562.87186974</v>
      </c>
      <c r="V230">
        <v>126129107.86558852</v>
      </c>
      <c r="W230">
        <v>170737827.54665574</v>
      </c>
      <c r="X230">
        <v>140235609.36556792</v>
      </c>
      <c r="Y230">
        <v>194723002.0355362</v>
      </c>
    </row>
    <row r="231" spans="1:25" x14ac:dyDescent="0.45">
      <c r="A231" t="s">
        <v>222</v>
      </c>
      <c r="B231">
        <v>10958881.646948524</v>
      </c>
      <c r="C231">
        <v>14595664.999750428</v>
      </c>
      <c r="D231">
        <v>8644756.2557281405</v>
      </c>
      <c r="E231">
        <v>7143910.2777945613</v>
      </c>
      <c r="F231">
        <v>12945923.973126706</v>
      </c>
      <c r="G231">
        <v>7960876.0609632349</v>
      </c>
      <c r="H231">
        <v>8998736.9204657692</v>
      </c>
      <c r="I231">
        <v>18081585.676346682</v>
      </c>
      <c r="J231">
        <v>13972500.463356303</v>
      </c>
      <c r="K231">
        <v>19329412.175555106</v>
      </c>
      <c r="L231">
        <v>48249277.496152401</v>
      </c>
      <c r="M231">
        <v>16089318.744793624</v>
      </c>
      <c r="N231">
        <v>29173223.632575758</v>
      </c>
      <c r="O231">
        <v>18871672.079412289</v>
      </c>
      <c r="P231">
        <v>8999425.8405933622</v>
      </c>
      <c r="Q231">
        <v>10689717.749771498</v>
      </c>
      <c r="R231">
        <v>29086960.350334421</v>
      </c>
      <c r="S231">
        <v>28348955.194659747</v>
      </c>
      <c r="T231">
        <v>9348189.299718434</v>
      </c>
      <c r="U231">
        <v>20469749.164390706</v>
      </c>
      <c r="V231">
        <v>12365294.595572593</v>
      </c>
      <c r="W231">
        <v>15952563.575769845</v>
      </c>
      <c r="X231">
        <v>17358432.78918007</v>
      </c>
      <c r="Y231">
        <v>15737984.390037842</v>
      </c>
    </row>
    <row r="232" spans="1:25" x14ac:dyDescent="0.45">
      <c r="A232" t="s">
        <v>223</v>
      </c>
      <c r="B232">
        <v>29315442.549883299</v>
      </c>
      <c r="C232">
        <v>93442480.235770822</v>
      </c>
      <c r="D232">
        <v>37012900.52430366</v>
      </c>
      <c r="E232">
        <v>54443443.321993448</v>
      </c>
      <c r="F232">
        <v>13604798.466089686</v>
      </c>
      <c r="G232">
        <v>65276230.641751476</v>
      </c>
      <c r="H232">
        <v>44952788.283089399</v>
      </c>
      <c r="I232">
        <v>58605069.183292963</v>
      </c>
      <c r="J232">
        <v>76190302.985606804</v>
      </c>
      <c r="K232">
        <v>76094712.540535122</v>
      </c>
      <c r="L232">
        <v>291480038.138942</v>
      </c>
      <c r="M232">
        <v>64766889.456565619</v>
      </c>
      <c r="N232">
        <v>27587664.728707172</v>
      </c>
      <c r="O232">
        <v>30845229.962003566</v>
      </c>
      <c r="P232">
        <v>92345052.339575008</v>
      </c>
      <c r="Q232">
        <v>57692371.101381883</v>
      </c>
      <c r="R232">
        <v>105471830.99320889</v>
      </c>
      <c r="S232">
        <v>113026203.65835604</v>
      </c>
      <c r="T232">
        <v>103648404.29991584</v>
      </c>
      <c r="U232">
        <v>94678417.601327673</v>
      </c>
      <c r="V232">
        <v>93301290.69238703</v>
      </c>
      <c r="W232">
        <v>38672835.194980465</v>
      </c>
      <c r="X232">
        <v>130260635.78506345</v>
      </c>
      <c r="Y232">
        <v>154416108.24311906</v>
      </c>
    </row>
    <row r="233" spans="1:25" x14ac:dyDescent="0.45">
      <c r="A233" t="s">
        <v>224</v>
      </c>
      <c r="B233">
        <v>74151634.129568547</v>
      </c>
      <c r="C233">
        <v>222683920.92695904</v>
      </c>
      <c r="D233">
        <v>80234654.911435515</v>
      </c>
      <c r="E233">
        <v>105237165.61789593</v>
      </c>
      <c r="F233">
        <v>154162980.78195414</v>
      </c>
      <c r="G233">
        <v>227174285.96362695</v>
      </c>
      <c r="H233">
        <v>224738583.49820548</v>
      </c>
      <c r="I233">
        <v>311119316.6524018</v>
      </c>
      <c r="J233">
        <v>212012569.25368643</v>
      </c>
      <c r="K233">
        <v>451144543.7141248</v>
      </c>
      <c r="L233">
        <v>513845864.60563803</v>
      </c>
      <c r="M233">
        <v>321518494.5661056</v>
      </c>
      <c r="N233">
        <v>177080423.38925543</v>
      </c>
      <c r="O233">
        <v>128337431.03754948</v>
      </c>
      <c r="P233">
        <v>287167178.00072151</v>
      </c>
      <c r="Q233">
        <v>306824009.51254839</v>
      </c>
      <c r="R233">
        <v>679487824.00143301</v>
      </c>
      <c r="S233">
        <v>489483877.80697566</v>
      </c>
      <c r="T233">
        <v>322215445.76605046</v>
      </c>
      <c r="U233">
        <v>174175621.63644573</v>
      </c>
      <c r="V233">
        <v>319601400.24223256</v>
      </c>
      <c r="W233">
        <v>179565264.94140133</v>
      </c>
      <c r="X233">
        <v>489754760.36634707</v>
      </c>
      <c r="Y233">
        <v>670649663.57884443</v>
      </c>
    </row>
    <row r="234" spans="1:25" x14ac:dyDescent="0.45">
      <c r="A234" t="s">
        <v>225</v>
      </c>
      <c r="B234">
        <v>524722.24161304394</v>
      </c>
      <c r="C234">
        <v>1665960.1091391381</v>
      </c>
      <c r="D234">
        <v>768358.06247098651</v>
      </c>
      <c r="E234">
        <v>537635.83991862508</v>
      </c>
      <c r="F234">
        <v>507546.7584138508</v>
      </c>
      <c r="G234">
        <v>766000.59445388243</v>
      </c>
      <c r="H234">
        <v>813830.24523613381</v>
      </c>
      <c r="I234">
        <v>1512087.3209909333</v>
      </c>
      <c r="J234">
        <v>1246535.7103789216</v>
      </c>
      <c r="K234">
        <v>1079926.3755638751</v>
      </c>
      <c r="L234">
        <v>3455430.4875210901</v>
      </c>
      <c r="M234">
        <v>820789.32040819374</v>
      </c>
      <c r="N234">
        <v>1318161.8963804494</v>
      </c>
      <c r="O234">
        <v>1964094.4686571704</v>
      </c>
      <c r="P234">
        <v>860603.47281737905</v>
      </c>
      <c r="Q234">
        <v>485120.29062330391</v>
      </c>
      <c r="R234">
        <v>1258708.9698109319</v>
      </c>
      <c r="S234">
        <v>961368.67553593125</v>
      </c>
      <c r="T234">
        <v>1575733.2900824654</v>
      </c>
      <c r="U234">
        <v>3184234.7297333828</v>
      </c>
      <c r="V234">
        <v>1364593.1609129065</v>
      </c>
      <c r="W234">
        <v>536963.84246135724</v>
      </c>
      <c r="X234">
        <v>987037.86498859944</v>
      </c>
      <c r="Y234">
        <v>799556.61878987856</v>
      </c>
    </row>
    <row r="235" spans="1:25" x14ac:dyDescent="0.45">
      <c r="A235" t="s">
        <v>226</v>
      </c>
      <c r="B235">
        <v>58780732.977122612</v>
      </c>
      <c r="C235">
        <v>150124739.84623671</v>
      </c>
      <c r="D235">
        <v>80255586.601128563</v>
      </c>
      <c r="E235">
        <v>106440614.99520813</v>
      </c>
      <c r="F235">
        <v>21257871.701467246</v>
      </c>
      <c r="G235">
        <v>69589796.651768625</v>
      </c>
      <c r="H235">
        <v>72465171.829962537</v>
      </c>
      <c r="I235">
        <v>146129598.95164636</v>
      </c>
      <c r="J235">
        <v>151938751.55664772</v>
      </c>
      <c r="K235">
        <v>174548253.91079277</v>
      </c>
      <c r="L235">
        <v>729905384.00601006</v>
      </c>
      <c r="M235">
        <v>133056728.70594876</v>
      </c>
      <c r="N235">
        <v>61958430.368478023</v>
      </c>
      <c r="O235">
        <v>41980496.967977449</v>
      </c>
      <c r="P235">
        <v>171549794.1219058</v>
      </c>
      <c r="Q235">
        <v>99639365.629408151</v>
      </c>
      <c r="R235">
        <v>175749016.93297848</v>
      </c>
      <c r="S235">
        <v>259602772.04338676</v>
      </c>
      <c r="T235">
        <v>220085049.26651284</v>
      </c>
      <c r="U235">
        <v>220085537.12487829</v>
      </c>
      <c r="V235">
        <v>193968666.00266945</v>
      </c>
      <c r="W235">
        <v>49459834.853587352</v>
      </c>
      <c r="X235">
        <v>102489861.64262399</v>
      </c>
      <c r="Y235">
        <v>160276109.83770102</v>
      </c>
    </row>
    <row r="236" spans="1:25" x14ac:dyDescent="0.45">
      <c r="A236" t="s">
        <v>228</v>
      </c>
      <c r="B236">
        <v>34900202.647119455</v>
      </c>
      <c r="C236">
        <v>24537279.542594507</v>
      </c>
      <c r="D236">
        <v>22405465.987360924</v>
      </c>
      <c r="E236">
        <v>36569093.222321205</v>
      </c>
      <c r="F236">
        <v>46794876.049064003</v>
      </c>
      <c r="G236">
        <v>29849481.606764801</v>
      </c>
      <c r="H236">
        <v>27461292.558489252</v>
      </c>
      <c r="I236">
        <v>33506879.338295951</v>
      </c>
      <c r="J236">
        <v>64063736.965758786</v>
      </c>
      <c r="K236">
        <v>57694043.417743996</v>
      </c>
      <c r="L236">
        <v>18721611.133853201</v>
      </c>
      <c r="M236">
        <v>55264081.840115622</v>
      </c>
      <c r="N236">
        <v>38639747.876827493</v>
      </c>
      <c r="O236">
        <v>37612328.148021862</v>
      </c>
      <c r="P236">
        <v>34037933.630016893</v>
      </c>
      <c r="Q236">
        <v>21263460.785619866</v>
      </c>
      <c r="R236">
        <v>35453650.524932794</v>
      </c>
      <c r="S236">
        <v>54354709.11152304</v>
      </c>
      <c r="T236">
        <v>13703150.650411693</v>
      </c>
      <c r="U236">
        <v>66566151.564450055</v>
      </c>
      <c r="V236">
        <v>24436647.028407764</v>
      </c>
      <c r="W236">
        <v>53751424.137216903</v>
      </c>
      <c r="X236">
        <v>60487851.262521148</v>
      </c>
      <c r="Y236">
        <v>49073950.242554024</v>
      </c>
    </row>
    <row r="237" spans="1:25" x14ac:dyDescent="0.45">
      <c r="A237" t="s">
        <v>229</v>
      </c>
      <c r="B237">
        <v>17309943.939750697</v>
      </c>
      <c r="C237">
        <v>16442121.234856145</v>
      </c>
      <c r="D237">
        <v>12088973.974284699</v>
      </c>
      <c r="E237">
        <v>16243315.498257658</v>
      </c>
      <c r="F237">
        <v>27279402.702196889</v>
      </c>
      <c r="G237">
        <v>18201581.818801228</v>
      </c>
      <c r="H237">
        <v>12692881.14069275</v>
      </c>
      <c r="I237">
        <v>16183241.182889726</v>
      </c>
      <c r="J237">
        <v>31393105.25330428</v>
      </c>
      <c r="K237">
        <v>29333940.258004412</v>
      </c>
      <c r="L237">
        <v>31244524.207042299</v>
      </c>
      <c r="M237">
        <v>29063456.206384625</v>
      </c>
      <c r="N237">
        <v>14710954.107846247</v>
      </c>
      <c r="O237">
        <v>19604523.070200477</v>
      </c>
      <c r="P237">
        <v>9686145.7802181877</v>
      </c>
      <c r="Q237">
        <v>12177529.264728175</v>
      </c>
      <c r="R237">
        <v>28494215.059790056</v>
      </c>
      <c r="S237">
        <v>16916124.86116948</v>
      </c>
      <c r="T237">
        <v>10899929.971115191</v>
      </c>
      <c r="U237">
        <v>44818529.42623879</v>
      </c>
      <c r="V237">
        <v>16615177.742928384</v>
      </c>
      <c r="W237">
        <v>22627757.095900297</v>
      </c>
      <c r="X237">
        <v>23831740.34073237</v>
      </c>
      <c r="Y237">
        <v>21011852.276000056</v>
      </c>
    </row>
    <row r="238" spans="1:25" x14ac:dyDescent="0.45">
      <c r="A238" t="s">
        <v>328</v>
      </c>
      <c r="B238">
        <v>2618852136.9755378</v>
      </c>
      <c r="C238">
        <v>1956464154.6784475</v>
      </c>
      <c r="D238">
        <v>1251047831.9065235</v>
      </c>
      <c r="E238">
        <v>1616932204.2507751</v>
      </c>
      <c r="F238">
        <v>2177414585.0460463</v>
      </c>
      <c r="G238">
        <v>1748101837.5374706</v>
      </c>
      <c r="H238">
        <v>1870377535.7475731</v>
      </c>
      <c r="I238">
        <v>6981470987.1665649</v>
      </c>
      <c r="J238">
        <v>5651136460.257452</v>
      </c>
      <c r="K238">
        <v>2672884141.4688854</v>
      </c>
      <c r="L238">
        <v>6786110909.7029896</v>
      </c>
      <c r="M238">
        <v>2201389390.4912624</v>
      </c>
      <c r="N238">
        <v>2522328701.9946532</v>
      </c>
      <c r="O238">
        <v>3078544100.4828935</v>
      </c>
      <c r="P238">
        <v>1658368698.2777889</v>
      </c>
      <c r="Q238">
        <v>629324103.00839388</v>
      </c>
      <c r="R238">
        <v>3644690901.3574834</v>
      </c>
      <c r="S238">
        <v>2288821204.4230094</v>
      </c>
      <c r="T238">
        <v>721849189.51580429</v>
      </c>
      <c r="U238">
        <v>2632753288.215673</v>
      </c>
      <c r="V238">
        <v>1479430588.6595676</v>
      </c>
      <c r="W238">
        <v>2345108392.7910051</v>
      </c>
      <c r="X238">
        <v>3401585576.6771011</v>
      </c>
      <c r="Y238">
        <v>2273564773.1616426</v>
      </c>
    </row>
    <row r="239" spans="1:25" x14ac:dyDescent="0.45">
      <c r="A239" t="s">
        <v>329</v>
      </c>
      <c r="B239">
        <v>59365324.609026194</v>
      </c>
      <c r="C239">
        <v>36271254.553910986</v>
      </c>
      <c r="D239">
        <v>2597653.0842975937</v>
      </c>
      <c r="E239">
        <v>5601796.2720464179</v>
      </c>
      <c r="F239">
        <v>27604350.985352583</v>
      </c>
      <c r="G239">
        <v>5499640.7638449511</v>
      </c>
      <c r="H239">
        <v>699470.95225643518</v>
      </c>
      <c r="I239">
        <v>36606665.53953556</v>
      </c>
      <c r="J239">
        <v>3096214.0052429922</v>
      </c>
      <c r="K239">
        <v>185134457.99156985</v>
      </c>
      <c r="L239">
        <v>103040683.222853</v>
      </c>
      <c r="M239">
        <v>127570153.77743812</v>
      </c>
      <c r="N239">
        <v>23164632.17638072</v>
      </c>
      <c r="O239">
        <v>4561409.5242431127</v>
      </c>
      <c r="P239">
        <v>2761806.2406857871</v>
      </c>
      <c r="Q239">
        <v>2387984.2832006393</v>
      </c>
      <c r="R239">
        <v>81617890.633947343</v>
      </c>
      <c r="S239">
        <v>41991393.385800175</v>
      </c>
      <c r="T239">
        <v>10141811.371824373</v>
      </c>
      <c r="U239">
        <v>36399617.173129685</v>
      </c>
      <c r="V239">
        <v>5371640.6902107764</v>
      </c>
      <c r="W239">
        <v>95380315.76523602</v>
      </c>
      <c r="X239">
        <v>214156858.53982458</v>
      </c>
      <c r="Y239">
        <v>290619233.48978657</v>
      </c>
    </row>
    <row r="240" spans="1:25" x14ac:dyDescent="0.45">
      <c r="A240" t="s">
        <v>230</v>
      </c>
      <c r="B240">
        <v>42878084.537675396</v>
      </c>
      <c r="C240">
        <v>37472867.020169117</v>
      </c>
      <c r="D240">
        <v>16566979.976303767</v>
      </c>
      <c r="E240">
        <v>15523221.960836723</v>
      </c>
      <c r="F240">
        <v>31483401.279901054</v>
      </c>
      <c r="G240">
        <v>24150074.181203775</v>
      </c>
      <c r="H240">
        <v>19739622.791661445</v>
      </c>
      <c r="I240">
        <v>40043218.954397649</v>
      </c>
      <c r="J240">
        <v>30399891.926819496</v>
      </c>
      <c r="K240">
        <v>60227433.749270022</v>
      </c>
      <c r="L240">
        <v>414430324.30640203</v>
      </c>
      <c r="M240">
        <v>63432606.706841871</v>
      </c>
      <c r="N240">
        <v>23041758.659359366</v>
      </c>
      <c r="O240">
        <v>40556351.08937639</v>
      </c>
      <c r="P240">
        <v>12871180.731198166</v>
      </c>
      <c r="Q240">
        <v>30606815.763198391</v>
      </c>
      <c r="R240">
        <v>93210254.090297237</v>
      </c>
      <c r="S240">
        <v>131076469.8280647</v>
      </c>
      <c r="T240">
        <v>28965097.393023122</v>
      </c>
      <c r="U240">
        <v>40659803.972212203</v>
      </c>
      <c r="V240">
        <v>41395119.364520937</v>
      </c>
      <c r="W240">
        <v>49941158.550828934</v>
      </c>
      <c r="X240">
        <v>83287570.762788445</v>
      </c>
      <c r="Y240">
        <v>74578007.663437963</v>
      </c>
    </row>
    <row r="241" spans="1:25" x14ac:dyDescent="0.45">
      <c r="A241" t="s">
        <v>330</v>
      </c>
      <c r="B241">
        <v>39916294.206727296</v>
      </c>
      <c r="C241">
        <v>26715829.62525259</v>
      </c>
      <c r="D241">
        <v>11966399.769489454</v>
      </c>
      <c r="E241">
        <v>14009451.981960554</v>
      </c>
      <c r="F241">
        <v>32708864.517850697</v>
      </c>
      <c r="G241">
        <v>13465733.280483235</v>
      </c>
      <c r="H241">
        <v>17890969.788594261</v>
      </c>
      <c r="I241">
        <v>59314840.063598074</v>
      </c>
      <c r="J241">
        <v>35659916.049267277</v>
      </c>
      <c r="K241">
        <v>64877432.37182159</v>
      </c>
      <c r="L241">
        <v>954153628.565166</v>
      </c>
      <c r="M241">
        <v>65008048.289167494</v>
      </c>
      <c r="N241">
        <v>21723794.025658399</v>
      </c>
      <c r="O241">
        <v>37415781.695996173</v>
      </c>
      <c r="P241">
        <v>6542832.3498581424</v>
      </c>
      <c r="Q241">
        <v>16253053.952399967</v>
      </c>
      <c r="R241">
        <v>78792861.628938124</v>
      </c>
      <c r="S241">
        <v>130091083.43165302</v>
      </c>
      <c r="T241">
        <v>18128551.47656351</v>
      </c>
      <c r="U241">
        <v>37629470.158999033</v>
      </c>
      <c r="V241">
        <v>32337806.754479472</v>
      </c>
      <c r="W241">
        <v>36198684.381148428</v>
      </c>
      <c r="X241">
        <v>71683620.494077489</v>
      </c>
      <c r="Y241">
        <v>66479214.810971014</v>
      </c>
    </row>
    <row r="242" spans="1:25" x14ac:dyDescent="0.45">
      <c r="A242" t="s">
        <v>231</v>
      </c>
      <c r="B242">
        <v>64668310.454522938</v>
      </c>
      <c r="C242">
        <v>52054895.1752121</v>
      </c>
      <c r="D242">
        <v>30437360.198838003</v>
      </c>
      <c r="E242">
        <v>68407289.95482403</v>
      </c>
      <c r="F242">
        <v>66090914.38222035</v>
      </c>
      <c r="G242">
        <v>62956279.083908826</v>
      </c>
      <c r="H242">
        <v>51807370.509446166</v>
      </c>
      <c r="I242">
        <v>85760956.889813706</v>
      </c>
      <c r="J242">
        <v>116337214.92309615</v>
      </c>
      <c r="K242">
        <v>93741116.696835548</v>
      </c>
      <c r="L242">
        <v>139980594.76931399</v>
      </c>
      <c r="M242">
        <v>82451640.996121868</v>
      </c>
      <c r="N242">
        <v>29448341.689506963</v>
      </c>
      <c r="O242">
        <v>47742413.202059522</v>
      </c>
      <c r="P242">
        <v>57903440.385735877</v>
      </c>
      <c r="Q242">
        <v>28946782.188704297</v>
      </c>
      <c r="R242">
        <v>57269052.073777303</v>
      </c>
      <c r="S242">
        <v>71575484.932716116</v>
      </c>
      <c r="T242">
        <v>32391832.350904234</v>
      </c>
      <c r="U242">
        <v>90585051.14853549</v>
      </c>
      <c r="V242">
        <v>61862427.161512457</v>
      </c>
      <c r="W242">
        <v>81282133.14731966</v>
      </c>
      <c r="X242">
        <v>88022556.362642318</v>
      </c>
      <c r="Y242">
        <v>81062092.120497316</v>
      </c>
    </row>
    <row r="243" spans="1:25" x14ac:dyDescent="0.45">
      <c r="A243" t="s">
        <v>436</v>
      </c>
      <c r="B243">
        <v>6613717.165039734</v>
      </c>
      <c r="C243">
        <v>5960766.9751707343</v>
      </c>
      <c r="D243">
        <v>4524125.9305941388</v>
      </c>
      <c r="E243">
        <v>8229464.2302512946</v>
      </c>
      <c r="F243">
        <v>7274360.1879972713</v>
      </c>
      <c r="G243">
        <v>6640118.1964052944</v>
      </c>
      <c r="H243">
        <v>5925754.1720659481</v>
      </c>
      <c r="I243">
        <v>2938973.0308606396</v>
      </c>
      <c r="J243">
        <v>10611025.740757897</v>
      </c>
      <c r="K243">
        <v>5302753.2133090319</v>
      </c>
      <c r="L243">
        <v>18872340.1352196</v>
      </c>
      <c r="M243">
        <v>4271419.6156239184</v>
      </c>
      <c r="N243">
        <v>6444483.1174715711</v>
      </c>
      <c r="O243">
        <v>7830263.7548888307</v>
      </c>
      <c r="P243">
        <v>5282754.8932557488</v>
      </c>
      <c r="Q243">
        <v>3617150.3273595669</v>
      </c>
      <c r="R243">
        <v>6050355.5196849555</v>
      </c>
      <c r="S243">
        <v>7402017.2191682504</v>
      </c>
      <c r="T243">
        <v>6185173.8350619618</v>
      </c>
      <c r="U243">
        <v>6303208.2529700268</v>
      </c>
      <c r="V243">
        <v>5103624.913411011</v>
      </c>
      <c r="W243">
        <v>3796489.2480886988</v>
      </c>
      <c r="X243">
        <v>7661216.6532223988</v>
      </c>
      <c r="Y243">
        <v>9658855.2652771026</v>
      </c>
    </row>
    <row r="244" spans="1:25" x14ac:dyDescent="0.45">
      <c r="A244" t="s">
        <v>331</v>
      </c>
      <c r="B244">
        <v>53414942.800563566</v>
      </c>
      <c r="C244">
        <v>22115122.9491456</v>
      </c>
      <c r="D244">
        <v>24505065.896520514</v>
      </c>
      <c r="E244">
        <v>21962149.350356773</v>
      </c>
      <c r="F244">
        <v>40719360.464927986</v>
      </c>
      <c r="G244">
        <v>29086497.824687108</v>
      </c>
      <c r="H244">
        <v>32791997.641735274</v>
      </c>
      <c r="I244">
        <v>67143770.053597301</v>
      </c>
      <c r="J244">
        <v>37365861.549620159</v>
      </c>
      <c r="K244">
        <v>42601649.204665065</v>
      </c>
      <c r="L244">
        <v>48111543.309541799</v>
      </c>
      <c r="M244">
        <v>69303441.070705622</v>
      </c>
      <c r="N244">
        <v>7131629.9320246372</v>
      </c>
      <c r="O244">
        <v>14156114.083803991</v>
      </c>
      <c r="P244">
        <v>7433248.4047987964</v>
      </c>
      <c r="Q244">
        <v>7079577.4564051442</v>
      </c>
      <c r="R244">
        <v>54691386.743686944</v>
      </c>
      <c r="S244">
        <v>93259484.720085099</v>
      </c>
      <c r="T244">
        <v>43702169.356724948</v>
      </c>
      <c r="U244">
        <v>35150798.29153242</v>
      </c>
      <c r="V244">
        <v>18388778.389249373</v>
      </c>
      <c r="W244">
        <v>9224255.8532108385</v>
      </c>
      <c r="X244">
        <v>70757664.179427579</v>
      </c>
      <c r="Y244">
        <v>73292892.205563337</v>
      </c>
    </row>
    <row r="245" spans="1:25" x14ac:dyDescent="0.45">
      <c r="A245" t="s">
        <v>332</v>
      </c>
      <c r="B245">
        <v>122400740.53918245</v>
      </c>
      <c r="C245">
        <v>276077559.15277946</v>
      </c>
      <c r="D245">
        <v>125658543.28267173</v>
      </c>
      <c r="E245">
        <v>228623711.34771746</v>
      </c>
      <c r="F245">
        <v>234601536.37555733</v>
      </c>
      <c r="G245">
        <v>311181277.05542254</v>
      </c>
      <c r="H245">
        <v>28582399.266204819</v>
      </c>
      <c r="I245">
        <v>582038842.6836226</v>
      </c>
      <c r="J245">
        <v>79953568.756164461</v>
      </c>
      <c r="K245">
        <v>367753723.57535076</v>
      </c>
      <c r="L245">
        <v>359702479.98730201</v>
      </c>
      <c r="M245">
        <v>63854973.880060621</v>
      </c>
      <c r="N245">
        <v>628431767.67043364</v>
      </c>
      <c r="O245">
        <v>366251585.52118993</v>
      </c>
      <c r="P245">
        <v>399932286.39557326</v>
      </c>
      <c r="Q245">
        <v>231409335.94951648</v>
      </c>
      <c r="R245">
        <v>568176251.02225041</v>
      </c>
      <c r="S245">
        <v>79598649.240760416</v>
      </c>
      <c r="T245">
        <v>356949034.66651982</v>
      </c>
      <c r="U245">
        <v>440451953.43411756</v>
      </c>
      <c r="V245">
        <v>322057920.87805748</v>
      </c>
      <c r="W245">
        <v>251184589.79921564</v>
      </c>
      <c r="X245">
        <v>265702744.92557687</v>
      </c>
      <c r="Y245">
        <v>431310427.49399042</v>
      </c>
    </row>
    <row r="246" spans="1:25" x14ac:dyDescent="0.45">
      <c r="A246" t="s">
        <v>232</v>
      </c>
      <c r="B246">
        <v>26004150.755334713</v>
      </c>
      <c r="C246">
        <v>36677966.179785565</v>
      </c>
      <c r="D246">
        <v>20920657.147513587</v>
      </c>
      <c r="E246">
        <v>19155257.02290687</v>
      </c>
      <c r="F246">
        <v>23699545.981650531</v>
      </c>
      <c r="G246">
        <v>19954163.341289021</v>
      </c>
      <c r="H246">
        <v>13472001.687422642</v>
      </c>
      <c r="I246">
        <v>32935799.029853899</v>
      </c>
      <c r="J246">
        <v>36052426.91439496</v>
      </c>
      <c r="K246">
        <v>30016090.447480164</v>
      </c>
      <c r="L246">
        <v>70825761.040665507</v>
      </c>
      <c r="M246">
        <v>29418521.063550871</v>
      </c>
      <c r="N246">
        <v>20244595.178216774</v>
      </c>
      <c r="O246">
        <v>25164602.671305321</v>
      </c>
      <c r="P246">
        <v>20676189.284114152</v>
      </c>
      <c r="Q246">
        <v>14054229.951048048</v>
      </c>
      <c r="R246">
        <v>28665317.2976906</v>
      </c>
      <c r="S246">
        <v>26014249.097509533</v>
      </c>
      <c r="T246">
        <v>19082627.046396777</v>
      </c>
      <c r="U246">
        <v>37764140.039171077</v>
      </c>
      <c r="V246">
        <v>15147067.376813326</v>
      </c>
      <c r="W246">
        <v>32518963.690963175</v>
      </c>
      <c r="X246">
        <v>29378039.549345862</v>
      </c>
      <c r="Y246">
        <v>29965462.706427045</v>
      </c>
    </row>
    <row r="247" spans="1:25" x14ac:dyDescent="0.45">
      <c r="A247" t="s">
        <v>233</v>
      </c>
      <c r="B247">
        <v>19296459.218700152</v>
      </c>
      <c r="C247">
        <v>20368126.301351219</v>
      </c>
      <c r="D247">
        <v>13483403.98239213</v>
      </c>
      <c r="E247">
        <v>18484300.184792701</v>
      </c>
      <c r="F247">
        <v>7437609.5003419751</v>
      </c>
      <c r="G247">
        <v>16891657.365072548</v>
      </c>
      <c r="H247">
        <v>28150448.396386147</v>
      </c>
      <c r="I247">
        <v>30930528.610838596</v>
      </c>
      <c r="J247">
        <v>66143435.159854203</v>
      </c>
      <c r="K247">
        <v>21020036.122736119</v>
      </c>
      <c r="L247">
        <v>120006070.690393</v>
      </c>
      <c r="M247">
        <v>52775759.998264998</v>
      </c>
      <c r="N247">
        <v>43291979.517594695</v>
      </c>
      <c r="O247">
        <v>41879064.543870583</v>
      </c>
      <c r="P247">
        <v>25061436.390351076</v>
      </c>
      <c r="Q247">
        <v>20108347.802248638</v>
      </c>
      <c r="R247">
        <v>38232207.616711885</v>
      </c>
      <c r="S247">
        <v>54869545.420659371</v>
      </c>
      <c r="T247">
        <v>24520391.37720412</v>
      </c>
      <c r="U247">
        <v>5725523.9326264514</v>
      </c>
      <c r="V247">
        <v>7410693.706193924</v>
      </c>
      <c r="W247">
        <v>27803806.695906375</v>
      </c>
      <c r="X247">
        <v>10267085.475278774</v>
      </c>
      <c r="Y247">
        <v>24456008.940563604</v>
      </c>
    </row>
    <row r="248" spans="1:25" x14ac:dyDescent="0.45">
      <c r="A248" t="s">
        <v>378</v>
      </c>
      <c r="B248">
        <v>221030013.54776561</v>
      </c>
      <c r="C248">
        <v>192922538.96215492</v>
      </c>
      <c r="D248">
        <v>259247730.74678531</v>
      </c>
      <c r="E248">
        <v>257035708.58753845</v>
      </c>
      <c r="F248">
        <v>453681022.44124222</v>
      </c>
      <c r="G248">
        <v>198067515.92197746</v>
      </c>
      <c r="H248">
        <v>99427847.333873719</v>
      </c>
      <c r="I248">
        <v>743785489.52009773</v>
      </c>
      <c r="J248">
        <v>935946867.38225269</v>
      </c>
      <c r="K248">
        <v>412770551.71827632</v>
      </c>
      <c r="L248">
        <v>1022355027.2366199</v>
      </c>
      <c r="M248">
        <v>379653540.38053185</v>
      </c>
      <c r="N248">
        <v>364402054.90714121</v>
      </c>
      <c r="O248">
        <v>421385170.5345096</v>
      </c>
      <c r="P248">
        <v>138870007.83085445</v>
      </c>
      <c r="Q248">
        <v>94446962.257268041</v>
      </c>
      <c r="R248">
        <v>538087458.0679543</v>
      </c>
      <c r="S248">
        <v>560250590.7865417</v>
      </c>
      <c r="T248">
        <v>144757848.28667337</v>
      </c>
      <c r="U248">
        <v>866858584.03602922</v>
      </c>
      <c r="V248">
        <v>339361678.7240929</v>
      </c>
      <c r="W248">
        <v>529597259.20830196</v>
      </c>
      <c r="X248">
        <v>473961809.03888673</v>
      </c>
      <c r="Y248">
        <v>391626467.20296168</v>
      </c>
    </row>
    <row r="249" spans="1:25" x14ac:dyDescent="0.45">
      <c r="A249" t="s">
        <v>234</v>
      </c>
      <c r="B249">
        <v>5760223.6313672811</v>
      </c>
      <c r="C249">
        <v>33164999.65956467</v>
      </c>
      <c r="D249">
        <v>7185143.5036361823</v>
      </c>
      <c r="E249">
        <v>7770211.0643377416</v>
      </c>
      <c r="F249">
        <v>10068514.784688784</v>
      </c>
      <c r="G249">
        <v>18763442.109287057</v>
      </c>
      <c r="H249">
        <v>15650087.828086391</v>
      </c>
      <c r="I249">
        <v>17137406.464142445</v>
      </c>
      <c r="J249">
        <v>16095515.088373857</v>
      </c>
      <c r="K249">
        <v>12817059.9936003</v>
      </c>
      <c r="L249">
        <v>23486464.639012702</v>
      </c>
      <c r="M249">
        <v>11309322.463886499</v>
      </c>
      <c r="N249">
        <v>13235047.452029336</v>
      </c>
      <c r="O249">
        <v>8410292.2740506921</v>
      </c>
      <c r="P249">
        <v>24034665.041933224</v>
      </c>
      <c r="Q249">
        <v>19305581.975078374</v>
      </c>
      <c r="R249">
        <v>24539966.70080879</v>
      </c>
      <c r="S249">
        <v>19981150.335329168</v>
      </c>
      <c r="T249">
        <v>39422089.570591189</v>
      </c>
      <c r="U249">
        <v>24466126.970583782</v>
      </c>
      <c r="V249">
        <v>18815344.123653967</v>
      </c>
      <c r="W249">
        <v>8850857.4282607734</v>
      </c>
      <c r="X249">
        <v>14973991.941652089</v>
      </c>
      <c r="Y249">
        <v>18601664.931225765</v>
      </c>
    </row>
    <row r="250" spans="1:25" x14ac:dyDescent="0.45">
      <c r="A250" t="s">
        <v>333</v>
      </c>
      <c r="B250">
        <v>29897116.65148101</v>
      </c>
      <c r="C250">
        <v>94818872.131013155</v>
      </c>
      <c r="D250">
        <v>28593765.16782634</v>
      </c>
      <c r="E250">
        <v>35849294.636152059</v>
      </c>
      <c r="F250">
        <v>52493718.157160178</v>
      </c>
      <c r="G250">
        <v>71004038.372729912</v>
      </c>
      <c r="H250">
        <v>81061948.760458708</v>
      </c>
      <c r="I250">
        <v>72864089.986425996</v>
      </c>
      <c r="J250">
        <v>84001231.423297733</v>
      </c>
      <c r="K250">
        <v>165965827.14780498</v>
      </c>
      <c r="L250">
        <v>115698158.116209</v>
      </c>
      <c r="M250">
        <v>105201018.02064249</v>
      </c>
      <c r="N250">
        <v>44301144.112368435</v>
      </c>
      <c r="O250">
        <v>40874945.574288726</v>
      </c>
      <c r="P250">
        <v>90643199.538495272</v>
      </c>
      <c r="Q250">
        <v>91957572.400643334</v>
      </c>
      <c r="R250">
        <v>254995582.5155775</v>
      </c>
      <c r="S250">
        <v>171474240.63000947</v>
      </c>
      <c r="T250">
        <v>104620989.85211352</v>
      </c>
      <c r="U250">
        <v>59244992.574815288</v>
      </c>
      <c r="V250">
        <v>120473057.57632016</v>
      </c>
      <c r="W250">
        <v>61374081.881252721</v>
      </c>
      <c r="X250">
        <v>165455394.99309969</v>
      </c>
      <c r="Y250">
        <v>221252256.12834165</v>
      </c>
    </row>
    <row r="251" spans="1:25" x14ac:dyDescent="0.45">
      <c r="A251" t="s">
        <v>235</v>
      </c>
      <c r="B251">
        <v>23047577.134090815</v>
      </c>
      <c r="C251">
        <v>69000380.901601374</v>
      </c>
      <c r="D251">
        <v>37293817.36903692</v>
      </c>
      <c r="E251">
        <v>26041107.183613848</v>
      </c>
      <c r="F251">
        <v>16939493.8866501</v>
      </c>
      <c r="G251">
        <v>35829878.807304464</v>
      </c>
      <c r="H251">
        <v>29157626.674779948</v>
      </c>
      <c r="I251">
        <v>47838527.686265729</v>
      </c>
      <c r="J251">
        <v>39391215.5390964</v>
      </c>
      <c r="K251">
        <v>54122461.714064546</v>
      </c>
      <c r="L251">
        <v>631976887.84308195</v>
      </c>
      <c r="M251">
        <v>49287177.457706936</v>
      </c>
      <c r="N251">
        <v>50902877.819464795</v>
      </c>
      <c r="O251">
        <v>32963520.404824577</v>
      </c>
      <c r="P251">
        <v>46513935.475302704</v>
      </c>
      <c r="Q251">
        <v>70061994.329881668</v>
      </c>
      <c r="R251">
        <v>157608506.52022338</v>
      </c>
      <c r="S251">
        <v>181049776.22956291</v>
      </c>
      <c r="T251">
        <v>48015047.721424103</v>
      </c>
      <c r="U251">
        <v>88898352.717044756</v>
      </c>
      <c r="V251">
        <v>60710784.479936607</v>
      </c>
      <c r="W251">
        <v>39644090.821134612</v>
      </c>
      <c r="X251">
        <v>34874153.476436809</v>
      </c>
      <c r="Y251">
        <v>67696491.541665003</v>
      </c>
    </row>
    <row r="252" spans="1:25" x14ac:dyDescent="0.45">
      <c r="A252" t="s">
        <v>354</v>
      </c>
      <c r="B252">
        <v>224364683.05027726</v>
      </c>
      <c r="C252">
        <v>365084738.51727897</v>
      </c>
      <c r="D252">
        <v>222346226.54297861</v>
      </c>
      <c r="E252">
        <v>152881654.27903888</v>
      </c>
      <c r="F252">
        <v>328097666.68485272</v>
      </c>
      <c r="G252">
        <v>198177752.17836177</v>
      </c>
      <c r="H252">
        <v>178143767.12185836</v>
      </c>
      <c r="I252">
        <v>1132332831.5860028</v>
      </c>
      <c r="J252">
        <v>303473008.53013057</v>
      </c>
      <c r="K252">
        <v>621516776.12600088</v>
      </c>
      <c r="L252">
        <v>1011143619.69039</v>
      </c>
      <c r="M252">
        <v>562935104.37797189</v>
      </c>
      <c r="N252">
        <v>240602695.80820537</v>
      </c>
      <c r="O252">
        <v>281017482.3242979</v>
      </c>
      <c r="P252">
        <v>136551278.69304511</v>
      </c>
      <c r="Q252">
        <v>302544061.23837012</v>
      </c>
      <c r="R252">
        <v>972820153.5251292</v>
      </c>
      <c r="S252">
        <v>1095872829.2849822</v>
      </c>
      <c r="T252">
        <v>324385122.0744189</v>
      </c>
      <c r="U252">
        <v>325075066.11697376</v>
      </c>
      <c r="V252">
        <v>398413305.40159011</v>
      </c>
      <c r="W252">
        <v>433605119.63706642</v>
      </c>
      <c r="X252">
        <v>601701001.9278239</v>
      </c>
      <c r="Y252">
        <v>765462189.78104806</v>
      </c>
    </row>
    <row r="253" spans="1:25" x14ac:dyDescent="0.45">
      <c r="A253" t="s">
        <v>429</v>
      </c>
      <c r="B253">
        <v>49814178.830145344</v>
      </c>
      <c r="C253">
        <v>33544881.84183839</v>
      </c>
      <c r="D253">
        <v>33185609.02490294</v>
      </c>
      <c r="E253">
        <v>60205260.860850006</v>
      </c>
      <c r="F253">
        <v>79253287.839942321</v>
      </c>
      <c r="G253">
        <v>43454886.030621715</v>
      </c>
      <c r="H253">
        <v>41532862.842952482</v>
      </c>
      <c r="I253">
        <v>51759562.474230275</v>
      </c>
      <c r="J253">
        <v>123045941.9866585</v>
      </c>
      <c r="K253">
        <v>89027079.443988636</v>
      </c>
      <c r="L253">
        <v>41177443.178393602</v>
      </c>
      <c r="M253">
        <v>85428485.605919376</v>
      </c>
      <c r="N253">
        <v>95847206.666899621</v>
      </c>
      <c r="O253">
        <v>56062300.66409947</v>
      </c>
      <c r="P253">
        <v>36046325.405823112</v>
      </c>
      <c r="Q253">
        <v>28684337.615615074</v>
      </c>
      <c r="R253">
        <v>63624338.021718957</v>
      </c>
      <c r="S253">
        <v>95631502.072367921</v>
      </c>
      <c r="T253">
        <v>11089485.312326513</v>
      </c>
      <c r="U253">
        <v>118785627.05664952</v>
      </c>
      <c r="V253">
        <v>41938450.323574901</v>
      </c>
      <c r="W253">
        <v>80386975.678225487</v>
      </c>
      <c r="X253">
        <v>96444384.328512147</v>
      </c>
      <c r="Y253">
        <v>68005746.860053331</v>
      </c>
    </row>
    <row r="254" spans="1:25" x14ac:dyDescent="0.45">
      <c r="A254" t="s">
        <v>236</v>
      </c>
      <c r="B254">
        <v>410735019.68923247</v>
      </c>
      <c r="C254">
        <v>339624605.11208868</v>
      </c>
      <c r="D254">
        <v>243541618.35635898</v>
      </c>
      <c r="E254">
        <v>374300526.32104611</v>
      </c>
      <c r="F254">
        <v>538804567.25815749</v>
      </c>
      <c r="G254">
        <v>353059121.23866665</v>
      </c>
      <c r="H254">
        <v>271942051.69272792</v>
      </c>
      <c r="I254">
        <v>398915300.18785888</v>
      </c>
      <c r="J254">
        <v>694010526.24926209</v>
      </c>
      <c r="K254">
        <v>2000676.399074276</v>
      </c>
      <c r="L254">
        <v>85477951.905898303</v>
      </c>
      <c r="M254">
        <v>2339360.3085549371</v>
      </c>
      <c r="N254">
        <v>440150986.29411936</v>
      </c>
      <c r="O254">
        <v>474199967.5526889</v>
      </c>
      <c r="P254">
        <v>301996233.28829318</v>
      </c>
      <c r="Q254">
        <v>932377.53910432907</v>
      </c>
      <c r="R254">
        <v>399085908.20379508</v>
      </c>
      <c r="S254">
        <v>2676645.6142679094</v>
      </c>
      <c r="T254">
        <v>2030068.1371105607</v>
      </c>
      <c r="U254">
        <v>11438378.5686695</v>
      </c>
      <c r="V254">
        <v>4531204.1460028766</v>
      </c>
      <c r="W254">
        <v>417217873.04128349</v>
      </c>
      <c r="X254">
        <v>489034581.57582599</v>
      </c>
      <c r="Y254">
        <v>433049482.83713406</v>
      </c>
    </row>
    <row r="255" spans="1:25" x14ac:dyDescent="0.45">
      <c r="A255" t="s">
        <v>355</v>
      </c>
      <c r="B255">
        <v>141481059.88839328</v>
      </c>
      <c r="C255">
        <v>327867951.87606871</v>
      </c>
      <c r="D255">
        <v>248031529.13700771</v>
      </c>
      <c r="E255">
        <v>210371433.17201397</v>
      </c>
      <c r="F255">
        <v>396634384.6766839</v>
      </c>
      <c r="G255">
        <v>120140031.84053089</v>
      </c>
      <c r="H255">
        <v>108775919.75196633</v>
      </c>
      <c r="I255">
        <v>1619869528.7679312</v>
      </c>
      <c r="J255">
        <v>994285891.82410777</v>
      </c>
      <c r="K255">
        <v>237535999.38466871</v>
      </c>
      <c r="L255">
        <v>1793226025.82812</v>
      </c>
      <c r="M255">
        <v>249373919.07119125</v>
      </c>
      <c r="N255">
        <v>443406902.89338952</v>
      </c>
      <c r="O255">
        <v>341305542.16721493</v>
      </c>
      <c r="P255">
        <v>143676471.79397151</v>
      </c>
      <c r="Q255">
        <v>101002409.20221618</v>
      </c>
      <c r="R255">
        <v>251431590.31756216</v>
      </c>
      <c r="S255">
        <v>190994625.00719124</v>
      </c>
      <c r="T255">
        <v>201983442.27077767</v>
      </c>
      <c r="U255">
        <v>704135041.89705288</v>
      </c>
      <c r="V255">
        <v>249821531.12722138</v>
      </c>
      <c r="W255">
        <v>335692474.56866753</v>
      </c>
      <c r="X255">
        <v>253119505.79297489</v>
      </c>
      <c r="Y255">
        <v>308425008.94167668</v>
      </c>
    </row>
    <row r="256" spans="1:25" x14ac:dyDescent="0.45">
      <c r="A256" t="s">
        <v>237</v>
      </c>
      <c r="B256">
        <v>1309678286.507947</v>
      </c>
      <c r="C256">
        <v>1188641565.0133669</v>
      </c>
      <c r="D256">
        <v>847201424.19273102</v>
      </c>
      <c r="E256">
        <v>1244268821.2006969</v>
      </c>
      <c r="F256">
        <v>1758936997.927428</v>
      </c>
      <c r="G256">
        <v>1190092656.0107942</v>
      </c>
      <c r="H256">
        <v>948355329.42386246</v>
      </c>
      <c r="I256">
        <v>1329482642.140907</v>
      </c>
      <c r="J256">
        <v>2343467998.7838578</v>
      </c>
      <c r="K256">
        <v>22604327.381663524</v>
      </c>
      <c r="L256">
        <v>608060538.10440898</v>
      </c>
      <c r="M256">
        <v>102303616.32569313</v>
      </c>
      <c r="N256">
        <v>1457892912.5890257</v>
      </c>
      <c r="O256">
        <v>1496043150.0548723</v>
      </c>
      <c r="P256">
        <v>1036108656.9348881</v>
      </c>
      <c r="Q256">
        <v>24025195.485560756</v>
      </c>
      <c r="R256">
        <v>1392930550.0210698</v>
      </c>
      <c r="S256">
        <v>33274969.95000682</v>
      </c>
      <c r="T256">
        <v>23076583.529049203</v>
      </c>
      <c r="U256">
        <v>64451016.432927802</v>
      </c>
      <c r="V256">
        <v>47737350.155053213</v>
      </c>
      <c r="W256">
        <v>1528420245.3697591</v>
      </c>
      <c r="X256">
        <v>1746407514.7985518</v>
      </c>
      <c r="Y256">
        <v>1425197240.6870527</v>
      </c>
    </row>
    <row r="257" spans="1:25" x14ac:dyDescent="0.45">
      <c r="A257" t="s">
        <v>238</v>
      </c>
      <c r="B257">
        <v>11353636.348829921</v>
      </c>
      <c r="C257">
        <v>8878951.7999988478</v>
      </c>
      <c r="D257">
        <v>7573100.7258094791</v>
      </c>
      <c r="E257">
        <v>12141146.663686469</v>
      </c>
      <c r="F257">
        <v>12407835.580255819</v>
      </c>
      <c r="G257">
        <v>11209568.437864363</v>
      </c>
      <c r="H257">
        <v>7388272.1572728902</v>
      </c>
      <c r="I257">
        <v>13000643.993832631</v>
      </c>
      <c r="J257">
        <v>16300255.104433963</v>
      </c>
      <c r="K257">
        <v>19812338.759927306</v>
      </c>
      <c r="L257">
        <v>22665570.057300001</v>
      </c>
      <c r="M257">
        <v>20157467.911927</v>
      </c>
      <c r="N257">
        <v>10543630.147944933</v>
      </c>
      <c r="O257">
        <v>12928473.02492282</v>
      </c>
      <c r="P257">
        <v>8615808.0303835534</v>
      </c>
      <c r="Q257">
        <v>4544251.4969978817</v>
      </c>
      <c r="R257">
        <v>11453836.928350337</v>
      </c>
      <c r="S257">
        <v>16151591.663005384</v>
      </c>
      <c r="T257">
        <v>7960578.5934927166</v>
      </c>
      <c r="U257">
        <v>25809337.620185509</v>
      </c>
      <c r="V257">
        <v>11345120.991450505</v>
      </c>
      <c r="W257">
        <v>18269120.110880051</v>
      </c>
      <c r="X257">
        <v>16347658.324679749</v>
      </c>
      <c r="Y257">
        <v>11622087.569831861</v>
      </c>
    </row>
    <row r="258" spans="1:25" x14ac:dyDescent="0.45">
      <c r="A258" t="s">
        <v>334</v>
      </c>
      <c r="B258">
        <v>6886299.6058387365</v>
      </c>
      <c r="C258">
        <v>14691215.509839749</v>
      </c>
      <c r="D258">
        <v>5654818.1530778408</v>
      </c>
      <c r="E258">
        <v>6191977.5917912507</v>
      </c>
      <c r="F258">
        <v>3144515.673403326</v>
      </c>
      <c r="G258">
        <v>11084702.554839315</v>
      </c>
      <c r="H258">
        <v>8484114.6945378892</v>
      </c>
      <c r="I258">
        <v>39902306.074243061</v>
      </c>
      <c r="J258">
        <v>15704193.329892205</v>
      </c>
      <c r="K258">
        <v>17465713.909187078</v>
      </c>
      <c r="L258">
        <v>197997567.15009299</v>
      </c>
      <c r="M258">
        <v>19325720.532947436</v>
      </c>
      <c r="N258">
        <v>1590513.0706310989</v>
      </c>
      <c r="O258">
        <v>2116860.582558596</v>
      </c>
      <c r="P258">
        <v>6519979.7494411943</v>
      </c>
      <c r="Q258">
        <v>14965538.166160569</v>
      </c>
      <c r="R258">
        <v>35577701.031318069</v>
      </c>
      <c r="S258">
        <v>20417463.357118841</v>
      </c>
      <c r="T258">
        <v>9113587.7048100252</v>
      </c>
      <c r="U258">
        <v>7980941.8359896792</v>
      </c>
      <c r="V258">
        <v>16270006.403844537</v>
      </c>
      <c r="W258">
        <v>4533096.3789429693</v>
      </c>
      <c r="X258">
        <v>10774769.971311374</v>
      </c>
      <c r="Y258">
        <v>16769772.778704103</v>
      </c>
    </row>
    <row r="259" spans="1:25" x14ac:dyDescent="0.45">
      <c r="A259" t="s">
        <v>239</v>
      </c>
      <c r="B259">
        <v>3111927.0278177811</v>
      </c>
      <c r="C259">
        <v>5137735.5993346935</v>
      </c>
      <c r="D259">
        <v>2768616.6063519008</v>
      </c>
      <c r="E259">
        <v>1712236.5336347434</v>
      </c>
      <c r="F259">
        <v>2626547.4483248554</v>
      </c>
      <c r="G259">
        <v>3230840.1545873629</v>
      </c>
      <c r="H259">
        <v>1817767.4340817998</v>
      </c>
      <c r="I259">
        <v>1931700.5943361449</v>
      </c>
      <c r="J259">
        <v>3130272.9066271153</v>
      </c>
      <c r="K259">
        <v>2389225.2518257108</v>
      </c>
      <c r="L259">
        <v>12273782.604802299</v>
      </c>
      <c r="M259">
        <v>2567534.9632328688</v>
      </c>
      <c r="N259">
        <v>228133.52471183299</v>
      </c>
      <c r="O259">
        <v>2439502.3208319577</v>
      </c>
      <c r="P259">
        <v>1211091.0207719484</v>
      </c>
      <c r="Q259">
        <v>1472467.8492796775</v>
      </c>
      <c r="R259">
        <v>2434278.4628455834</v>
      </c>
      <c r="S259">
        <v>2657053.5454991059</v>
      </c>
      <c r="T259">
        <v>1166872.0846741302</v>
      </c>
      <c r="U259">
        <v>1294540.6297014647</v>
      </c>
      <c r="V259">
        <v>1694027.1588679692</v>
      </c>
      <c r="W259">
        <v>2647405.6152457525</v>
      </c>
      <c r="X259">
        <v>1794816.8527810597</v>
      </c>
      <c r="Y259">
        <v>2332906.4361493397</v>
      </c>
    </row>
    <row r="260" spans="1:25" x14ac:dyDescent="0.45">
      <c r="A260" t="s">
        <v>240</v>
      </c>
      <c r="B260">
        <v>69497213.225271612</v>
      </c>
      <c r="C260">
        <v>55409417.828991264</v>
      </c>
      <c r="D260">
        <v>46018531.964970894</v>
      </c>
      <c r="E260">
        <v>69008388.913981065</v>
      </c>
      <c r="F260">
        <v>73406878.787314102</v>
      </c>
      <c r="G260">
        <v>48516408.223987453</v>
      </c>
      <c r="H260">
        <v>46923208.663354017</v>
      </c>
      <c r="I260">
        <v>103940342.71995795</v>
      </c>
      <c r="J260">
        <v>142447542.90646714</v>
      </c>
      <c r="K260">
        <v>85458934.151698142</v>
      </c>
      <c r="L260">
        <v>95929869.493262202</v>
      </c>
      <c r="M260">
        <v>83593939.939314991</v>
      </c>
      <c r="N260">
        <v>73677337.706035942</v>
      </c>
      <c r="O260">
        <v>47091737.536661327</v>
      </c>
      <c r="P260">
        <v>44184025.053603835</v>
      </c>
      <c r="Q260">
        <v>30524796.159426104</v>
      </c>
      <c r="R260">
        <v>74173868.61090529</v>
      </c>
      <c r="S260">
        <v>76375623.419675425</v>
      </c>
      <c r="T260">
        <v>34593156.110233426</v>
      </c>
      <c r="U260">
        <v>113532479.4349089</v>
      </c>
      <c r="V260">
        <v>60765438.151151776</v>
      </c>
      <c r="W260">
        <v>74241267.809547871</v>
      </c>
      <c r="X260">
        <v>91953800.454657167</v>
      </c>
      <c r="Y260">
        <v>73827218.496565461</v>
      </c>
    </row>
    <row r="261" spans="1:25" x14ac:dyDescent="0.45">
      <c r="A261" t="s">
        <v>241</v>
      </c>
      <c r="B261">
        <v>13886841.403108178</v>
      </c>
      <c r="C261">
        <v>14652619.178184243</v>
      </c>
      <c r="D261">
        <v>12125299.140365576</v>
      </c>
      <c r="E261">
        <v>13619362.360276561</v>
      </c>
      <c r="F261">
        <v>19726383.024273943</v>
      </c>
      <c r="G261">
        <v>12054049.450580735</v>
      </c>
      <c r="H261">
        <v>15354282.141234353</v>
      </c>
      <c r="I261">
        <v>29826347.922335606</v>
      </c>
      <c r="J261">
        <v>35671465.303810462</v>
      </c>
      <c r="K261">
        <v>26808368.54351959</v>
      </c>
      <c r="L261">
        <v>55801730.586988099</v>
      </c>
      <c r="M261">
        <v>22152831.81617175</v>
      </c>
      <c r="N261">
        <v>32975786.15455091</v>
      </c>
      <c r="O261">
        <v>21145369.223378565</v>
      </c>
      <c r="P261">
        <v>13190905.634614602</v>
      </c>
      <c r="Q261">
        <v>8380911.9731728313</v>
      </c>
      <c r="R261">
        <v>22389755.805263989</v>
      </c>
      <c r="S261">
        <v>18564593.245133832</v>
      </c>
      <c r="T261">
        <v>10393084.166169012</v>
      </c>
      <c r="U261">
        <v>37118465.442285411</v>
      </c>
      <c r="V261">
        <v>20017923.924934145</v>
      </c>
      <c r="W261">
        <v>21647420.726248544</v>
      </c>
      <c r="X261">
        <v>27608169.638467129</v>
      </c>
      <c r="Y261">
        <v>25952111.456848107</v>
      </c>
    </row>
    <row r="262" spans="1:25" x14ac:dyDescent="0.45">
      <c r="A262" t="s">
        <v>356</v>
      </c>
      <c r="B262">
        <v>60639597.180516824</v>
      </c>
      <c r="C262">
        <v>297258668.17638028</v>
      </c>
      <c r="D262">
        <v>134781383.83342603</v>
      </c>
      <c r="E262">
        <v>101690283.37239574</v>
      </c>
      <c r="F262">
        <v>96828413.851714522</v>
      </c>
      <c r="G262">
        <v>170120780.9149093</v>
      </c>
      <c r="H262">
        <v>130057786.72478448</v>
      </c>
      <c r="I262">
        <v>248167528.76838687</v>
      </c>
      <c r="J262">
        <v>206198390.7548939</v>
      </c>
      <c r="K262">
        <v>258375958.3303999</v>
      </c>
      <c r="L262">
        <v>664123894.25983</v>
      </c>
      <c r="M262">
        <v>163965784.02221063</v>
      </c>
      <c r="N262">
        <v>249017037.7872934</v>
      </c>
      <c r="O262">
        <v>125546427.82693031</v>
      </c>
      <c r="P262">
        <v>226071194.19070619</v>
      </c>
      <c r="Q262">
        <v>278067350.23795533</v>
      </c>
      <c r="R262">
        <v>780800699.64690661</v>
      </c>
      <c r="S262">
        <v>320748280.16853344</v>
      </c>
      <c r="T262">
        <v>309917306.88729078</v>
      </c>
      <c r="U262">
        <v>186646593.98127279</v>
      </c>
      <c r="V262">
        <v>236248266.00519088</v>
      </c>
      <c r="W262">
        <v>139632078.61959252</v>
      </c>
      <c r="X262">
        <v>348507590.06092584</v>
      </c>
      <c r="Y262">
        <v>621324168.03761888</v>
      </c>
    </row>
    <row r="263" spans="1:25" x14ac:dyDescent="0.45">
      <c r="A263" t="s">
        <v>350</v>
      </c>
      <c r="B263">
        <v>2226008.8791094753</v>
      </c>
      <c r="C263">
        <v>9956420.9584143963</v>
      </c>
      <c r="D263">
        <v>5483548.905092109</v>
      </c>
      <c r="E263">
        <v>5994411.8993351869</v>
      </c>
      <c r="F263">
        <v>16150959.204519821</v>
      </c>
      <c r="G263">
        <v>2272144.1398688331</v>
      </c>
      <c r="H263">
        <v>129574783.34429172</v>
      </c>
      <c r="I263">
        <v>177123110.19684988</v>
      </c>
      <c r="J263">
        <v>281164860.27342552</v>
      </c>
      <c r="K263">
        <v>9029184.3982658479</v>
      </c>
      <c r="L263">
        <v>10520350.710827099</v>
      </c>
      <c r="M263">
        <v>6160363.7531148316</v>
      </c>
      <c r="N263">
        <v>113408807.68648346</v>
      </c>
      <c r="O263">
        <v>5663352.0456445748</v>
      </c>
      <c r="P263">
        <v>12020033.280258747</v>
      </c>
      <c r="Q263">
        <v>62166212.326994523</v>
      </c>
      <c r="R263">
        <v>54986081.856452309</v>
      </c>
      <c r="S263">
        <v>250799475.57036385</v>
      </c>
      <c r="T263">
        <v>8980356.3132415451</v>
      </c>
      <c r="U263">
        <v>1243240.9154549574</v>
      </c>
      <c r="V263">
        <v>6566568.8252539886</v>
      </c>
      <c r="W263">
        <v>13237695.252677368</v>
      </c>
      <c r="X263">
        <v>20891402.612496302</v>
      </c>
      <c r="Y263">
        <v>16527277.344677618</v>
      </c>
    </row>
    <row r="264" spans="1:25" x14ac:dyDescent="0.45">
      <c r="A264" t="s">
        <v>383</v>
      </c>
      <c r="B264">
        <v>1766172.8041628683</v>
      </c>
      <c r="C264">
        <v>2995662.3293612865</v>
      </c>
      <c r="D264">
        <v>1718881.7077291734</v>
      </c>
      <c r="E264">
        <v>1867388.5196641451</v>
      </c>
      <c r="F264">
        <v>3713732.9665201507</v>
      </c>
      <c r="G264">
        <v>2233793.9227229315</v>
      </c>
      <c r="H264">
        <v>1956962.9072196335</v>
      </c>
      <c r="I264">
        <v>4467765.0574552109</v>
      </c>
      <c r="J264">
        <v>6071628.1721250452</v>
      </c>
      <c r="K264">
        <v>4096023.6186022046</v>
      </c>
      <c r="L264">
        <v>26085511.737129901</v>
      </c>
      <c r="M264">
        <v>3927788.3198114936</v>
      </c>
      <c r="N264">
        <v>1040734.7140029275</v>
      </c>
      <c r="O264">
        <v>2036679.697995516</v>
      </c>
      <c r="P264">
        <v>1472396.8311977666</v>
      </c>
      <c r="Q264">
        <v>1766900.6221404138</v>
      </c>
      <c r="R264">
        <v>7698244.443492542</v>
      </c>
      <c r="S264">
        <v>5748300.5136249149</v>
      </c>
      <c r="T264">
        <v>1687851.8823064701</v>
      </c>
      <c r="U264">
        <v>3330831.5665030172</v>
      </c>
      <c r="V264">
        <v>2791600.7419696166</v>
      </c>
      <c r="W264">
        <v>3596968.9695074614</v>
      </c>
      <c r="X264">
        <v>5533797.6502321456</v>
      </c>
      <c r="Y264">
        <v>4871853.6803203356</v>
      </c>
    </row>
    <row r="265" spans="1:25" x14ac:dyDescent="0.45">
      <c r="A265" t="s">
        <v>242</v>
      </c>
      <c r="B265">
        <v>937721.9372781628</v>
      </c>
      <c r="C265">
        <v>12222589.513105379</v>
      </c>
      <c r="D265">
        <v>534292.61908712471</v>
      </c>
      <c r="E265">
        <v>580023.51288685272</v>
      </c>
      <c r="F265">
        <v>857430.44347592478</v>
      </c>
      <c r="G265">
        <v>4172654.286838593</v>
      </c>
      <c r="H265">
        <v>4780952.6834838828</v>
      </c>
      <c r="I265">
        <v>702811.87958752865</v>
      </c>
      <c r="J265">
        <v>1120604.7986444482</v>
      </c>
      <c r="K265">
        <v>6702492.0482560648</v>
      </c>
      <c r="L265">
        <v>7376439.4745301297</v>
      </c>
      <c r="M265">
        <v>5489099.7310960628</v>
      </c>
      <c r="N265">
        <v>4811443.1996956673</v>
      </c>
      <c r="O265">
        <v>731675.43209623941</v>
      </c>
      <c r="P265">
        <v>1756148.8528234584</v>
      </c>
      <c r="Q265">
        <v>11150964.775508514</v>
      </c>
      <c r="R265">
        <v>36659766.300256699</v>
      </c>
      <c r="S265">
        <v>9179316.7489571758</v>
      </c>
      <c r="T265">
        <v>6303026.6167069944</v>
      </c>
      <c r="U265">
        <v>569779.05404208892</v>
      </c>
      <c r="V265">
        <v>6310691.779233532</v>
      </c>
      <c r="W265">
        <v>2197763.9734767387</v>
      </c>
      <c r="X265">
        <v>14250960.00393712</v>
      </c>
      <c r="Y265">
        <v>19695729.320279054</v>
      </c>
    </row>
    <row r="266" spans="1:25" x14ac:dyDescent="0.45">
      <c r="A266" t="s">
        <v>243</v>
      </c>
      <c r="B266">
        <v>18326100.369255047</v>
      </c>
      <c r="C266">
        <v>15467621.073899638</v>
      </c>
      <c r="D266">
        <v>10907145.62711738</v>
      </c>
      <c r="E266">
        <v>25823882.523874935</v>
      </c>
      <c r="F266">
        <v>34465779.99770648</v>
      </c>
      <c r="G266">
        <v>24126554.794650979</v>
      </c>
      <c r="H266">
        <v>25078093.083633546</v>
      </c>
      <c r="I266">
        <v>25007475.068075228</v>
      </c>
      <c r="J266">
        <v>43647094.082503639</v>
      </c>
      <c r="K266">
        <v>34585287.19364547</v>
      </c>
      <c r="L266">
        <v>57886854.310588203</v>
      </c>
      <c r="M266">
        <v>32105529.895322625</v>
      </c>
      <c r="N266">
        <v>21663031.908410482</v>
      </c>
      <c r="O266">
        <v>21494067.225965694</v>
      </c>
      <c r="P266">
        <v>19236336.145127699</v>
      </c>
      <c r="Q266">
        <v>17486749.859905373</v>
      </c>
      <c r="R266">
        <v>28091208.93538364</v>
      </c>
      <c r="S266">
        <v>34705405.414211437</v>
      </c>
      <c r="T266">
        <v>17611342.326021455</v>
      </c>
      <c r="U266">
        <v>55448687.52146133</v>
      </c>
      <c r="V266">
        <v>24550969.256748892</v>
      </c>
      <c r="W266">
        <v>34401564.087494731</v>
      </c>
      <c r="X266">
        <v>38778916.059771486</v>
      </c>
      <c r="Y266">
        <v>33203568.678684056</v>
      </c>
    </row>
    <row r="267" spans="1:25" x14ac:dyDescent="0.45">
      <c r="A267" t="s">
        <v>335</v>
      </c>
      <c r="B267">
        <v>41152509.117514327</v>
      </c>
      <c r="C267">
        <v>128825654.35288444</v>
      </c>
      <c r="D267">
        <v>49991387.045573689</v>
      </c>
      <c r="E267">
        <v>36644030.499750324</v>
      </c>
      <c r="F267">
        <v>10977090.118613131</v>
      </c>
      <c r="G267">
        <v>39857965.270801857</v>
      </c>
      <c r="H267">
        <v>16844992.07322545</v>
      </c>
      <c r="I267">
        <v>33592040.452881128</v>
      </c>
      <c r="J267">
        <v>37090166.644064955</v>
      </c>
      <c r="K267">
        <v>31011093.748158596</v>
      </c>
      <c r="L267">
        <v>171602854.24470901</v>
      </c>
      <c r="M267">
        <v>26622778.804944746</v>
      </c>
      <c r="N267">
        <v>8743585.4766924996</v>
      </c>
      <c r="O267">
        <v>21435193.91116548</v>
      </c>
      <c r="P267">
        <v>43043514.741524048</v>
      </c>
      <c r="Q267">
        <v>20994541.271200951</v>
      </c>
      <c r="R267">
        <v>31608247.470610384</v>
      </c>
      <c r="S267">
        <v>16103917.985894958</v>
      </c>
      <c r="T267">
        <v>47007723.704257227</v>
      </c>
      <c r="U267">
        <v>25167220.641863655</v>
      </c>
      <c r="V267">
        <v>59396680.061076999</v>
      </c>
      <c r="W267">
        <v>39345327.154555164</v>
      </c>
      <c r="X267">
        <v>25882305.929862279</v>
      </c>
      <c r="Y267">
        <v>46925105.830545962</v>
      </c>
    </row>
    <row r="268" spans="1:25" x14ac:dyDescent="0.45">
      <c r="A268" t="s">
        <v>244</v>
      </c>
      <c r="B268">
        <v>21569534.229829501</v>
      </c>
      <c r="C268">
        <v>87529303.238567576</v>
      </c>
      <c r="D268">
        <v>36573089.583027057</v>
      </c>
      <c r="E268">
        <v>42297616.076452173</v>
      </c>
      <c r="F268">
        <v>39889075.539511725</v>
      </c>
      <c r="G268">
        <v>45266202.629153721</v>
      </c>
      <c r="H268">
        <v>23398120.949541751</v>
      </c>
      <c r="I268">
        <v>50307206.948845141</v>
      </c>
      <c r="J268">
        <v>72567772.57749334</v>
      </c>
      <c r="K268">
        <v>49570927.885586783</v>
      </c>
      <c r="L268">
        <v>98391203.066164196</v>
      </c>
      <c r="M268">
        <v>48501050.873103119</v>
      </c>
      <c r="N268">
        <v>19825475.024886079</v>
      </c>
      <c r="O268">
        <v>47642972.844539635</v>
      </c>
      <c r="P268">
        <v>53303501.726348095</v>
      </c>
      <c r="Q268">
        <v>22512496.148095842</v>
      </c>
      <c r="R268">
        <v>46723598.638528988</v>
      </c>
      <c r="S268">
        <v>36224990.766393043</v>
      </c>
      <c r="T268">
        <v>35507996.701768689</v>
      </c>
      <c r="U268">
        <v>56716928.813317493</v>
      </c>
      <c r="V268">
        <v>57514571.97183504</v>
      </c>
      <c r="W268">
        <v>32687544.977246944</v>
      </c>
      <c r="X268">
        <v>50323462.367455371</v>
      </c>
      <c r="Y268">
        <v>42207170.474888936</v>
      </c>
    </row>
    <row r="269" spans="1:25" x14ac:dyDescent="0.45">
      <c r="A269" t="s">
        <v>439</v>
      </c>
      <c r="B269">
        <v>53207.008510399864</v>
      </c>
      <c r="C269">
        <v>12915709.219840283</v>
      </c>
      <c r="D269">
        <v>581892.40428865282</v>
      </c>
      <c r="E269">
        <v>119220.64187486166</v>
      </c>
      <c r="F269">
        <v>43626.243529812964</v>
      </c>
      <c r="G269">
        <v>4023170.1320424117</v>
      </c>
      <c r="H269">
        <v>3778656.2484866921</v>
      </c>
      <c r="I269">
        <v>108347.02388280242</v>
      </c>
      <c r="J269">
        <v>79586.632910714718</v>
      </c>
      <c r="K269">
        <v>2184834.9173195683</v>
      </c>
      <c r="L269">
        <v>138739.86813590801</v>
      </c>
      <c r="M269">
        <v>1067326.8893246748</v>
      </c>
      <c r="N269">
        <v>189371.03390371753</v>
      </c>
      <c r="O269">
        <v>92576.641595996276</v>
      </c>
      <c r="P269">
        <v>9441152.0495478213</v>
      </c>
      <c r="Q269">
        <v>6931022.3681073003</v>
      </c>
      <c r="R269">
        <v>11277873.49672397</v>
      </c>
      <c r="S269">
        <v>1478618.7391468426</v>
      </c>
      <c r="T269">
        <v>16421507.093415106</v>
      </c>
      <c r="U269">
        <v>69230.546663861547</v>
      </c>
      <c r="V269">
        <v>3343500.899988472</v>
      </c>
      <c r="W269">
        <v>202416.05677812334</v>
      </c>
      <c r="X269">
        <v>4305720.6553965816</v>
      </c>
      <c r="Y269">
        <v>6976899.1117073232</v>
      </c>
    </row>
    <row r="270" spans="1:25" x14ac:dyDescent="0.45">
      <c r="A270" t="s">
        <v>362</v>
      </c>
      <c r="B270">
        <v>11154162.028146682</v>
      </c>
      <c r="C270">
        <v>23702809.057882898</v>
      </c>
      <c r="D270">
        <v>22532134.634099614</v>
      </c>
      <c r="E270">
        <v>20622536.768612817</v>
      </c>
      <c r="F270">
        <v>27620379.285067365</v>
      </c>
      <c r="G270">
        <v>17582014.035534315</v>
      </c>
      <c r="H270">
        <v>10942331.230680035</v>
      </c>
      <c r="I270">
        <v>133081561.98255059</v>
      </c>
      <c r="J270">
        <v>68454665.60288246</v>
      </c>
      <c r="K270">
        <v>20906225.619175404</v>
      </c>
      <c r="L270">
        <v>197140335.62103999</v>
      </c>
      <c r="M270">
        <v>19191139.39086831</v>
      </c>
      <c r="N270">
        <v>33781453.195720196</v>
      </c>
      <c r="O270">
        <v>27572351.621947926</v>
      </c>
      <c r="P270">
        <v>18059240.594828364</v>
      </c>
      <c r="Q270">
        <v>12784456.635607364</v>
      </c>
      <c r="R270">
        <v>38976027.511372857</v>
      </c>
      <c r="S270">
        <v>25264326.291639604</v>
      </c>
      <c r="T270">
        <v>19793423.436656319</v>
      </c>
      <c r="U270">
        <v>50250823.035907097</v>
      </c>
      <c r="V270">
        <v>21559815.202328246</v>
      </c>
      <c r="W270">
        <v>25817204.200359747</v>
      </c>
      <c r="X270">
        <v>17011653.105955586</v>
      </c>
      <c r="Y270">
        <v>21920840.279098637</v>
      </c>
    </row>
    <row r="271" spans="1:25" x14ac:dyDescent="0.45">
      <c r="A271" t="s">
        <v>363</v>
      </c>
      <c r="B271">
        <v>58843992.13652759</v>
      </c>
      <c r="C271">
        <v>48046701.456587471</v>
      </c>
      <c r="D271">
        <v>84052854.054520994</v>
      </c>
      <c r="E271">
        <v>97385039.744987458</v>
      </c>
      <c r="F271">
        <v>106006593.81703244</v>
      </c>
      <c r="G271">
        <v>134445533.56711373</v>
      </c>
      <c r="H271">
        <v>67392430.851919755</v>
      </c>
      <c r="I271">
        <v>485905574.42873019</v>
      </c>
      <c r="J271">
        <v>164186413.62882406</v>
      </c>
      <c r="K271">
        <v>96831998.988894224</v>
      </c>
      <c r="L271">
        <v>13057207181.755501</v>
      </c>
      <c r="M271">
        <v>96429454.979683116</v>
      </c>
      <c r="N271">
        <v>236040468.26336366</v>
      </c>
      <c r="O271">
        <v>303608338.18418401</v>
      </c>
      <c r="P271">
        <v>60109807.115318023</v>
      </c>
      <c r="Q271">
        <v>42794193.691403225</v>
      </c>
      <c r="R271">
        <v>51032126.649201319</v>
      </c>
      <c r="S271">
        <v>87664398.186010629</v>
      </c>
      <c r="T271">
        <v>164440409.12437811</v>
      </c>
      <c r="U271">
        <v>255506666.04692975</v>
      </c>
      <c r="V271">
        <v>77749862.348064885</v>
      </c>
      <c r="W271">
        <v>117706944.31454968</v>
      </c>
      <c r="X271">
        <v>93420190.751996502</v>
      </c>
      <c r="Y271">
        <v>88870863.727985367</v>
      </c>
    </row>
    <row r="272" spans="1:25" x14ac:dyDescent="0.45">
      <c r="A272" t="s">
        <v>336</v>
      </c>
      <c r="B272">
        <v>2160355.9864072902</v>
      </c>
      <c r="C272">
        <v>2119427.7267332864</v>
      </c>
      <c r="D272">
        <v>1688913.2556773908</v>
      </c>
      <c r="E272">
        <v>4225994.1593901543</v>
      </c>
      <c r="F272">
        <v>4569546.7371476563</v>
      </c>
      <c r="G272">
        <v>3413577.6554229707</v>
      </c>
      <c r="H272">
        <v>1705385.72230299</v>
      </c>
      <c r="I272">
        <v>7414477.2305341326</v>
      </c>
      <c r="J272">
        <v>8150289.3657011762</v>
      </c>
      <c r="K272">
        <v>4370222.2159234621</v>
      </c>
      <c r="L272">
        <v>10574251.594080901</v>
      </c>
      <c r="M272">
        <v>2754804.6860833</v>
      </c>
      <c r="N272">
        <v>2921974.2200324335</v>
      </c>
      <c r="O272">
        <v>10160169.766555373</v>
      </c>
      <c r="P272">
        <v>1567511.6177993403</v>
      </c>
      <c r="Q272">
        <v>838442.51510004292</v>
      </c>
      <c r="R272">
        <v>1830608.0183816396</v>
      </c>
      <c r="S272">
        <v>1883608.2322872938</v>
      </c>
      <c r="T272">
        <v>2270828.6992070987</v>
      </c>
      <c r="U272">
        <v>9780939.7857804745</v>
      </c>
      <c r="V272">
        <v>3398708.8866446749</v>
      </c>
      <c r="W272">
        <v>2644070.4994700593</v>
      </c>
      <c r="X272">
        <v>3818404.3883293234</v>
      </c>
      <c r="Y272">
        <v>2366982.1853949251</v>
      </c>
    </row>
    <row r="273" spans="1:25" x14ac:dyDescent="0.45">
      <c r="A273" t="s">
        <v>337</v>
      </c>
      <c r="B273">
        <v>122992345.67071123</v>
      </c>
      <c r="C273">
        <v>272125188.45936066</v>
      </c>
      <c r="D273">
        <v>76347817.337532923</v>
      </c>
      <c r="E273">
        <v>102387532.33278249</v>
      </c>
      <c r="F273">
        <v>142338807.43771097</v>
      </c>
      <c r="G273">
        <v>92197820.389658824</v>
      </c>
      <c r="H273">
        <v>329919700.19912082</v>
      </c>
      <c r="I273">
        <v>330350499.27209139</v>
      </c>
      <c r="J273">
        <v>455169093.3420983</v>
      </c>
      <c r="K273">
        <v>264767673.87386882</v>
      </c>
      <c r="L273">
        <v>628178448.91517401</v>
      </c>
      <c r="M273">
        <v>184197550.96078998</v>
      </c>
      <c r="N273">
        <v>211039509.52728602</v>
      </c>
      <c r="O273">
        <v>183705199.56541225</v>
      </c>
      <c r="P273">
        <v>141951188.11958891</v>
      </c>
      <c r="Q273">
        <v>44987627.137609214</v>
      </c>
      <c r="R273">
        <v>317305154.00716966</v>
      </c>
      <c r="S273">
        <v>217319719.16904742</v>
      </c>
      <c r="T273">
        <v>94557426.570735127</v>
      </c>
      <c r="U273">
        <v>264198004.99335206</v>
      </c>
      <c r="V273">
        <v>159277921.35167849</v>
      </c>
      <c r="W273">
        <v>122446635.04418257</v>
      </c>
      <c r="X273">
        <v>412930946.58852446</v>
      </c>
      <c r="Y273">
        <v>229346928.02968657</v>
      </c>
    </row>
    <row r="274" spans="1:25" x14ac:dyDescent="0.45">
      <c r="A274" t="s">
        <v>338</v>
      </c>
      <c r="B274">
        <v>82349251.673467427</v>
      </c>
      <c r="C274">
        <v>221195188.39972693</v>
      </c>
      <c r="D274">
        <v>114441949.90730576</v>
      </c>
      <c r="E274">
        <v>32778018.720214713</v>
      </c>
      <c r="F274">
        <v>36815468.033917904</v>
      </c>
      <c r="G274">
        <v>58018009.529794119</v>
      </c>
      <c r="H274">
        <v>29086646.097812135</v>
      </c>
      <c r="I274">
        <v>50001843.257062241</v>
      </c>
      <c r="J274">
        <v>81795614.599380985</v>
      </c>
      <c r="K274">
        <v>79433748.687571183</v>
      </c>
      <c r="L274">
        <v>185054794.11302799</v>
      </c>
      <c r="M274">
        <v>62385820.224494249</v>
      </c>
      <c r="N274">
        <v>12549989.934990959</v>
      </c>
      <c r="O274">
        <v>33858277.460782237</v>
      </c>
      <c r="P274">
        <v>81944113.22914274</v>
      </c>
      <c r="Q274">
        <v>55366559.871795967</v>
      </c>
      <c r="R274">
        <v>116885308.63853759</v>
      </c>
      <c r="S274">
        <v>43401584.688217506</v>
      </c>
      <c r="T274">
        <v>75763382.795386866</v>
      </c>
      <c r="U274">
        <v>74296705.822969154</v>
      </c>
      <c r="V274">
        <v>103970092.72191311</v>
      </c>
      <c r="W274">
        <v>100511631.17686883</v>
      </c>
      <c r="X274">
        <v>51238990.437568203</v>
      </c>
      <c r="Y274">
        <v>86416743.889692217</v>
      </c>
    </row>
    <row r="275" spans="1:25" x14ac:dyDescent="0.45">
      <c r="A275" t="s">
        <v>246</v>
      </c>
      <c r="B275">
        <v>17575725.978490222</v>
      </c>
      <c r="C275">
        <v>16475536.622638373</v>
      </c>
      <c r="D275">
        <v>18736948.037399698</v>
      </c>
      <c r="E275">
        <v>6478180.1558308052</v>
      </c>
      <c r="F275">
        <v>2942722.4279203825</v>
      </c>
      <c r="G275">
        <v>4525101.9811678827</v>
      </c>
      <c r="H275">
        <v>15900716.767109092</v>
      </c>
      <c r="I275">
        <v>63774267.933120303</v>
      </c>
      <c r="J275">
        <v>36728457.016829096</v>
      </c>
      <c r="K275">
        <v>14581901.743401365</v>
      </c>
      <c r="L275">
        <v>105725893.644774</v>
      </c>
      <c r="M275">
        <v>7616756.4104606239</v>
      </c>
      <c r="N275">
        <v>1112669.5500949381</v>
      </c>
      <c r="O275">
        <v>7864824.1502362238</v>
      </c>
      <c r="P275">
        <v>9485835.0245267171</v>
      </c>
      <c r="Q275">
        <v>5514281.1705368292</v>
      </c>
      <c r="R275">
        <v>3931494.1622209139</v>
      </c>
      <c r="S275">
        <v>4881781.6578489942</v>
      </c>
      <c r="T275">
        <v>5258596.6057606172</v>
      </c>
      <c r="U275">
        <v>15267737.468887107</v>
      </c>
      <c r="V275">
        <v>10855758.211029088</v>
      </c>
      <c r="W275">
        <v>3202495.4039153848</v>
      </c>
      <c r="X275">
        <v>5259740.472840962</v>
      </c>
      <c r="Y275">
        <v>5623995.7309192549</v>
      </c>
    </row>
    <row r="276" spans="1:25" x14ac:dyDescent="0.45">
      <c r="A276" t="s">
        <v>339</v>
      </c>
      <c r="B276">
        <v>52849246.763124801</v>
      </c>
      <c r="C276">
        <v>95578700.923476696</v>
      </c>
      <c r="D276">
        <v>6888197.0298286024</v>
      </c>
      <c r="E276">
        <v>10467265.358281611</v>
      </c>
      <c r="F276">
        <v>4438484.5727682412</v>
      </c>
      <c r="G276">
        <v>22541355.274133187</v>
      </c>
      <c r="H276">
        <v>47390165.52158127</v>
      </c>
      <c r="I276">
        <v>31223958.059332639</v>
      </c>
      <c r="J276">
        <v>13571987.190731915</v>
      </c>
      <c r="K276">
        <v>31236441.205468647</v>
      </c>
      <c r="L276">
        <v>33866295.7072699</v>
      </c>
      <c r="M276">
        <v>38816697.75309293</v>
      </c>
      <c r="N276">
        <v>18646978.341005635</v>
      </c>
      <c r="O276">
        <v>9068459.0508307982</v>
      </c>
      <c r="P276">
        <v>58596810.394780628</v>
      </c>
      <c r="Q276">
        <v>54595983.558134042</v>
      </c>
      <c r="R276">
        <v>51800334.790372409</v>
      </c>
      <c r="S276">
        <v>62808581.081832245</v>
      </c>
      <c r="T276">
        <v>92190237.751834497</v>
      </c>
      <c r="U276">
        <v>18716158.982639913</v>
      </c>
      <c r="V276">
        <v>115567592.80082743</v>
      </c>
      <c r="W276">
        <v>6454742.2581797456</v>
      </c>
      <c r="X276">
        <v>60291954.048249364</v>
      </c>
      <c r="Y276">
        <v>173344329.31665304</v>
      </c>
    </row>
    <row r="277" spans="1:25" x14ac:dyDescent="0.45">
      <c r="A277" t="s">
        <v>247</v>
      </c>
      <c r="B277">
        <v>596966648.96296668</v>
      </c>
      <c r="C277">
        <v>748727570.29478717</v>
      </c>
      <c r="D277">
        <v>344383509.11074674</v>
      </c>
      <c r="E277">
        <v>455718346.22991347</v>
      </c>
      <c r="F277">
        <v>133584452.7068087</v>
      </c>
      <c r="G277">
        <v>309578252.83827257</v>
      </c>
      <c r="H277">
        <v>207519129.16775376</v>
      </c>
      <c r="I277">
        <v>1455025025.209388</v>
      </c>
      <c r="J277">
        <v>488824755.21175438</v>
      </c>
      <c r="K277">
        <v>481330288.88205594</v>
      </c>
      <c r="L277">
        <v>6506444364.35495</v>
      </c>
      <c r="M277">
        <v>632236527.1285187</v>
      </c>
      <c r="N277">
        <v>563905338.81440783</v>
      </c>
      <c r="O277">
        <v>91785962.361164898</v>
      </c>
      <c r="P277">
        <v>434393166.50592291</v>
      </c>
      <c r="Q277">
        <v>316001440.7540344</v>
      </c>
      <c r="R277">
        <v>530089409.62693125</v>
      </c>
      <c r="S277">
        <v>580437988.23460257</v>
      </c>
      <c r="T277">
        <v>508221439.34247679</v>
      </c>
      <c r="U277">
        <v>857932718.56808293</v>
      </c>
      <c r="V277">
        <v>595136087.24298584</v>
      </c>
      <c r="W277">
        <v>242473717.74363974</v>
      </c>
      <c r="X277">
        <v>363564156.74378777</v>
      </c>
      <c r="Y277">
        <v>668363896.91274905</v>
      </c>
    </row>
    <row r="278" spans="1:25" x14ac:dyDescent="0.45">
      <c r="A278" t="s">
        <v>248</v>
      </c>
      <c r="B278">
        <v>24960139.724249538</v>
      </c>
      <c r="C278">
        <v>14468237.501630275</v>
      </c>
      <c r="D278">
        <v>12680902.880158989</v>
      </c>
      <c r="E278">
        <v>20730592.717240695</v>
      </c>
      <c r="F278">
        <v>34800474.478402436</v>
      </c>
      <c r="G278">
        <v>55279558.706029899</v>
      </c>
      <c r="H278">
        <v>9432934.8933072146</v>
      </c>
      <c r="I278">
        <v>904240397.09836578</v>
      </c>
      <c r="J278">
        <v>46502454.625034772</v>
      </c>
      <c r="K278">
        <v>23810362.416211911</v>
      </c>
      <c r="L278">
        <v>88283695.814796299</v>
      </c>
      <c r="M278">
        <v>18922632.722310938</v>
      </c>
      <c r="N278">
        <v>83653464.707468212</v>
      </c>
      <c r="O278">
        <v>74905450.9552681</v>
      </c>
      <c r="P278">
        <v>44295125.975063346</v>
      </c>
      <c r="Q278">
        <v>3921001.5988209425</v>
      </c>
      <c r="R278">
        <v>14680374.685541768</v>
      </c>
      <c r="S278">
        <v>11872797.44617473</v>
      </c>
      <c r="T278">
        <v>10683948.511848176</v>
      </c>
      <c r="U278">
        <v>26582886.783960842</v>
      </c>
      <c r="V278">
        <v>15320620.955119288</v>
      </c>
      <c r="W278">
        <v>27087838.072036013</v>
      </c>
      <c r="X278">
        <v>19706804.737723533</v>
      </c>
      <c r="Y278">
        <v>16054089.465533193</v>
      </c>
    </row>
    <row r="279" spans="1:25" x14ac:dyDescent="0.45">
      <c r="A279" t="s">
        <v>430</v>
      </c>
      <c r="B279">
        <v>1294759889.7821968</v>
      </c>
      <c r="C279">
        <v>1141515314.3162379</v>
      </c>
      <c r="D279">
        <v>828306348.10341585</v>
      </c>
      <c r="E279">
        <v>1071291003.5674556</v>
      </c>
      <c r="F279">
        <v>1645975878.6889393</v>
      </c>
      <c r="G279">
        <v>1180263523.3938284</v>
      </c>
      <c r="H279">
        <v>1021129096.4123014</v>
      </c>
      <c r="I279">
        <v>1966128244.3067589</v>
      </c>
      <c r="J279">
        <v>2527971837.3483109</v>
      </c>
      <c r="K279">
        <v>2086749762.3542142</v>
      </c>
      <c r="L279">
        <v>2771784616.7982402</v>
      </c>
      <c r="M279">
        <v>1755672174.0250187</v>
      </c>
      <c r="N279">
        <v>1013115165.4784049</v>
      </c>
      <c r="O279">
        <v>1450978617.2702661</v>
      </c>
      <c r="P279">
        <v>897639094.01837289</v>
      </c>
      <c r="Q279">
        <v>608817126.55119526</v>
      </c>
      <c r="R279">
        <v>1396439420.5292139</v>
      </c>
      <c r="S279">
        <v>1546668701.162601</v>
      </c>
      <c r="T279">
        <v>701241787.61679316</v>
      </c>
      <c r="U279">
        <v>2564751656.3432622</v>
      </c>
      <c r="V279">
        <v>1221096393.6209977</v>
      </c>
      <c r="W279">
        <v>1696367130.6307435</v>
      </c>
      <c r="X279">
        <v>1887470437.9110847</v>
      </c>
      <c r="Y279">
        <v>1305672105.1829517</v>
      </c>
    </row>
    <row r="280" spans="1:25" x14ac:dyDescent="0.45">
      <c r="A280" t="s">
        <v>379</v>
      </c>
      <c r="B280">
        <v>13665095.403028078</v>
      </c>
      <c r="C280">
        <v>27042921.59404308</v>
      </c>
      <c r="D280">
        <v>16464703.094931427</v>
      </c>
      <c r="E280">
        <v>10179509.761732934</v>
      </c>
      <c r="F280">
        <v>13434948.430781806</v>
      </c>
      <c r="G280">
        <v>11794549.61108348</v>
      </c>
      <c r="H280">
        <v>8736047.8710790295</v>
      </c>
      <c r="I280">
        <v>102756091.81897993</v>
      </c>
      <c r="J280">
        <v>20107489.137135733</v>
      </c>
      <c r="K280">
        <v>17806229.220591191</v>
      </c>
      <c r="L280">
        <v>457719338.34311497</v>
      </c>
      <c r="M280">
        <v>13059056.709904749</v>
      </c>
      <c r="N280">
        <v>57805438.660253398</v>
      </c>
      <c r="O280">
        <v>28755745.118611917</v>
      </c>
      <c r="P280">
        <v>16704976.946620384</v>
      </c>
      <c r="Q280">
        <v>1409159.0499699318</v>
      </c>
      <c r="R280">
        <v>15054636.32324327</v>
      </c>
      <c r="S280">
        <v>9478654.8421793226</v>
      </c>
      <c r="T280">
        <v>21809369.369018428</v>
      </c>
      <c r="U280">
        <v>36346902.967421092</v>
      </c>
      <c r="V280">
        <v>25068523.780417413</v>
      </c>
      <c r="W280">
        <v>13735101.092621852</v>
      </c>
      <c r="X280">
        <v>16477227.876243643</v>
      </c>
      <c r="Y280">
        <v>15391748.764662666</v>
      </c>
    </row>
    <row r="281" spans="1:25" x14ac:dyDescent="0.45">
      <c r="A281" t="s">
        <v>340</v>
      </c>
      <c r="B281">
        <v>26875912.054159518</v>
      </c>
      <c r="C281">
        <v>58494303.81263452</v>
      </c>
      <c r="D281">
        <v>32977207.497135799</v>
      </c>
      <c r="E281">
        <v>35308309.644544266</v>
      </c>
      <c r="F281">
        <v>60489029.768667147</v>
      </c>
      <c r="G281">
        <v>42095783.849070884</v>
      </c>
      <c r="H281">
        <v>24689052.867880974</v>
      </c>
      <c r="I281">
        <v>286898842.21817482</v>
      </c>
      <c r="J281">
        <v>167703610.13149494</v>
      </c>
      <c r="K281">
        <v>44067055.79974322</v>
      </c>
      <c r="L281">
        <v>272944617.63462001</v>
      </c>
      <c r="M281">
        <v>38011750.290918313</v>
      </c>
      <c r="N281">
        <v>55293914.88844154</v>
      </c>
      <c r="O281">
        <v>40031622.468653083</v>
      </c>
      <c r="P281">
        <v>24698099.655334152</v>
      </c>
      <c r="Q281">
        <v>28413195.250307281</v>
      </c>
      <c r="R281">
        <v>116810779.98388599</v>
      </c>
      <c r="S281">
        <v>65923439.314175546</v>
      </c>
      <c r="T281">
        <v>29947832.488507461</v>
      </c>
      <c r="U281">
        <v>87061324.32627596</v>
      </c>
      <c r="V281">
        <v>41949956.25439585</v>
      </c>
      <c r="W281">
        <v>49446593.834417388</v>
      </c>
      <c r="X281">
        <v>74384749.739599094</v>
      </c>
      <c r="Y281">
        <v>72157050.113926291</v>
      </c>
    </row>
    <row r="282" spans="1:25" x14ac:dyDescent="0.45">
      <c r="A282" t="s">
        <v>249</v>
      </c>
      <c r="B282">
        <v>9442303.6122912169</v>
      </c>
      <c r="C282">
        <v>13138457.045687186</v>
      </c>
      <c r="D282">
        <v>10524505.032492746</v>
      </c>
      <c r="E282">
        <v>5230145.5288833054</v>
      </c>
      <c r="F282">
        <v>9587668.5186674073</v>
      </c>
      <c r="G282">
        <v>7938157.9766302947</v>
      </c>
      <c r="H282">
        <v>6548527.4355410952</v>
      </c>
      <c r="I282">
        <v>12215271.660679556</v>
      </c>
      <c r="J282">
        <v>19208845.414192818</v>
      </c>
      <c r="K282">
        <v>13141401.491520837</v>
      </c>
      <c r="L282">
        <v>41389016.4455119</v>
      </c>
      <c r="M282">
        <v>10315465.863687811</v>
      </c>
      <c r="N282">
        <v>4153158.6778451516</v>
      </c>
      <c r="O282">
        <v>11989150.80219282</v>
      </c>
      <c r="P282">
        <v>6083862.9118908448</v>
      </c>
      <c r="Q282">
        <v>5078658.3861416178</v>
      </c>
      <c r="R282">
        <v>30216272.030385513</v>
      </c>
      <c r="S282">
        <v>16309793.327419084</v>
      </c>
      <c r="T282">
        <v>6373517.8184112823</v>
      </c>
      <c r="U282">
        <v>15228744.48458761</v>
      </c>
      <c r="V282">
        <v>9745728.4277502485</v>
      </c>
      <c r="W282">
        <v>13179700.491918085</v>
      </c>
      <c r="X282">
        <v>22408228.354086813</v>
      </c>
      <c r="Y282">
        <v>18720002.507436611</v>
      </c>
    </row>
    <row r="283" spans="1:25" x14ac:dyDescent="0.45">
      <c r="A283" t="s">
        <v>250</v>
      </c>
      <c r="B283">
        <v>3063658.7784328563</v>
      </c>
      <c r="C283">
        <v>4465757.1814005952</v>
      </c>
      <c r="D283">
        <v>2563436.6930464325</v>
      </c>
      <c r="E283">
        <v>1908765.8351524514</v>
      </c>
      <c r="F283">
        <v>3122934.4600273157</v>
      </c>
      <c r="G283">
        <v>2741519.8595499997</v>
      </c>
      <c r="H283">
        <v>2571381.6213475494</v>
      </c>
      <c r="I283">
        <v>6474265.4357954711</v>
      </c>
      <c r="J283">
        <v>6570644.1220542965</v>
      </c>
      <c r="K283">
        <v>5672352.6957452074</v>
      </c>
      <c r="L283">
        <v>11740361.209790699</v>
      </c>
      <c r="M283">
        <v>3038289.2937331563</v>
      </c>
      <c r="N283">
        <v>2713568.3111552787</v>
      </c>
      <c r="O283">
        <v>3539980.791510229</v>
      </c>
      <c r="P283">
        <v>2232779.0343083753</v>
      </c>
      <c r="Q283">
        <v>2068756.4080950939</v>
      </c>
      <c r="R283">
        <v>10537396.664231144</v>
      </c>
      <c r="S283">
        <v>5588160.367455502</v>
      </c>
      <c r="T283">
        <v>2735526.9645699156</v>
      </c>
      <c r="U283">
        <v>4809667.9671831252</v>
      </c>
      <c r="V283">
        <v>2926943.7801775369</v>
      </c>
      <c r="W283">
        <v>4156783.1221857155</v>
      </c>
      <c r="X283">
        <v>6228752.1230921885</v>
      </c>
      <c r="Y283">
        <v>6966842.1459195735</v>
      </c>
    </row>
    <row r="284" spans="1:25" x14ac:dyDescent="0.45">
      <c r="A284" t="s">
        <v>431</v>
      </c>
      <c r="B284">
        <v>35992244.583172269</v>
      </c>
      <c r="C284">
        <v>62168913.492147334</v>
      </c>
      <c r="D284">
        <v>34114888.435806811</v>
      </c>
      <c r="E284">
        <v>35476963.87070509</v>
      </c>
      <c r="F284">
        <v>45805369.222492591</v>
      </c>
      <c r="G284">
        <v>37276051.81350892</v>
      </c>
      <c r="H284">
        <v>29082975.08392923</v>
      </c>
      <c r="I284">
        <v>4303449.3229955509</v>
      </c>
      <c r="J284">
        <v>92898644.414724141</v>
      </c>
      <c r="K284">
        <v>65007041.778751709</v>
      </c>
      <c r="L284">
        <v>27345119.641146801</v>
      </c>
      <c r="M284">
        <v>53343925.420175247</v>
      </c>
      <c r="N284">
        <v>19645910.536574855</v>
      </c>
      <c r="O284">
        <v>41088061.999374047</v>
      </c>
      <c r="P284">
        <v>27364009.299085781</v>
      </c>
      <c r="Q284">
        <v>29896681.894397415</v>
      </c>
      <c r="R284">
        <v>125765779.86104628</v>
      </c>
      <c r="S284">
        <v>82217276.895438865</v>
      </c>
      <c r="T284">
        <v>39723418.463437289</v>
      </c>
      <c r="U284">
        <v>54211882.122204728</v>
      </c>
      <c r="V284">
        <v>42248214.574412122</v>
      </c>
      <c r="W284">
        <v>79370543.034309208</v>
      </c>
      <c r="X284">
        <v>66847582.715222724</v>
      </c>
      <c r="Y284">
        <v>78059053.063219532</v>
      </c>
    </row>
    <row r="285" spans="1:25" x14ac:dyDescent="0.45">
      <c r="A285" t="s">
        <v>252</v>
      </c>
      <c r="B285">
        <v>5597977.6804900132</v>
      </c>
      <c r="C285">
        <v>20345553.618410885</v>
      </c>
      <c r="D285">
        <v>11359516.326196808</v>
      </c>
      <c r="E285">
        <v>10396593.925579241</v>
      </c>
      <c r="F285">
        <v>12893493.353696765</v>
      </c>
      <c r="G285">
        <v>8224490.0647495575</v>
      </c>
      <c r="H285">
        <v>7810245.5784074161</v>
      </c>
      <c r="I285">
        <v>15804013.730216108</v>
      </c>
      <c r="J285">
        <v>20888848.352085836</v>
      </c>
      <c r="K285">
        <v>5079669.9009553054</v>
      </c>
      <c r="L285">
        <v>30847168.674458999</v>
      </c>
      <c r="M285">
        <v>16656627.395861125</v>
      </c>
      <c r="N285">
        <v>6037319.9332353091</v>
      </c>
      <c r="O285">
        <v>14576865.034651332</v>
      </c>
      <c r="P285">
        <v>11846563.016666325</v>
      </c>
      <c r="Q285">
        <v>7489162.0300828647</v>
      </c>
      <c r="R285">
        <v>5265966.7536822045</v>
      </c>
      <c r="S285">
        <v>14033546.344081977</v>
      </c>
      <c r="T285">
        <v>11204832.329039373</v>
      </c>
      <c r="U285">
        <v>4604565.8306359034</v>
      </c>
      <c r="V285">
        <v>8208574.0159409754</v>
      </c>
      <c r="W285">
        <v>19674352.205456574</v>
      </c>
      <c r="X285">
        <v>17080295.16939678</v>
      </c>
      <c r="Y285">
        <v>17233313.192003675</v>
      </c>
    </row>
    <row r="286" spans="1:25" x14ac:dyDescent="0.45">
      <c r="A286" t="s">
        <v>253</v>
      </c>
      <c r="B286">
        <v>20850255.662091196</v>
      </c>
      <c r="C286">
        <v>23654532.949729443</v>
      </c>
      <c r="D286">
        <v>28048244.407503843</v>
      </c>
      <c r="E286">
        <v>27619944.018654544</v>
      </c>
      <c r="F286">
        <v>83019427.018959373</v>
      </c>
      <c r="G286">
        <v>23149316.990435001</v>
      </c>
      <c r="H286">
        <v>16233002.49139493</v>
      </c>
      <c r="I286">
        <v>947676902.85929835</v>
      </c>
      <c r="J286">
        <v>144990404.7340419</v>
      </c>
      <c r="K286">
        <v>38860097.476732813</v>
      </c>
      <c r="L286">
        <v>590071391.43034399</v>
      </c>
      <c r="M286">
        <v>28751659.230057623</v>
      </c>
      <c r="N286">
        <v>194083376.55186313</v>
      </c>
      <c r="O286">
        <v>86815907.174537241</v>
      </c>
      <c r="P286">
        <v>17422897.882950041</v>
      </c>
      <c r="Q286">
        <v>15829564.287661651</v>
      </c>
      <c r="R286">
        <v>43958331.772763722</v>
      </c>
      <c r="S286">
        <v>50468135.580599263</v>
      </c>
      <c r="T286">
        <v>16451819.495491059</v>
      </c>
      <c r="U286">
        <v>105971870.10562378</v>
      </c>
      <c r="V286">
        <v>24118874.37271098</v>
      </c>
      <c r="W286">
        <v>51042763.421436772</v>
      </c>
      <c r="X286">
        <v>32197936.957710426</v>
      </c>
      <c r="Y286">
        <v>36225587.914315462</v>
      </c>
    </row>
    <row r="287" spans="1:25" x14ac:dyDescent="0.45">
      <c r="A287" t="s">
        <v>254</v>
      </c>
      <c r="B287">
        <v>26334283.772527311</v>
      </c>
      <c r="C287">
        <v>32318029.962169793</v>
      </c>
      <c r="D287">
        <v>24320411.238478106</v>
      </c>
      <c r="E287">
        <v>30868657.704852648</v>
      </c>
      <c r="F287">
        <v>34656142.324075811</v>
      </c>
      <c r="G287">
        <v>32779362.207802992</v>
      </c>
      <c r="H287">
        <v>26098316.471699178</v>
      </c>
      <c r="I287">
        <v>37980858.321250007</v>
      </c>
      <c r="J287">
        <v>54839173.866767034</v>
      </c>
      <c r="K287">
        <v>42398456.754111312</v>
      </c>
      <c r="L287">
        <v>73152243.1083498</v>
      </c>
      <c r="M287">
        <v>5546447.5361242685</v>
      </c>
      <c r="N287">
        <v>42506809.675563902</v>
      </c>
      <c r="O287">
        <v>36521557.496060051</v>
      </c>
      <c r="P287">
        <v>31350270.709286511</v>
      </c>
      <c r="Q287">
        <v>19215400.156079326</v>
      </c>
      <c r="R287">
        <v>39467494.123839572</v>
      </c>
      <c r="S287">
        <v>44375611.452989981</v>
      </c>
      <c r="T287">
        <v>28381095.588449154</v>
      </c>
      <c r="U287">
        <v>68054793.752057761</v>
      </c>
      <c r="V287">
        <v>39976837.942479834</v>
      </c>
      <c r="W287">
        <v>43384021.61687395</v>
      </c>
      <c r="X287">
        <v>50944185.99560032</v>
      </c>
      <c r="Y287">
        <v>47854715.026587777</v>
      </c>
    </row>
    <row r="288" spans="1:25" x14ac:dyDescent="0.45">
      <c r="A288" t="s">
        <v>255</v>
      </c>
      <c r="B288">
        <v>193548.98725467021</v>
      </c>
      <c r="C288">
        <v>2383442.6064785342</v>
      </c>
      <c r="D288">
        <v>3092359.7070022249</v>
      </c>
      <c r="E288">
        <v>175714.08380050393</v>
      </c>
      <c r="F288">
        <v>3208297.6370357028</v>
      </c>
      <c r="G288">
        <v>234641.4807778853</v>
      </c>
      <c r="H288">
        <v>104759.60805502263</v>
      </c>
      <c r="I288">
        <v>3769261.8796778251</v>
      </c>
      <c r="J288">
        <v>885714.17765204667</v>
      </c>
      <c r="K288">
        <v>197814.60351822851</v>
      </c>
      <c r="L288">
        <v>681735415.75797403</v>
      </c>
      <c r="M288">
        <v>157978.66743718562</v>
      </c>
      <c r="N288">
        <v>389663.05594619387</v>
      </c>
      <c r="O288">
        <v>1706835.3891962874</v>
      </c>
      <c r="P288">
        <v>2546158.6442860845</v>
      </c>
      <c r="Q288">
        <v>87030.683870765701</v>
      </c>
      <c r="R288">
        <v>166880.86789384467</v>
      </c>
      <c r="S288">
        <v>106531.07231277584</v>
      </c>
      <c r="T288">
        <v>2716350.2491881377</v>
      </c>
      <c r="U288">
        <v>308472.16950475815</v>
      </c>
      <c r="V288">
        <v>4085992.5116605498</v>
      </c>
      <c r="W288">
        <v>399009.29440812982</v>
      </c>
      <c r="X288">
        <v>178293.04621341373</v>
      </c>
      <c r="Y288">
        <v>3320946.3520133379</v>
      </c>
    </row>
    <row r="289" spans="1:25" x14ac:dyDescent="0.45">
      <c r="A289" t="s">
        <v>364</v>
      </c>
      <c r="B289">
        <v>9913286.6665390488</v>
      </c>
      <c r="C289">
        <v>10448212.315847026</v>
      </c>
      <c r="D289">
        <v>10984187.757954638</v>
      </c>
      <c r="E289">
        <v>11302492.833912451</v>
      </c>
      <c r="F289">
        <v>31487461.13260385</v>
      </c>
      <c r="G289">
        <v>9549624.7913678922</v>
      </c>
      <c r="H289">
        <v>7071375.5938283643</v>
      </c>
      <c r="I289">
        <v>330420383.6926555</v>
      </c>
      <c r="J289">
        <v>52182694.659045659</v>
      </c>
      <c r="K289">
        <v>15978558.424422625</v>
      </c>
      <c r="L289">
        <v>201019735.27862599</v>
      </c>
      <c r="M289">
        <v>19688136.112864185</v>
      </c>
      <c r="N289">
        <v>68232142.706173405</v>
      </c>
      <c r="O289">
        <v>30939126.79898601</v>
      </c>
      <c r="P289">
        <v>7338538.0998669313</v>
      </c>
      <c r="Q289">
        <v>8489720.3403294869</v>
      </c>
      <c r="R289">
        <v>28667803.214686818</v>
      </c>
      <c r="S289">
        <v>29005189.868303396</v>
      </c>
      <c r="T289">
        <v>5796696.5486943042</v>
      </c>
      <c r="U289">
        <v>34397788.984906778</v>
      </c>
      <c r="V289">
        <v>8480929.4009552263</v>
      </c>
      <c r="W289">
        <v>17389995.997009654</v>
      </c>
      <c r="X289">
        <v>12288307.818478733</v>
      </c>
      <c r="Y289">
        <v>13091282.880573852</v>
      </c>
    </row>
    <row r="290" spans="1:25" x14ac:dyDescent="0.45">
      <c r="A290" t="s">
        <v>256</v>
      </c>
      <c r="B290">
        <v>1305107.1698745517</v>
      </c>
      <c r="C290">
        <v>4347668.9501080103</v>
      </c>
      <c r="D290">
        <v>3109681.304074897</v>
      </c>
      <c r="E290">
        <v>6593224.0999893146</v>
      </c>
      <c r="F290">
        <v>64493693.394226007</v>
      </c>
      <c r="G290">
        <v>10203653.014793236</v>
      </c>
      <c r="H290">
        <v>924254.91817979922</v>
      </c>
      <c r="I290">
        <v>4131731.2771988465</v>
      </c>
      <c r="J290">
        <v>1658156.5117236036</v>
      </c>
      <c r="K290">
        <v>2220421.9969676672</v>
      </c>
      <c r="L290">
        <v>6638109.9932640595</v>
      </c>
      <c r="M290">
        <v>1611799.4570968186</v>
      </c>
      <c r="N290">
        <v>97076060.807047501</v>
      </c>
      <c r="O290">
        <v>13658845.256784363</v>
      </c>
      <c r="P290">
        <v>2346792.349274972</v>
      </c>
      <c r="Q290">
        <v>1505431.8775297147</v>
      </c>
      <c r="R290">
        <v>2386390.5272291498</v>
      </c>
      <c r="S290">
        <v>8087614.8538750838</v>
      </c>
      <c r="T290">
        <v>20786508.804655638</v>
      </c>
      <c r="U290">
        <v>29722961.205623254</v>
      </c>
      <c r="V290">
        <v>7901848.7867311174</v>
      </c>
      <c r="W290">
        <v>10151901.414993716</v>
      </c>
      <c r="X290">
        <v>101486577.90394251</v>
      </c>
      <c r="Y290">
        <v>2760041.0699670669</v>
      </c>
    </row>
    <row r="291" spans="1:25" x14ac:dyDescent="0.45">
      <c r="A291" t="s">
        <v>341</v>
      </c>
      <c r="B291">
        <v>1940580.7027439382</v>
      </c>
      <c r="C291">
        <v>2876010.5659266314</v>
      </c>
      <c r="D291">
        <v>1670413.6648163362</v>
      </c>
      <c r="E291">
        <v>2871430.343403901</v>
      </c>
      <c r="F291">
        <v>3030195.631073412</v>
      </c>
      <c r="G291">
        <v>3196769.3948745634</v>
      </c>
      <c r="H291">
        <v>2228054.2958643176</v>
      </c>
      <c r="I291">
        <v>3107279.6637239465</v>
      </c>
      <c r="J291">
        <v>3646440.1871912819</v>
      </c>
      <c r="K291">
        <v>6001328.5722288406</v>
      </c>
      <c r="L291">
        <v>7337410.5274111601</v>
      </c>
      <c r="M291">
        <v>3138908.1151690502</v>
      </c>
      <c r="N291">
        <v>4039567.9287680206</v>
      </c>
      <c r="O291">
        <v>3238082.413279729</v>
      </c>
      <c r="P291">
        <v>3029336.3078800803</v>
      </c>
      <c r="Q291">
        <v>2138900.7757683517</v>
      </c>
      <c r="R291">
        <v>3351788.5749943466</v>
      </c>
      <c r="S291">
        <v>4972947.819592353</v>
      </c>
      <c r="T291">
        <v>1472995.7992694215</v>
      </c>
      <c r="U291">
        <v>6871355.0926985061</v>
      </c>
      <c r="V291">
        <v>2015048.2804573632</v>
      </c>
      <c r="W291">
        <v>3845152.7268850305</v>
      </c>
      <c r="X291">
        <v>5324069.9789981432</v>
      </c>
      <c r="Y291">
        <v>3868637.9662339692</v>
      </c>
    </row>
    <row r="292" spans="1:25" x14ac:dyDescent="0.45">
      <c r="A292" t="s">
        <v>380</v>
      </c>
      <c r="B292">
        <v>153727814.85440406</v>
      </c>
      <c r="C292">
        <v>139744728.38326114</v>
      </c>
      <c r="D292">
        <v>166072153.10850102</v>
      </c>
      <c r="E292">
        <v>132796796.94255495</v>
      </c>
      <c r="F292">
        <v>194218157.09254482</v>
      </c>
      <c r="G292">
        <v>119975691.34792696</v>
      </c>
      <c r="H292">
        <v>129642444.76835448</v>
      </c>
      <c r="I292">
        <v>891089906.85934174</v>
      </c>
      <c r="J292">
        <v>635178366.20383239</v>
      </c>
      <c r="K292">
        <v>322945455.8508898</v>
      </c>
      <c r="L292">
        <v>789145613.24369597</v>
      </c>
      <c r="M292">
        <v>286578031.13715065</v>
      </c>
      <c r="N292">
        <v>103022231.32827394</v>
      </c>
      <c r="O292">
        <v>223238598.00429627</v>
      </c>
      <c r="P292">
        <v>71873482.924231872</v>
      </c>
      <c r="Q292">
        <v>112343721.57520688</v>
      </c>
      <c r="R292">
        <v>463626164.45405424</v>
      </c>
      <c r="S292">
        <v>510190576.63932306</v>
      </c>
      <c r="T292">
        <v>84949628.397257596</v>
      </c>
      <c r="U292">
        <v>392190351.1331417</v>
      </c>
      <c r="V292">
        <v>235761124.4529478</v>
      </c>
      <c r="W292">
        <v>298664680.01492101</v>
      </c>
      <c r="X292">
        <v>266478346.03398991</v>
      </c>
      <c r="Y292">
        <v>339344932.56300259</v>
      </c>
    </row>
    <row r="293" spans="1:25" x14ac:dyDescent="0.45">
      <c r="A293" t="s">
        <v>342</v>
      </c>
      <c r="B293">
        <v>83710535.730279848</v>
      </c>
      <c r="C293">
        <v>72258737.812207833</v>
      </c>
      <c r="D293">
        <v>49688184.904454708</v>
      </c>
      <c r="E293">
        <v>86587074.602974206</v>
      </c>
      <c r="F293">
        <v>35950582.334129855</v>
      </c>
      <c r="G293">
        <v>76670646.442930385</v>
      </c>
      <c r="H293">
        <v>48990625.138617843</v>
      </c>
      <c r="I293">
        <v>12006776.367592731</v>
      </c>
      <c r="J293">
        <v>53370537.680225894</v>
      </c>
      <c r="K293">
        <v>100480871.42498378</v>
      </c>
      <c r="L293">
        <v>203413161.078437</v>
      </c>
      <c r="M293">
        <v>68712051.238572493</v>
      </c>
      <c r="N293">
        <v>11330716.60400475</v>
      </c>
      <c r="O293">
        <v>25911267.487339579</v>
      </c>
      <c r="P293">
        <v>49023016.785696797</v>
      </c>
      <c r="Q293">
        <v>27066560.919730488</v>
      </c>
      <c r="R293">
        <v>48890786.596558236</v>
      </c>
      <c r="S293">
        <v>65153264.545331083</v>
      </c>
      <c r="T293">
        <v>90133315.015834704</v>
      </c>
      <c r="U293">
        <v>77640947.101126581</v>
      </c>
      <c r="V293">
        <v>96554719.893856838</v>
      </c>
      <c r="W293">
        <v>56145652.15315789</v>
      </c>
      <c r="X293">
        <v>78436535.886113927</v>
      </c>
      <c r="Y293">
        <v>119359248.83985731</v>
      </c>
    </row>
    <row r="294" spans="1:25" x14ac:dyDescent="0.45">
      <c r="A294" t="s">
        <v>257</v>
      </c>
      <c r="B294">
        <v>973656.99480701855</v>
      </c>
      <c r="C294">
        <v>2314472.7802713662</v>
      </c>
      <c r="D294">
        <v>944171.24072613672</v>
      </c>
      <c r="E294">
        <v>715061.02760341961</v>
      </c>
      <c r="F294">
        <v>802488.9432503893</v>
      </c>
      <c r="G294">
        <v>1361338.8921994853</v>
      </c>
      <c r="H294">
        <v>1008849.8864569606</v>
      </c>
      <c r="I294">
        <v>3016392.5059901117</v>
      </c>
      <c r="J294">
        <v>1832433.2143572913</v>
      </c>
      <c r="K294">
        <v>2539831.2842532378</v>
      </c>
      <c r="L294">
        <v>1554947.5975927899</v>
      </c>
      <c r="M294">
        <v>3263488.9056196935</v>
      </c>
      <c r="N294">
        <v>370344.51674503699</v>
      </c>
      <c r="O294">
        <v>897271.17274984578</v>
      </c>
      <c r="P294">
        <v>887134.49634158961</v>
      </c>
      <c r="Q294">
        <v>1706494.008656604</v>
      </c>
      <c r="R294">
        <v>5360191.4581640633</v>
      </c>
      <c r="S294">
        <v>1881471.6535103198</v>
      </c>
      <c r="T294">
        <v>1289518.5437483438</v>
      </c>
      <c r="U294">
        <v>1318010.0013066086</v>
      </c>
      <c r="V294">
        <v>1615048.0671905589</v>
      </c>
      <c r="W294">
        <v>867242.58909786842</v>
      </c>
      <c r="X294">
        <v>3744626.514164608</v>
      </c>
      <c r="Y294">
        <v>5150054.0153304534</v>
      </c>
    </row>
    <row r="295" spans="1:25" x14ac:dyDescent="0.45">
      <c r="A295" t="s">
        <v>258</v>
      </c>
      <c r="B295">
        <v>50891520.902032644</v>
      </c>
      <c r="C295">
        <v>44954235.993931144</v>
      </c>
      <c r="D295">
        <v>10023088.263921443</v>
      </c>
      <c r="E295">
        <v>98014.16411800489</v>
      </c>
      <c r="F295">
        <v>1032690.1906275109</v>
      </c>
      <c r="G295">
        <v>507116.21954576962</v>
      </c>
      <c r="H295">
        <v>377257.27199069504</v>
      </c>
      <c r="I295">
        <v>200171415.18426892</v>
      </c>
      <c r="J295">
        <v>29169406.649099577</v>
      </c>
      <c r="K295">
        <v>1005879.6183062036</v>
      </c>
      <c r="L295">
        <v>3081056238.56142</v>
      </c>
      <c r="M295">
        <v>3119168.0652959496</v>
      </c>
      <c r="N295">
        <v>96645189.410341009</v>
      </c>
      <c r="O295">
        <v>3116799.925685883</v>
      </c>
      <c r="P295">
        <v>15410890.872821888</v>
      </c>
      <c r="Q295">
        <v>292696.36662927025</v>
      </c>
      <c r="R295">
        <v>663433.5573380834</v>
      </c>
      <c r="S295">
        <v>143149.83227352792</v>
      </c>
      <c r="T295">
        <v>126783.80886410025</v>
      </c>
      <c r="U295">
        <v>44731493.851509154</v>
      </c>
      <c r="V295">
        <v>834481.26196908054</v>
      </c>
      <c r="W295">
        <v>759655.20956166124</v>
      </c>
      <c r="X295">
        <v>750998.72990583861</v>
      </c>
      <c r="Y295">
        <v>799077.43828803324</v>
      </c>
    </row>
    <row r="296" spans="1:25" x14ac:dyDescent="0.45">
      <c r="A296" t="s">
        <v>343</v>
      </c>
      <c r="B296">
        <v>38997475.876122996</v>
      </c>
      <c r="C296">
        <v>85795435.969069362</v>
      </c>
      <c r="D296">
        <v>27802007.857580718</v>
      </c>
      <c r="E296">
        <v>20127315.057387769</v>
      </c>
      <c r="F296">
        <v>28092233.913362145</v>
      </c>
      <c r="G296">
        <v>46636245.311654262</v>
      </c>
      <c r="H296">
        <v>41423347.582032226</v>
      </c>
      <c r="I296">
        <v>97022725.336119443</v>
      </c>
      <c r="J296">
        <v>73812304.749392927</v>
      </c>
      <c r="K296">
        <v>86086820.764439672</v>
      </c>
      <c r="L296">
        <v>70197579.439203501</v>
      </c>
      <c r="M296">
        <v>103145857.0037156</v>
      </c>
      <c r="N296">
        <v>10645519.827470681</v>
      </c>
      <c r="O296">
        <v>32703922.062116649</v>
      </c>
      <c r="P296">
        <v>31382809.580160484</v>
      </c>
      <c r="Q296">
        <v>44217136.921192147</v>
      </c>
      <c r="R296">
        <v>176833008.59548801</v>
      </c>
      <c r="S296">
        <v>55735081.733457945</v>
      </c>
      <c r="T296">
        <v>40696077.012824893</v>
      </c>
      <c r="U296">
        <v>39675260.557459049</v>
      </c>
      <c r="V296">
        <v>62379556.968504705</v>
      </c>
      <c r="W296">
        <v>29845568.176081873</v>
      </c>
      <c r="X296">
        <v>126372630.44432826</v>
      </c>
      <c r="Y296">
        <v>184393326.330861</v>
      </c>
    </row>
    <row r="297" spans="1:25" x14ac:dyDescent="0.45">
      <c r="A297" t="s">
        <v>259</v>
      </c>
      <c r="B297">
        <v>18086544.804630127</v>
      </c>
      <c r="C297">
        <v>67340763.846568719</v>
      </c>
      <c r="D297">
        <v>38333856.212397195</v>
      </c>
      <c r="E297">
        <v>27645393.323530227</v>
      </c>
      <c r="F297">
        <v>32745937.376009081</v>
      </c>
      <c r="G297">
        <v>30290210.474649511</v>
      </c>
      <c r="H297">
        <v>19583222.751275845</v>
      </c>
      <c r="I297">
        <v>33644105.45990064</v>
      </c>
      <c r="J297">
        <v>54490327.049874678</v>
      </c>
      <c r="K297">
        <v>44251310.999755174</v>
      </c>
      <c r="L297">
        <v>18529485.884183999</v>
      </c>
      <c r="M297">
        <v>34315435.772837251</v>
      </c>
      <c r="N297">
        <v>27828176.03686348</v>
      </c>
      <c r="O297">
        <v>36281182.474543512</v>
      </c>
      <c r="P297">
        <v>32274870.325825021</v>
      </c>
      <c r="Q297">
        <v>24394462.919314761</v>
      </c>
      <c r="R297">
        <v>46824014.390262328</v>
      </c>
      <c r="S297">
        <v>39271757.37098483</v>
      </c>
      <c r="T297">
        <v>31788010.931128979</v>
      </c>
      <c r="U297">
        <v>13710315.870053206</v>
      </c>
      <c r="V297">
        <v>41901060.573199622</v>
      </c>
      <c r="W297">
        <v>52264796.01608108</v>
      </c>
      <c r="X297">
        <v>44668366.761681348</v>
      </c>
      <c r="Y297">
        <v>49311033.314860329</v>
      </c>
    </row>
    <row r="298" spans="1:25" x14ac:dyDescent="0.45">
      <c r="A298" t="s">
        <v>381</v>
      </c>
      <c r="B298">
        <v>191185798.52478379</v>
      </c>
      <c r="C298">
        <v>607659349.1073283</v>
      </c>
      <c r="D298">
        <v>473905460.0936268</v>
      </c>
      <c r="E298">
        <v>315795964.89072949</v>
      </c>
      <c r="F298">
        <v>385581064.07058024</v>
      </c>
      <c r="G298">
        <v>370224266.61228776</v>
      </c>
      <c r="H298">
        <v>281822649.96691227</v>
      </c>
      <c r="I298">
        <v>1916702053.3958597</v>
      </c>
      <c r="J298">
        <v>1084549840.7148776</v>
      </c>
      <c r="K298">
        <v>516678421.45355588</v>
      </c>
      <c r="L298">
        <v>2665990673.5538201</v>
      </c>
      <c r="M298">
        <v>449628019.1546337</v>
      </c>
      <c r="N298">
        <v>882388733.86549544</v>
      </c>
      <c r="O298">
        <v>1250276577.1875212</v>
      </c>
      <c r="P298">
        <v>355796039.13655502</v>
      </c>
      <c r="Q298">
        <v>254186120.69497472</v>
      </c>
      <c r="R298">
        <v>719393468.25521564</v>
      </c>
      <c r="S298">
        <v>844691367.41624689</v>
      </c>
      <c r="T298">
        <v>594985077.91502428</v>
      </c>
      <c r="U298">
        <v>1486973023.9756341</v>
      </c>
      <c r="V298">
        <v>640669123.78964245</v>
      </c>
      <c r="W298">
        <v>350891360.68366176</v>
      </c>
      <c r="X298">
        <v>344079896.07684988</v>
      </c>
      <c r="Y298">
        <v>220353913.48470044</v>
      </c>
    </row>
    <row r="299" spans="1:25" x14ac:dyDescent="0.45">
      <c r="A299" t="s">
        <v>260</v>
      </c>
      <c r="B299">
        <v>30045304.876598198</v>
      </c>
      <c r="C299">
        <v>26672139.728561532</v>
      </c>
      <c r="D299">
        <v>21656008.544320732</v>
      </c>
      <c r="E299">
        <v>38304546.232258141</v>
      </c>
      <c r="F299">
        <v>55446249.143351093</v>
      </c>
      <c r="G299">
        <v>28527681.871637255</v>
      </c>
      <c r="H299">
        <v>21878528.97596876</v>
      </c>
      <c r="I299">
        <v>96607879.737546355</v>
      </c>
      <c r="J299">
        <v>141634124.53776622</v>
      </c>
      <c r="K299">
        <v>49247149.953036845</v>
      </c>
      <c r="L299">
        <v>111840072.32791799</v>
      </c>
      <c r="M299">
        <v>74280788.517528743</v>
      </c>
      <c r="N299">
        <v>37207145.871708192</v>
      </c>
      <c r="O299">
        <v>45162530.072650857</v>
      </c>
      <c r="P299">
        <v>22504741.853794653</v>
      </c>
      <c r="Q299">
        <v>4618619.0131641803</v>
      </c>
      <c r="R299">
        <v>30417606.539488323</v>
      </c>
      <c r="S299">
        <v>44009231.300299853</v>
      </c>
      <c r="T299">
        <v>20686009.156252392</v>
      </c>
      <c r="U299">
        <v>57726862.561674207</v>
      </c>
      <c r="V299">
        <v>31736251.093747355</v>
      </c>
      <c r="W299">
        <v>31965191.936046366</v>
      </c>
      <c r="X299">
        <v>36924162.512786791</v>
      </c>
      <c r="Y299">
        <v>34548312.506492488</v>
      </c>
    </row>
    <row r="300" spans="1:25" x14ac:dyDescent="0.45">
      <c r="A300" t="s">
        <v>344</v>
      </c>
      <c r="B300">
        <v>11365883.196549147</v>
      </c>
      <c r="C300">
        <v>12304337.216401493</v>
      </c>
      <c r="D300">
        <v>6113404.4891127562</v>
      </c>
      <c r="E300">
        <v>5251699.5596455634</v>
      </c>
      <c r="F300">
        <v>4454708.3319912767</v>
      </c>
      <c r="G300">
        <v>7801470.4252263233</v>
      </c>
      <c r="H300">
        <v>6613665.8583276188</v>
      </c>
      <c r="I300">
        <v>12828742.881940747</v>
      </c>
      <c r="J300">
        <v>8470676.601241434</v>
      </c>
      <c r="K300">
        <v>9584037.6407150328</v>
      </c>
      <c r="L300">
        <v>32902002.272190001</v>
      </c>
      <c r="M300">
        <v>9774762.9581581857</v>
      </c>
      <c r="N300">
        <v>7254676.5617121756</v>
      </c>
      <c r="O300">
        <v>10014065.061022289</v>
      </c>
      <c r="P300">
        <v>6153423.8778379289</v>
      </c>
      <c r="Q300">
        <v>10954990.224403648</v>
      </c>
      <c r="R300">
        <v>9742693.6311806124</v>
      </c>
      <c r="S300">
        <v>7869464.7240014905</v>
      </c>
      <c r="T300">
        <v>9594578.0735570788</v>
      </c>
      <c r="U300">
        <v>13573407.372605925</v>
      </c>
      <c r="V300">
        <v>12811936.096219167</v>
      </c>
      <c r="W300">
        <v>7447058.3197254194</v>
      </c>
      <c r="X300">
        <v>9957888.6904169414</v>
      </c>
      <c r="Y300">
        <v>14996424.031026924</v>
      </c>
    </row>
    <row r="301" spans="1:25" x14ac:dyDescent="0.45">
      <c r="A301" t="s">
        <v>263</v>
      </c>
      <c r="B301">
        <v>12488773.725032778</v>
      </c>
      <c r="C301">
        <v>43302126.258379824</v>
      </c>
      <c r="D301">
        <v>27494674.720712256</v>
      </c>
      <c r="E301">
        <v>15599433.926355751</v>
      </c>
      <c r="F301">
        <v>28878220.461741164</v>
      </c>
      <c r="G301">
        <v>28157535.608829167</v>
      </c>
      <c r="H301">
        <v>33982133.682625264</v>
      </c>
      <c r="I301">
        <v>201273082.55791795</v>
      </c>
      <c r="J301">
        <v>101315127.4540609</v>
      </c>
      <c r="K301">
        <v>78888157.997270972</v>
      </c>
      <c r="L301">
        <v>55854790.418788299</v>
      </c>
      <c r="M301">
        <v>61712391.501587935</v>
      </c>
      <c r="N301">
        <v>27473713.463480484</v>
      </c>
      <c r="O301">
        <v>35518791.797686331</v>
      </c>
      <c r="P301">
        <v>20829816.964257333</v>
      </c>
      <c r="Q301">
        <v>42784889.334950007</v>
      </c>
      <c r="R301">
        <v>130215813.55608323</v>
      </c>
      <c r="S301">
        <v>96815472.05544886</v>
      </c>
      <c r="T301">
        <v>24868158.883506294</v>
      </c>
      <c r="U301">
        <v>51288942.000993863</v>
      </c>
      <c r="V301">
        <v>50066897.702028349</v>
      </c>
      <c r="W301">
        <v>37481526.402833492</v>
      </c>
      <c r="X301">
        <v>61975087.187067054</v>
      </c>
      <c r="Y301">
        <v>127220022.7541399</v>
      </c>
    </row>
    <row r="302" spans="1:25" x14ac:dyDescent="0.45">
      <c r="A302" t="s">
        <v>264</v>
      </c>
      <c r="B302">
        <v>733353.01911412692</v>
      </c>
      <c r="C302">
        <v>7355646.4905643556</v>
      </c>
      <c r="D302">
        <v>3012401.1844518133</v>
      </c>
      <c r="E302">
        <v>3602372.4144636011</v>
      </c>
      <c r="F302">
        <v>6496756.6558088344</v>
      </c>
      <c r="G302">
        <v>7503593.0948098032</v>
      </c>
      <c r="H302">
        <v>2903016.9996436336</v>
      </c>
      <c r="I302">
        <v>9406616.1118182857</v>
      </c>
      <c r="J302">
        <v>14573934.384642128</v>
      </c>
      <c r="K302">
        <v>10685610.503348224</v>
      </c>
      <c r="L302">
        <v>25739567.675153598</v>
      </c>
      <c r="M302">
        <v>8200663.7383990623</v>
      </c>
      <c r="N302">
        <v>3850745.0639172988</v>
      </c>
      <c r="O302">
        <v>4613777.8791257022</v>
      </c>
      <c r="P302">
        <v>4429498.273443779</v>
      </c>
      <c r="Q302">
        <v>5051718.0598540707</v>
      </c>
      <c r="R302">
        <v>27267937.402572583</v>
      </c>
      <c r="S302">
        <v>4315752.1822827775</v>
      </c>
      <c r="T302">
        <v>2992581.0045241695</v>
      </c>
      <c r="U302">
        <v>13456219.747448388</v>
      </c>
      <c r="V302">
        <v>6538374.9423598647</v>
      </c>
      <c r="W302">
        <v>7585425.5810292112</v>
      </c>
      <c r="X302">
        <v>10534902.629035965</v>
      </c>
      <c r="Y302">
        <v>26637388.525190983</v>
      </c>
    </row>
    <row r="303" spans="1:25" x14ac:dyDescent="0.45">
      <c r="A303" t="s">
        <v>265</v>
      </c>
      <c r="B303">
        <v>4333357.1945308885</v>
      </c>
      <c r="C303">
        <v>3457939.6033281581</v>
      </c>
      <c r="D303">
        <v>3421250.5755470982</v>
      </c>
      <c r="E303">
        <v>2600447.329669754</v>
      </c>
      <c r="F303">
        <v>2579343.5841025631</v>
      </c>
      <c r="G303">
        <v>1857156.7646494019</v>
      </c>
      <c r="H303">
        <v>2253191.9613109981</v>
      </c>
      <c r="I303">
        <v>42569779.274356671</v>
      </c>
      <c r="J303">
        <v>18360826.573105533</v>
      </c>
      <c r="K303">
        <v>16051966.857894979</v>
      </c>
      <c r="L303">
        <v>175462763.64713901</v>
      </c>
      <c r="M303">
        <v>11766870.463434061</v>
      </c>
      <c r="N303">
        <v>11002885.097995106</v>
      </c>
      <c r="O303">
        <v>14927818.352134628</v>
      </c>
      <c r="P303">
        <v>12022208.787226183</v>
      </c>
      <c r="Q303">
        <v>3125033.823714342</v>
      </c>
      <c r="R303">
        <v>8027363.2400629018</v>
      </c>
      <c r="S303">
        <v>2447986.3287594607</v>
      </c>
      <c r="T303">
        <v>7956444.5015911385</v>
      </c>
      <c r="U303">
        <v>12129880.526055377</v>
      </c>
      <c r="V303">
        <v>11142366.699191786</v>
      </c>
      <c r="W303">
        <v>16448254.988543438</v>
      </c>
      <c r="X303">
        <v>7669272.4382941034</v>
      </c>
      <c r="Y303">
        <v>8443478.9147417583</v>
      </c>
    </row>
    <row r="304" spans="1:25" x14ac:dyDescent="0.45">
      <c r="A304" t="s">
        <v>266</v>
      </c>
      <c r="B304">
        <v>1545126.6078057426</v>
      </c>
      <c r="C304">
        <v>1791645.813886713</v>
      </c>
      <c r="D304">
        <v>1424085.0730616278</v>
      </c>
      <c r="E304">
        <v>3539393.8515431415</v>
      </c>
      <c r="F304">
        <v>2498064.2863178053</v>
      </c>
      <c r="G304">
        <v>3430444.6665287348</v>
      </c>
      <c r="H304">
        <v>1510117.2407167349</v>
      </c>
      <c r="I304">
        <v>3995967.4743736987</v>
      </c>
      <c r="J304">
        <v>2992892.725990097</v>
      </c>
      <c r="K304">
        <v>1819011.2960619454</v>
      </c>
      <c r="L304">
        <v>4444589.6368441796</v>
      </c>
      <c r="M304">
        <v>1508144.7670781561</v>
      </c>
      <c r="N304">
        <v>1429331.308009997</v>
      </c>
      <c r="O304">
        <v>1501257.8746221757</v>
      </c>
      <c r="P304">
        <v>1166499.757585285</v>
      </c>
      <c r="Q304">
        <v>771039.32907610061</v>
      </c>
      <c r="R304">
        <v>2521299.2893966958</v>
      </c>
      <c r="S304">
        <v>1310418.8315507406</v>
      </c>
      <c r="T304">
        <v>771328.98616531165</v>
      </c>
      <c r="U304">
        <v>4086811.6131969253</v>
      </c>
      <c r="V304">
        <v>1953153.7325756894</v>
      </c>
      <c r="W304">
        <v>2393574.4064790355</v>
      </c>
      <c r="X304">
        <v>3325585.6350713554</v>
      </c>
      <c r="Y304">
        <v>1928823.1313162195</v>
      </c>
    </row>
    <row r="305" spans="1:25" x14ac:dyDescent="0.45">
      <c r="A305" t="s">
        <v>345</v>
      </c>
      <c r="B305">
        <v>3147448.4513276317</v>
      </c>
      <c r="C305">
        <v>12737055.958003944</v>
      </c>
      <c r="D305">
        <v>4872624.3636465026</v>
      </c>
      <c r="E305">
        <v>3662515.5510599413</v>
      </c>
      <c r="F305">
        <v>5908417.5095132999</v>
      </c>
      <c r="G305">
        <v>4500244.4543321421</v>
      </c>
      <c r="H305">
        <v>2410464.9173653829</v>
      </c>
      <c r="I305">
        <v>46684793.582824469</v>
      </c>
      <c r="J305">
        <v>13091692.559134521</v>
      </c>
      <c r="K305">
        <v>8087832.243390237</v>
      </c>
      <c r="L305">
        <v>30120989.880991999</v>
      </c>
      <c r="M305">
        <v>5994505.6572815562</v>
      </c>
      <c r="N305">
        <v>9754606.4445318412</v>
      </c>
      <c r="O305">
        <v>10278848.086227236</v>
      </c>
      <c r="P305">
        <v>5044649.1124732271</v>
      </c>
      <c r="Q305">
        <v>9711504.3286842797</v>
      </c>
      <c r="R305">
        <v>7808748.4597735796</v>
      </c>
      <c r="S305">
        <v>21188008.36580779</v>
      </c>
      <c r="T305">
        <v>5508324.4766488345</v>
      </c>
      <c r="U305">
        <v>107609894.82599317</v>
      </c>
      <c r="V305">
        <v>4693359.3035738189</v>
      </c>
      <c r="W305">
        <v>9608106.8039600588</v>
      </c>
      <c r="X305">
        <v>27515985.707832258</v>
      </c>
      <c r="Y305">
        <v>6274206.4995432142</v>
      </c>
    </row>
    <row r="306" spans="1:25" x14ac:dyDescent="0.45">
      <c r="A306" t="s">
        <v>365</v>
      </c>
      <c r="B306">
        <v>43870213.655796327</v>
      </c>
      <c r="C306">
        <v>56440206.402042866</v>
      </c>
      <c r="D306">
        <v>52517881.885803461</v>
      </c>
      <c r="E306">
        <v>36441170.308451071</v>
      </c>
      <c r="F306">
        <v>302890523.06590945</v>
      </c>
      <c r="G306">
        <v>37882693.652122945</v>
      </c>
      <c r="H306">
        <v>32795085.659756176</v>
      </c>
      <c r="I306">
        <v>98042092.301969633</v>
      </c>
      <c r="J306">
        <v>64719056.299472146</v>
      </c>
      <c r="K306">
        <v>68751339.20864509</v>
      </c>
      <c r="L306">
        <v>71766663.091087997</v>
      </c>
      <c r="M306">
        <v>61868719.588693753</v>
      </c>
      <c r="N306">
        <v>209993362.61143315</v>
      </c>
      <c r="O306">
        <v>38838168.143650636</v>
      </c>
      <c r="P306">
        <v>33227794.850038543</v>
      </c>
      <c r="Q306">
        <v>19791678.639921181</v>
      </c>
      <c r="R306">
        <v>78533566.648783892</v>
      </c>
      <c r="S306">
        <v>49376421.738616511</v>
      </c>
      <c r="T306">
        <v>60160990.019927688</v>
      </c>
      <c r="U306">
        <v>109597723.49194439</v>
      </c>
      <c r="V306">
        <v>44842702.190521613</v>
      </c>
      <c r="W306">
        <v>46128965.245864086</v>
      </c>
      <c r="X306">
        <v>46154984.233633004</v>
      </c>
      <c r="Y306">
        <v>44368668.899536982</v>
      </c>
    </row>
    <row r="307" spans="1:25" x14ac:dyDescent="0.45">
      <c r="A307" t="s">
        <v>366</v>
      </c>
      <c r="B307">
        <v>49661475.278067887</v>
      </c>
      <c r="C307">
        <v>212360026.87701124</v>
      </c>
      <c r="D307">
        <v>66350126.039502405</v>
      </c>
      <c r="E307">
        <v>40743777.970904067</v>
      </c>
      <c r="F307">
        <v>59104723.471242227</v>
      </c>
      <c r="G307">
        <v>74296573.788472056</v>
      </c>
      <c r="H307">
        <v>88683330.003632516</v>
      </c>
      <c r="I307">
        <v>50976651.629743718</v>
      </c>
      <c r="J307">
        <v>40934748.216882139</v>
      </c>
      <c r="K307">
        <v>134374358.13882068</v>
      </c>
      <c r="L307">
        <v>618636281.81357098</v>
      </c>
      <c r="M307">
        <v>54518788.827972561</v>
      </c>
      <c r="N307">
        <v>44472073.368293762</v>
      </c>
      <c r="O307">
        <v>22063452.03344585</v>
      </c>
      <c r="P307">
        <v>293010212.05473864</v>
      </c>
      <c r="Q307">
        <v>73271342.893931463</v>
      </c>
      <c r="R307">
        <v>573569607.91531897</v>
      </c>
      <c r="S307">
        <v>77625652.130627707</v>
      </c>
      <c r="T307">
        <v>221448535.82486436</v>
      </c>
      <c r="U307">
        <v>62628773.830713145</v>
      </c>
      <c r="V307">
        <v>167742235.37981737</v>
      </c>
      <c r="W307">
        <v>44684218.568598844</v>
      </c>
      <c r="X307">
        <v>220926125.20796135</v>
      </c>
      <c r="Y307">
        <v>362821962.45767301</v>
      </c>
    </row>
    <row r="308" spans="1:25" x14ac:dyDescent="0.45">
      <c r="A308" t="s">
        <v>346</v>
      </c>
      <c r="B308">
        <v>5426658.361697739</v>
      </c>
      <c r="C308">
        <v>23116085.3956073</v>
      </c>
      <c r="D308">
        <v>8888252.7596111577</v>
      </c>
      <c r="E308">
        <v>11364612.465749767</v>
      </c>
      <c r="F308">
        <v>11491411.811413294</v>
      </c>
      <c r="G308">
        <v>22517008.457781862</v>
      </c>
      <c r="H308">
        <v>16477221.538658589</v>
      </c>
      <c r="I308">
        <v>231201744.19793737</v>
      </c>
      <c r="J308">
        <v>31181632.226639349</v>
      </c>
      <c r="K308">
        <v>15473666.076220589</v>
      </c>
      <c r="L308">
        <v>282552890.60543299</v>
      </c>
      <c r="M308">
        <v>11511924.676106874</v>
      </c>
      <c r="N308">
        <v>16681378.462457696</v>
      </c>
      <c r="O308">
        <v>7925967.6982124466</v>
      </c>
      <c r="P308">
        <v>13741630.616693338</v>
      </c>
      <c r="Q308">
        <v>12306546.438267177</v>
      </c>
      <c r="R308">
        <v>44971249.658186316</v>
      </c>
      <c r="S308">
        <v>17012693.978910655</v>
      </c>
      <c r="T308">
        <v>15707904.624148704</v>
      </c>
      <c r="U308">
        <v>16113258.239035912</v>
      </c>
      <c r="V308">
        <v>23208121.926398292</v>
      </c>
      <c r="W308">
        <v>9223577.3914769329</v>
      </c>
      <c r="X308">
        <v>13056785.437679112</v>
      </c>
      <c r="Y308">
        <v>14833452.020704268</v>
      </c>
    </row>
    <row r="309" spans="1:25" x14ac:dyDescent="0.45">
      <c r="A309" t="s">
        <v>347</v>
      </c>
      <c r="B309">
        <v>945787450.21886241</v>
      </c>
      <c r="C309">
        <v>516457963.54318649</v>
      </c>
      <c r="D309">
        <v>179590071.44892734</v>
      </c>
      <c r="E309">
        <v>240937041.99519128</v>
      </c>
      <c r="F309">
        <v>200930274.18855929</v>
      </c>
      <c r="G309">
        <v>108918997.48016225</v>
      </c>
      <c r="H309">
        <v>290278162.21178579</v>
      </c>
      <c r="I309">
        <v>3001964304.5326853</v>
      </c>
      <c r="J309">
        <v>539145118.37887716</v>
      </c>
      <c r="K309">
        <v>937781988.24833989</v>
      </c>
      <c r="L309">
        <v>243240290.361947</v>
      </c>
      <c r="M309">
        <v>572358395.73816502</v>
      </c>
      <c r="N309">
        <v>80949464.532397807</v>
      </c>
      <c r="O309">
        <v>53334525.62253511</v>
      </c>
      <c r="P309">
        <v>126255388.80711775</v>
      </c>
      <c r="Q309">
        <v>281875350.41020262</v>
      </c>
      <c r="R309">
        <v>1070851063.3601567</v>
      </c>
      <c r="S309">
        <v>905965230.81434274</v>
      </c>
      <c r="T309">
        <v>248755539.42842299</v>
      </c>
      <c r="U309">
        <v>213169496.61782548</v>
      </c>
      <c r="V309">
        <v>235987289.00221381</v>
      </c>
      <c r="W309">
        <v>333651681.11323816</v>
      </c>
      <c r="X309">
        <v>946995244.38250089</v>
      </c>
      <c r="Y309">
        <v>958656586.92101014</v>
      </c>
    </row>
    <row r="310" spans="1:25" x14ac:dyDescent="0.45">
      <c r="A310" t="s">
        <v>348</v>
      </c>
      <c r="B310">
        <v>47598840.985346414</v>
      </c>
      <c r="C310">
        <v>64255367.944611296</v>
      </c>
      <c r="D310">
        <v>41208179.354502358</v>
      </c>
      <c r="E310">
        <v>49191639.8430859</v>
      </c>
      <c r="F310">
        <v>56240501.266545549</v>
      </c>
      <c r="G310">
        <v>63463937.537219606</v>
      </c>
      <c r="H310">
        <v>45520837.099757962</v>
      </c>
      <c r="I310">
        <v>96686024.249638304</v>
      </c>
      <c r="J310">
        <v>95323109.24465093</v>
      </c>
      <c r="K310">
        <v>76201111.996272832</v>
      </c>
      <c r="L310">
        <v>72475307.177797303</v>
      </c>
      <c r="M310">
        <v>66206544.329802491</v>
      </c>
      <c r="N310">
        <v>96445488.299597129</v>
      </c>
      <c r="O310">
        <v>50135572.16002468</v>
      </c>
      <c r="P310">
        <v>49820823.29217647</v>
      </c>
      <c r="Q310">
        <v>21276944.38472037</v>
      </c>
      <c r="R310">
        <v>107471469.72868292</v>
      </c>
      <c r="S310">
        <v>73904276.006509379</v>
      </c>
      <c r="T310">
        <v>33100702.116336774</v>
      </c>
      <c r="U310">
        <v>90603736.318125725</v>
      </c>
      <c r="V310">
        <v>52175094.484795019</v>
      </c>
      <c r="W310">
        <v>54990355.28788738</v>
      </c>
      <c r="X310">
        <v>83194657.767549992</v>
      </c>
      <c r="Y310">
        <v>76411736.938792497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9E39-2923-4139-A195-748545609D9E}">
  <dimension ref="A1:D11"/>
  <sheetViews>
    <sheetView workbookViewId="0">
      <selection activeCell="G33" sqref="G33"/>
    </sheetView>
  </sheetViews>
  <sheetFormatPr defaultRowHeight="14.25" x14ac:dyDescent="0.45"/>
  <cols>
    <col min="1" max="1" width="30.73046875" bestFit="1" customWidth="1"/>
    <col min="2" max="3" width="9.06640625" style="16"/>
    <col min="4" max="4" width="22.06640625" bestFit="1" customWidth="1"/>
  </cols>
  <sheetData>
    <row r="1" spans="1:4" x14ac:dyDescent="0.45">
      <c r="A1" s="12" t="s">
        <v>451</v>
      </c>
      <c r="B1" s="14" t="s">
        <v>452</v>
      </c>
      <c r="C1" s="14" t="s">
        <v>453</v>
      </c>
      <c r="D1" s="13" t="s">
        <v>454</v>
      </c>
    </row>
    <row r="2" spans="1:4" x14ac:dyDescent="0.45">
      <c r="A2" s="12" t="s">
        <v>37</v>
      </c>
      <c r="B2" s="15">
        <v>-0.40827930157203401</v>
      </c>
      <c r="C2" s="15">
        <v>4.7600000000000003E-2</v>
      </c>
      <c r="D2" s="13" t="s">
        <v>450</v>
      </c>
    </row>
    <row r="3" spans="1:4" x14ac:dyDescent="0.45">
      <c r="A3" s="12" t="s">
        <v>122</v>
      </c>
      <c r="B3" s="15">
        <v>-0.44272374953799998</v>
      </c>
      <c r="C3" s="15">
        <v>3.0300000000000001E-2</v>
      </c>
      <c r="D3" s="13" t="s">
        <v>450</v>
      </c>
    </row>
    <row r="4" spans="1:4" x14ac:dyDescent="0.45">
      <c r="A4" s="12" t="s">
        <v>174</v>
      </c>
      <c r="B4" s="15">
        <v>-0.471571605041324</v>
      </c>
      <c r="C4" s="15">
        <v>0.02</v>
      </c>
      <c r="D4" s="13" t="s">
        <v>450</v>
      </c>
    </row>
    <row r="5" spans="1:4" x14ac:dyDescent="0.45">
      <c r="A5" s="12" t="s">
        <v>425</v>
      </c>
      <c r="B5" s="15">
        <v>-0.51563021214981797</v>
      </c>
      <c r="C5" s="15">
        <v>9.9000000000000008E-3</v>
      </c>
      <c r="D5" s="13" t="s">
        <v>450</v>
      </c>
    </row>
    <row r="6" spans="1:4" x14ac:dyDescent="0.45">
      <c r="A6" s="12" t="s">
        <v>315</v>
      </c>
      <c r="B6" s="15">
        <v>-0.40854856699881598</v>
      </c>
      <c r="C6" s="15">
        <v>4.7500000000000001E-2</v>
      </c>
      <c r="D6" s="13" t="s">
        <v>450</v>
      </c>
    </row>
    <row r="7" spans="1:4" x14ac:dyDescent="0.45">
      <c r="A7" s="12" t="s">
        <v>338</v>
      </c>
      <c r="B7" s="15">
        <v>-0.41670837698766799</v>
      </c>
      <c r="C7" s="15">
        <v>4.2799999999999998E-2</v>
      </c>
      <c r="D7" s="13" t="s">
        <v>450</v>
      </c>
    </row>
    <row r="8" spans="1:4" x14ac:dyDescent="0.45">
      <c r="A8" s="12" t="s">
        <v>252</v>
      </c>
      <c r="B8" s="15">
        <v>-0.40802373068173098</v>
      </c>
      <c r="C8" s="15">
        <v>4.7800000000000002E-2</v>
      </c>
      <c r="D8" s="13" t="s">
        <v>450</v>
      </c>
    </row>
    <row r="9" spans="1:4" x14ac:dyDescent="0.45">
      <c r="A9" s="12" t="s">
        <v>257</v>
      </c>
      <c r="B9" s="15">
        <v>-0.409654905355814</v>
      </c>
      <c r="C9" s="15">
        <v>4.6800000000000001E-2</v>
      </c>
      <c r="D9" s="13" t="s">
        <v>450</v>
      </c>
    </row>
    <row r="10" spans="1:4" x14ac:dyDescent="0.45">
      <c r="A10" s="12" t="s">
        <v>343</v>
      </c>
      <c r="B10" s="15">
        <v>-0.42254070175794101</v>
      </c>
      <c r="C10" s="15">
        <v>3.9699999999999999E-2</v>
      </c>
      <c r="D10" s="13" t="s">
        <v>450</v>
      </c>
    </row>
    <row r="11" spans="1:4" x14ac:dyDescent="0.45">
      <c r="A11" s="12" t="s">
        <v>259</v>
      </c>
      <c r="B11" s="15">
        <v>-0.48856143776625</v>
      </c>
      <c r="C11" s="15">
        <v>1.54E-2</v>
      </c>
      <c r="D11" s="13" t="s">
        <v>450</v>
      </c>
    </row>
  </sheetData>
  <sortState xmlns:xlrd2="http://schemas.microsoft.com/office/spreadsheetml/2017/richdata2" ref="A2:B11">
    <sortCondition descending="1" ref="B1:B1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D0A3-DD6E-460B-8828-4544CA5CDFA7}">
  <dimension ref="A1:P320"/>
  <sheetViews>
    <sheetView workbookViewId="0">
      <selection activeCell="O3" sqref="O3:O10"/>
    </sheetView>
  </sheetViews>
  <sheetFormatPr defaultRowHeight="14.25" x14ac:dyDescent="0.45"/>
  <sheetData>
    <row r="1" spans="1:16" x14ac:dyDescent="0.45">
      <c r="A1" t="s">
        <v>0</v>
      </c>
      <c r="B1" t="s">
        <v>390</v>
      </c>
      <c r="C1" t="s">
        <v>398</v>
      </c>
      <c r="D1" t="s">
        <v>406</v>
      </c>
      <c r="E1" t="s">
        <v>391</v>
      </c>
      <c r="F1" t="s">
        <v>399</v>
      </c>
      <c r="G1" t="s">
        <v>407</v>
      </c>
      <c r="H1" t="s">
        <v>387</v>
      </c>
      <c r="I1" t="s">
        <v>395</v>
      </c>
      <c r="J1" t="s">
        <v>403</v>
      </c>
      <c r="K1" t="s">
        <v>392</v>
      </c>
      <c r="L1" t="s">
        <v>400</v>
      </c>
      <c r="M1" t="s">
        <v>408</v>
      </c>
      <c r="N1" t="s">
        <v>445</v>
      </c>
      <c r="O1" t="s">
        <v>446</v>
      </c>
      <c r="P1" t="s">
        <v>447</v>
      </c>
    </row>
    <row r="2" spans="1:16" x14ac:dyDescent="0.45">
      <c r="A2" t="s">
        <v>384</v>
      </c>
      <c r="B2" s="9" t="s">
        <v>443</v>
      </c>
      <c r="C2" s="9" t="s">
        <v>443</v>
      </c>
      <c r="D2" s="9" t="s">
        <v>443</v>
      </c>
      <c r="E2" s="9" t="s">
        <v>443</v>
      </c>
      <c r="F2" s="9" t="s">
        <v>443</v>
      </c>
      <c r="G2" s="9" t="s">
        <v>443</v>
      </c>
      <c r="H2" s="9" t="s">
        <v>441</v>
      </c>
      <c r="I2" s="9" t="s">
        <v>441</v>
      </c>
      <c r="J2" s="9" t="s">
        <v>441</v>
      </c>
      <c r="K2" s="9" t="s">
        <v>441</v>
      </c>
      <c r="L2" s="9" t="s">
        <v>441</v>
      </c>
      <c r="M2" s="9" t="s">
        <v>441</v>
      </c>
      <c r="N2" s="9" t="s">
        <v>449</v>
      </c>
    </row>
    <row r="3" spans="1:16" x14ac:dyDescent="0.45">
      <c r="A3" t="s">
        <v>123</v>
      </c>
      <c r="B3">
        <v>4082971.6291372892</v>
      </c>
      <c r="C3">
        <v>4511333.7613614602</v>
      </c>
      <c r="D3">
        <v>3501851.6193595128</v>
      </c>
      <c r="E3">
        <v>10981850.261522541</v>
      </c>
      <c r="F3">
        <v>7154590.7747843126</v>
      </c>
      <c r="G3">
        <v>6257202.6366362786</v>
      </c>
      <c r="H3">
        <v>28670258.94679438</v>
      </c>
      <c r="I3">
        <v>35092686.722909369</v>
      </c>
      <c r="J3">
        <v>57099074.497896545</v>
      </c>
      <c r="K3">
        <v>53305988.069968008</v>
      </c>
      <c r="L3">
        <v>60621980.995545797</v>
      </c>
      <c r="M3">
        <v>48994262.947997935</v>
      </c>
      <c r="N3">
        <f t="shared" ref="N3:N65" si="0">TTEST(B3:G3,H3:M3,2,2)</f>
        <v>1.5402116445161984E-5</v>
      </c>
      <c r="O3">
        <v>1</v>
      </c>
      <c r="P3">
        <f>N3*9/O3</f>
        <v>1.3861904800645784E-4</v>
      </c>
    </row>
    <row r="4" spans="1:16" x14ac:dyDescent="0.45">
      <c r="A4" t="s">
        <v>421</v>
      </c>
      <c r="B4">
        <v>75959.341698675576</v>
      </c>
      <c r="C4">
        <v>165555.02485440989</v>
      </c>
      <c r="D4">
        <v>1176338.9046336417</v>
      </c>
      <c r="E4">
        <v>3959359.4866712894</v>
      </c>
      <c r="F4">
        <v>786768.45580003387</v>
      </c>
      <c r="G4">
        <v>4190917.467215396</v>
      </c>
      <c r="H4">
        <v>2218905.1162067931</v>
      </c>
      <c r="I4">
        <v>7152742.0872221766</v>
      </c>
      <c r="J4">
        <v>10339605.891141383</v>
      </c>
      <c r="K4">
        <v>5123355.1233058479</v>
      </c>
      <c r="L4">
        <v>7253721.2718449403</v>
      </c>
      <c r="M4">
        <v>5070862.4428030932</v>
      </c>
      <c r="N4">
        <f t="shared" si="0"/>
        <v>7.9581912856262448E-3</v>
      </c>
      <c r="O4">
        <v>2</v>
      </c>
      <c r="P4">
        <f t="shared" ref="P4:P10" si="1">N4*9/O4</f>
        <v>3.5811860785318103E-2</v>
      </c>
    </row>
    <row r="5" spans="1:16" x14ac:dyDescent="0.45">
      <c r="A5" t="s">
        <v>423</v>
      </c>
      <c r="B5">
        <v>23059884.546313658</v>
      </c>
      <c r="C5">
        <v>99863916.299286813</v>
      </c>
      <c r="D5">
        <v>14217009.349202342</v>
      </c>
      <c r="E5">
        <v>54080023.078263901</v>
      </c>
      <c r="F5">
        <v>89075085.198533848</v>
      </c>
      <c r="G5">
        <v>70481985.238600835</v>
      </c>
      <c r="H5">
        <v>37525265.395112485</v>
      </c>
      <c r="I5">
        <v>205044002.57702175</v>
      </c>
      <c r="J5">
        <v>94578485.505108908</v>
      </c>
      <c r="K5">
        <v>211110282.11148894</v>
      </c>
      <c r="L5">
        <v>266844365.12914199</v>
      </c>
      <c r="M5">
        <v>236446447.86223122</v>
      </c>
      <c r="N5">
        <f t="shared" si="0"/>
        <v>1.360021945966786E-2</v>
      </c>
      <c r="O5">
        <v>3</v>
      </c>
      <c r="P5">
        <f t="shared" si="1"/>
        <v>4.0800658379003575E-2</v>
      </c>
    </row>
    <row r="6" spans="1:16" x14ac:dyDescent="0.45">
      <c r="A6" t="s">
        <v>260</v>
      </c>
      <c r="B6">
        <v>20686009.156252392</v>
      </c>
      <c r="C6">
        <v>57726862.561674207</v>
      </c>
      <c r="D6">
        <v>31736251.093747355</v>
      </c>
      <c r="E6">
        <v>31965191.936046366</v>
      </c>
      <c r="F6">
        <v>36924162.512786791</v>
      </c>
      <c r="G6">
        <v>34548312.506492488</v>
      </c>
      <c r="H6">
        <v>21878528.97596876</v>
      </c>
      <c r="I6">
        <v>96607879.737546355</v>
      </c>
      <c r="J6">
        <v>141634124.53776622</v>
      </c>
      <c r="K6">
        <v>49247149.953036845</v>
      </c>
      <c r="L6">
        <v>111840072.32791799</v>
      </c>
      <c r="M6">
        <v>74280788.517528743</v>
      </c>
      <c r="N6">
        <f t="shared" si="0"/>
        <v>2.8638714903969017E-2</v>
      </c>
      <c r="O6">
        <v>4</v>
      </c>
      <c r="P6">
        <f t="shared" si="1"/>
        <v>6.4437108533930282E-2</v>
      </c>
    </row>
    <row r="7" spans="1:16" x14ac:dyDescent="0.45">
      <c r="A7" t="s">
        <v>197</v>
      </c>
      <c r="B7">
        <v>86458.975295883865</v>
      </c>
      <c r="C7">
        <v>207267.85229184487</v>
      </c>
      <c r="D7">
        <v>147199.73349020514</v>
      </c>
      <c r="E7">
        <v>229180.48531271942</v>
      </c>
      <c r="F7">
        <v>181450.15471989711</v>
      </c>
      <c r="G7">
        <v>229505.07820368075</v>
      </c>
      <c r="H7">
        <v>152115.45761021465</v>
      </c>
      <c r="I7">
        <v>527395.03764946805</v>
      </c>
      <c r="J7">
        <v>401203.35715328751</v>
      </c>
      <c r="K7">
        <v>325770.78361775127</v>
      </c>
      <c r="L7">
        <v>421362.72984052403</v>
      </c>
      <c r="M7">
        <v>196540.04231967061</v>
      </c>
      <c r="N7">
        <f t="shared" si="0"/>
        <v>3.0496465862245574E-2</v>
      </c>
      <c r="O7">
        <v>5</v>
      </c>
      <c r="P7">
        <f t="shared" si="1"/>
        <v>5.4893638552042032E-2</v>
      </c>
    </row>
    <row r="8" spans="1:16" x14ac:dyDescent="0.45">
      <c r="A8" t="s">
        <v>69</v>
      </c>
      <c r="B8">
        <v>8440760.3866513968</v>
      </c>
      <c r="C8">
        <v>19353912.666892145</v>
      </c>
      <c r="D8">
        <v>11054868.962030085</v>
      </c>
      <c r="E8">
        <v>14337790.664020583</v>
      </c>
      <c r="F8">
        <v>14317567.580901435</v>
      </c>
      <c r="G8">
        <v>13004490.829590362</v>
      </c>
      <c r="H8">
        <v>7117942.6269382788</v>
      </c>
      <c r="I8">
        <v>6243928.6700980635</v>
      </c>
      <c r="J8">
        <v>13193896.761017727</v>
      </c>
      <c r="K8">
        <v>13386569.284377532</v>
      </c>
      <c r="L8">
        <v>1587028.3730822799</v>
      </c>
      <c r="M8">
        <v>105992.81104006</v>
      </c>
      <c r="N8">
        <f t="shared" si="0"/>
        <v>3.9191967897381406E-2</v>
      </c>
      <c r="O8">
        <v>6</v>
      </c>
      <c r="P8">
        <f t="shared" si="1"/>
        <v>5.8787951846072106E-2</v>
      </c>
    </row>
    <row r="9" spans="1:16" x14ac:dyDescent="0.45">
      <c r="A9" t="s">
        <v>233</v>
      </c>
      <c r="B9">
        <v>24520391.37720412</v>
      </c>
      <c r="C9">
        <v>5725523.9326264514</v>
      </c>
      <c r="D9">
        <v>7410693.706193924</v>
      </c>
      <c r="E9">
        <v>27803806.695906375</v>
      </c>
      <c r="F9">
        <v>10267085.475278774</v>
      </c>
      <c r="G9">
        <v>24456008.940563604</v>
      </c>
      <c r="H9">
        <v>28150448.396386147</v>
      </c>
      <c r="I9">
        <v>30930528.610838596</v>
      </c>
      <c r="J9">
        <v>66143435.159854203</v>
      </c>
      <c r="K9">
        <v>21020036.122736119</v>
      </c>
      <c r="L9">
        <v>120006070.690393</v>
      </c>
      <c r="M9">
        <v>52775759.998264998</v>
      </c>
      <c r="N9">
        <f t="shared" si="0"/>
        <v>4.1268491034436257E-2</v>
      </c>
      <c r="O9">
        <v>7</v>
      </c>
      <c r="P9">
        <f t="shared" si="1"/>
        <v>5.3059488472846618E-2</v>
      </c>
    </row>
    <row r="10" spans="1:16" x14ac:dyDescent="0.45">
      <c r="A10" t="s">
        <v>160</v>
      </c>
      <c r="B10">
        <v>15110190.352451768</v>
      </c>
      <c r="C10">
        <v>12811805.35063578</v>
      </c>
      <c r="D10">
        <v>8136755.2849347787</v>
      </c>
      <c r="E10">
        <v>4216070.3434546404</v>
      </c>
      <c r="F10">
        <v>6501007.2614708329</v>
      </c>
      <c r="G10">
        <v>7951508.2092228606</v>
      </c>
      <c r="H10">
        <v>1543510.0779299398</v>
      </c>
      <c r="I10">
        <v>249210293.05430958</v>
      </c>
      <c r="J10">
        <v>9245709.8183290642</v>
      </c>
      <c r="K10">
        <v>318055768.15284497</v>
      </c>
      <c r="L10">
        <v>30658888.747025698</v>
      </c>
      <c r="M10">
        <v>331886114.47577876</v>
      </c>
      <c r="N10">
        <f t="shared" si="0"/>
        <v>4.6680512910807E-2</v>
      </c>
      <c r="O10">
        <v>8</v>
      </c>
      <c r="P10">
        <f t="shared" si="1"/>
        <v>5.2515577024657874E-2</v>
      </c>
    </row>
    <row r="11" spans="1:16" x14ac:dyDescent="0.45">
      <c r="A11" t="s">
        <v>328</v>
      </c>
      <c r="B11">
        <v>721849189.51580429</v>
      </c>
      <c r="C11">
        <v>2632753288.215673</v>
      </c>
      <c r="D11">
        <v>1479430588.6595676</v>
      </c>
      <c r="E11">
        <v>2345108392.7910051</v>
      </c>
      <c r="F11">
        <v>3401585576.6771011</v>
      </c>
      <c r="G11">
        <v>2273564773.1616426</v>
      </c>
      <c r="H11">
        <v>1870377535.7475731</v>
      </c>
      <c r="I11">
        <v>6981470987.1665649</v>
      </c>
      <c r="J11">
        <v>5651136460.257452</v>
      </c>
      <c r="K11">
        <v>2672884141.4688854</v>
      </c>
      <c r="L11">
        <v>6786110909.7029896</v>
      </c>
      <c r="M11">
        <v>2201389390.4912624</v>
      </c>
      <c r="N11">
        <f t="shared" si="0"/>
        <v>5.881226746509978E-2</v>
      </c>
    </row>
    <row r="12" spans="1:16" x14ac:dyDescent="0.45">
      <c r="A12" t="s">
        <v>246</v>
      </c>
      <c r="B12">
        <v>5258596.6057606172</v>
      </c>
      <c r="C12">
        <v>15267737.468887107</v>
      </c>
      <c r="D12">
        <v>10855758.211029088</v>
      </c>
      <c r="E12">
        <v>3202495.4039153848</v>
      </c>
      <c r="F12">
        <v>5259740.472840962</v>
      </c>
      <c r="G12">
        <v>5623995.7309192549</v>
      </c>
      <c r="H12">
        <v>15900716.767109092</v>
      </c>
      <c r="I12">
        <v>63774267.933120303</v>
      </c>
      <c r="J12">
        <v>36728457.016829096</v>
      </c>
      <c r="K12">
        <v>14581901.743401365</v>
      </c>
      <c r="L12">
        <v>105725893.644774</v>
      </c>
      <c r="M12">
        <v>7616756.4104606239</v>
      </c>
      <c r="N12">
        <f t="shared" si="0"/>
        <v>5.9140748747694545E-2</v>
      </c>
    </row>
    <row r="13" spans="1:16" x14ac:dyDescent="0.45">
      <c r="A13" t="s">
        <v>169</v>
      </c>
      <c r="B13">
        <v>3274400.2277475717</v>
      </c>
      <c r="C13">
        <v>5835715.7050315179</v>
      </c>
      <c r="D13">
        <v>3733642.8169198642</v>
      </c>
      <c r="E13">
        <v>3322867.4120690147</v>
      </c>
      <c r="F13">
        <v>10175597.641940178</v>
      </c>
      <c r="G13">
        <v>7561149.7884236481</v>
      </c>
      <c r="H13">
        <v>1050482.2222589483</v>
      </c>
      <c r="I13">
        <v>26630913.80615418</v>
      </c>
      <c r="J13">
        <v>13542903.856001103</v>
      </c>
      <c r="K13">
        <v>6997203.6027862513</v>
      </c>
      <c r="L13">
        <v>40360083.3968537</v>
      </c>
      <c r="M13">
        <v>19039882.920627873</v>
      </c>
      <c r="N13">
        <f t="shared" si="0"/>
        <v>6.3758310540606392E-2</v>
      </c>
    </row>
    <row r="14" spans="1:16" x14ac:dyDescent="0.45">
      <c r="A14" t="s">
        <v>194</v>
      </c>
      <c r="B14">
        <v>294181.75439624448</v>
      </c>
      <c r="C14">
        <v>1056234.0165405939</v>
      </c>
      <c r="D14">
        <v>328881.30598242552</v>
      </c>
      <c r="E14">
        <v>484144.31074650044</v>
      </c>
      <c r="F14">
        <v>535494.70043409592</v>
      </c>
      <c r="G14">
        <v>248006.90439140063</v>
      </c>
      <c r="H14">
        <v>3223125.3842671397</v>
      </c>
      <c r="I14">
        <v>1182305.3880137922</v>
      </c>
      <c r="J14">
        <v>2017201.5103724229</v>
      </c>
      <c r="K14">
        <v>694864.45210735791</v>
      </c>
      <c r="L14">
        <v>401633.06983710802</v>
      </c>
      <c r="M14">
        <v>942962.25088233128</v>
      </c>
      <c r="N14">
        <f t="shared" si="0"/>
        <v>6.498457329321862E-2</v>
      </c>
    </row>
    <row r="15" spans="1:16" x14ac:dyDescent="0.45">
      <c r="A15" t="s">
        <v>351</v>
      </c>
      <c r="B15">
        <v>38049351.400352105</v>
      </c>
      <c r="C15">
        <v>127308331.42450842</v>
      </c>
      <c r="D15">
        <v>73370264.251425847</v>
      </c>
      <c r="E15">
        <v>34677046.042727411</v>
      </c>
      <c r="F15">
        <v>36188124.200266235</v>
      </c>
      <c r="G15">
        <v>18767410.889656916</v>
      </c>
      <c r="H15">
        <v>79978733.078448534</v>
      </c>
      <c r="I15">
        <v>244404889.82944012</v>
      </c>
      <c r="J15">
        <v>176025450.25268856</v>
      </c>
      <c r="K15">
        <v>140336551.31523669</v>
      </c>
      <c r="L15">
        <v>134843191.35451099</v>
      </c>
      <c r="M15">
        <v>9046529.6956886239</v>
      </c>
      <c r="N15">
        <f t="shared" si="0"/>
        <v>6.5030617403873281E-2</v>
      </c>
    </row>
    <row r="16" spans="1:16" x14ac:dyDescent="0.45">
      <c r="A16" t="s">
        <v>102</v>
      </c>
      <c r="B16">
        <v>8825511.492843654</v>
      </c>
      <c r="C16">
        <v>15567869.902700756</v>
      </c>
      <c r="D16">
        <v>12053983.38479252</v>
      </c>
      <c r="E16">
        <v>502589719.90856218</v>
      </c>
      <c r="F16">
        <v>792219755.09107077</v>
      </c>
      <c r="G16">
        <v>634918948.97566271</v>
      </c>
      <c r="H16">
        <v>7569198.0171075733</v>
      </c>
      <c r="I16">
        <v>23783877.63935665</v>
      </c>
      <c r="J16">
        <v>14543315.713051144</v>
      </c>
      <c r="K16">
        <v>40059867.695208587</v>
      </c>
      <c r="L16">
        <v>45921208.739255801</v>
      </c>
      <c r="M16">
        <v>19898639.719552938</v>
      </c>
      <c r="N16">
        <f t="shared" si="0"/>
        <v>6.5345926430778981E-2</v>
      </c>
    </row>
    <row r="17" spans="1:14" x14ac:dyDescent="0.45">
      <c r="A17" t="s">
        <v>98</v>
      </c>
      <c r="B17">
        <v>694520.85876844404</v>
      </c>
      <c r="C17">
        <v>914157.89373844629</v>
      </c>
      <c r="D17">
        <v>814151.52244294505</v>
      </c>
      <c r="E17">
        <v>505899.35632959782</v>
      </c>
      <c r="F17">
        <v>794057.72959407466</v>
      </c>
      <c r="G17">
        <v>1066124.00421566</v>
      </c>
      <c r="H17">
        <v>1002462.3031486846</v>
      </c>
      <c r="I17">
        <v>929047.44224022073</v>
      </c>
      <c r="J17">
        <v>1097332.4797539907</v>
      </c>
      <c r="K17">
        <v>1506497.1148999836</v>
      </c>
      <c r="L17">
        <v>1246008.7150673999</v>
      </c>
      <c r="M17">
        <v>692168.12363774364</v>
      </c>
      <c r="N17">
        <f t="shared" si="0"/>
        <v>6.9138936605471185E-2</v>
      </c>
    </row>
    <row r="18" spans="1:14" x14ac:dyDescent="0.45">
      <c r="A18" t="s">
        <v>81</v>
      </c>
      <c r="B18">
        <v>12819856.903073728</v>
      </c>
      <c r="C18">
        <v>5761340.7258613324</v>
      </c>
      <c r="D18">
        <v>5666973.906570876</v>
      </c>
      <c r="E18">
        <v>3643689.6030336339</v>
      </c>
      <c r="F18">
        <v>17649135.288891394</v>
      </c>
      <c r="G18">
        <v>23771576.821145155</v>
      </c>
      <c r="H18">
        <v>9568254.7870159205</v>
      </c>
      <c r="I18">
        <v>24124201.218833212</v>
      </c>
      <c r="J18">
        <v>16623281.584967434</v>
      </c>
      <c r="K18">
        <v>24105340.802132819</v>
      </c>
      <c r="L18">
        <v>26475649.038741</v>
      </c>
      <c r="M18">
        <v>19037346.259010434</v>
      </c>
      <c r="N18">
        <f t="shared" si="0"/>
        <v>6.9246011939140026E-2</v>
      </c>
    </row>
    <row r="19" spans="1:14" x14ac:dyDescent="0.45">
      <c r="A19" t="s">
        <v>68</v>
      </c>
      <c r="B19">
        <v>39277706.622125156</v>
      </c>
      <c r="C19">
        <v>280135802.21648854</v>
      </c>
      <c r="D19">
        <v>164539205.57608235</v>
      </c>
      <c r="E19">
        <v>181305217.96919909</v>
      </c>
      <c r="F19">
        <v>212948614.67364341</v>
      </c>
      <c r="G19">
        <v>183638732.47200897</v>
      </c>
      <c r="H19">
        <v>109993706.16137598</v>
      </c>
      <c r="I19">
        <v>113618654.68872328</v>
      </c>
      <c r="J19">
        <v>201405922.77904335</v>
      </c>
      <c r="K19">
        <v>23823126.516301554</v>
      </c>
      <c r="L19">
        <v>86134410.529138893</v>
      </c>
      <c r="M19">
        <v>21463984.183705002</v>
      </c>
      <c r="N19">
        <f t="shared" si="0"/>
        <v>7.4110621036752838E-2</v>
      </c>
    </row>
    <row r="20" spans="1:14" x14ac:dyDescent="0.45">
      <c r="A20" t="s">
        <v>290</v>
      </c>
      <c r="B20">
        <v>3966288.0054121097</v>
      </c>
      <c r="C20">
        <v>8420354.7180292532</v>
      </c>
      <c r="D20">
        <v>13123271.546180934</v>
      </c>
      <c r="E20">
        <v>19633434.72705194</v>
      </c>
      <c r="F20">
        <v>21879634.605175029</v>
      </c>
      <c r="G20">
        <v>14188483.645885436</v>
      </c>
      <c r="H20">
        <v>12796540.715482932</v>
      </c>
      <c r="I20">
        <v>21473393.553661097</v>
      </c>
      <c r="J20">
        <v>41312632.937683925</v>
      </c>
      <c r="K20">
        <v>20966019.553517066</v>
      </c>
      <c r="L20">
        <v>43238116.217008799</v>
      </c>
      <c r="M20">
        <v>13984216.2860405</v>
      </c>
      <c r="N20">
        <f t="shared" si="0"/>
        <v>7.6024888728710036E-2</v>
      </c>
    </row>
    <row r="21" spans="1:14" x14ac:dyDescent="0.45">
      <c r="A21" t="s">
        <v>422</v>
      </c>
      <c r="B21">
        <v>5599222.9671897152</v>
      </c>
      <c r="C21">
        <v>7069224.1920944937</v>
      </c>
      <c r="D21">
        <v>6956891.2940897718</v>
      </c>
      <c r="E21">
        <v>2799132.5319469245</v>
      </c>
      <c r="F21">
        <v>5400871.3861943781</v>
      </c>
      <c r="G21">
        <v>7435023.3070750646</v>
      </c>
      <c r="H21">
        <v>7628521.4708677782</v>
      </c>
      <c r="I21">
        <v>10360754.031428244</v>
      </c>
      <c r="J21">
        <v>6898014.6900130417</v>
      </c>
      <c r="K21">
        <v>4905168.7710265592</v>
      </c>
      <c r="L21">
        <v>11202523.3611132</v>
      </c>
      <c r="M21">
        <v>8167278.6350869369</v>
      </c>
      <c r="N21">
        <f t="shared" si="0"/>
        <v>7.6706211791868414E-2</v>
      </c>
    </row>
    <row r="22" spans="1:14" x14ac:dyDescent="0.45">
      <c r="A22" t="s">
        <v>350</v>
      </c>
      <c r="B22">
        <v>8980356.3132415451</v>
      </c>
      <c r="C22">
        <v>1243240.9154549574</v>
      </c>
      <c r="D22">
        <v>6566568.8252539886</v>
      </c>
      <c r="E22">
        <v>13237695.252677368</v>
      </c>
      <c r="F22">
        <v>20891402.612496302</v>
      </c>
      <c r="G22">
        <v>16527277.344677618</v>
      </c>
      <c r="H22">
        <v>129574783.34429172</v>
      </c>
      <c r="I22">
        <v>177123110.19684988</v>
      </c>
      <c r="J22">
        <v>281164860.27342552</v>
      </c>
      <c r="K22">
        <v>9029184.3982658479</v>
      </c>
      <c r="L22">
        <v>10520350.710827099</v>
      </c>
      <c r="M22">
        <v>6160363.7531148316</v>
      </c>
      <c r="N22">
        <f t="shared" si="0"/>
        <v>7.8938247760720781E-2</v>
      </c>
    </row>
    <row r="23" spans="1:14" x14ac:dyDescent="0.45">
      <c r="A23" t="s">
        <v>89</v>
      </c>
      <c r="B23">
        <v>2337672.940603517</v>
      </c>
      <c r="C23">
        <v>6757679.6357752075</v>
      </c>
      <c r="D23">
        <v>3299206.5575121306</v>
      </c>
      <c r="E23">
        <v>3788068.6991585731</v>
      </c>
      <c r="F23">
        <v>3530481.5484163505</v>
      </c>
      <c r="G23">
        <v>6461979.6967969434</v>
      </c>
      <c r="H23">
        <v>1617269.9099811553</v>
      </c>
      <c r="I23">
        <v>1025901.0895899767</v>
      </c>
      <c r="J23">
        <v>3430008.8517234414</v>
      </c>
      <c r="K23">
        <v>2966302.608829427</v>
      </c>
      <c r="L23">
        <v>2754468.2559858798</v>
      </c>
      <c r="M23">
        <v>4240674.3381278059</v>
      </c>
      <c r="N23">
        <f t="shared" si="0"/>
        <v>8.4398975250920868E-2</v>
      </c>
    </row>
    <row r="24" spans="1:14" x14ac:dyDescent="0.45">
      <c r="A24" t="s">
        <v>337</v>
      </c>
      <c r="B24">
        <v>94557426.570735127</v>
      </c>
      <c r="C24">
        <v>264198004.99335206</v>
      </c>
      <c r="D24">
        <v>159277921.35167849</v>
      </c>
      <c r="E24">
        <v>122446635.04418257</v>
      </c>
      <c r="F24">
        <v>412930946.58852446</v>
      </c>
      <c r="G24">
        <v>229346928.02968657</v>
      </c>
      <c r="H24">
        <v>329919700.19912082</v>
      </c>
      <c r="I24">
        <v>330350499.27209139</v>
      </c>
      <c r="J24">
        <v>455169093.3420983</v>
      </c>
      <c r="K24">
        <v>264767673.87386882</v>
      </c>
      <c r="L24">
        <v>628178448.91517401</v>
      </c>
      <c r="M24">
        <v>184197550.96078998</v>
      </c>
      <c r="N24">
        <f t="shared" si="0"/>
        <v>8.6228879387600654E-2</v>
      </c>
    </row>
    <row r="25" spans="1:14" x14ac:dyDescent="0.45">
      <c r="A25" t="s">
        <v>128</v>
      </c>
      <c r="B25">
        <v>7832654.6298461137</v>
      </c>
      <c r="C25">
        <v>30017219.550858788</v>
      </c>
      <c r="D25">
        <v>20053303.643360753</v>
      </c>
      <c r="E25">
        <v>27649386.276695196</v>
      </c>
      <c r="F25">
        <v>22931769.072404053</v>
      </c>
      <c r="G25">
        <v>31891597.712230407</v>
      </c>
      <c r="H25">
        <v>11187072.677599302</v>
      </c>
      <c r="I25">
        <v>78038575.03563638</v>
      </c>
      <c r="J25">
        <v>50126351.156143256</v>
      </c>
      <c r="K25">
        <v>28897045.826622132</v>
      </c>
      <c r="L25">
        <v>73171337.706157804</v>
      </c>
      <c r="M25">
        <v>28596089.881625064</v>
      </c>
      <c r="N25">
        <f t="shared" si="0"/>
        <v>8.9811305921263837E-2</v>
      </c>
    </row>
    <row r="26" spans="1:14" x14ac:dyDescent="0.45">
      <c r="A26" t="s">
        <v>198</v>
      </c>
      <c r="B26">
        <v>5310317.418381677</v>
      </c>
      <c r="C26">
        <v>19606802.089502551</v>
      </c>
      <c r="D26">
        <v>27227393.342083495</v>
      </c>
      <c r="E26">
        <v>35821863.284472115</v>
      </c>
      <c r="F26">
        <v>61880454.472952984</v>
      </c>
      <c r="G26">
        <v>25741396.788064025</v>
      </c>
      <c r="H26">
        <v>36660481.870019779</v>
      </c>
      <c r="I26">
        <v>166590658.72156057</v>
      </c>
      <c r="J26">
        <v>155141522.75163257</v>
      </c>
      <c r="K26">
        <v>19756238.1198209</v>
      </c>
      <c r="L26">
        <v>76210025.090474501</v>
      </c>
      <c r="M26">
        <v>30857377.860154752</v>
      </c>
      <c r="N26">
        <f t="shared" si="0"/>
        <v>9.1135017287728048E-2</v>
      </c>
    </row>
    <row r="27" spans="1:14" x14ac:dyDescent="0.45">
      <c r="A27" t="s">
        <v>438</v>
      </c>
      <c r="B27">
        <v>706230238.34256804</v>
      </c>
      <c r="C27">
        <v>386620534.7251603</v>
      </c>
      <c r="D27">
        <v>1633547956.5761282</v>
      </c>
      <c r="E27">
        <v>199317984.53935099</v>
      </c>
      <c r="F27">
        <v>153358366.50248703</v>
      </c>
      <c r="G27">
        <v>171657592.94215778</v>
      </c>
      <c r="H27">
        <v>871246376.54883242</v>
      </c>
      <c r="I27">
        <v>4729060124.982996</v>
      </c>
      <c r="J27">
        <v>2732995938.0261793</v>
      </c>
      <c r="K27">
        <v>191607858.9227843</v>
      </c>
      <c r="L27">
        <v>3658772937.8090601</v>
      </c>
      <c r="M27">
        <v>224081101.16181186</v>
      </c>
      <c r="N27">
        <f t="shared" si="0"/>
        <v>9.151919268331879E-2</v>
      </c>
    </row>
    <row r="28" spans="1:14" x14ac:dyDescent="0.45">
      <c r="A28" t="s">
        <v>221</v>
      </c>
      <c r="B28">
        <v>50043205.094946787</v>
      </c>
      <c r="C28">
        <v>182620562.87186974</v>
      </c>
      <c r="D28">
        <v>126129107.86558852</v>
      </c>
      <c r="E28">
        <v>170737827.54665574</v>
      </c>
      <c r="F28">
        <v>140235609.36556792</v>
      </c>
      <c r="G28">
        <v>194723002.0355362</v>
      </c>
      <c r="H28">
        <v>70887436.093344823</v>
      </c>
      <c r="I28">
        <v>460249348.77680653</v>
      </c>
      <c r="J28">
        <v>317323843.0467456</v>
      </c>
      <c r="K28">
        <v>172975402.95713091</v>
      </c>
      <c r="L28">
        <v>448766148.65517998</v>
      </c>
      <c r="M28">
        <v>168864501.17367497</v>
      </c>
      <c r="N28">
        <f t="shared" si="0"/>
        <v>9.157815187102171E-2</v>
      </c>
    </row>
    <row r="29" spans="1:14" x14ac:dyDescent="0.45">
      <c r="A29" t="s">
        <v>63</v>
      </c>
      <c r="B29">
        <v>2742234.9683422744</v>
      </c>
      <c r="C29">
        <v>156024.73750123536</v>
      </c>
      <c r="D29">
        <v>4252079.0956822895</v>
      </c>
      <c r="E29">
        <v>112498.71028255321</v>
      </c>
      <c r="F29">
        <v>209348.17890762814</v>
      </c>
      <c r="G29">
        <v>188816.20181590185</v>
      </c>
      <c r="H29">
        <v>1392455.7188574269</v>
      </c>
      <c r="I29">
        <v>4029323.9076274661</v>
      </c>
      <c r="J29">
        <v>2236661.5321841971</v>
      </c>
      <c r="K29">
        <v>2816198.2992570796</v>
      </c>
      <c r="L29">
        <v>8795489.4618717507</v>
      </c>
      <c r="M29">
        <v>2931667.7918982436</v>
      </c>
      <c r="N29">
        <f t="shared" si="0"/>
        <v>9.2279941524564438E-2</v>
      </c>
    </row>
    <row r="30" spans="1:14" x14ac:dyDescent="0.45">
      <c r="A30" t="s">
        <v>37</v>
      </c>
      <c r="B30">
        <v>11043219.914306609</v>
      </c>
      <c r="C30">
        <v>10131328.767764449</v>
      </c>
      <c r="D30">
        <v>10994957.864426067</v>
      </c>
      <c r="E30">
        <v>18137200.603741694</v>
      </c>
      <c r="F30">
        <v>14466045.215328725</v>
      </c>
      <c r="G30">
        <v>15641536.522783758</v>
      </c>
      <c r="H30">
        <v>8144614.9590221848</v>
      </c>
      <c r="I30">
        <v>21426259.55351508</v>
      </c>
      <c r="J30">
        <v>21966252.185345292</v>
      </c>
      <c r="K30">
        <v>17332636.282323483</v>
      </c>
      <c r="L30">
        <v>27120257.404696502</v>
      </c>
      <c r="M30">
        <v>16760758.044635873</v>
      </c>
      <c r="N30">
        <f t="shared" si="0"/>
        <v>9.5176625295302617E-2</v>
      </c>
    </row>
    <row r="31" spans="1:14" x14ac:dyDescent="0.45">
      <c r="A31" t="s">
        <v>376</v>
      </c>
      <c r="B31">
        <v>194216254.82792336</v>
      </c>
      <c r="C31">
        <v>1591818158.7594061</v>
      </c>
      <c r="D31">
        <v>401723908.95567179</v>
      </c>
      <c r="E31">
        <v>604906898.74825585</v>
      </c>
      <c r="F31">
        <v>524609692.3928048</v>
      </c>
      <c r="G31">
        <v>471666575.32493591</v>
      </c>
      <c r="H31">
        <v>291939368.42860073</v>
      </c>
      <c r="I31">
        <v>2678475553.4392185</v>
      </c>
      <c r="J31">
        <v>2008960469.2231913</v>
      </c>
      <c r="K31">
        <v>901831660.66111374</v>
      </c>
      <c r="L31">
        <v>3610153993.7079501</v>
      </c>
      <c r="M31">
        <v>535520301.91046685</v>
      </c>
      <c r="N31">
        <f t="shared" si="0"/>
        <v>0.10007685183007169</v>
      </c>
    </row>
    <row r="32" spans="1:14" x14ac:dyDescent="0.45">
      <c r="A32" t="s">
        <v>380</v>
      </c>
      <c r="B32">
        <v>84949628.397257596</v>
      </c>
      <c r="C32">
        <v>392190351.1331417</v>
      </c>
      <c r="D32">
        <v>235761124.4529478</v>
      </c>
      <c r="E32">
        <v>298664680.01492101</v>
      </c>
      <c r="F32">
        <v>266478346.03398991</v>
      </c>
      <c r="G32">
        <v>339344932.56300259</v>
      </c>
      <c r="H32">
        <v>129642444.76835448</v>
      </c>
      <c r="I32">
        <v>891089906.85934174</v>
      </c>
      <c r="J32">
        <v>635178366.20383239</v>
      </c>
      <c r="K32">
        <v>322945455.8508898</v>
      </c>
      <c r="L32">
        <v>789145613.24369597</v>
      </c>
      <c r="M32">
        <v>286578031.13715065</v>
      </c>
      <c r="N32">
        <f t="shared" si="0"/>
        <v>0.10011532334691456</v>
      </c>
    </row>
    <row r="33" spans="1:14" x14ac:dyDescent="0.45">
      <c r="A33" t="s">
        <v>367</v>
      </c>
      <c r="B33">
        <v>40293288.414032646</v>
      </c>
      <c r="C33">
        <v>159940116.18939695</v>
      </c>
      <c r="D33">
        <v>40942143.389801458</v>
      </c>
      <c r="E33">
        <v>110670100.8142297</v>
      </c>
      <c r="F33">
        <v>114083071.04465787</v>
      </c>
      <c r="G33">
        <v>115316099.58386257</v>
      </c>
      <c r="H33">
        <v>41504803.152767777</v>
      </c>
      <c r="I33">
        <v>389614427.69637287</v>
      </c>
      <c r="J33">
        <v>226336985.72286451</v>
      </c>
      <c r="K33">
        <v>153324068.54777944</v>
      </c>
      <c r="L33">
        <v>526470399.90677297</v>
      </c>
      <c r="M33">
        <v>94092454.379038751</v>
      </c>
      <c r="N33">
        <f t="shared" si="0"/>
        <v>0.10051248296835198</v>
      </c>
    </row>
    <row r="34" spans="1:14" x14ac:dyDescent="0.45">
      <c r="A34" t="s">
        <v>86</v>
      </c>
      <c r="B34">
        <v>12202218.007070296</v>
      </c>
      <c r="C34">
        <v>39862829.488750644</v>
      </c>
      <c r="D34">
        <v>29304376.28336376</v>
      </c>
      <c r="E34">
        <v>41631401.298573956</v>
      </c>
      <c r="F34">
        <v>32130827.121543415</v>
      </c>
      <c r="G34">
        <v>45860160.327013604</v>
      </c>
      <c r="H34">
        <v>16430354.57018397</v>
      </c>
      <c r="I34">
        <v>95303038.428505644</v>
      </c>
      <c r="J34">
        <v>72071724.247228399</v>
      </c>
      <c r="K34">
        <v>37547565.982336067</v>
      </c>
      <c r="L34">
        <v>100400968.714499</v>
      </c>
      <c r="M34">
        <v>39190925.570837624</v>
      </c>
      <c r="N34">
        <f t="shared" si="0"/>
        <v>0.10231460056326065</v>
      </c>
    </row>
    <row r="35" spans="1:14" x14ac:dyDescent="0.45">
      <c r="A35" t="s">
        <v>60</v>
      </c>
      <c r="B35">
        <v>269982.15311894205</v>
      </c>
      <c r="C35">
        <v>1595321.9527867574</v>
      </c>
      <c r="D35">
        <v>719739.43275929277</v>
      </c>
      <c r="E35">
        <v>1335061.0821775191</v>
      </c>
      <c r="F35">
        <v>2852293.1582323415</v>
      </c>
      <c r="G35">
        <v>2855849.1930048754</v>
      </c>
      <c r="H35">
        <v>9575472.6344583184</v>
      </c>
      <c r="I35">
        <v>52247482.551355347</v>
      </c>
      <c r="J35">
        <v>3894714.7377041583</v>
      </c>
      <c r="K35">
        <v>944843.41251973237</v>
      </c>
      <c r="L35">
        <v>60786966.549309798</v>
      </c>
      <c r="M35">
        <v>1509394.3134562313</v>
      </c>
      <c r="N35">
        <f t="shared" si="0"/>
        <v>0.10638884124225428</v>
      </c>
    </row>
    <row r="36" spans="1:14" x14ac:dyDescent="0.45">
      <c r="A36" t="s">
        <v>327</v>
      </c>
      <c r="B36">
        <v>44771020.294697046</v>
      </c>
      <c r="C36">
        <v>2735715.3297238983</v>
      </c>
      <c r="D36">
        <v>28599874.064069107</v>
      </c>
      <c r="E36">
        <v>6236940.8177319001</v>
      </c>
      <c r="F36">
        <v>35607583.067726977</v>
      </c>
      <c r="G36">
        <v>50295021.725665309</v>
      </c>
      <c r="H36">
        <v>22492179.331109989</v>
      </c>
      <c r="I36">
        <v>240976.06361372559</v>
      </c>
      <c r="J36">
        <v>8645395.6858899519</v>
      </c>
      <c r="K36">
        <v>24963972.362166036</v>
      </c>
      <c r="L36">
        <v>1177384.128217</v>
      </c>
      <c r="M36">
        <v>14591290.573164625</v>
      </c>
      <c r="N36">
        <f t="shared" si="0"/>
        <v>0.10975741964382901</v>
      </c>
    </row>
    <row r="37" spans="1:14" x14ac:dyDescent="0.45">
      <c r="A37" t="s">
        <v>101</v>
      </c>
      <c r="B37">
        <v>128767184.65197062</v>
      </c>
      <c r="C37">
        <v>218644153.21728683</v>
      </c>
      <c r="D37">
        <v>49704750.730125003</v>
      </c>
      <c r="E37">
        <v>58376240.274289392</v>
      </c>
      <c r="F37">
        <v>656791855.57571137</v>
      </c>
      <c r="G37">
        <v>16039387.27849824</v>
      </c>
      <c r="H37">
        <v>4160327.7936718063</v>
      </c>
      <c r="I37">
        <v>29259197.454630792</v>
      </c>
      <c r="J37">
        <v>8086210.0716504958</v>
      </c>
      <c r="K37">
        <v>10996802.457376158</v>
      </c>
      <c r="L37">
        <v>36100967.771447703</v>
      </c>
      <c r="M37">
        <v>8608323.2901544366</v>
      </c>
      <c r="N37">
        <f t="shared" si="0"/>
        <v>0.11136835876963007</v>
      </c>
    </row>
    <row r="38" spans="1:14" x14ac:dyDescent="0.45">
      <c r="A38" t="s">
        <v>159</v>
      </c>
      <c r="B38">
        <v>28333291.38810743</v>
      </c>
      <c r="C38">
        <v>25504258.774315316</v>
      </c>
      <c r="D38">
        <v>30750362.47995998</v>
      </c>
      <c r="E38">
        <v>8378544.1133527709</v>
      </c>
      <c r="F38">
        <v>13395691.019412162</v>
      </c>
      <c r="G38">
        <v>18085297.916883297</v>
      </c>
      <c r="H38">
        <v>31360766.844630741</v>
      </c>
      <c r="I38">
        <v>623728207.69740009</v>
      </c>
      <c r="J38">
        <v>43939272.473435052</v>
      </c>
      <c r="K38">
        <v>41692022.499566905</v>
      </c>
      <c r="L38">
        <v>566567445.57707405</v>
      </c>
      <c r="M38">
        <v>41322410.025420062</v>
      </c>
      <c r="N38">
        <f t="shared" si="0"/>
        <v>0.11294017181713825</v>
      </c>
    </row>
    <row r="39" spans="1:14" x14ac:dyDescent="0.45">
      <c r="A39" t="s">
        <v>339</v>
      </c>
      <c r="B39">
        <v>92190237.751834497</v>
      </c>
      <c r="C39">
        <v>18716158.982639913</v>
      </c>
      <c r="D39">
        <v>115567592.80082743</v>
      </c>
      <c r="E39">
        <v>6454742.2581797456</v>
      </c>
      <c r="F39">
        <v>60291954.048249364</v>
      </c>
      <c r="G39">
        <v>173344329.31665304</v>
      </c>
      <c r="H39">
        <v>47390165.52158127</v>
      </c>
      <c r="I39">
        <v>31223958.059332639</v>
      </c>
      <c r="J39">
        <v>13571987.190731915</v>
      </c>
      <c r="K39">
        <v>31236441.205468647</v>
      </c>
      <c r="L39">
        <v>33866295.7072699</v>
      </c>
      <c r="M39">
        <v>38816697.75309293</v>
      </c>
      <c r="N39">
        <f t="shared" si="0"/>
        <v>0.1135890854325176</v>
      </c>
    </row>
    <row r="40" spans="1:14" x14ac:dyDescent="0.45">
      <c r="A40" t="s">
        <v>131</v>
      </c>
      <c r="B40">
        <v>135049838.44092837</v>
      </c>
      <c r="C40">
        <v>232157453.30373791</v>
      </c>
      <c r="D40">
        <v>279443272.36373383</v>
      </c>
      <c r="E40">
        <v>346996596.7472744</v>
      </c>
      <c r="F40">
        <v>393116515.17895132</v>
      </c>
      <c r="G40">
        <v>358475257.89661509</v>
      </c>
      <c r="H40">
        <v>244750861.80069026</v>
      </c>
      <c r="I40">
        <v>898483688.61421359</v>
      </c>
      <c r="J40">
        <v>377127328.34549481</v>
      </c>
      <c r="K40">
        <v>448520841.74531502</v>
      </c>
      <c r="L40">
        <v>349030658.38551599</v>
      </c>
      <c r="M40">
        <v>465951663.16383064</v>
      </c>
      <c r="N40">
        <f t="shared" si="0"/>
        <v>0.11618420340308043</v>
      </c>
    </row>
    <row r="41" spans="1:14" x14ac:dyDescent="0.45">
      <c r="A41" t="s">
        <v>256</v>
      </c>
      <c r="B41">
        <v>20786508.804655638</v>
      </c>
      <c r="C41">
        <v>29722961.205623254</v>
      </c>
      <c r="D41">
        <v>7901848.7867311174</v>
      </c>
      <c r="E41">
        <v>10151901.414993716</v>
      </c>
      <c r="F41">
        <v>101486577.90394251</v>
      </c>
      <c r="G41">
        <v>2760041.0699670669</v>
      </c>
      <c r="H41">
        <v>924254.91817979922</v>
      </c>
      <c r="I41">
        <v>4131731.2771988465</v>
      </c>
      <c r="J41">
        <v>1658156.5117236036</v>
      </c>
      <c r="K41">
        <v>2220421.9969676672</v>
      </c>
      <c r="L41">
        <v>6638109.9932640595</v>
      </c>
      <c r="M41">
        <v>1611799.4570968186</v>
      </c>
      <c r="N41">
        <f t="shared" si="0"/>
        <v>0.11645174286084142</v>
      </c>
    </row>
    <row r="42" spans="1:14" x14ac:dyDescent="0.45">
      <c r="A42" t="s">
        <v>95</v>
      </c>
      <c r="B42">
        <v>296992.92535238608</v>
      </c>
      <c r="C42">
        <v>1231140.6705738085</v>
      </c>
      <c r="D42">
        <v>714705.10894523363</v>
      </c>
      <c r="E42">
        <v>648977.77715832891</v>
      </c>
      <c r="F42">
        <v>695608.627236448</v>
      </c>
      <c r="G42">
        <v>639679.75591251731</v>
      </c>
      <c r="H42">
        <v>317875.71016312105</v>
      </c>
      <c r="I42">
        <v>12591964.281885553</v>
      </c>
      <c r="J42">
        <v>895645.71379831759</v>
      </c>
      <c r="K42">
        <v>1231195.4959856798</v>
      </c>
      <c r="L42">
        <v>17721247.750460301</v>
      </c>
      <c r="M42">
        <v>2178616.3366644434</v>
      </c>
      <c r="N42">
        <f t="shared" si="0"/>
        <v>0.12288528074596557</v>
      </c>
    </row>
    <row r="43" spans="1:14" x14ac:dyDescent="0.45">
      <c r="A43" t="s">
        <v>59</v>
      </c>
      <c r="B43">
        <v>99404.089096711337</v>
      </c>
      <c r="C43">
        <v>1878299.447935357</v>
      </c>
      <c r="D43">
        <v>308445.22384208225</v>
      </c>
      <c r="E43">
        <v>840151.05444215541</v>
      </c>
      <c r="F43">
        <v>1172721.2443729651</v>
      </c>
      <c r="G43">
        <v>1019621.2478604639</v>
      </c>
      <c r="H43">
        <v>82526459.754413724</v>
      </c>
      <c r="I43">
        <v>5572454.8570993533</v>
      </c>
      <c r="J43">
        <v>3708469.6862128777</v>
      </c>
      <c r="K43">
        <v>908671.55814593087</v>
      </c>
      <c r="L43">
        <v>68767011.225811899</v>
      </c>
      <c r="M43">
        <v>564974.60000393004</v>
      </c>
      <c r="N43">
        <f t="shared" si="0"/>
        <v>0.12291718532242635</v>
      </c>
    </row>
    <row r="44" spans="1:14" x14ac:dyDescent="0.45">
      <c r="A44" t="s">
        <v>215</v>
      </c>
      <c r="B44">
        <v>7261527.7120373053</v>
      </c>
      <c r="C44">
        <v>15586577.636601487</v>
      </c>
      <c r="D44">
        <v>6651820.9371167729</v>
      </c>
      <c r="E44">
        <v>8694372.2522444502</v>
      </c>
      <c r="F44">
        <v>24344752.792541619</v>
      </c>
      <c r="G44">
        <v>10771017.670811027</v>
      </c>
      <c r="H44">
        <v>6062769.5320528448</v>
      </c>
      <c r="I44">
        <v>38981735.956104726</v>
      </c>
      <c r="J44">
        <v>28716238.970811781</v>
      </c>
      <c r="K44">
        <v>22080120.095380671</v>
      </c>
      <c r="L44">
        <v>93058056.445905894</v>
      </c>
      <c r="M44">
        <v>15271626.302615874</v>
      </c>
      <c r="N44">
        <f t="shared" si="0"/>
        <v>0.12342519947623926</v>
      </c>
    </row>
    <row r="45" spans="1:14" x14ac:dyDescent="0.45">
      <c r="A45" t="s">
        <v>311</v>
      </c>
      <c r="B45">
        <v>809915763.14203107</v>
      </c>
      <c r="C45">
        <v>6045107464.4460917</v>
      </c>
      <c r="D45">
        <v>3441147674.8614407</v>
      </c>
      <c r="E45">
        <v>6711455744.5895891</v>
      </c>
      <c r="F45">
        <v>6031088606.8568697</v>
      </c>
      <c r="G45">
        <v>4076895815.3509378</v>
      </c>
      <c r="H45">
        <v>2737903940.8929992</v>
      </c>
      <c r="I45">
        <v>20907287176.503223</v>
      </c>
      <c r="J45">
        <v>15723191139.261915</v>
      </c>
      <c r="K45">
        <v>3460862224.3669386</v>
      </c>
      <c r="L45">
        <v>19928396686.019001</v>
      </c>
      <c r="M45">
        <v>2319218159.7123499</v>
      </c>
      <c r="N45">
        <f t="shared" si="0"/>
        <v>0.12370146239034767</v>
      </c>
    </row>
    <row r="46" spans="1:14" x14ac:dyDescent="0.45">
      <c r="A46" t="s">
        <v>424</v>
      </c>
      <c r="B46">
        <v>1367442.7407151414</v>
      </c>
      <c r="C46">
        <v>6910497.4342362257</v>
      </c>
      <c r="D46">
        <v>2654433.7715494237</v>
      </c>
      <c r="E46">
        <v>2346803.0968516325</v>
      </c>
      <c r="F46">
        <v>4126485.6245804266</v>
      </c>
      <c r="G46">
        <v>4558080.4092389932</v>
      </c>
      <c r="H46">
        <v>1768661.5127263027</v>
      </c>
      <c r="I46">
        <v>71095024.063026816</v>
      </c>
      <c r="J46">
        <v>17787457.128744215</v>
      </c>
      <c r="K46">
        <v>3855627.2503909352</v>
      </c>
      <c r="L46">
        <v>36528005.611094996</v>
      </c>
      <c r="M46">
        <v>3493951.6777216997</v>
      </c>
      <c r="N46">
        <f t="shared" si="0"/>
        <v>0.12376592907422927</v>
      </c>
    </row>
    <row r="47" spans="1:14" x14ac:dyDescent="0.45">
      <c r="A47" t="s">
        <v>196</v>
      </c>
      <c r="B47">
        <v>54245009.991531536</v>
      </c>
      <c r="C47">
        <v>215162922.20886025</v>
      </c>
      <c r="D47">
        <v>89353764.259912461</v>
      </c>
      <c r="E47">
        <v>87748330.675366849</v>
      </c>
      <c r="F47">
        <v>161832764.36943653</v>
      </c>
      <c r="G47">
        <v>207989012.35630715</v>
      </c>
      <c r="H47">
        <v>65434166.034920208</v>
      </c>
      <c r="I47">
        <v>2248416798.3328567</v>
      </c>
      <c r="J47">
        <v>604676453.55775464</v>
      </c>
      <c r="K47">
        <v>114687866.58302706</v>
      </c>
      <c r="L47">
        <v>1336177538.64853</v>
      </c>
      <c r="M47">
        <v>94403842.562936872</v>
      </c>
      <c r="N47">
        <f t="shared" si="0"/>
        <v>0.12417574917295295</v>
      </c>
    </row>
    <row r="48" spans="1:14" x14ac:dyDescent="0.45">
      <c r="A48" t="s">
        <v>88</v>
      </c>
      <c r="B48">
        <v>2504541.1071058316</v>
      </c>
      <c r="C48">
        <v>6673039.5310940351</v>
      </c>
      <c r="D48">
        <v>2976778.3724274416</v>
      </c>
      <c r="E48">
        <v>4621853.7608391726</v>
      </c>
      <c r="F48">
        <v>15295540.613333017</v>
      </c>
      <c r="G48">
        <v>5924281.044833757</v>
      </c>
      <c r="H48">
        <v>2301079.2781120166</v>
      </c>
      <c r="I48">
        <v>17649175.658466864</v>
      </c>
      <c r="J48">
        <v>14810100.676002605</v>
      </c>
      <c r="K48">
        <v>4187139.7314168867</v>
      </c>
      <c r="L48">
        <v>22396562.429322001</v>
      </c>
      <c r="M48">
        <v>13964298.084490061</v>
      </c>
      <c r="N48">
        <f t="shared" si="0"/>
        <v>0.12527108172951124</v>
      </c>
    </row>
    <row r="49" spans="1:14" x14ac:dyDescent="0.45">
      <c r="A49" t="s">
        <v>375</v>
      </c>
      <c r="B49">
        <v>10349750.693334257</v>
      </c>
      <c r="C49">
        <v>22267972.470376246</v>
      </c>
      <c r="D49">
        <v>15205883.118760385</v>
      </c>
      <c r="E49">
        <v>19694482.814569924</v>
      </c>
      <c r="F49">
        <v>11650519.408806631</v>
      </c>
      <c r="G49">
        <v>18841336.544918675</v>
      </c>
      <c r="H49">
        <v>11364627.86180521</v>
      </c>
      <c r="I49">
        <v>33175189.930581767</v>
      </c>
      <c r="J49">
        <v>29609223.766307779</v>
      </c>
      <c r="K49">
        <v>27063373.93049898</v>
      </c>
      <c r="L49">
        <v>99319286.837889999</v>
      </c>
      <c r="M49">
        <v>25615267.288307745</v>
      </c>
      <c r="N49">
        <f t="shared" si="0"/>
        <v>0.12728822892642916</v>
      </c>
    </row>
    <row r="50" spans="1:14" x14ac:dyDescent="0.45">
      <c r="A50" t="s">
        <v>364</v>
      </c>
      <c r="B50">
        <v>5796696.5486943042</v>
      </c>
      <c r="C50">
        <v>34397788.984906778</v>
      </c>
      <c r="D50">
        <v>8480929.4009552263</v>
      </c>
      <c r="E50">
        <v>17389995.997009654</v>
      </c>
      <c r="F50">
        <v>12288307.818478733</v>
      </c>
      <c r="G50">
        <v>13091282.880573852</v>
      </c>
      <c r="H50">
        <v>7071375.5938283643</v>
      </c>
      <c r="I50">
        <v>330420383.6926555</v>
      </c>
      <c r="J50">
        <v>52182694.659045659</v>
      </c>
      <c r="K50">
        <v>15978558.424422625</v>
      </c>
      <c r="L50">
        <v>201019735.27862599</v>
      </c>
      <c r="M50">
        <v>19688136.112864185</v>
      </c>
      <c r="N50">
        <f t="shared" si="0"/>
        <v>0.13102958759570596</v>
      </c>
    </row>
    <row r="51" spans="1:14" x14ac:dyDescent="0.45">
      <c r="A51" t="s">
        <v>346</v>
      </c>
      <c r="B51">
        <v>15707904.624148704</v>
      </c>
      <c r="C51">
        <v>16113258.239035912</v>
      </c>
      <c r="D51">
        <v>23208121.926398292</v>
      </c>
      <c r="E51">
        <v>9223577.3914769329</v>
      </c>
      <c r="F51">
        <v>13056785.437679112</v>
      </c>
      <c r="G51">
        <v>14833452.020704268</v>
      </c>
      <c r="H51">
        <v>16477221.538658589</v>
      </c>
      <c r="I51">
        <v>231201744.19793737</v>
      </c>
      <c r="J51">
        <v>31181632.226639349</v>
      </c>
      <c r="K51">
        <v>15473666.076220589</v>
      </c>
      <c r="L51">
        <v>282552890.60543299</v>
      </c>
      <c r="M51">
        <v>11511924.676106874</v>
      </c>
      <c r="N51">
        <f t="shared" si="0"/>
        <v>0.13430655235083058</v>
      </c>
    </row>
    <row r="52" spans="1:14" x14ac:dyDescent="0.45">
      <c r="A52" t="s">
        <v>162</v>
      </c>
      <c r="B52">
        <v>25390936.859407421</v>
      </c>
      <c r="C52">
        <v>93840641.051773161</v>
      </c>
      <c r="D52">
        <v>168137979.23768312</v>
      </c>
      <c r="E52">
        <v>16397549.840930667</v>
      </c>
      <c r="F52">
        <v>20503848.68929508</v>
      </c>
      <c r="G52">
        <v>4921838.2617404973</v>
      </c>
      <c r="H52">
        <v>136682011.31810841</v>
      </c>
      <c r="I52">
        <v>1588291606.2929082</v>
      </c>
      <c r="J52">
        <v>518033545.66630906</v>
      </c>
      <c r="K52">
        <v>24988649.039191615</v>
      </c>
      <c r="L52">
        <v>408854108.23367703</v>
      </c>
      <c r="M52">
        <v>15157817.033165749</v>
      </c>
      <c r="N52">
        <f t="shared" si="0"/>
        <v>0.13802745991725171</v>
      </c>
    </row>
    <row r="53" spans="1:14" x14ac:dyDescent="0.45">
      <c r="A53" t="s">
        <v>275</v>
      </c>
      <c r="B53">
        <v>10633144.632207025</v>
      </c>
      <c r="C53">
        <v>35749926.620370097</v>
      </c>
      <c r="D53">
        <v>22317703.123120688</v>
      </c>
      <c r="E53">
        <v>22492827.664437234</v>
      </c>
      <c r="F53">
        <v>30267900.669885237</v>
      </c>
      <c r="G53">
        <v>27997685.636806149</v>
      </c>
      <c r="H53">
        <v>20165547.036543079</v>
      </c>
      <c r="I53">
        <v>39133907.432555571</v>
      </c>
      <c r="J53">
        <v>63261335.753522575</v>
      </c>
      <c r="K53">
        <v>53923768.071666524</v>
      </c>
      <c r="L53">
        <v>230413413.14984399</v>
      </c>
      <c r="M53">
        <v>48670394.872714996</v>
      </c>
      <c r="N53">
        <f t="shared" si="0"/>
        <v>0.13826641090776512</v>
      </c>
    </row>
    <row r="54" spans="1:14" x14ac:dyDescent="0.45">
      <c r="A54" t="s">
        <v>340</v>
      </c>
      <c r="B54">
        <v>29947832.488507461</v>
      </c>
      <c r="C54">
        <v>87061324.32627596</v>
      </c>
      <c r="D54">
        <v>41949956.25439585</v>
      </c>
      <c r="E54">
        <v>49446593.834417388</v>
      </c>
      <c r="F54">
        <v>74384749.739599094</v>
      </c>
      <c r="G54">
        <v>72157050.113926291</v>
      </c>
      <c r="H54">
        <v>24689052.867880974</v>
      </c>
      <c r="I54">
        <v>286898842.21817482</v>
      </c>
      <c r="J54">
        <v>167703610.13149494</v>
      </c>
      <c r="K54">
        <v>44067055.79974322</v>
      </c>
      <c r="L54">
        <v>272944617.63462001</v>
      </c>
      <c r="M54">
        <v>38011750.290918313</v>
      </c>
      <c r="N54">
        <f t="shared" si="0"/>
        <v>0.14195737689739965</v>
      </c>
    </row>
    <row r="55" spans="1:14" x14ac:dyDescent="0.45">
      <c r="A55" t="s">
        <v>253</v>
      </c>
      <c r="B55">
        <v>16451819.495491059</v>
      </c>
      <c r="C55">
        <v>105971870.10562378</v>
      </c>
      <c r="D55">
        <v>24118874.37271098</v>
      </c>
      <c r="E55">
        <v>51042763.421436772</v>
      </c>
      <c r="F55">
        <v>32197936.957710426</v>
      </c>
      <c r="G55">
        <v>36225587.914315462</v>
      </c>
      <c r="H55">
        <v>16233002.49139493</v>
      </c>
      <c r="I55">
        <v>947676902.85929835</v>
      </c>
      <c r="J55">
        <v>144990404.7340419</v>
      </c>
      <c r="K55">
        <v>38860097.476732813</v>
      </c>
      <c r="L55">
        <v>590071391.43034399</v>
      </c>
      <c r="M55">
        <v>28751659.230057623</v>
      </c>
      <c r="N55">
        <f t="shared" si="0"/>
        <v>0.14599076481297726</v>
      </c>
    </row>
    <row r="56" spans="1:14" x14ac:dyDescent="0.45">
      <c r="A56" t="s">
        <v>166</v>
      </c>
      <c r="B56">
        <v>1835741.4898505032</v>
      </c>
      <c r="C56">
        <v>4604848.3207420101</v>
      </c>
      <c r="D56">
        <v>2078667.6336684402</v>
      </c>
      <c r="E56">
        <v>2907710.2866935385</v>
      </c>
      <c r="F56">
        <v>2711504.1865848806</v>
      </c>
      <c r="G56">
        <v>3429477.4756929683</v>
      </c>
      <c r="H56">
        <v>843630.78674620611</v>
      </c>
      <c r="I56">
        <v>26279739.492897328</v>
      </c>
      <c r="J56">
        <v>6703878.9518769365</v>
      </c>
      <c r="K56">
        <v>2917845.884483214</v>
      </c>
      <c r="L56">
        <v>33904010.214464203</v>
      </c>
      <c r="M56">
        <v>2008608.0257862124</v>
      </c>
      <c r="N56">
        <f t="shared" si="0"/>
        <v>0.14703466439197918</v>
      </c>
    </row>
    <row r="57" spans="1:14" x14ac:dyDescent="0.45">
      <c r="A57" t="s">
        <v>64</v>
      </c>
      <c r="B57">
        <v>9107209.0653089751</v>
      </c>
      <c r="C57">
        <v>64198767.808554098</v>
      </c>
      <c r="D57">
        <v>35530356.296356224</v>
      </c>
      <c r="E57">
        <v>39339013.06488125</v>
      </c>
      <c r="F57">
        <v>46650437.959684022</v>
      </c>
      <c r="G57">
        <v>39905351.323221803</v>
      </c>
      <c r="H57">
        <v>22337798.541801307</v>
      </c>
      <c r="I57">
        <v>31817222.983365804</v>
      </c>
      <c r="J57">
        <v>43558371.65472848</v>
      </c>
      <c r="K57">
        <v>15746728.860758493</v>
      </c>
      <c r="L57">
        <v>29439039.2393439</v>
      </c>
      <c r="M57">
        <v>7255363.3230581246</v>
      </c>
      <c r="N57">
        <f t="shared" si="0"/>
        <v>0.14747190583493153</v>
      </c>
    </row>
    <row r="58" spans="1:14" x14ac:dyDescent="0.45">
      <c r="A58" t="s">
        <v>362</v>
      </c>
      <c r="B58">
        <v>19793423.436656319</v>
      </c>
      <c r="C58">
        <v>50250823.035907097</v>
      </c>
      <c r="D58">
        <v>21559815.202328246</v>
      </c>
      <c r="E58">
        <v>25817204.200359747</v>
      </c>
      <c r="F58">
        <v>17011653.105955586</v>
      </c>
      <c r="G58">
        <v>21920840.279098637</v>
      </c>
      <c r="H58">
        <v>10942331.230680035</v>
      </c>
      <c r="I58">
        <v>133081561.98255059</v>
      </c>
      <c r="J58">
        <v>68454665.60288246</v>
      </c>
      <c r="K58">
        <v>20906225.619175404</v>
      </c>
      <c r="L58">
        <v>197140335.62103999</v>
      </c>
      <c r="M58">
        <v>19191139.39086831</v>
      </c>
      <c r="N58">
        <f t="shared" si="0"/>
        <v>0.14827970116430006</v>
      </c>
    </row>
    <row r="59" spans="1:14" x14ac:dyDescent="0.45">
      <c r="A59" t="s">
        <v>355</v>
      </c>
      <c r="B59">
        <v>201983442.27077767</v>
      </c>
      <c r="C59">
        <v>704135041.89705288</v>
      </c>
      <c r="D59">
        <v>249821531.12722138</v>
      </c>
      <c r="E59">
        <v>335692474.56866753</v>
      </c>
      <c r="F59">
        <v>253119505.79297489</v>
      </c>
      <c r="G59">
        <v>308425008.94167668</v>
      </c>
      <c r="H59">
        <v>108775919.75196633</v>
      </c>
      <c r="I59">
        <v>1619869528.7679312</v>
      </c>
      <c r="J59">
        <v>994285891.82410777</v>
      </c>
      <c r="K59">
        <v>237535999.38466871</v>
      </c>
      <c r="L59">
        <v>1793226025.82812</v>
      </c>
      <c r="M59">
        <v>249373919.07119125</v>
      </c>
      <c r="N59">
        <f t="shared" si="0"/>
        <v>0.14830873018988555</v>
      </c>
    </row>
    <row r="60" spans="1:14" x14ac:dyDescent="0.45">
      <c r="A60" t="s">
        <v>439</v>
      </c>
      <c r="B60">
        <v>16421507.093415106</v>
      </c>
      <c r="C60">
        <v>69230.546663861547</v>
      </c>
      <c r="D60">
        <v>3343500.899988472</v>
      </c>
      <c r="E60">
        <v>202416.05677812334</v>
      </c>
      <c r="F60">
        <v>4305720.6553965816</v>
      </c>
      <c r="G60">
        <v>6976899.1117073232</v>
      </c>
      <c r="H60">
        <v>3778656.2484866921</v>
      </c>
      <c r="I60">
        <v>108347.02388280242</v>
      </c>
      <c r="J60">
        <v>79586.632910714718</v>
      </c>
      <c r="K60">
        <v>2184834.9173195683</v>
      </c>
      <c r="L60">
        <v>138739.86813590801</v>
      </c>
      <c r="M60">
        <v>1067326.8893246748</v>
      </c>
      <c r="N60">
        <f t="shared" si="0"/>
        <v>0.14909244208323563</v>
      </c>
    </row>
    <row r="61" spans="1:14" x14ac:dyDescent="0.45">
      <c r="A61" t="s">
        <v>286</v>
      </c>
      <c r="B61">
        <v>3569250.6651580012</v>
      </c>
      <c r="C61">
        <v>10005095.820280964</v>
      </c>
      <c r="D61">
        <v>4540386.1199725056</v>
      </c>
      <c r="E61">
        <v>6069836.3464043997</v>
      </c>
      <c r="F61">
        <v>8730268.9493060354</v>
      </c>
      <c r="G61">
        <v>9525240.5302830078</v>
      </c>
      <c r="H61">
        <v>3567499.7732634591</v>
      </c>
      <c r="I61">
        <v>34941360.132027373</v>
      </c>
      <c r="J61">
        <v>16115138.713261874</v>
      </c>
      <c r="K61">
        <v>6801703.3503610734</v>
      </c>
      <c r="L61">
        <v>49187465.171255603</v>
      </c>
      <c r="M61">
        <v>4340421.5759363184</v>
      </c>
      <c r="N61">
        <f t="shared" si="0"/>
        <v>0.15103348871680433</v>
      </c>
    </row>
    <row r="62" spans="1:14" x14ac:dyDescent="0.45">
      <c r="A62" t="s">
        <v>272</v>
      </c>
      <c r="B62">
        <v>12699784.223934736</v>
      </c>
      <c r="C62">
        <v>45671774.811866514</v>
      </c>
      <c r="D62">
        <v>32679223.53748076</v>
      </c>
      <c r="E62">
        <v>52916359.677209221</v>
      </c>
      <c r="F62">
        <v>120764885.57297219</v>
      </c>
      <c r="G62">
        <v>58642225.574988805</v>
      </c>
      <c r="H62">
        <v>40761510.337053388</v>
      </c>
      <c r="I62">
        <v>320284479.97530502</v>
      </c>
      <c r="J62">
        <v>166571407.82643247</v>
      </c>
      <c r="K62">
        <v>91432906.822041735</v>
      </c>
      <c r="L62">
        <v>58160265.583743103</v>
      </c>
      <c r="M62">
        <v>69353038.421698123</v>
      </c>
      <c r="N62">
        <f t="shared" si="0"/>
        <v>0.15289790060833011</v>
      </c>
    </row>
    <row r="63" spans="1:14" x14ac:dyDescent="0.45">
      <c r="A63" t="s">
        <v>312</v>
      </c>
      <c r="B63">
        <v>6245916.298188501</v>
      </c>
      <c r="C63">
        <v>3711310.015828595</v>
      </c>
      <c r="D63">
        <v>14000143.430586923</v>
      </c>
      <c r="E63">
        <v>11223063.751465263</v>
      </c>
      <c r="F63">
        <v>38304726.760374106</v>
      </c>
      <c r="G63">
        <v>32200723.044434063</v>
      </c>
      <c r="H63">
        <v>424631.16759019363</v>
      </c>
      <c r="I63">
        <v>2246469.6132666995</v>
      </c>
      <c r="J63">
        <v>1582150.7344568737</v>
      </c>
      <c r="K63">
        <v>827112.30799269117</v>
      </c>
      <c r="L63">
        <v>6446783.4509918196</v>
      </c>
      <c r="M63">
        <v>27270345.944642249</v>
      </c>
      <c r="N63">
        <f t="shared" si="0"/>
        <v>0.15315914862605695</v>
      </c>
    </row>
    <row r="64" spans="1:14" x14ac:dyDescent="0.45">
      <c r="A64" t="s">
        <v>358</v>
      </c>
      <c r="B64">
        <v>50560708.717010491</v>
      </c>
      <c r="C64">
        <v>136496973.61933243</v>
      </c>
      <c r="D64">
        <v>61108806.421552636</v>
      </c>
      <c r="E64">
        <v>88753921.178292528</v>
      </c>
      <c r="F64">
        <v>104966194.31105736</v>
      </c>
      <c r="G64">
        <v>119890734.40241139</v>
      </c>
      <c r="H64">
        <v>47752546.85270305</v>
      </c>
      <c r="I64">
        <v>335432967.44801927</v>
      </c>
      <c r="J64">
        <v>209601195.98328656</v>
      </c>
      <c r="K64">
        <v>84488096.731154338</v>
      </c>
      <c r="L64">
        <v>452952393.88281298</v>
      </c>
      <c r="M64">
        <v>59000152.737545371</v>
      </c>
      <c r="N64">
        <f t="shared" si="0"/>
        <v>0.16264482645617606</v>
      </c>
    </row>
    <row r="65" spans="1:14" x14ac:dyDescent="0.45">
      <c r="A65" t="s">
        <v>359</v>
      </c>
      <c r="B65">
        <v>24350768.619688541</v>
      </c>
      <c r="C65">
        <v>74055156.077778116</v>
      </c>
      <c r="D65">
        <v>34864912.820403919</v>
      </c>
      <c r="E65">
        <v>53182470.130734108</v>
      </c>
      <c r="F65">
        <v>71755689.478524193</v>
      </c>
      <c r="G65">
        <v>69180857.971013695</v>
      </c>
      <c r="H65">
        <v>23225291.417694524</v>
      </c>
      <c r="I65">
        <v>198888169.70988011</v>
      </c>
      <c r="J65">
        <v>145400140.04267222</v>
      </c>
      <c r="K65">
        <v>39337292.574542396</v>
      </c>
      <c r="L65">
        <v>195368151.271092</v>
      </c>
      <c r="M65">
        <v>38015832.813300498</v>
      </c>
      <c r="N65">
        <f t="shared" si="0"/>
        <v>0.16463755772083805</v>
      </c>
    </row>
    <row r="66" spans="1:14" x14ac:dyDescent="0.45">
      <c r="A66" t="s">
        <v>377</v>
      </c>
      <c r="B66">
        <v>18218624.605017118</v>
      </c>
      <c r="C66">
        <v>34401942.064669348</v>
      </c>
      <c r="D66">
        <v>24053089.372608781</v>
      </c>
      <c r="E66">
        <v>23907778.184339106</v>
      </c>
      <c r="F66">
        <v>13666520.798924152</v>
      </c>
      <c r="G66">
        <v>15873242.070077518</v>
      </c>
      <c r="H66">
        <v>8186854.3872788772</v>
      </c>
      <c r="I66">
        <v>67181325.727620602</v>
      </c>
      <c r="J66">
        <v>48903352.489447802</v>
      </c>
      <c r="K66">
        <v>25204341.801541261</v>
      </c>
      <c r="L66">
        <v>132168563.939505</v>
      </c>
      <c r="M66">
        <v>17183698.992440999</v>
      </c>
      <c r="N66">
        <f t="shared" ref="N66:N129" si="2">TTEST(B66:G66,H66:M66,2,2)</f>
        <v>0.16863415460620429</v>
      </c>
    </row>
    <row r="67" spans="1:14" x14ac:dyDescent="0.45">
      <c r="A67" t="s">
        <v>231</v>
      </c>
      <c r="B67">
        <v>32391832.350904234</v>
      </c>
      <c r="C67">
        <v>90585051.14853549</v>
      </c>
      <c r="D67">
        <v>61862427.161512457</v>
      </c>
      <c r="E67">
        <v>81282133.14731966</v>
      </c>
      <c r="F67">
        <v>88022556.362642318</v>
      </c>
      <c r="G67">
        <v>81062092.120497316</v>
      </c>
      <c r="H67">
        <v>51807370.509446166</v>
      </c>
      <c r="I67">
        <v>85760956.889813706</v>
      </c>
      <c r="J67">
        <v>116337214.92309615</v>
      </c>
      <c r="K67">
        <v>93741116.696835548</v>
      </c>
      <c r="L67">
        <v>139980594.76931399</v>
      </c>
      <c r="M67">
        <v>82451640.996121868</v>
      </c>
      <c r="N67">
        <f t="shared" si="2"/>
        <v>0.172691305131697</v>
      </c>
    </row>
    <row r="68" spans="1:14" x14ac:dyDescent="0.45">
      <c r="A68" t="s">
        <v>133</v>
      </c>
      <c r="B68">
        <v>4475782.1138700685</v>
      </c>
      <c r="C68">
        <v>39458731.540504925</v>
      </c>
      <c r="D68">
        <v>8690630.7989086807</v>
      </c>
      <c r="E68">
        <v>13970599.219390798</v>
      </c>
      <c r="F68">
        <v>9629493.6932148896</v>
      </c>
      <c r="G68">
        <v>5422030.5119913844</v>
      </c>
      <c r="H68">
        <v>12755630.638131445</v>
      </c>
      <c r="I68">
        <v>34958093.154763073</v>
      </c>
      <c r="J68">
        <v>43693298.006835267</v>
      </c>
      <c r="K68">
        <v>28251492.650292318</v>
      </c>
      <c r="L68">
        <v>247511688.50434101</v>
      </c>
      <c r="M68">
        <v>34319963.544146374</v>
      </c>
      <c r="N68">
        <f t="shared" si="2"/>
        <v>0.17758153808121233</v>
      </c>
    </row>
    <row r="69" spans="1:14" x14ac:dyDescent="0.45">
      <c r="A69" t="s">
        <v>45</v>
      </c>
      <c r="B69">
        <v>7323253.9727713177</v>
      </c>
      <c r="C69">
        <v>27022239.152799387</v>
      </c>
      <c r="D69">
        <v>13053995.575115185</v>
      </c>
      <c r="E69">
        <v>7441257.1850311346</v>
      </c>
      <c r="F69">
        <v>37403243.118861012</v>
      </c>
      <c r="G69">
        <v>12399187.806800213</v>
      </c>
      <c r="H69">
        <v>14962652.788461136</v>
      </c>
      <c r="I69">
        <v>61973112.939486794</v>
      </c>
      <c r="J69">
        <v>46421951.39416299</v>
      </c>
      <c r="K69">
        <v>25888398.731492791</v>
      </c>
      <c r="L69">
        <v>24654578.613026299</v>
      </c>
      <c r="M69">
        <v>11812252.860313188</v>
      </c>
      <c r="N69">
        <f t="shared" si="2"/>
        <v>0.17929746473705047</v>
      </c>
    </row>
    <row r="70" spans="1:14" x14ac:dyDescent="0.45">
      <c r="A70" t="s">
        <v>370</v>
      </c>
      <c r="B70">
        <v>9358500.4538880438</v>
      </c>
      <c r="C70">
        <v>7951339.7398799164</v>
      </c>
      <c r="D70">
        <v>8984110.9252515864</v>
      </c>
      <c r="E70">
        <v>5896265.7280052798</v>
      </c>
      <c r="F70">
        <v>8171822.4746087743</v>
      </c>
      <c r="G70">
        <v>10317050.250311518</v>
      </c>
      <c r="H70">
        <v>5151351.2170099393</v>
      </c>
      <c r="I70">
        <v>10080981.765568508</v>
      </c>
      <c r="J70">
        <v>14020848.060268763</v>
      </c>
      <c r="K70">
        <v>10106847.789112903</v>
      </c>
      <c r="L70">
        <v>13683034.864075201</v>
      </c>
      <c r="M70">
        <v>10139100.638912937</v>
      </c>
      <c r="N70">
        <f t="shared" si="2"/>
        <v>0.18109628367244057</v>
      </c>
    </row>
    <row r="71" spans="1:14" x14ac:dyDescent="0.45">
      <c r="A71" t="s">
        <v>361</v>
      </c>
      <c r="B71">
        <v>6172363.7882641563</v>
      </c>
      <c r="C71">
        <v>5584410.8963490613</v>
      </c>
      <c r="D71">
        <v>6090522.185702051</v>
      </c>
      <c r="E71">
        <v>3045047.3285874114</v>
      </c>
      <c r="F71">
        <v>1966671.6439878268</v>
      </c>
      <c r="G71">
        <v>1594522.6593303129</v>
      </c>
      <c r="H71">
        <v>2997448.6946265171</v>
      </c>
      <c r="I71">
        <v>19931365.148874164</v>
      </c>
      <c r="J71">
        <v>8334826.5093752248</v>
      </c>
      <c r="K71">
        <v>2783887.9274107045</v>
      </c>
      <c r="L71">
        <v>15595727.859009299</v>
      </c>
      <c r="M71">
        <v>2197417.0308765001</v>
      </c>
      <c r="N71">
        <f t="shared" si="2"/>
        <v>0.18343562766310403</v>
      </c>
    </row>
    <row r="72" spans="1:14" x14ac:dyDescent="0.45">
      <c r="A72" t="s">
        <v>303</v>
      </c>
      <c r="B72">
        <v>69884814.404383063</v>
      </c>
      <c r="C72">
        <v>61364510.341931403</v>
      </c>
      <c r="D72">
        <v>64368899.445415884</v>
      </c>
      <c r="E72">
        <v>28602980.481835846</v>
      </c>
      <c r="F72">
        <v>24224520.980675895</v>
      </c>
      <c r="G72">
        <v>14505923.431232914</v>
      </c>
      <c r="H72">
        <v>7944867.4557148945</v>
      </c>
      <c r="I72">
        <v>1047475295.3318951</v>
      </c>
      <c r="J72">
        <v>16405799.38965141</v>
      </c>
      <c r="K72">
        <v>44819938.857605666</v>
      </c>
      <c r="L72">
        <v>746237623.27300596</v>
      </c>
      <c r="M72">
        <v>9212354.6680844985</v>
      </c>
      <c r="N72">
        <f t="shared" si="2"/>
        <v>0.1869895439314751</v>
      </c>
    </row>
    <row r="73" spans="1:14" x14ac:dyDescent="0.45">
      <c r="A73" t="s">
        <v>227</v>
      </c>
      <c r="B73">
        <v>2235082.4103829726</v>
      </c>
      <c r="C73">
        <v>675915.03769120388</v>
      </c>
      <c r="D73">
        <v>2278587.4934858517</v>
      </c>
      <c r="E73">
        <v>748357.94574290537</v>
      </c>
      <c r="F73">
        <v>1716842.2412384872</v>
      </c>
      <c r="G73">
        <v>3038962.639648308</v>
      </c>
      <c r="H73">
        <v>1367805.5620096887</v>
      </c>
      <c r="I73">
        <v>434509.87026864302</v>
      </c>
      <c r="J73">
        <v>795821.54963762593</v>
      </c>
      <c r="K73">
        <v>2034303.6016860455</v>
      </c>
      <c r="L73">
        <v>466755.88507900498</v>
      </c>
      <c r="M73">
        <v>1661904.6882974561</v>
      </c>
      <c r="N73">
        <f t="shared" si="2"/>
        <v>0.19005291002574376</v>
      </c>
    </row>
    <row r="74" spans="1:14" x14ac:dyDescent="0.45">
      <c r="A74" t="s">
        <v>418</v>
      </c>
      <c r="B74">
        <v>10070249.254034948</v>
      </c>
      <c r="C74">
        <v>7258773.8586295396</v>
      </c>
      <c r="D74">
        <v>5287265.0993212042</v>
      </c>
      <c r="E74">
        <v>4019407.2709067874</v>
      </c>
      <c r="F74">
        <v>7072410.6571200294</v>
      </c>
      <c r="G74">
        <v>9829054.4200796112</v>
      </c>
      <c r="H74">
        <v>4033710.5561779914</v>
      </c>
      <c r="I74">
        <v>58519735.687150016</v>
      </c>
      <c r="J74">
        <v>9267431.3282822017</v>
      </c>
      <c r="K74">
        <v>5613673.2578837788</v>
      </c>
      <c r="L74">
        <v>47668848.551077597</v>
      </c>
      <c r="M74">
        <v>3983890.9040122</v>
      </c>
      <c r="N74">
        <f t="shared" si="2"/>
        <v>0.19087096027599657</v>
      </c>
    </row>
    <row r="75" spans="1:14" x14ac:dyDescent="0.45">
      <c r="A75" t="s">
        <v>296</v>
      </c>
      <c r="B75">
        <v>86723364.856047571</v>
      </c>
      <c r="C75">
        <v>887084.91176336585</v>
      </c>
      <c r="D75">
        <v>18040953.21054868</v>
      </c>
      <c r="E75">
        <v>2036851.3434502648</v>
      </c>
      <c r="F75">
        <v>17075100.113436185</v>
      </c>
      <c r="G75">
        <v>30505461.702032398</v>
      </c>
      <c r="H75">
        <v>22951846.998904359</v>
      </c>
      <c r="I75">
        <v>222419.11501946399</v>
      </c>
      <c r="J75">
        <v>1716464.2149224945</v>
      </c>
      <c r="K75">
        <v>10938874.013542263</v>
      </c>
      <c r="L75">
        <v>262878.51002977102</v>
      </c>
      <c r="M75">
        <v>5815307.6106271064</v>
      </c>
      <c r="N75">
        <f t="shared" si="2"/>
        <v>0.19110545831768702</v>
      </c>
    </row>
    <row r="76" spans="1:14" x14ac:dyDescent="0.45">
      <c r="A76" t="s">
        <v>155</v>
      </c>
      <c r="B76">
        <v>33152925.027875494</v>
      </c>
      <c r="C76">
        <v>191064806.30765927</v>
      </c>
      <c r="D76">
        <v>67447479.664069012</v>
      </c>
      <c r="E76">
        <v>65828867.934653044</v>
      </c>
      <c r="F76">
        <v>121267062.18782797</v>
      </c>
      <c r="G76">
        <v>89767423.711679891</v>
      </c>
      <c r="H76">
        <v>59157997.768995151</v>
      </c>
      <c r="I76">
        <v>273848696.10020459</v>
      </c>
      <c r="J76">
        <v>139707899.87330452</v>
      </c>
      <c r="K76">
        <v>122969105.45481633</v>
      </c>
      <c r="L76">
        <v>518229077.95553797</v>
      </c>
      <c r="M76">
        <v>79689334.908335</v>
      </c>
      <c r="N76">
        <f t="shared" si="2"/>
        <v>0.19158887080777742</v>
      </c>
    </row>
    <row r="77" spans="1:14" x14ac:dyDescent="0.45">
      <c r="A77" t="s">
        <v>374</v>
      </c>
      <c r="B77">
        <v>47912520.745896831</v>
      </c>
      <c r="C77">
        <v>47561546.788012803</v>
      </c>
      <c r="D77">
        <v>29187078.648307819</v>
      </c>
      <c r="E77">
        <v>26943575.955209091</v>
      </c>
      <c r="F77">
        <v>50588787.662156031</v>
      </c>
      <c r="G77">
        <v>64106323.18400605</v>
      </c>
      <c r="H77">
        <v>21635294.777786814</v>
      </c>
      <c r="I77">
        <v>305651415.9615677</v>
      </c>
      <c r="J77">
        <v>65820097.635091014</v>
      </c>
      <c r="K77">
        <v>41174968.321135648</v>
      </c>
      <c r="L77">
        <v>221673819.20947099</v>
      </c>
      <c r="M77">
        <v>24703866.991388686</v>
      </c>
      <c r="N77">
        <f t="shared" si="2"/>
        <v>0.19298423145003091</v>
      </c>
    </row>
    <row r="78" spans="1:14" x14ac:dyDescent="0.45">
      <c r="A78" t="s">
        <v>99</v>
      </c>
      <c r="B78">
        <v>33629283.490368217</v>
      </c>
      <c r="C78">
        <v>162053178.61174709</v>
      </c>
      <c r="D78">
        <v>57784274.050872363</v>
      </c>
      <c r="E78">
        <v>79899043.15326719</v>
      </c>
      <c r="F78">
        <v>82704171.655816421</v>
      </c>
      <c r="G78">
        <v>70322845.572891206</v>
      </c>
      <c r="H78">
        <v>43439455.951950736</v>
      </c>
      <c r="I78">
        <v>267333780.60435683</v>
      </c>
      <c r="J78">
        <v>109153913.46383403</v>
      </c>
      <c r="K78">
        <v>100591287.75944588</v>
      </c>
      <c r="L78">
        <v>553388700.87680304</v>
      </c>
      <c r="M78">
        <v>83693297.780480623</v>
      </c>
      <c r="N78">
        <f t="shared" si="2"/>
        <v>0.19516422088029584</v>
      </c>
    </row>
    <row r="79" spans="1:14" x14ac:dyDescent="0.45">
      <c r="A79" t="s">
        <v>271</v>
      </c>
      <c r="B79">
        <v>13009621.871739144</v>
      </c>
      <c r="C79">
        <v>41993213.14600829</v>
      </c>
      <c r="D79">
        <v>32679223.53748076</v>
      </c>
      <c r="E79">
        <v>52933896.220432959</v>
      </c>
      <c r="F79">
        <v>120764885.57297219</v>
      </c>
      <c r="G79">
        <v>179888991.64687887</v>
      </c>
      <c r="H79">
        <v>40511245.501188606</v>
      </c>
      <c r="I79">
        <v>320284479.97530502</v>
      </c>
      <c r="J79">
        <v>169153815.42258814</v>
      </c>
      <c r="K79">
        <v>91708807.837850004</v>
      </c>
      <c r="L79">
        <v>154923691.372448</v>
      </c>
      <c r="M79">
        <v>69062333.530944988</v>
      </c>
      <c r="N79">
        <f t="shared" si="2"/>
        <v>0.196424642984911</v>
      </c>
    </row>
    <row r="80" spans="1:14" x14ac:dyDescent="0.45">
      <c r="A80" t="s">
        <v>176</v>
      </c>
      <c r="B80">
        <v>2592807.6785779358</v>
      </c>
      <c r="C80">
        <v>5786316.9537827065</v>
      </c>
      <c r="D80">
        <v>3787447.6880284823</v>
      </c>
      <c r="E80">
        <v>3803541.0039095287</v>
      </c>
      <c r="F80">
        <v>2193174.6891803094</v>
      </c>
      <c r="G80">
        <v>2472233.258760313</v>
      </c>
      <c r="H80">
        <v>1178142.6941295678</v>
      </c>
      <c r="I80">
        <v>10049324.789699506</v>
      </c>
      <c r="J80">
        <v>7099342.2803032054</v>
      </c>
      <c r="K80">
        <v>3873250.096848255</v>
      </c>
      <c r="L80">
        <v>22113060.1938252</v>
      </c>
      <c r="M80">
        <v>2657203.3711544126</v>
      </c>
      <c r="N80">
        <f t="shared" si="2"/>
        <v>0.19875314447821157</v>
      </c>
    </row>
    <row r="81" spans="1:14" x14ac:dyDescent="0.45">
      <c r="A81" t="s">
        <v>301</v>
      </c>
      <c r="B81">
        <v>476798520.66718829</v>
      </c>
      <c r="C81">
        <v>1754513224.0987279</v>
      </c>
      <c r="D81">
        <v>1010727160.0136167</v>
      </c>
      <c r="E81">
        <v>1317487482.8642647</v>
      </c>
      <c r="F81">
        <v>1946314532.2270844</v>
      </c>
      <c r="G81">
        <v>1116813894.6334934</v>
      </c>
      <c r="H81">
        <v>903597604.21613097</v>
      </c>
      <c r="I81">
        <v>3246667143.7106009</v>
      </c>
      <c r="J81">
        <v>2792634151.2429671</v>
      </c>
      <c r="K81">
        <v>718404632.38409674</v>
      </c>
      <c r="L81">
        <v>3563394258.9503798</v>
      </c>
      <c r="M81">
        <v>1080534126.3570936</v>
      </c>
      <c r="N81">
        <f t="shared" si="2"/>
        <v>0.2002361849415846</v>
      </c>
    </row>
    <row r="82" spans="1:14" x14ac:dyDescent="0.45">
      <c r="A82" t="s">
        <v>305</v>
      </c>
      <c r="B82">
        <v>9219423.133768972</v>
      </c>
      <c r="C82">
        <v>18417599.475878622</v>
      </c>
      <c r="D82">
        <v>10947770.03321017</v>
      </c>
      <c r="E82">
        <v>12494633.680845486</v>
      </c>
      <c r="F82">
        <v>16781230.534259968</v>
      </c>
      <c r="G82">
        <v>18747900.425593954</v>
      </c>
      <c r="H82">
        <v>8502011.6580116153</v>
      </c>
      <c r="I82">
        <v>31503502.107534666</v>
      </c>
      <c r="J82">
        <v>21871934.84259177</v>
      </c>
      <c r="K82">
        <v>17199916.768798679</v>
      </c>
      <c r="L82">
        <v>87477597.416941896</v>
      </c>
      <c r="M82">
        <v>16964003.674452126</v>
      </c>
      <c r="N82">
        <f t="shared" si="2"/>
        <v>0.20456386542447624</v>
      </c>
    </row>
    <row r="83" spans="1:14" x14ac:dyDescent="0.45">
      <c r="A83" t="s">
        <v>125</v>
      </c>
      <c r="B83">
        <v>3741465.0842356961</v>
      </c>
      <c r="C83">
        <v>19758333.552661352</v>
      </c>
      <c r="D83">
        <v>6695344.2557763951</v>
      </c>
      <c r="E83">
        <v>9601934.2479834948</v>
      </c>
      <c r="F83">
        <v>7525646.7339833062</v>
      </c>
      <c r="G83">
        <v>5747168.2309856238</v>
      </c>
      <c r="H83">
        <v>2719286.8218480623</v>
      </c>
      <c r="I83">
        <v>22156229.455110129</v>
      </c>
      <c r="J83">
        <v>26496977.844976012</v>
      </c>
      <c r="K83">
        <v>8710095.4550336376</v>
      </c>
      <c r="L83">
        <v>70788550.618041903</v>
      </c>
      <c r="M83">
        <v>7290880.1568343742</v>
      </c>
      <c r="N83">
        <f t="shared" si="2"/>
        <v>0.20740194722232955</v>
      </c>
    </row>
    <row r="84" spans="1:14" x14ac:dyDescent="0.45">
      <c r="A84" t="s">
        <v>132</v>
      </c>
      <c r="B84">
        <v>826088.19892214763</v>
      </c>
      <c r="C84">
        <v>8773602.6822259277</v>
      </c>
      <c r="D84">
        <v>1723023.384344839</v>
      </c>
      <c r="E84">
        <v>2910995.7034353702</v>
      </c>
      <c r="F84">
        <v>1876909.6847382875</v>
      </c>
      <c r="G84">
        <v>1084998.9366231491</v>
      </c>
      <c r="H84">
        <v>2512684.3546926794</v>
      </c>
      <c r="I84">
        <v>6102566.7632824993</v>
      </c>
      <c r="J84">
        <v>10063525.263980478</v>
      </c>
      <c r="K84">
        <v>5913728.6647626972</v>
      </c>
      <c r="L84">
        <v>62590840.817097299</v>
      </c>
      <c r="M84">
        <v>6724764.4345806874</v>
      </c>
      <c r="N84">
        <f t="shared" si="2"/>
        <v>0.20883682884720073</v>
      </c>
    </row>
    <row r="85" spans="1:14" x14ac:dyDescent="0.45">
      <c r="A85" t="s">
        <v>39</v>
      </c>
      <c r="B85">
        <v>34535255.143131435</v>
      </c>
      <c r="C85">
        <v>40057826.068609826</v>
      </c>
      <c r="D85">
        <v>19214103.603270512</v>
      </c>
      <c r="E85">
        <v>18097679.152390298</v>
      </c>
      <c r="F85">
        <v>25340312.057636172</v>
      </c>
      <c r="G85">
        <v>35224219.457599021</v>
      </c>
      <c r="H85">
        <v>14572664.716489911</v>
      </c>
      <c r="I85">
        <v>125203240.54133296</v>
      </c>
      <c r="J85">
        <v>32915095.076642513</v>
      </c>
      <c r="K85">
        <v>32541293.541444115</v>
      </c>
      <c r="L85">
        <v>232894167.769925</v>
      </c>
      <c r="M85">
        <v>21017885.835470937</v>
      </c>
      <c r="N85">
        <f t="shared" si="2"/>
        <v>0.20909714384191716</v>
      </c>
    </row>
    <row r="86" spans="1:14" x14ac:dyDescent="0.45">
      <c r="A86" t="s">
        <v>261</v>
      </c>
      <c r="B86">
        <v>18423346.590352893</v>
      </c>
      <c r="C86">
        <v>10112310.59164183</v>
      </c>
      <c r="D86">
        <v>19558874.260658305</v>
      </c>
      <c r="E86">
        <v>17241320.414801531</v>
      </c>
      <c r="F86">
        <v>14206097.095578207</v>
      </c>
      <c r="G86">
        <v>44149839.746968791</v>
      </c>
      <c r="H86">
        <v>7302239.5977785112</v>
      </c>
      <c r="I86">
        <v>7310782.6747104032</v>
      </c>
      <c r="J86">
        <v>17615269.607066061</v>
      </c>
      <c r="K86">
        <v>15098147.129153224</v>
      </c>
      <c r="L86">
        <v>15622474.181896901</v>
      </c>
      <c r="M86">
        <v>18269995.850738063</v>
      </c>
      <c r="N86">
        <f t="shared" si="2"/>
        <v>0.21210491567969458</v>
      </c>
    </row>
    <row r="87" spans="1:14" x14ac:dyDescent="0.45">
      <c r="A87" t="s">
        <v>108</v>
      </c>
      <c r="B87">
        <v>2649911.8804749735</v>
      </c>
      <c r="C87">
        <v>18886256.759465523</v>
      </c>
      <c r="D87">
        <v>14154876.443962542</v>
      </c>
      <c r="E87">
        <v>15638023.654724384</v>
      </c>
      <c r="F87">
        <v>20439031.274806362</v>
      </c>
      <c r="G87">
        <v>17120409.237614147</v>
      </c>
      <c r="H87">
        <v>9660502.0742606558</v>
      </c>
      <c r="I87">
        <v>18829827.679509744</v>
      </c>
      <c r="J87">
        <v>21612189.226222444</v>
      </c>
      <c r="K87">
        <v>18875373.235422976</v>
      </c>
      <c r="L87">
        <v>46637170.952535599</v>
      </c>
      <c r="M87">
        <v>18887361.30981975</v>
      </c>
      <c r="N87">
        <f t="shared" si="2"/>
        <v>0.21526624048093859</v>
      </c>
    </row>
    <row r="88" spans="1:14" x14ac:dyDescent="0.45">
      <c r="A88" t="s">
        <v>239</v>
      </c>
      <c r="B88">
        <v>1166872.0846741302</v>
      </c>
      <c r="C88">
        <v>1294540.6297014647</v>
      </c>
      <c r="D88">
        <v>1694027.1588679692</v>
      </c>
      <c r="E88">
        <v>2647405.6152457525</v>
      </c>
      <c r="F88">
        <v>1794816.8527810597</v>
      </c>
      <c r="G88">
        <v>2332906.4361493397</v>
      </c>
      <c r="H88">
        <v>1817767.4340817998</v>
      </c>
      <c r="I88">
        <v>1931700.5943361449</v>
      </c>
      <c r="J88">
        <v>3130272.9066271153</v>
      </c>
      <c r="K88">
        <v>2389225.2518257108</v>
      </c>
      <c r="L88">
        <v>12273782.604802299</v>
      </c>
      <c r="M88">
        <v>2567534.9632328688</v>
      </c>
      <c r="N88">
        <f t="shared" si="2"/>
        <v>0.22002628368117869</v>
      </c>
    </row>
    <row r="89" spans="1:14" x14ac:dyDescent="0.45">
      <c r="A89" t="s">
        <v>165</v>
      </c>
      <c r="B89">
        <v>13735877.861395547</v>
      </c>
      <c r="C89">
        <v>23040326.585696168</v>
      </c>
      <c r="D89">
        <v>29315318.600211535</v>
      </c>
      <c r="E89">
        <v>10588307.038887123</v>
      </c>
      <c r="F89">
        <v>13301026.03035723</v>
      </c>
      <c r="G89">
        <v>8722259.0352541395</v>
      </c>
      <c r="H89">
        <v>8321755.8567947578</v>
      </c>
      <c r="I89">
        <v>103078552.19968165</v>
      </c>
      <c r="J89">
        <v>45990987.99995549</v>
      </c>
      <c r="K89">
        <v>13589600.212054204</v>
      </c>
      <c r="L89">
        <v>37522327.479195103</v>
      </c>
      <c r="M89">
        <v>9278118.6678203754</v>
      </c>
      <c r="N89">
        <f t="shared" si="2"/>
        <v>0.22005330692215794</v>
      </c>
    </row>
    <row r="90" spans="1:14" x14ac:dyDescent="0.45">
      <c r="A90" t="s">
        <v>268</v>
      </c>
      <c r="B90">
        <v>19585723.416060105</v>
      </c>
      <c r="C90">
        <v>43098089.935182475</v>
      </c>
      <c r="D90">
        <v>27946062.862961125</v>
      </c>
      <c r="E90">
        <v>48422102.623526171</v>
      </c>
      <c r="F90">
        <v>34967417.587212339</v>
      </c>
      <c r="G90">
        <v>38826776.016610615</v>
      </c>
      <c r="H90">
        <v>19763299.402055349</v>
      </c>
      <c r="I90">
        <v>61008580.315974787</v>
      </c>
      <c r="J90">
        <v>61994003.058117576</v>
      </c>
      <c r="K90">
        <v>37957677.185703792</v>
      </c>
      <c r="L90">
        <v>100171770.339747</v>
      </c>
      <c r="M90">
        <v>30464098.594538439</v>
      </c>
      <c r="N90">
        <f t="shared" si="2"/>
        <v>0.2210873337991785</v>
      </c>
    </row>
    <row r="91" spans="1:14" x14ac:dyDescent="0.45">
      <c r="A91" t="s">
        <v>46</v>
      </c>
      <c r="B91">
        <v>2303999.0530518321</v>
      </c>
      <c r="C91">
        <v>8883658.6614438277</v>
      </c>
      <c r="D91">
        <v>3234149.6727605113</v>
      </c>
      <c r="E91">
        <v>2197753.2187565938</v>
      </c>
      <c r="F91">
        <v>4807709.4715127647</v>
      </c>
      <c r="G91">
        <v>3345578.6116257166</v>
      </c>
      <c r="H91">
        <v>2546453.7215823908</v>
      </c>
      <c r="I91">
        <v>6572134.2381741218</v>
      </c>
      <c r="J91">
        <v>5989290.7389764972</v>
      </c>
      <c r="K91">
        <v>7562056.5630992986</v>
      </c>
      <c r="L91">
        <v>8030607.7262609098</v>
      </c>
      <c r="M91">
        <v>4438150.6741814436</v>
      </c>
      <c r="N91">
        <f t="shared" si="2"/>
        <v>0.2215184013475178</v>
      </c>
    </row>
    <row r="92" spans="1:14" x14ac:dyDescent="0.45">
      <c r="A92" t="s">
        <v>145</v>
      </c>
      <c r="B92">
        <v>45862081.326954424</v>
      </c>
      <c r="C92">
        <v>173182008.29341316</v>
      </c>
      <c r="D92">
        <v>75635599.938126564</v>
      </c>
      <c r="E92">
        <v>44674683.492151335</v>
      </c>
      <c r="F92">
        <v>133557560.70740218</v>
      </c>
      <c r="G92">
        <v>91041952.87584962</v>
      </c>
      <c r="H92">
        <v>112880662.97760871</v>
      </c>
      <c r="I92">
        <v>257752644.72538856</v>
      </c>
      <c r="J92">
        <v>306493923.52155614</v>
      </c>
      <c r="K92">
        <v>82587810.969140187</v>
      </c>
      <c r="L92">
        <v>119094066.613297</v>
      </c>
      <c r="M92">
        <v>50209015.225947686</v>
      </c>
      <c r="N92">
        <f t="shared" si="2"/>
        <v>0.22280239350546976</v>
      </c>
    </row>
    <row r="93" spans="1:14" x14ac:dyDescent="0.45">
      <c r="A93" t="s">
        <v>334</v>
      </c>
      <c r="B93">
        <v>9113587.7048100252</v>
      </c>
      <c r="C93">
        <v>7980941.8359896792</v>
      </c>
      <c r="D93">
        <v>16270006.403844537</v>
      </c>
      <c r="E93">
        <v>4533096.3789429693</v>
      </c>
      <c r="F93">
        <v>10774769.971311374</v>
      </c>
      <c r="G93">
        <v>16769772.778704103</v>
      </c>
      <c r="H93">
        <v>8484114.6945378892</v>
      </c>
      <c r="I93">
        <v>39902306.074243061</v>
      </c>
      <c r="J93">
        <v>15704193.329892205</v>
      </c>
      <c r="K93">
        <v>17465713.909187078</v>
      </c>
      <c r="L93">
        <v>197997567.15009299</v>
      </c>
      <c r="M93">
        <v>19325720.532947436</v>
      </c>
      <c r="N93">
        <f t="shared" si="2"/>
        <v>0.2239551762989048</v>
      </c>
    </row>
    <row r="94" spans="1:14" x14ac:dyDescent="0.45">
      <c r="A94" t="s">
        <v>107</v>
      </c>
      <c r="B94">
        <v>485096.68538815505</v>
      </c>
      <c r="C94">
        <v>35519.335012878153</v>
      </c>
      <c r="D94">
        <v>418926.23157579987</v>
      </c>
      <c r="E94">
        <v>85884.06908676587</v>
      </c>
      <c r="F94">
        <v>889595.39498581365</v>
      </c>
      <c r="G94">
        <v>1276979.5205684223</v>
      </c>
      <c r="H94">
        <v>299822.9122368393</v>
      </c>
      <c r="I94">
        <v>59422.764789265151</v>
      </c>
      <c r="J94">
        <v>38468.597788490624</v>
      </c>
      <c r="K94">
        <v>381036.08897696226</v>
      </c>
      <c r="L94">
        <v>461870.01719051303</v>
      </c>
      <c r="M94">
        <v>349330.17012943618</v>
      </c>
      <c r="N94">
        <f t="shared" si="2"/>
        <v>0.22812437815325226</v>
      </c>
    </row>
    <row r="95" spans="1:14" x14ac:dyDescent="0.45">
      <c r="A95" t="s">
        <v>203</v>
      </c>
      <c r="B95">
        <v>202385279.642573</v>
      </c>
      <c r="C95">
        <v>424122521.51515704</v>
      </c>
      <c r="D95">
        <v>291066969.61230749</v>
      </c>
      <c r="E95">
        <v>356778401.15171009</v>
      </c>
      <c r="F95">
        <v>407284459.81679285</v>
      </c>
      <c r="G95">
        <v>336381718.49523497</v>
      </c>
      <c r="H95">
        <v>218023849.07087994</v>
      </c>
      <c r="I95">
        <v>461550499.73923212</v>
      </c>
      <c r="J95">
        <v>437352259.97453153</v>
      </c>
      <c r="K95">
        <v>459522885.28492719</v>
      </c>
      <c r="L95">
        <v>420025500.06060803</v>
      </c>
      <c r="M95">
        <v>406516488.44735932</v>
      </c>
      <c r="N95">
        <f t="shared" si="2"/>
        <v>0.22959529414993793</v>
      </c>
    </row>
    <row r="96" spans="1:14" x14ac:dyDescent="0.45">
      <c r="A96" t="s">
        <v>277</v>
      </c>
      <c r="B96">
        <v>33132.668513957775</v>
      </c>
      <c r="C96">
        <v>295059.17396563746</v>
      </c>
      <c r="D96">
        <v>170898.02634729751</v>
      </c>
      <c r="E96">
        <v>362625.77534847171</v>
      </c>
      <c r="F96">
        <v>223348.92172687984</v>
      </c>
      <c r="G96">
        <v>154852.94881801045</v>
      </c>
      <c r="H96">
        <v>148591.4388499074</v>
      </c>
      <c r="I96">
        <v>321859.49773098424</v>
      </c>
      <c r="J96">
        <v>494328.14040676743</v>
      </c>
      <c r="K96">
        <v>488375.18651136541</v>
      </c>
      <c r="L96">
        <v>3733337.4665907598</v>
      </c>
      <c r="M96">
        <v>377189.31976943871</v>
      </c>
      <c r="N96">
        <f t="shared" si="2"/>
        <v>0.23141908661398122</v>
      </c>
    </row>
    <row r="97" spans="1:14" x14ac:dyDescent="0.45">
      <c r="A97" t="s">
        <v>62</v>
      </c>
      <c r="B97">
        <v>19080795.154267382</v>
      </c>
      <c r="C97">
        <v>7547927.9414803805</v>
      </c>
      <c r="D97">
        <v>16107822.272625988</v>
      </c>
      <c r="E97">
        <v>20373232.098510962</v>
      </c>
      <c r="F97">
        <v>15311275.485298915</v>
      </c>
      <c r="G97">
        <v>19859238.955938991</v>
      </c>
      <c r="H97">
        <v>15470635.599548597</v>
      </c>
      <c r="I97">
        <v>9948926.6313993242</v>
      </c>
      <c r="J97">
        <v>34680725.307778709</v>
      </c>
      <c r="K97">
        <v>32112495.877072606</v>
      </c>
      <c r="L97">
        <v>54899617.049534701</v>
      </c>
      <c r="M97">
        <v>8865630.9409381244</v>
      </c>
      <c r="N97">
        <f t="shared" si="2"/>
        <v>0.2334148352100546</v>
      </c>
    </row>
    <row r="98" spans="1:14" x14ac:dyDescent="0.45">
      <c r="A98" t="s">
        <v>381</v>
      </c>
      <c r="B98">
        <v>594985077.91502428</v>
      </c>
      <c r="C98">
        <v>1486973023.9756341</v>
      </c>
      <c r="D98">
        <v>640669123.78964245</v>
      </c>
      <c r="E98">
        <v>350891360.68366176</v>
      </c>
      <c r="F98">
        <v>344079896.07684988</v>
      </c>
      <c r="G98">
        <v>220353913.48470044</v>
      </c>
      <c r="H98">
        <v>281822649.96691227</v>
      </c>
      <c r="I98">
        <v>1916702053.3958597</v>
      </c>
      <c r="J98">
        <v>1084549840.7148776</v>
      </c>
      <c r="K98">
        <v>516678421.45355588</v>
      </c>
      <c r="L98">
        <v>2665990673.5538201</v>
      </c>
      <c r="M98">
        <v>449628019.1546337</v>
      </c>
      <c r="N98">
        <f t="shared" si="2"/>
        <v>0.23462284775683434</v>
      </c>
    </row>
    <row r="99" spans="1:14" x14ac:dyDescent="0.45">
      <c r="A99" t="s">
        <v>430</v>
      </c>
      <c r="B99">
        <v>701241787.61679316</v>
      </c>
      <c r="C99">
        <v>2564751656.3432622</v>
      </c>
      <c r="D99">
        <v>1221096393.6209977</v>
      </c>
      <c r="E99">
        <v>1696367130.6307435</v>
      </c>
      <c r="F99">
        <v>1887470437.9110847</v>
      </c>
      <c r="G99">
        <v>1305672105.1829517</v>
      </c>
      <c r="H99">
        <v>1021129096.4123014</v>
      </c>
      <c r="I99">
        <v>1966128244.3067589</v>
      </c>
      <c r="J99">
        <v>2527971837.3483109</v>
      </c>
      <c r="K99">
        <v>2086749762.3542142</v>
      </c>
      <c r="L99">
        <v>2771784616.7982402</v>
      </c>
      <c r="M99">
        <v>1755672174.0250187</v>
      </c>
      <c r="N99">
        <f t="shared" si="2"/>
        <v>0.23478090948792146</v>
      </c>
    </row>
    <row r="100" spans="1:14" x14ac:dyDescent="0.45">
      <c r="A100" t="s">
        <v>265</v>
      </c>
      <c r="B100">
        <v>7956444.5015911385</v>
      </c>
      <c r="C100">
        <v>12129880.526055377</v>
      </c>
      <c r="D100">
        <v>11142366.699191786</v>
      </c>
      <c r="E100">
        <v>16448254.988543438</v>
      </c>
      <c r="F100">
        <v>7669272.4382941034</v>
      </c>
      <c r="G100">
        <v>8443478.9147417583</v>
      </c>
      <c r="H100">
        <v>2253191.9613109981</v>
      </c>
      <c r="I100">
        <v>42569779.274356671</v>
      </c>
      <c r="J100">
        <v>18360826.573105533</v>
      </c>
      <c r="K100">
        <v>16051966.857894979</v>
      </c>
      <c r="L100">
        <v>175462763.64713901</v>
      </c>
      <c r="M100">
        <v>11766870.463434061</v>
      </c>
      <c r="N100">
        <f t="shared" si="2"/>
        <v>0.23627107856402688</v>
      </c>
    </row>
    <row r="101" spans="1:14" x14ac:dyDescent="0.45">
      <c r="A101" t="s">
        <v>210</v>
      </c>
      <c r="B101">
        <v>125716371.34275237</v>
      </c>
      <c r="C101">
        <v>221858478.7871533</v>
      </c>
      <c r="D101">
        <v>182154331.80543846</v>
      </c>
      <c r="E101">
        <v>136273620.13495493</v>
      </c>
      <c r="F101">
        <v>175377650.41982847</v>
      </c>
      <c r="G101">
        <v>187952576.53934807</v>
      </c>
      <c r="H101">
        <v>98215884.844288781</v>
      </c>
      <c r="I101">
        <v>345599499.33924174</v>
      </c>
      <c r="J101">
        <v>221828590.41242859</v>
      </c>
      <c r="K101">
        <v>211672557.27239278</v>
      </c>
      <c r="L101">
        <v>1059938142.89592</v>
      </c>
      <c r="M101">
        <v>185397126.01653937</v>
      </c>
      <c r="N101">
        <f t="shared" si="2"/>
        <v>0.2393318777733737</v>
      </c>
    </row>
    <row r="102" spans="1:14" x14ac:dyDescent="0.45">
      <c r="A102" t="s">
        <v>270</v>
      </c>
      <c r="B102">
        <v>721576791.00075054</v>
      </c>
      <c r="C102">
        <v>1815939186.8840718</v>
      </c>
      <c r="D102">
        <v>1063906306.4322977</v>
      </c>
      <c r="E102">
        <v>1184902468.1681252</v>
      </c>
      <c r="F102">
        <v>1339029753.7834013</v>
      </c>
      <c r="G102">
        <v>1146023756.8884027</v>
      </c>
      <c r="H102">
        <v>171703961.35841104</v>
      </c>
      <c r="I102">
        <v>528726898.55622053</v>
      </c>
      <c r="J102">
        <v>631628274.84286618</v>
      </c>
      <c r="K102">
        <v>1262141952.263283</v>
      </c>
      <c r="L102">
        <v>1573029899.8383801</v>
      </c>
      <c r="M102">
        <v>1156143311.9868999</v>
      </c>
      <c r="N102">
        <f t="shared" si="2"/>
        <v>0.24122677792473007</v>
      </c>
    </row>
    <row r="103" spans="1:14" x14ac:dyDescent="0.45">
      <c r="A103" t="s">
        <v>103</v>
      </c>
      <c r="B103">
        <v>92328875.243763611</v>
      </c>
      <c r="C103">
        <v>657816101.9836179</v>
      </c>
      <c r="D103">
        <v>182091750.86683717</v>
      </c>
      <c r="E103">
        <v>29998786.209496964</v>
      </c>
      <c r="F103">
        <v>34570811.347607985</v>
      </c>
      <c r="G103">
        <v>26611084.963684924</v>
      </c>
      <c r="H103">
        <v>149349142.07068112</v>
      </c>
      <c r="I103">
        <v>168030523.27165535</v>
      </c>
      <c r="J103">
        <v>416935750.17474216</v>
      </c>
      <c r="K103">
        <v>490834591.47162336</v>
      </c>
      <c r="L103">
        <v>344587925.58174402</v>
      </c>
      <c r="M103">
        <v>308153292.94538808</v>
      </c>
      <c r="N103">
        <f t="shared" si="2"/>
        <v>0.24227336205906572</v>
      </c>
    </row>
    <row r="104" spans="1:14" x14ac:dyDescent="0.45">
      <c r="A104" t="s">
        <v>115</v>
      </c>
      <c r="B104">
        <v>17305391.058390468</v>
      </c>
      <c r="C104">
        <v>41976566.36018949</v>
      </c>
      <c r="D104">
        <v>19342846.543241914</v>
      </c>
      <c r="E104">
        <v>48816840.150013901</v>
      </c>
      <c r="F104">
        <v>69632395.98870036</v>
      </c>
      <c r="G104">
        <v>49133485.007677451</v>
      </c>
      <c r="H104">
        <v>16500425.395034224</v>
      </c>
      <c r="I104">
        <v>238472716.21598235</v>
      </c>
      <c r="J104">
        <v>87772607.139142796</v>
      </c>
      <c r="K104">
        <v>19056334.531564433</v>
      </c>
      <c r="L104">
        <v>142249592.21183199</v>
      </c>
      <c r="M104">
        <v>20481163.036327623</v>
      </c>
      <c r="N104">
        <f t="shared" si="2"/>
        <v>0.24329442037486926</v>
      </c>
    </row>
    <row r="105" spans="1:14" x14ac:dyDescent="0.45">
      <c r="A105" t="s">
        <v>74</v>
      </c>
      <c r="B105">
        <v>6726058.9083633488</v>
      </c>
      <c r="C105">
        <v>30911304.893108841</v>
      </c>
      <c r="D105">
        <v>11453171.852061551</v>
      </c>
      <c r="E105">
        <v>16703757.446379177</v>
      </c>
      <c r="F105">
        <v>21600862.555655297</v>
      </c>
      <c r="G105">
        <v>6088004.9077788228</v>
      </c>
      <c r="H105">
        <v>13592132.865570635</v>
      </c>
      <c r="I105">
        <v>4972190.9283729158</v>
      </c>
      <c r="J105">
        <v>30806674.021401249</v>
      </c>
      <c r="K105">
        <v>25570819.454555746</v>
      </c>
      <c r="L105">
        <v>66474078.337384298</v>
      </c>
      <c r="M105">
        <v>22767914.178342123</v>
      </c>
      <c r="N105">
        <f t="shared" si="2"/>
        <v>0.24375740350012934</v>
      </c>
    </row>
    <row r="106" spans="1:14" x14ac:dyDescent="0.45">
      <c r="A106" t="s">
        <v>66</v>
      </c>
      <c r="B106">
        <v>420908.95498638129</v>
      </c>
      <c r="C106">
        <v>695289.14591061731</v>
      </c>
      <c r="D106">
        <v>613592.44872072572</v>
      </c>
      <c r="E106">
        <v>634650.35629266943</v>
      </c>
      <c r="F106">
        <v>487710.50211760396</v>
      </c>
      <c r="G106">
        <v>689427.58902008703</v>
      </c>
      <c r="H106">
        <v>346248.56160790281</v>
      </c>
      <c r="I106">
        <v>1147928.5066633336</v>
      </c>
      <c r="J106">
        <v>416671.52257131477</v>
      </c>
      <c r="K106">
        <v>661957.87658969511</v>
      </c>
      <c r="L106">
        <v>2376005.5817413302</v>
      </c>
      <c r="M106">
        <v>871450.2513853499</v>
      </c>
      <c r="N106">
        <f t="shared" si="2"/>
        <v>0.24768421872564816</v>
      </c>
    </row>
    <row r="107" spans="1:14" x14ac:dyDescent="0.45">
      <c r="A107" t="s">
        <v>209</v>
      </c>
      <c r="B107">
        <v>221884080.07897812</v>
      </c>
      <c r="C107">
        <v>585232916.25792336</v>
      </c>
      <c r="D107">
        <v>352059874.62660944</v>
      </c>
      <c r="E107">
        <v>249264740.48409754</v>
      </c>
      <c r="F107">
        <v>318983238.94175583</v>
      </c>
      <c r="G107">
        <v>389707294.83102733</v>
      </c>
      <c r="H107">
        <v>227284574.52529576</v>
      </c>
      <c r="I107">
        <v>597479461.30011201</v>
      </c>
      <c r="J107">
        <v>402528265.31343406</v>
      </c>
      <c r="K107">
        <v>483895284.507945</v>
      </c>
      <c r="L107">
        <v>2198764244.0392399</v>
      </c>
      <c r="M107">
        <v>438154953.98950619</v>
      </c>
      <c r="N107">
        <f t="shared" si="2"/>
        <v>0.24870761501791758</v>
      </c>
    </row>
    <row r="108" spans="1:14" x14ac:dyDescent="0.45">
      <c r="A108" t="s">
        <v>281</v>
      </c>
      <c r="B108">
        <v>2446077.6706047202</v>
      </c>
      <c r="C108">
        <v>9072579.921466805</v>
      </c>
      <c r="D108">
        <v>4184156.4163731262</v>
      </c>
      <c r="E108">
        <v>3955261.0610718084</v>
      </c>
      <c r="F108">
        <v>2717926.5269030835</v>
      </c>
      <c r="G108">
        <v>4622262.1739295488</v>
      </c>
      <c r="H108">
        <v>2635345.0319840279</v>
      </c>
      <c r="I108">
        <v>352398602.75659657</v>
      </c>
      <c r="J108">
        <v>17378818.713506438</v>
      </c>
      <c r="K108">
        <v>4694717.5119650839</v>
      </c>
      <c r="L108">
        <v>59823986.056018703</v>
      </c>
      <c r="M108">
        <v>3658349.7932177121</v>
      </c>
      <c r="N108">
        <f t="shared" si="2"/>
        <v>0.25047987163849289</v>
      </c>
    </row>
    <row r="109" spans="1:14" x14ac:dyDescent="0.45">
      <c r="A109" t="s">
        <v>55</v>
      </c>
      <c r="B109">
        <v>77579926.256488085</v>
      </c>
      <c r="C109">
        <v>80539697.991359457</v>
      </c>
      <c r="D109">
        <v>89729489.468444154</v>
      </c>
      <c r="E109">
        <v>282261874.35353905</v>
      </c>
      <c r="F109">
        <v>130892631.64188506</v>
      </c>
      <c r="G109">
        <v>59306946.955451995</v>
      </c>
      <c r="H109">
        <v>62248676.383543916</v>
      </c>
      <c r="I109">
        <v>187523987.71380946</v>
      </c>
      <c r="J109">
        <v>224064779.22425345</v>
      </c>
      <c r="K109">
        <v>141743551.92055953</v>
      </c>
      <c r="L109">
        <v>536603168.85842502</v>
      </c>
      <c r="M109">
        <v>125052836.07108687</v>
      </c>
      <c r="N109">
        <f t="shared" si="2"/>
        <v>0.25270763747069674</v>
      </c>
    </row>
    <row r="110" spans="1:14" x14ac:dyDescent="0.45">
      <c r="A110" t="s">
        <v>91</v>
      </c>
      <c r="B110">
        <v>7041195.3918783125</v>
      </c>
      <c r="C110">
        <v>20795573.329238281</v>
      </c>
      <c r="D110">
        <v>11781069.248318063</v>
      </c>
      <c r="E110">
        <v>18208277.292743873</v>
      </c>
      <c r="F110">
        <v>32352656.986263879</v>
      </c>
      <c r="G110">
        <v>22762749.840062298</v>
      </c>
      <c r="H110">
        <v>11682212.633229358</v>
      </c>
      <c r="I110">
        <v>27637230.075609885</v>
      </c>
      <c r="J110">
        <v>24434442.980602022</v>
      </c>
      <c r="K110">
        <v>24687067.562476065</v>
      </c>
      <c r="L110">
        <v>46236041.467570297</v>
      </c>
      <c r="M110">
        <v>20969856.552118372</v>
      </c>
      <c r="N110">
        <f t="shared" si="2"/>
        <v>0.25407012093454739</v>
      </c>
    </row>
    <row r="111" spans="1:14" x14ac:dyDescent="0.45">
      <c r="A111" t="s">
        <v>242</v>
      </c>
      <c r="B111">
        <v>6303026.6167069944</v>
      </c>
      <c r="C111">
        <v>569779.05404208892</v>
      </c>
      <c r="D111">
        <v>6310691.779233532</v>
      </c>
      <c r="E111">
        <v>2197763.9734767387</v>
      </c>
      <c r="F111">
        <v>14250960.00393712</v>
      </c>
      <c r="G111">
        <v>19695729.320279054</v>
      </c>
      <c r="H111">
        <v>4780952.6834838828</v>
      </c>
      <c r="I111">
        <v>702811.87958752865</v>
      </c>
      <c r="J111">
        <v>1120604.7986444482</v>
      </c>
      <c r="K111">
        <v>6702492.0482560648</v>
      </c>
      <c r="L111">
        <v>7376439.4745301297</v>
      </c>
      <c r="M111">
        <v>5489099.7310960628</v>
      </c>
      <c r="N111">
        <f t="shared" si="2"/>
        <v>0.25764988729329574</v>
      </c>
    </row>
    <row r="112" spans="1:14" x14ac:dyDescent="0.45">
      <c r="A112" t="s">
        <v>310</v>
      </c>
      <c r="B112">
        <v>5236793.2141462239</v>
      </c>
      <c r="C112">
        <v>52413248.15308246</v>
      </c>
      <c r="D112">
        <v>15304720.533962073</v>
      </c>
      <c r="E112">
        <v>26547237.052944712</v>
      </c>
      <c r="F112">
        <v>13836081.227183534</v>
      </c>
      <c r="G112">
        <v>10875908.582764165</v>
      </c>
      <c r="H112">
        <v>6513450.5693446733</v>
      </c>
      <c r="I112">
        <v>32655466.195246633</v>
      </c>
      <c r="J112">
        <v>61953873.914529964</v>
      </c>
      <c r="K112">
        <v>19340178.983821169</v>
      </c>
      <c r="L112">
        <v>91527865.095997304</v>
      </c>
      <c r="M112">
        <v>18969884.99510156</v>
      </c>
      <c r="N112">
        <f t="shared" si="2"/>
        <v>0.25865234843104057</v>
      </c>
    </row>
    <row r="113" spans="1:14" x14ac:dyDescent="0.45">
      <c r="A113" t="s">
        <v>161</v>
      </c>
      <c r="B113">
        <v>10753070.23163924</v>
      </c>
      <c r="C113">
        <v>31431235.184327912</v>
      </c>
      <c r="D113">
        <v>14273231.142321268</v>
      </c>
      <c r="E113">
        <v>12640890.563724179</v>
      </c>
      <c r="F113">
        <v>32860072.98782403</v>
      </c>
      <c r="G113">
        <v>27164379.356166501</v>
      </c>
      <c r="H113">
        <v>9498625.7128223199</v>
      </c>
      <c r="I113">
        <v>38952555.752665833</v>
      </c>
      <c r="J113">
        <v>17273035.5562598</v>
      </c>
      <c r="K113">
        <v>36385173.510765299</v>
      </c>
      <c r="L113">
        <v>126186399.138854</v>
      </c>
      <c r="M113">
        <v>28045312.329220559</v>
      </c>
      <c r="N113">
        <f t="shared" si="2"/>
        <v>0.26081196866776168</v>
      </c>
    </row>
    <row r="114" spans="1:14" x14ac:dyDescent="0.45">
      <c r="A114" t="s">
        <v>371</v>
      </c>
      <c r="B114">
        <v>1494630.9366027748</v>
      </c>
      <c r="C114">
        <v>14023791.808618695</v>
      </c>
      <c r="D114">
        <v>9400101.2409837525</v>
      </c>
      <c r="E114">
        <v>15997166.281080296</v>
      </c>
      <c r="F114">
        <v>12694602.25955759</v>
      </c>
      <c r="G114">
        <v>9183424.9293363895</v>
      </c>
      <c r="H114">
        <v>7190639.5708984034</v>
      </c>
      <c r="I114">
        <v>27460386.488856349</v>
      </c>
      <c r="J114">
        <v>38125424.466808483</v>
      </c>
      <c r="K114">
        <v>6106601.2671786752</v>
      </c>
      <c r="L114">
        <v>252351587.133165</v>
      </c>
      <c r="M114">
        <v>13030552.074105436</v>
      </c>
      <c r="N114">
        <f t="shared" si="2"/>
        <v>0.26106969724912854</v>
      </c>
    </row>
    <row r="115" spans="1:14" x14ac:dyDescent="0.45">
      <c r="A115" t="s">
        <v>298</v>
      </c>
      <c r="B115">
        <v>4965645.0840968508</v>
      </c>
      <c r="C115">
        <v>31850300.673654448</v>
      </c>
      <c r="D115">
        <v>10483239.454792321</v>
      </c>
      <c r="E115">
        <v>33264395.792097565</v>
      </c>
      <c r="F115">
        <v>55281767.835740924</v>
      </c>
      <c r="G115">
        <v>15014611.946804943</v>
      </c>
      <c r="H115">
        <v>10969473.972946797</v>
      </c>
      <c r="I115">
        <v>684385583.82300794</v>
      </c>
      <c r="J115">
        <v>71565351.887182638</v>
      </c>
      <c r="K115">
        <v>35100552.506300479</v>
      </c>
      <c r="L115">
        <v>100403629.62026601</v>
      </c>
      <c r="M115">
        <v>15413398.159208251</v>
      </c>
      <c r="N115">
        <f t="shared" si="2"/>
        <v>0.26175339800706932</v>
      </c>
    </row>
    <row r="116" spans="1:14" x14ac:dyDescent="0.45">
      <c r="A116" t="s">
        <v>326</v>
      </c>
      <c r="B116">
        <v>17632373.263806451</v>
      </c>
      <c r="C116">
        <v>1396425.3599343889</v>
      </c>
      <c r="D116">
        <v>1647124.9054258952</v>
      </c>
      <c r="E116">
        <v>2047191.4155692344</v>
      </c>
      <c r="F116">
        <v>2932854.9017967358</v>
      </c>
      <c r="G116">
        <v>3913250.779328268</v>
      </c>
      <c r="H116">
        <v>1205563.9630714273</v>
      </c>
      <c r="I116">
        <v>2535186.833736876</v>
      </c>
      <c r="J116">
        <v>1618687.7499666794</v>
      </c>
      <c r="K116">
        <v>1739387.3038504554</v>
      </c>
      <c r="L116">
        <v>2754164.83191839</v>
      </c>
      <c r="M116">
        <v>1435790.055442631</v>
      </c>
      <c r="N116">
        <f t="shared" si="2"/>
        <v>0.26517567078135479</v>
      </c>
    </row>
    <row r="117" spans="1:14" x14ac:dyDescent="0.45">
      <c r="A117" t="s">
        <v>77</v>
      </c>
      <c r="B117">
        <v>44889672.715243876</v>
      </c>
      <c r="C117">
        <v>37043371.224550039</v>
      </c>
      <c r="D117">
        <v>77375901.31634751</v>
      </c>
      <c r="E117">
        <v>137084090.61784005</v>
      </c>
      <c r="F117">
        <v>34231566.971000135</v>
      </c>
      <c r="G117">
        <v>44753190.104375012</v>
      </c>
      <c r="H117">
        <v>44557556.601754464</v>
      </c>
      <c r="I117">
        <v>154520668.92051631</v>
      </c>
      <c r="J117">
        <v>119865369.25178245</v>
      </c>
      <c r="K117">
        <v>95094377.848242357</v>
      </c>
      <c r="L117">
        <v>1125795480.0392201</v>
      </c>
      <c r="M117">
        <v>56227776.931659624</v>
      </c>
      <c r="N117">
        <f t="shared" si="2"/>
        <v>0.26814714860061428</v>
      </c>
    </row>
    <row r="118" spans="1:14" x14ac:dyDescent="0.45">
      <c r="A118" t="s">
        <v>280</v>
      </c>
      <c r="B118">
        <v>8467672.9181545246</v>
      </c>
      <c r="C118">
        <v>22611890.159304034</v>
      </c>
      <c r="D118">
        <v>12428629.051419858</v>
      </c>
      <c r="E118">
        <v>13979361.795558676</v>
      </c>
      <c r="F118">
        <v>15573650.758765897</v>
      </c>
      <c r="G118">
        <v>15586295.474694518</v>
      </c>
      <c r="H118">
        <v>12242557.961401943</v>
      </c>
      <c r="I118">
        <v>11837876.994497649</v>
      </c>
      <c r="J118">
        <v>38420861.077698283</v>
      </c>
      <c r="K118">
        <v>17834525.969537325</v>
      </c>
      <c r="L118">
        <v>26682078.717165601</v>
      </c>
      <c r="M118">
        <v>14453149.184119686</v>
      </c>
      <c r="N118">
        <f t="shared" si="2"/>
        <v>0.26866196162124523</v>
      </c>
    </row>
    <row r="119" spans="1:14" x14ac:dyDescent="0.45">
      <c r="A119" t="s">
        <v>140</v>
      </c>
      <c r="B119">
        <v>11847008.904977115</v>
      </c>
      <c r="C119">
        <v>46109498.864120401</v>
      </c>
      <c r="D119">
        <v>51194884.210776925</v>
      </c>
      <c r="E119">
        <v>7054201.7758082161</v>
      </c>
      <c r="F119">
        <v>14991564.258912288</v>
      </c>
      <c r="G119">
        <v>17330166.004699852</v>
      </c>
      <c r="H119">
        <v>8060886.7444691323</v>
      </c>
      <c r="I119">
        <v>1639943961.1211562</v>
      </c>
      <c r="J119">
        <v>41777798.566505454</v>
      </c>
      <c r="K119">
        <v>17059291.640875112</v>
      </c>
      <c r="L119">
        <v>296988782.30767</v>
      </c>
      <c r="M119">
        <v>4556423.7337569501</v>
      </c>
      <c r="N119">
        <f t="shared" si="2"/>
        <v>0.26950367415581716</v>
      </c>
    </row>
    <row r="120" spans="1:14" x14ac:dyDescent="0.45">
      <c r="A120" t="s">
        <v>368</v>
      </c>
      <c r="B120">
        <v>4885762.7908451948</v>
      </c>
      <c r="C120">
        <v>29283285.118789304</v>
      </c>
      <c r="D120">
        <v>15452792.106557235</v>
      </c>
      <c r="E120">
        <v>15149714.3303743</v>
      </c>
      <c r="F120">
        <v>26848762.788069937</v>
      </c>
      <c r="G120">
        <v>18221342.55969112</v>
      </c>
      <c r="H120">
        <v>14011233.757090511</v>
      </c>
      <c r="I120">
        <v>25190395.377913527</v>
      </c>
      <c r="J120">
        <v>28233541.453420438</v>
      </c>
      <c r="K120">
        <v>27320327.766324814</v>
      </c>
      <c r="L120">
        <v>26432585.377848901</v>
      </c>
      <c r="M120">
        <v>18609735.740765184</v>
      </c>
      <c r="N120">
        <f t="shared" si="2"/>
        <v>0.27222985697198876</v>
      </c>
    </row>
    <row r="121" spans="1:14" x14ac:dyDescent="0.45">
      <c r="A121" t="s">
        <v>87</v>
      </c>
      <c r="B121">
        <v>233563528.73468104</v>
      </c>
      <c r="C121">
        <v>844497969.82802153</v>
      </c>
      <c r="D121">
        <v>418240733.69008023</v>
      </c>
      <c r="E121">
        <v>555598012.99631155</v>
      </c>
      <c r="F121">
        <v>620381607.67740667</v>
      </c>
      <c r="G121">
        <v>430062193.76477194</v>
      </c>
      <c r="H121">
        <v>311793197.64182293</v>
      </c>
      <c r="I121">
        <v>603989059.62152112</v>
      </c>
      <c r="J121">
        <v>783335324.56448448</v>
      </c>
      <c r="K121">
        <v>702556488.93230128</v>
      </c>
      <c r="L121">
        <v>945271706.48527503</v>
      </c>
      <c r="M121">
        <v>597320338.45681119</v>
      </c>
      <c r="N121">
        <f t="shared" si="2"/>
        <v>0.27543453706747151</v>
      </c>
    </row>
    <row r="122" spans="1:14" x14ac:dyDescent="0.45">
      <c r="A122" t="s">
        <v>213</v>
      </c>
      <c r="B122">
        <v>12942966.013789287</v>
      </c>
      <c r="C122">
        <v>48275680.446740381</v>
      </c>
      <c r="D122">
        <v>17905980.930414878</v>
      </c>
      <c r="E122">
        <v>21200839.926877476</v>
      </c>
      <c r="F122">
        <v>19633459.86761919</v>
      </c>
      <c r="G122">
        <v>18892257.134605877</v>
      </c>
      <c r="H122">
        <v>10948318.775436925</v>
      </c>
      <c r="I122">
        <v>74739676.078523174</v>
      </c>
      <c r="J122">
        <v>52685903.875310943</v>
      </c>
      <c r="K122">
        <v>22614986.934831571</v>
      </c>
      <c r="L122">
        <v>38418718.833892599</v>
      </c>
      <c r="M122">
        <v>16731567.134296563</v>
      </c>
      <c r="N122">
        <f t="shared" si="2"/>
        <v>0.27668331616288772</v>
      </c>
    </row>
    <row r="123" spans="1:14" x14ac:dyDescent="0.45">
      <c r="A123" t="s">
        <v>307</v>
      </c>
      <c r="B123">
        <v>984296.83724653267</v>
      </c>
      <c r="C123">
        <v>4951563.2929125307</v>
      </c>
      <c r="D123">
        <v>1341241.6702571623</v>
      </c>
      <c r="E123">
        <v>3905927.3979692394</v>
      </c>
      <c r="F123">
        <v>4009652.7196159433</v>
      </c>
      <c r="G123">
        <v>3551505.5048425165</v>
      </c>
      <c r="H123">
        <v>5173240.7222265247</v>
      </c>
      <c r="I123">
        <v>8628042.3576283958</v>
      </c>
      <c r="J123">
        <v>10333861.471294839</v>
      </c>
      <c r="K123">
        <v>7452110.0551186781</v>
      </c>
      <c r="L123">
        <v>224796706.710471</v>
      </c>
      <c r="M123">
        <v>10731015.423250375</v>
      </c>
      <c r="N123">
        <f t="shared" si="2"/>
        <v>0.27784489308726484</v>
      </c>
    </row>
    <row r="124" spans="1:14" x14ac:dyDescent="0.45">
      <c r="A124" t="s">
        <v>353</v>
      </c>
      <c r="B124">
        <v>845034.962832866</v>
      </c>
      <c r="C124">
        <v>629843.98840826866</v>
      </c>
      <c r="D124">
        <v>827911.26113370364</v>
      </c>
      <c r="E124">
        <v>169267.50924940937</v>
      </c>
      <c r="F124">
        <v>262260.19744435279</v>
      </c>
      <c r="G124">
        <v>596233.65723585675</v>
      </c>
      <c r="H124">
        <v>562471.8816723472</v>
      </c>
      <c r="I124">
        <v>668963.65053700842</v>
      </c>
      <c r="J124">
        <v>839712.96857920522</v>
      </c>
      <c r="K124">
        <v>698046.3770152959</v>
      </c>
      <c r="L124">
        <v>760545.13277377596</v>
      </c>
      <c r="M124">
        <v>638528.38143896253</v>
      </c>
      <c r="N124">
        <f t="shared" si="2"/>
        <v>0.27937867698940294</v>
      </c>
    </row>
    <row r="125" spans="1:14" x14ac:dyDescent="0.45">
      <c r="A125" t="s">
        <v>105</v>
      </c>
      <c r="B125">
        <v>12908028.79397692</v>
      </c>
      <c r="C125">
        <v>64348953.600703306</v>
      </c>
      <c r="D125">
        <v>24039697.127017964</v>
      </c>
      <c r="E125">
        <v>18580356.031063348</v>
      </c>
      <c r="F125">
        <v>40296453.5675238</v>
      </c>
      <c r="G125">
        <v>31446341.186916444</v>
      </c>
      <c r="H125">
        <v>18148061.043332461</v>
      </c>
      <c r="I125">
        <v>68785854.841110304</v>
      </c>
      <c r="J125">
        <v>37940459.401391402</v>
      </c>
      <c r="K125">
        <v>38040736.229918793</v>
      </c>
      <c r="L125">
        <v>181589200.18011501</v>
      </c>
      <c r="M125">
        <v>25405545.179973751</v>
      </c>
      <c r="N125">
        <f t="shared" si="2"/>
        <v>0.28199406291307716</v>
      </c>
    </row>
    <row r="126" spans="1:14" x14ac:dyDescent="0.45">
      <c r="A126" t="s">
        <v>379</v>
      </c>
      <c r="B126">
        <v>21809369.369018428</v>
      </c>
      <c r="C126">
        <v>36346902.967421092</v>
      </c>
      <c r="D126">
        <v>25068523.780417413</v>
      </c>
      <c r="E126">
        <v>13735101.092621852</v>
      </c>
      <c r="F126">
        <v>16477227.876243643</v>
      </c>
      <c r="G126">
        <v>15391748.764662666</v>
      </c>
      <c r="H126">
        <v>8736047.8710790295</v>
      </c>
      <c r="I126">
        <v>102756091.81897993</v>
      </c>
      <c r="J126">
        <v>20107489.137135733</v>
      </c>
      <c r="K126">
        <v>17806229.220591191</v>
      </c>
      <c r="L126">
        <v>457719338.34311497</v>
      </c>
      <c r="M126">
        <v>13059056.709904749</v>
      </c>
      <c r="N126">
        <f t="shared" si="2"/>
        <v>0.28445152132577134</v>
      </c>
    </row>
    <row r="127" spans="1:14" x14ac:dyDescent="0.45">
      <c r="A127" t="s">
        <v>170</v>
      </c>
      <c r="B127">
        <v>4069796.7476220094</v>
      </c>
      <c r="C127">
        <v>5495368.9766148292</v>
      </c>
      <c r="D127">
        <v>5492102.7317058621</v>
      </c>
      <c r="E127">
        <v>4505561.1160088712</v>
      </c>
      <c r="F127">
        <v>6039806.3435410336</v>
      </c>
      <c r="G127">
        <v>5970076.4243287668</v>
      </c>
      <c r="H127">
        <v>3273103.2126225033</v>
      </c>
      <c r="I127">
        <v>9330686.6463677511</v>
      </c>
      <c r="J127">
        <v>5435532.5765746711</v>
      </c>
      <c r="K127">
        <v>5108964.9437105106</v>
      </c>
      <c r="L127">
        <v>19993496.0282842</v>
      </c>
      <c r="M127">
        <v>5572013.2438978804</v>
      </c>
      <c r="N127">
        <f t="shared" si="2"/>
        <v>0.28503952984650516</v>
      </c>
    </row>
    <row r="128" spans="1:14" x14ac:dyDescent="0.45">
      <c r="A128" t="s">
        <v>282</v>
      </c>
      <c r="B128">
        <v>3416708.403466743</v>
      </c>
      <c r="C128">
        <v>44911948.229483061</v>
      </c>
      <c r="D128">
        <v>43194627.26728119</v>
      </c>
      <c r="E128">
        <v>12381134.452574482</v>
      </c>
      <c r="F128">
        <v>51804085.432225555</v>
      </c>
      <c r="G128">
        <v>44382510.999831468</v>
      </c>
      <c r="H128">
        <v>22134989.885419082</v>
      </c>
      <c r="I128">
        <v>64412955.735959396</v>
      </c>
      <c r="J128">
        <v>21017834.575932663</v>
      </c>
      <c r="K128">
        <v>52135470.927811839</v>
      </c>
      <c r="L128">
        <v>104611886.64763799</v>
      </c>
      <c r="M128">
        <v>38536392.274913877</v>
      </c>
      <c r="N128">
        <f t="shared" si="2"/>
        <v>0.28742662377016648</v>
      </c>
    </row>
    <row r="129" spans="1:14" x14ac:dyDescent="0.45">
      <c r="A129" t="s">
        <v>248</v>
      </c>
      <c r="B129">
        <v>10683948.511848176</v>
      </c>
      <c r="C129">
        <v>26582886.783960842</v>
      </c>
      <c r="D129">
        <v>15320620.955119288</v>
      </c>
      <c r="E129">
        <v>27087838.072036013</v>
      </c>
      <c r="F129">
        <v>19706804.737723533</v>
      </c>
      <c r="G129">
        <v>16054089.465533193</v>
      </c>
      <c r="H129">
        <v>9432934.8933072146</v>
      </c>
      <c r="I129">
        <v>904240397.09836578</v>
      </c>
      <c r="J129">
        <v>46502454.625034772</v>
      </c>
      <c r="K129">
        <v>23810362.416211911</v>
      </c>
      <c r="L129">
        <v>88283695.814796299</v>
      </c>
      <c r="M129">
        <v>18922632.722310938</v>
      </c>
      <c r="N129">
        <f t="shared" si="2"/>
        <v>0.28812766888218538</v>
      </c>
    </row>
    <row r="130" spans="1:14" x14ac:dyDescent="0.45">
      <c r="A130" t="s">
        <v>113</v>
      </c>
      <c r="B130">
        <v>1351436.753716764</v>
      </c>
      <c r="C130">
        <v>2490532.4524265495</v>
      </c>
      <c r="D130">
        <v>2739157.4035925106</v>
      </c>
      <c r="E130">
        <v>3316808.1321021719</v>
      </c>
      <c r="F130">
        <v>3280689.3985213949</v>
      </c>
      <c r="G130">
        <v>6554929.3715835083</v>
      </c>
      <c r="H130">
        <v>2057650.3586513526</v>
      </c>
      <c r="I130">
        <v>3738978.9032315249</v>
      </c>
      <c r="J130">
        <v>4826123.3621509438</v>
      </c>
      <c r="K130">
        <v>6128164.3309946675</v>
      </c>
      <c r="L130">
        <v>2730261.49176133</v>
      </c>
      <c r="M130">
        <v>7956888.0498185623</v>
      </c>
      <c r="N130">
        <f t="shared" ref="N130:N193" si="3">TTEST(B130:G130,H130:M130,2,2)</f>
        <v>0.29049395389470023</v>
      </c>
    </row>
    <row r="131" spans="1:14" x14ac:dyDescent="0.45">
      <c r="A131" t="s">
        <v>41</v>
      </c>
      <c r="B131">
        <v>665812.19771699375</v>
      </c>
      <c r="C131">
        <v>1855399.3192306801</v>
      </c>
      <c r="D131">
        <v>1855536.2464071629</v>
      </c>
      <c r="E131">
        <v>4027936.6777957748</v>
      </c>
      <c r="F131">
        <v>1637504.4237296931</v>
      </c>
      <c r="G131">
        <v>1155781.553879011</v>
      </c>
      <c r="H131">
        <v>735365.79418221058</v>
      </c>
      <c r="I131">
        <v>9919244.9404494744</v>
      </c>
      <c r="J131">
        <v>3266558.8484549904</v>
      </c>
      <c r="K131">
        <v>1358262.8613787533</v>
      </c>
      <c r="L131">
        <v>4792460.1575963097</v>
      </c>
      <c r="M131">
        <v>1147360.918412325</v>
      </c>
      <c r="N131">
        <f t="shared" si="3"/>
        <v>0.29107934865481749</v>
      </c>
    </row>
    <row r="132" spans="1:14" x14ac:dyDescent="0.45">
      <c r="A132" t="s">
        <v>78</v>
      </c>
      <c r="B132">
        <v>9581816.9789083283</v>
      </c>
      <c r="C132">
        <v>17097552.964942645</v>
      </c>
      <c r="D132">
        <v>15689402.299354708</v>
      </c>
      <c r="E132">
        <v>12522247.721144162</v>
      </c>
      <c r="F132">
        <v>16728408.306692339</v>
      </c>
      <c r="G132">
        <v>20961708.750679664</v>
      </c>
      <c r="H132">
        <v>11657780.387780774</v>
      </c>
      <c r="I132">
        <v>13722562.638940876</v>
      </c>
      <c r="J132">
        <v>18904151.256112222</v>
      </c>
      <c r="K132">
        <v>21396623.103277821</v>
      </c>
      <c r="L132">
        <v>109664984.736719</v>
      </c>
      <c r="M132">
        <v>20371072.642428063</v>
      </c>
      <c r="N132">
        <f t="shared" si="3"/>
        <v>0.29549897069857711</v>
      </c>
    </row>
    <row r="133" spans="1:14" x14ac:dyDescent="0.45">
      <c r="A133" t="s">
        <v>383</v>
      </c>
      <c r="B133">
        <v>1687851.8823064701</v>
      </c>
      <c r="C133">
        <v>3330831.5665030172</v>
      </c>
      <c r="D133">
        <v>2791600.7419696166</v>
      </c>
      <c r="E133">
        <v>3596968.9695074614</v>
      </c>
      <c r="F133">
        <v>5533797.6502321456</v>
      </c>
      <c r="G133">
        <v>4871853.6803203356</v>
      </c>
      <c r="H133">
        <v>1956962.9072196335</v>
      </c>
      <c r="I133">
        <v>4467765.0574552109</v>
      </c>
      <c r="J133">
        <v>6071628.1721250452</v>
      </c>
      <c r="K133">
        <v>4096023.6186022046</v>
      </c>
      <c r="L133">
        <v>26085511.737129901</v>
      </c>
      <c r="M133">
        <v>3927788.3198114936</v>
      </c>
      <c r="N133">
        <f t="shared" si="3"/>
        <v>0.29586121759874834</v>
      </c>
    </row>
    <row r="134" spans="1:14" x14ac:dyDescent="0.45">
      <c r="A134" t="s">
        <v>247</v>
      </c>
      <c r="B134">
        <v>508221439.34247679</v>
      </c>
      <c r="C134">
        <v>857932718.56808293</v>
      </c>
      <c r="D134">
        <v>595136087.24298584</v>
      </c>
      <c r="E134">
        <v>242473717.74363974</v>
      </c>
      <c r="F134">
        <v>363564156.74378777</v>
      </c>
      <c r="G134">
        <v>668363896.91274905</v>
      </c>
      <c r="H134">
        <v>207519129.16775376</v>
      </c>
      <c r="I134">
        <v>1455025025.209388</v>
      </c>
      <c r="J134">
        <v>488824755.21175438</v>
      </c>
      <c r="K134">
        <v>481330288.88205594</v>
      </c>
      <c r="L134">
        <v>6506444364.35495</v>
      </c>
      <c r="M134">
        <v>632236527.1285187</v>
      </c>
      <c r="N134">
        <f t="shared" si="3"/>
        <v>0.29922551335582853</v>
      </c>
    </row>
    <row r="135" spans="1:14" x14ac:dyDescent="0.45">
      <c r="A135" t="s">
        <v>112</v>
      </c>
      <c r="B135">
        <v>5450392.4442262817</v>
      </c>
      <c r="C135">
        <v>11005246.128009938</v>
      </c>
      <c r="D135">
        <v>6094839.7679036539</v>
      </c>
      <c r="E135">
        <v>7375741.6358543178</v>
      </c>
      <c r="F135">
        <v>20695992.513606712</v>
      </c>
      <c r="G135">
        <v>22034830.89173197</v>
      </c>
      <c r="H135">
        <v>8548335.0195482671</v>
      </c>
      <c r="I135">
        <v>31901142.791343436</v>
      </c>
      <c r="J135">
        <v>9282840.31674085</v>
      </c>
      <c r="K135">
        <v>16014568.734528709</v>
      </c>
      <c r="L135">
        <v>27325272.2128403</v>
      </c>
      <c r="M135">
        <v>12438853.454737125</v>
      </c>
      <c r="N135">
        <f t="shared" si="3"/>
        <v>0.30087903807496452</v>
      </c>
    </row>
    <row r="136" spans="1:14" x14ac:dyDescent="0.45">
      <c r="A136" t="s">
        <v>240</v>
      </c>
      <c r="B136">
        <v>34593156.110233426</v>
      </c>
      <c r="C136">
        <v>113532479.4349089</v>
      </c>
      <c r="D136">
        <v>60765438.151151776</v>
      </c>
      <c r="E136">
        <v>74241267.809547871</v>
      </c>
      <c r="F136">
        <v>91953800.454657167</v>
      </c>
      <c r="G136">
        <v>73827218.496565461</v>
      </c>
      <c r="H136">
        <v>46923208.663354017</v>
      </c>
      <c r="I136">
        <v>103940342.71995795</v>
      </c>
      <c r="J136">
        <v>142447542.90646714</v>
      </c>
      <c r="K136">
        <v>85458934.151698142</v>
      </c>
      <c r="L136">
        <v>95929869.493262202</v>
      </c>
      <c r="M136">
        <v>83593939.939314991</v>
      </c>
      <c r="N136">
        <f t="shared" si="3"/>
        <v>0.30289510523328872</v>
      </c>
    </row>
    <row r="137" spans="1:14" x14ac:dyDescent="0.45">
      <c r="A137" t="s">
        <v>146</v>
      </c>
      <c r="B137">
        <v>1798626.3168936423</v>
      </c>
      <c r="C137">
        <v>5206718.4423884163</v>
      </c>
      <c r="D137">
        <v>4122163.6938762176</v>
      </c>
      <c r="E137">
        <v>3498070.0044470299</v>
      </c>
      <c r="F137">
        <v>4934072.4161577364</v>
      </c>
      <c r="G137">
        <v>4531466.545985912</v>
      </c>
      <c r="H137">
        <v>2182062.119260422</v>
      </c>
      <c r="I137">
        <v>5419303.947579748</v>
      </c>
      <c r="J137">
        <v>6382040.2477559056</v>
      </c>
      <c r="K137">
        <v>4416998.913289954</v>
      </c>
      <c r="L137">
        <v>16635324.7684674</v>
      </c>
      <c r="M137">
        <v>3308004.2211337308</v>
      </c>
      <c r="N137">
        <f t="shared" si="3"/>
        <v>0.30486670932673465</v>
      </c>
    </row>
    <row r="138" spans="1:14" x14ac:dyDescent="0.45">
      <c r="A138" t="s">
        <v>258</v>
      </c>
      <c r="B138">
        <v>126783.80886410025</v>
      </c>
      <c r="C138">
        <v>44731493.851509154</v>
      </c>
      <c r="D138">
        <v>834481.26196908054</v>
      </c>
      <c r="E138">
        <v>759655.20956166124</v>
      </c>
      <c r="F138">
        <v>750998.72990583861</v>
      </c>
      <c r="G138">
        <v>799077.43828803324</v>
      </c>
      <c r="H138">
        <v>377257.27199069504</v>
      </c>
      <c r="I138">
        <v>200171415.18426892</v>
      </c>
      <c r="J138">
        <v>29169406.649099577</v>
      </c>
      <c r="K138">
        <v>1005879.6183062036</v>
      </c>
      <c r="L138">
        <v>3081056238.56142</v>
      </c>
      <c r="M138">
        <v>3119168.0652959496</v>
      </c>
      <c r="N138">
        <f t="shared" si="3"/>
        <v>0.3078626535289371</v>
      </c>
    </row>
    <row r="139" spans="1:14" x14ac:dyDescent="0.45">
      <c r="A139" t="s">
        <v>130</v>
      </c>
      <c r="B139">
        <v>277766688.96086615</v>
      </c>
      <c r="C139">
        <v>526473085.62482435</v>
      </c>
      <c r="D139">
        <v>387220575.76270235</v>
      </c>
      <c r="E139">
        <v>707391849.4802146</v>
      </c>
      <c r="F139">
        <v>268410419.34449002</v>
      </c>
      <c r="G139">
        <v>310850635.40444791</v>
      </c>
      <c r="H139">
        <v>231498018.61159432</v>
      </c>
      <c r="I139">
        <v>674136003.51408315</v>
      </c>
      <c r="J139">
        <v>616036255.64044845</v>
      </c>
      <c r="K139">
        <v>577745696.34709847</v>
      </c>
      <c r="L139">
        <v>5823717000.5795002</v>
      </c>
      <c r="M139">
        <v>318499802.73192626</v>
      </c>
      <c r="N139">
        <f t="shared" si="3"/>
        <v>0.30871213922730029</v>
      </c>
    </row>
    <row r="140" spans="1:14" x14ac:dyDescent="0.45">
      <c r="A140" t="s">
        <v>84</v>
      </c>
      <c r="B140">
        <v>36237192.91336187</v>
      </c>
      <c r="C140">
        <v>53402607.292395435</v>
      </c>
      <c r="D140">
        <v>34829467.455975369</v>
      </c>
      <c r="E140">
        <v>2206607.8884830489</v>
      </c>
      <c r="F140">
        <v>13749817.386962121</v>
      </c>
      <c r="G140">
        <v>22975032.752837278</v>
      </c>
      <c r="H140">
        <v>12914127.035089301</v>
      </c>
      <c r="I140">
        <v>106727126.4833255</v>
      </c>
      <c r="J140">
        <v>36059590.840106122</v>
      </c>
      <c r="K140">
        <v>19363255.237869121</v>
      </c>
      <c r="L140">
        <v>597797994.979599</v>
      </c>
      <c r="M140">
        <v>3075230.9964736747</v>
      </c>
      <c r="N140">
        <f t="shared" si="3"/>
        <v>0.30876578665614229</v>
      </c>
    </row>
    <row r="141" spans="1:14" x14ac:dyDescent="0.45">
      <c r="A141" t="s">
        <v>279</v>
      </c>
      <c r="B141">
        <v>73902395.480801046</v>
      </c>
      <c r="C141">
        <v>323400830.37212402</v>
      </c>
      <c r="D141">
        <v>130076130.60464565</v>
      </c>
      <c r="E141">
        <v>166687116.46043658</v>
      </c>
      <c r="F141">
        <v>224127538.40320379</v>
      </c>
      <c r="G141">
        <v>168478886.80720416</v>
      </c>
      <c r="H141">
        <v>109968847.66374849</v>
      </c>
      <c r="I141">
        <v>143141533.8903375</v>
      </c>
      <c r="J141">
        <v>288950257.16778713</v>
      </c>
      <c r="K141">
        <v>269092335.02610022</v>
      </c>
      <c r="L141">
        <v>479597444.46562999</v>
      </c>
      <c r="M141">
        <v>209072385.058575</v>
      </c>
      <c r="N141">
        <f t="shared" si="3"/>
        <v>0.30906372162952467</v>
      </c>
    </row>
    <row r="142" spans="1:14" x14ac:dyDescent="0.45">
      <c r="A142" t="s">
        <v>220</v>
      </c>
      <c r="B142">
        <v>34731887.011816658</v>
      </c>
      <c r="C142">
        <v>230247603.65918586</v>
      </c>
      <c r="D142">
        <v>86546633.241618454</v>
      </c>
      <c r="E142">
        <v>216053484.37482837</v>
      </c>
      <c r="F142">
        <v>276694409.87683535</v>
      </c>
      <c r="G142">
        <v>244321368.48284858</v>
      </c>
      <c r="H142">
        <v>136983768.24535838</v>
      </c>
      <c r="I142">
        <v>32261265.622352667</v>
      </c>
      <c r="J142">
        <v>258329590.48933005</v>
      </c>
      <c r="K142">
        <v>158953649.28408349</v>
      </c>
      <c r="L142">
        <v>8654922.9846343193</v>
      </c>
      <c r="M142">
        <v>144887760.34108812</v>
      </c>
      <c r="N142">
        <f t="shared" si="3"/>
        <v>0.31057220298512056</v>
      </c>
    </row>
    <row r="143" spans="1:14" x14ac:dyDescent="0.45">
      <c r="A143" t="s">
        <v>76</v>
      </c>
      <c r="B143">
        <v>139756906.78466645</v>
      </c>
      <c r="C143">
        <v>454253160.69731581</v>
      </c>
      <c r="D143">
        <v>168177068.65917718</v>
      </c>
      <c r="E143">
        <v>189671107.29573068</v>
      </c>
      <c r="F143">
        <v>275714101.36540306</v>
      </c>
      <c r="G143">
        <v>204798681.22868001</v>
      </c>
      <c r="H143">
        <v>171310339.5484353</v>
      </c>
      <c r="I143">
        <v>298135537.91305119</v>
      </c>
      <c r="J143">
        <v>338891331.46840388</v>
      </c>
      <c r="K143">
        <v>286307316.58631712</v>
      </c>
      <c r="L143">
        <v>372738473.450854</v>
      </c>
      <c r="M143">
        <v>315545277.21674371</v>
      </c>
      <c r="N143">
        <f t="shared" si="3"/>
        <v>0.3109177295849655</v>
      </c>
    </row>
    <row r="144" spans="1:14" x14ac:dyDescent="0.45">
      <c r="A144" t="s">
        <v>110</v>
      </c>
      <c r="B144">
        <v>16700992.938399252</v>
      </c>
      <c r="C144">
        <v>5901944.0946749672</v>
      </c>
      <c r="D144">
        <v>22306117.087946881</v>
      </c>
      <c r="E144">
        <v>11078155.514156085</v>
      </c>
      <c r="F144">
        <v>24934922.795991704</v>
      </c>
      <c r="G144">
        <v>24896955.044253573</v>
      </c>
      <c r="H144">
        <v>11322676.524997959</v>
      </c>
      <c r="I144">
        <v>23259932.018817458</v>
      </c>
      <c r="J144">
        <v>26231971.705546807</v>
      </c>
      <c r="K144">
        <v>29081359.17333746</v>
      </c>
      <c r="L144">
        <v>69538836.644035205</v>
      </c>
      <c r="M144">
        <v>7663533.6022997489</v>
      </c>
      <c r="N144">
        <f t="shared" si="3"/>
        <v>0.31143336877235028</v>
      </c>
    </row>
    <row r="145" spans="1:14" x14ac:dyDescent="0.45">
      <c r="A145" t="s">
        <v>318</v>
      </c>
      <c r="B145">
        <v>11050235.618715011</v>
      </c>
      <c r="C145">
        <v>30993342.012194987</v>
      </c>
      <c r="D145">
        <v>12661615.968146922</v>
      </c>
      <c r="E145">
        <v>20473427.777489707</v>
      </c>
      <c r="F145">
        <v>12603992.46035986</v>
      </c>
      <c r="G145">
        <v>24087536.064652666</v>
      </c>
      <c r="H145">
        <v>13603988.516427558</v>
      </c>
      <c r="I145">
        <v>62235885.68732252</v>
      </c>
      <c r="J145">
        <v>35779336.975713082</v>
      </c>
      <c r="K145">
        <v>27293999.949562211</v>
      </c>
      <c r="L145">
        <v>17432288.034693401</v>
      </c>
      <c r="M145">
        <v>10028407.090578312</v>
      </c>
      <c r="N145">
        <f t="shared" si="3"/>
        <v>0.31269189533345088</v>
      </c>
    </row>
    <row r="146" spans="1:14" x14ac:dyDescent="0.45">
      <c r="A146" t="s">
        <v>79</v>
      </c>
      <c r="B146">
        <v>2657925.5033091619</v>
      </c>
      <c r="C146">
        <v>7523267.4330990622</v>
      </c>
      <c r="D146">
        <v>4850903.1404555598</v>
      </c>
      <c r="E146">
        <v>4666604.4637772143</v>
      </c>
      <c r="F146">
        <v>4853029.0725705437</v>
      </c>
      <c r="G146">
        <v>4422085.7770703966</v>
      </c>
      <c r="H146">
        <v>3265822.5450232518</v>
      </c>
      <c r="I146">
        <v>11165996.227195291</v>
      </c>
      <c r="J146">
        <v>7750163.1837460957</v>
      </c>
      <c r="K146">
        <v>6591980.2288246937</v>
      </c>
      <c r="L146">
        <v>176829348.68492201</v>
      </c>
      <c r="M146">
        <v>4285110.950864506</v>
      </c>
      <c r="N146">
        <f t="shared" si="3"/>
        <v>0.31332796201495039</v>
      </c>
    </row>
    <row r="147" spans="1:14" x14ac:dyDescent="0.45">
      <c r="A147" t="s">
        <v>144</v>
      </c>
      <c r="B147">
        <v>12852944.143514778</v>
      </c>
      <c r="C147">
        <v>23519206.699014205</v>
      </c>
      <c r="D147">
        <v>13886647.939850049</v>
      </c>
      <c r="E147">
        <v>16405237.273928931</v>
      </c>
      <c r="F147">
        <v>24393275.153832</v>
      </c>
      <c r="G147">
        <v>22384884.788373072</v>
      </c>
      <c r="H147">
        <v>12019858.67893854</v>
      </c>
      <c r="I147">
        <v>21380669.788526773</v>
      </c>
      <c r="J147">
        <v>27651259.023861356</v>
      </c>
      <c r="K147">
        <v>22995607.292682648</v>
      </c>
      <c r="L147">
        <v>28544050.176762599</v>
      </c>
      <c r="M147">
        <v>21176855.718313437</v>
      </c>
      <c r="N147">
        <f t="shared" si="3"/>
        <v>0.31486760813929771</v>
      </c>
    </row>
    <row r="148" spans="1:14" x14ac:dyDescent="0.45">
      <c r="A148" t="s">
        <v>263</v>
      </c>
      <c r="B148">
        <v>24868158.883506294</v>
      </c>
      <c r="C148">
        <v>51288942.000993863</v>
      </c>
      <c r="D148">
        <v>50066897.702028349</v>
      </c>
      <c r="E148">
        <v>37481526.402833492</v>
      </c>
      <c r="F148">
        <v>61975087.187067054</v>
      </c>
      <c r="G148">
        <v>127220022.7541399</v>
      </c>
      <c r="H148">
        <v>33982133.682625264</v>
      </c>
      <c r="I148">
        <v>201273082.55791795</v>
      </c>
      <c r="J148">
        <v>101315127.4540609</v>
      </c>
      <c r="K148">
        <v>78888157.997270972</v>
      </c>
      <c r="L148">
        <v>55854790.418788299</v>
      </c>
      <c r="M148">
        <v>61712391.501587935</v>
      </c>
      <c r="N148">
        <f t="shared" si="3"/>
        <v>0.31498787832012526</v>
      </c>
    </row>
    <row r="149" spans="1:14" x14ac:dyDescent="0.45">
      <c r="A149" t="s">
        <v>241</v>
      </c>
      <c r="B149">
        <v>10393084.166169012</v>
      </c>
      <c r="C149">
        <v>37118465.442285411</v>
      </c>
      <c r="D149">
        <v>20017923.924934145</v>
      </c>
      <c r="E149">
        <v>21647420.726248544</v>
      </c>
      <c r="F149">
        <v>27608169.638467129</v>
      </c>
      <c r="G149">
        <v>25952111.456848107</v>
      </c>
      <c r="H149">
        <v>15354282.141234353</v>
      </c>
      <c r="I149">
        <v>29826347.922335606</v>
      </c>
      <c r="J149">
        <v>35671465.303810462</v>
      </c>
      <c r="K149">
        <v>26808368.54351959</v>
      </c>
      <c r="L149">
        <v>55801730.586988099</v>
      </c>
      <c r="M149">
        <v>22152831.81617175</v>
      </c>
      <c r="N149">
        <f t="shared" si="3"/>
        <v>0.3158496103182406</v>
      </c>
    </row>
    <row r="150" spans="1:14" x14ac:dyDescent="0.45">
      <c r="A150" t="s">
        <v>114</v>
      </c>
      <c r="B150">
        <v>50991613.512783803</v>
      </c>
      <c r="C150">
        <v>156307066.94043937</v>
      </c>
      <c r="D150">
        <v>53445374.385921933</v>
      </c>
      <c r="E150">
        <v>54291628.995768398</v>
      </c>
      <c r="F150">
        <v>53577255.33447627</v>
      </c>
      <c r="G150">
        <v>56378071.144595988</v>
      </c>
      <c r="H150">
        <v>29443859.109298728</v>
      </c>
      <c r="I150">
        <v>166291241.1635541</v>
      </c>
      <c r="J150">
        <v>160238876.38990837</v>
      </c>
      <c r="K150">
        <v>77420694.30788058</v>
      </c>
      <c r="L150">
        <v>126616202.33033</v>
      </c>
      <c r="M150">
        <v>49313807.25699874</v>
      </c>
      <c r="N150">
        <f t="shared" si="3"/>
        <v>0.31729333598875692</v>
      </c>
    </row>
    <row r="151" spans="1:14" x14ac:dyDescent="0.45">
      <c r="A151" t="s">
        <v>234</v>
      </c>
      <c r="B151">
        <v>39422089.570591189</v>
      </c>
      <c r="C151">
        <v>24466126.970583782</v>
      </c>
      <c r="D151">
        <v>18815344.123653967</v>
      </c>
      <c r="E151">
        <v>8850857.4282607734</v>
      </c>
      <c r="F151">
        <v>14973991.941652089</v>
      </c>
      <c r="G151">
        <v>18601664.931225765</v>
      </c>
      <c r="H151">
        <v>15650087.828086391</v>
      </c>
      <c r="I151">
        <v>17137406.464142445</v>
      </c>
      <c r="J151">
        <v>16095515.088373857</v>
      </c>
      <c r="K151">
        <v>12817059.9936003</v>
      </c>
      <c r="L151">
        <v>23486464.639012702</v>
      </c>
      <c r="M151">
        <v>11309322.463886499</v>
      </c>
      <c r="N151">
        <f t="shared" si="3"/>
        <v>0.32412031640553673</v>
      </c>
    </row>
    <row r="152" spans="1:14" x14ac:dyDescent="0.45">
      <c r="A152" t="s">
        <v>304</v>
      </c>
      <c r="B152">
        <v>861662424.76016462</v>
      </c>
      <c r="C152">
        <v>448981147.66504312</v>
      </c>
      <c r="D152">
        <v>940663145.95803344</v>
      </c>
      <c r="E152">
        <v>405401434.94423878</v>
      </c>
      <c r="F152">
        <v>787853777.56185246</v>
      </c>
      <c r="G152">
        <v>1054940782.1462221</v>
      </c>
      <c r="H152">
        <v>606840790.387447</v>
      </c>
      <c r="I152">
        <v>104587015.17674658</v>
      </c>
      <c r="J152">
        <v>498204823.87341392</v>
      </c>
      <c r="K152">
        <v>1013204468.6478171</v>
      </c>
      <c r="L152">
        <v>444112266.48849899</v>
      </c>
      <c r="M152">
        <v>794168204.86870623</v>
      </c>
      <c r="N152">
        <f t="shared" si="3"/>
        <v>0.32482383440424001</v>
      </c>
    </row>
    <row r="153" spans="1:14" x14ac:dyDescent="0.45">
      <c r="A153" t="s">
        <v>435</v>
      </c>
      <c r="B153">
        <v>14747290.435725028</v>
      </c>
      <c r="C153">
        <v>36134955.840512954</v>
      </c>
      <c r="D153">
        <v>19311558.415981732</v>
      </c>
      <c r="E153">
        <v>133174938.04001004</v>
      </c>
      <c r="F153">
        <v>36201051.726105839</v>
      </c>
      <c r="G153">
        <v>36479348.807293586</v>
      </c>
      <c r="H153">
        <v>22321823.107288223</v>
      </c>
      <c r="I153">
        <v>62530744.346058004</v>
      </c>
      <c r="J153">
        <v>74345274.909531832</v>
      </c>
      <c r="K153">
        <v>49847927.781951688</v>
      </c>
      <c r="L153">
        <v>485889742.57856399</v>
      </c>
      <c r="M153">
        <v>46374272.581013054</v>
      </c>
      <c r="N153">
        <f t="shared" si="3"/>
        <v>0.325386139965263</v>
      </c>
    </row>
    <row r="154" spans="1:14" x14ac:dyDescent="0.45">
      <c r="A154" t="s">
        <v>44</v>
      </c>
      <c r="B154">
        <v>1211016.6160526192</v>
      </c>
      <c r="C154">
        <v>7177949.6619753139</v>
      </c>
      <c r="D154">
        <v>1832078.6922090461</v>
      </c>
      <c r="E154">
        <v>2481833.5671570748</v>
      </c>
      <c r="F154">
        <v>3460320.7938704649</v>
      </c>
      <c r="G154">
        <v>2248047.472849247</v>
      </c>
      <c r="H154">
        <v>1964006.0197041535</v>
      </c>
      <c r="I154">
        <v>6490541.1582607999</v>
      </c>
      <c r="J154">
        <v>5964540.7487367513</v>
      </c>
      <c r="K154">
        <v>3491180.4068937586</v>
      </c>
      <c r="L154">
        <v>5731471.99580542</v>
      </c>
      <c r="M154">
        <v>2184030.3118890375</v>
      </c>
      <c r="N154">
        <f t="shared" si="3"/>
        <v>0.32760405907606416</v>
      </c>
    </row>
    <row r="155" spans="1:14" x14ac:dyDescent="0.45">
      <c r="A155" t="s">
        <v>330</v>
      </c>
      <c r="B155">
        <v>18128551.47656351</v>
      </c>
      <c r="C155">
        <v>37629470.158999033</v>
      </c>
      <c r="D155">
        <v>32337806.754479472</v>
      </c>
      <c r="E155">
        <v>36198684.381148428</v>
      </c>
      <c r="F155">
        <v>71683620.494077489</v>
      </c>
      <c r="G155">
        <v>66479214.810971014</v>
      </c>
      <c r="H155">
        <v>17890969.788594261</v>
      </c>
      <c r="I155">
        <v>59314840.063598074</v>
      </c>
      <c r="J155">
        <v>35659916.049267277</v>
      </c>
      <c r="K155">
        <v>64877432.37182159</v>
      </c>
      <c r="L155">
        <v>954153628.565166</v>
      </c>
      <c r="M155">
        <v>65008048.289167494</v>
      </c>
      <c r="N155">
        <f t="shared" si="3"/>
        <v>0.3277742711068472</v>
      </c>
    </row>
    <row r="156" spans="1:14" x14ac:dyDescent="0.45">
      <c r="A156" t="s">
        <v>316</v>
      </c>
      <c r="B156">
        <v>3272838.379732918</v>
      </c>
      <c r="C156">
        <v>12337842.610685781</v>
      </c>
      <c r="D156">
        <v>7371378.9256715737</v>
      </c>
      <c r="E156">
        <v>9278449.281334212</v>
      </c>
      <c r="F156">
        <v>11409005.546166573</v>
      </c>
      <c r="G156">
        <v>7974424.1551088979</v>
      </c>
      <c r="H156">
        <v>6471163.9165154016</v>
      </c>
      <c r="I156">
        <v>7632662.3745187595</v>
      </c>
      <c r="J156">
        <v>15310375.314662619</v>
      </c>
      <c r="K156">
        <v>12676938.749630332</v>
      </c>
      <c r="L156">
        <v>11667186.574232301</v>
      </c>
      <c r="M156">
        <v>9499200.3935448751</v>
      </c>
      <c r="N156">
        <f t="shared" si="3"/>
        <v>0.33017624660056943</v>
      </c>
    </row>
    <row r="157" spans="1:14" x14ac:dyDescent="0.45">
      <c r="A157" t="s">
        <v>218</v>
      </c>
      <c r="B157">
        <v>12798246.271291951</v>
      </c>
      <c r="C157">
        <v>73611873.12159577</v>
      </c>
      <c r="D157">
        <v>31325675.875061594</v>
      </c>
      <c r="E157">
        <v>21614906.259225897</v>
      </c>
      <c r="F157">
        <v>22132571.825157568</v>
      </c>
      <c r="G157">
        <v>14705383.034532554</v>
      </c>
      <c r="H157">
        <v>9288376.1088496353</v>
      </c>
      <c r="I157">
        <v>101199171.69131945</v>
      </c>
      <c r="J157">
        <v>70777089.424289107</v>
      </c>
      <c r="K157">
        <v>19759546.943661548</v>
      </c>
      <c r="L157">
        <v>74124945.130036101</v>
      </c>
      <c r="M157">
        <v>13575740.862017937</v>
      </c>
      <c r="N157">
        <f t="shared" si="3"/>
        <v>0.33022245807082229</v>
      </c>
    </row>
    <row r="158" spans="1:14" x14ac:dyDescent="0.45">
      <c r="A158" t="s">
        <v>363</v>
      </c>
      <c r="B158">
        <v>164440409.12437811</v>
      </c>
      <c r="C158">
        <v>255506666.04692975</v>
      </c>
      <c r="D158">
        <v>77749862.348064885</v>
      </c>
      <c r="E158">
        <v>117706944.31454968</v>
      </c>
      <c r="F158">
        <v>93420190.751996502</v>
      </c>
      <c r="G158">
        <v>88870863.727985367</v>
      </c>
      <c r="H158">
        <v>67392430.851919755</v>
      </c>
      <c r="I158">
        <v>485905574.42873019</v>
      </c>
      <c r="J158">
        <v>164186413.62882406</v>
      </c>
      <c r="K158">
        <v>96831998.988894224</v>
      </c>
      <c r="L158">
        <v>13057207181.755501</v>
      </c>
      <c r="M158">
        <v>96429454.979683116</v>
      </c>
      <c r="N158">
        <f t="shared" si="3"/>
        <v>0.33068908653419482</v>
      </c>
    </row>
    <row r="159" spans="1:14" x14ac:dyDescent="0.45">
      <c r="A159" t="s">
        <v>287</v>
      </c>
      <c r="B159">
        <v>18930260.319821406</v>
      </c>
      <c r="C159">
        <v>167525331.6369406</v>
      </c>
      <c r="D159">
        <v>17154958.618221067</v>
      </c>
      <c r="E159">
        <v>20491234.857039385</v>
      </c>
      <c r="F159">
        <v>199167291.87526652</v>
      </c>
      <c r="G159">
        <v>16886140.379888434</v>
      </c>
      <c r="H159">
        <v>42130949.292044193</v>
      </c>
      <c r="I159">
        <v>417273326.59826583</v>
      </c>
      <c r="J159">
        <v>20553123.495677777</v>
      </c>
      <c r="K159">
        <v>117286747.14670672</v>
      </c>
      <c r="L159">
        <v>282074327.754673</v>
      </c>
      <c r="M159">
        <v>22554514.932485435</v>
      </c>
      <c r="N159">
        <f t="shared" si="3"/>
        <v>0.33261758162472799</v>
      </c>
    </row>
    <row r="160" spans="1:14" x14ac:dyDescent="0.45">
      <c r="A160" t="s">
        <v>208</v>
      </c>
      <c r="B160">
        <v>718792.8097968665</v>
      </c>
      <c r="C160">
        <v>11757200.342161193</v>
      </c>
      <c r="D160">
        <v>2941870.2208600431</v>
      </c>
      <c r="E160">
        <v>9524690.4678722285</v>
      </c>
      <c r="F160">
        <v>33453311.108660258</v>
      </c>
      <c r="G160">
        <v>8624509.6542119533</v>
      </c>
      <c r="H160">
        <v>2494080.272320806</v>
      </c>
      <c r="I160">
        <v>453913.58094603318</v>
      </c>
      <c r="J160">
        <v>9956651.0158319399</v>
      </c>
      <c r="K160">
        <v>9315035.5873269122</v>
      </c>
      <c r="L160">
        <v>5732526.6490716403</v>
      </c>
      <c r="M160">
        <v>8564148.515795812</v>
      </c>
      <c r="N160">
        <f t="shared" si="3"/>
        <v>0.33605735069713605</v>
      </c>
    </row>
    <row r="161" spans="1:14" x14ac:dyDescent="0.45">
      <c r="A161" t="s">
        <v>143</v>
      </c>
      <c r="B161">
        <v>123366398.29550099</v>
      </c>
      <c r="C161">
        <v>850404996.36908269</v>
      </c>
      <c r="D161">
        <v>256052829.18275875</v>
      </c>
      <c r="E161">
        <v>350707022.90135777</v>
      </c>
      <c r="F161">
        <v>396859845.82535231</v>
      </c>
      <c r="G161">
        <v>225741868.67345166</v>
      </c>
      <c r="H161">
        <v>283681170.03811145</v>
      </c>
      <c r="I161">
        <v>685425682.3562721</v>
      </c>
      <c r="J161">
        <v>701302473.8002826</v>
      </c>
      <c r="K161">
        <v>419314959.26419431</v>
      </c>
      <c r="L161">
        <v>674296739.65254498</v>
      </c>
      <c r="M161">
        <v>255646418.78775001</v>
      </c>
      <c r="N161">
        <f t="shared" si="3"/>
        <v>0.33632205592671682</v>
      </c>
    </row>
    <row r="162" spans="1:14" x14ac:dyDescent="0.45">
      <c r="A162" t="s">
        <v>332</v>
      </c>
      <c r="B162">
        <v>356949034.66651982</v>
      </c>
      <c r="C162">
        <v>440451953.43411756</v>
      </c>
      <c r="D162">
        <v>322057920.87805748</v>
      </c>
      <c r="E162">
        <v>251184589.79921564</v>
      </c>
      <c r="F162">
        <v>265702744.92557687</v>
      </c>
      <c r="G162">
        <v>431310427.49399042</v>
      </c>
      <c r="H162">
        <v>28582399.266204819</v>
      </c>
      <c r="I162">
        <v>582038842.6836226</v>
      </c>
      <c r="J162">
        <v>79953568.756164461</v>
      </c>
      <c r="K162">
        <v>367753723.57535076</v>
      </c>
      <c r="L162">
        <v>359702479.98730201</v>
      </c>
      <c r="M162">
        <v>63854973.880060621</v>
      </c>
      <c r="N162">
        <f t="shared" si="3"/>
        <v>0.3368834893546101</v>
      </c>
    </row>
    <row r="163" spans="1:14" x14ac:dyDescent="0.45">
      <c r="A163" t="s">
        <v>431</v>
      </c>
      <c r="B163">
        <v>39723418.463437289</v>
      </c>
      <c r="C163">
        <v>54211882.122204728</v>
      </c>
      <c r="D163">
        <v>42248214.574412122</v>
      </c>
      <c r="E163">
        <v>79370543.034309208</v>
      </c>
      <c r="F163">
        <v>66847582.715222724</v>
      </c>
      <c r="G163">
        <v>78059053.063219532</v>
      </c>
      <c r="H163">
        <v>29082975.08392923</v>
      </c>
      <c r="I163">
        <v>4303449.3229955509</v>
      </c>
      <c r="J163">
        <v>92898644.414724141</v>
      </c>
      <c r="K163">
        <v>65007041.778751709</v>
      </c>
      <c r="L163">
        <v>27345119.641146801</v>
      </c>
      <c r="M163">
        <v>53343925.420175247</v>
      </c>
      <c r="N163">
        <f t="shared" si="3"/>
        <v>0.33979222338952408</v>
      </c>
    </row>
    <row r="164" spans="1:14" x14ac:dyDescent="0.45">
      <c r="A164" t="s">
        <v>244</v>
      </c>
      <c r="B164">
        <v>35507996.701768689</v>
      </c>
      <c r="C164">
        <v>56716928.813317493</v>
      </c>
      <c r="D164">
        <v>57514571.97183504</v>
      </c>
      <c r="E164">
        <v>32687544.977246944</v>
      </c>
      <c r="F164">
        <v>50323462.367455371</v>
      </c>
      <c r="G164">
        <v>42207170.474888936</v>
      </c>
      <c r="H164">
        <v>23398120.949541751</v>
      </c>
      <c r="I164">
        <v>50307206.948845141</v>
      </c>
      <c r="J164">
        <v>72567772.57749334</v>
      </c>
      <c r="K164">
        <v>49570927.885586783</v>
      </c>
      <c r="L164">
        <v>98391203.066164196</v>
      </c>
      <c r="M164">
        <v>48501050.873103119</v>
      </c>
      <c r="N164">
        <f t="shared" si="3"/>
        <v>0.34066166295109301</v>
      </c>
    </row>
    <row r="165" spans="1:14" x14ac:dyDescent="0.45">
      <c r="A165" t="s">
        <v>168</v>
      </c>
      <c r="B165">
        <v>5339694.8134154743</v>
      </c>
      <c r="C165">
        <v>40863481.473412327</v>
      </c>
      <c r="D165">
        <v>8357285.3094050279</v>
      </c>
      <c r="E165">
        <v>28562193.270692065</v>
      </c>
      <c r="F165">
        <v>21483469.836986303</v>
      </c>
      <c r="G165">
        <v>6589359.8698833231</v>
      </c>
      <c r="H165">
        <v>4112245.6439369982</v>
      </c>
      <c r="I165">
        <v>28692706.654246602</v>
      </c>
      <c r="J165">
        <v>36794335.273110904</v>
      </c>
      <c r="K165">
        <v>9142895.3522058986</v>
      </c>
      <c r="L165">
        <v>469593377.25070202</v>
      </c>
      <c r="M165">
        <v>15502338.734913062</v>
      </c>
      <c r="N165">
        <f t="shared" si="3"/>
        <v>0.3413526224214487</v>
      </c>
    </row>
    <row r="166" spans="1:14" x14ac:dyDescent="0.45">
      <c r="A166" t="s">
        <v>201</v>
      </c>
      <c r="B166">
        <v>8658107.0375021361</v>
      </c>
      <c r="C166">
        <v>4971504.1919639036</v>
      </c>
      <c r="D166">
        <v>4825032.6853029216</v>
      </c>
      <c r="E166">
        <v>7819306.1028196467</v>
      </c>
      <c r="F166">
        <v>8107707.713256225</v>
      </c>
      <c r="G166">
        <v>10487512.475421268</v>
      </c>
      <c r="H166">
        <v>3450220.9093300286</v>
      </c>
      <c r="I166">
        <v>3960946.1880745804</v>
      </c>
      <c r="J166">
        <v>7307545.2649882296</v>
      </c>
      <c r="K166">
        <v>7494243.6017946703</v>
      </c>
      <c r="L166">
        <v>8599115.3878326695</v>
      </c>
      <c r="M166">
        <v>6684906.0569954999</v>
      </c>
      <c r="N166">
        <f t="shared" si="3"/>
        <v>0.34314612686435264</v>
      </c>
    </row>
    <row r="167" spans="1:14" x14ac:dyDescent="0.45">
      <c r="A167" t="s">
        <v>255</v>
      </c>
      <c r="B167">
        <v>2716350.2491881377</v>
      </c>
      <c r="C167">
        <v>308472.16950475815</v>
      </c>
      <c r="D167">
        <v>4085992.5116605498</v>
      </c>
      <c r="E167">
        <v>399009.29440812982</v>
      </c>
      <c r="F167">
        <v>178293.04621341373</v>
      </c>
      <c r="G167">
        <v>3320946.3520133379</v>
      </c>
      <c r="H167">
        <v>104759.60805502263</v>
      </c>
      <c r="I167">
        <v>3769261.8796778251</v>
      </c>
      <c r="J167">
        <v>885714.17765204667</v>
      </c>
      <c r="K167">
        <v>197814.60351822851</v>
      </c>
      <c r="L167">
        <v>681735415.75797403</v>
      </c>
      <c r="M167">
        <v>157978.66743718562</v>
      </c>
      <c r="N167">
        <f t="shared" si="3"/>
        <v>0.34421629070243698</v>
      </c>
    </row>
    <row r="168" spans="1:14" x14ac:dyDescent="0.45">
      <c r="A168" t="s">
        <v>70</v>
      </c>
      <c r="B168">
        <v>728020.66775537445</v>
      </c>
      <c r="C168">
        <v>1929147.1857020743</v>
      </c>
      <c r="D168">
        <v>545580.42953445367</v>
      </c>
      <c r="E168">
        <v>1277110.0381101563</v>
      </c>
      <c r="F168">
        <v>3504413.010046511</v>
      </c>
      <c r="G168">
        <v>2294973.1690174267</v>
      </c>
      <c r="H168">
        <v>608187.95733210444</v>
      </c>
      <c r="I168">
        <v>15698820.011424234</v>
      </c>
      <c r="J168">
        <v>1693596.4696853126</v>
      </c>
      <c r="K168">
        <v>1168138.592208622</v>
      </c>
      <c r="L168">
        <v>4004903.4877889198</v>
      </c>
      <c r="M168">
        <v>1421659.2870020936</v>
      </c>
      <c r="N168">
        <f t="shared" si="3"/>
        <v>0.34572562728088718</v>
      </c>
    </row>
    <row r="169" spans="1:14" x14ac:dyDescent="0.45">
      <c r="A169" t="s">
        <v>347</v>
      </c>
      <c r="B169">
        <v>248755539.42842299</v>
      </c>
      <c r="C169">
        <v>213169496.61782548</v>
      </c>
      <c r="D169">
        <v>235987289.00221381</v>
      </c>
      <c r="E169">
        <v>333651681.11323816</v>
      </c>
      <c r="F169">
        <v>946995244.38250089</v>
      </c>
      <c r="G169">
        <v>958656586.92101014</v>
      </c>
      <c r="H169">
        <v>290278162.21178579</v>
      </c>
      <c r="I169">
        <v>3001964304.5326853</v>
      </c>
      <c r="J169">
        <v>539145118.37887716</v>
      </c>
      <c r="K169">
        <v>937781988.24833989</v>
      </c>
      <c r="L169">
        <v>243240290.361947</v>
      </c>
      <c r="M169">
        <v>572358395.73816502</v>
      </c>
      <c r="N169">
        <f t="shared" si="3"/>
        <v>0.35113702547226522</v>
      </c>
    </row>
    <row r="170" spans="1:14" x14ac:dyDescent="0.45">
      <c r="A170" t="s">
        <v>295</v>
      </c>
      <c r="B170">
        <v>4282549.818352595</v>
      </c>
      <c r="C170">
        <v>7634428.1097000688</v>
      </c>
      <c r="D170">
        <v>5323339.4879026916</v>
      </c>
      <c r="E170">
        <v>9262350.95885255</v>
      </c>
      <c r="F170">
        <v>10027489.400330387</v>
      </c>
      <c r="G170">
        <v>8870481.7635062207</v>
      </c>
      <c r="H170">
        <v>3521239.6320696655</v>
      </c>
      <c r="I170">
        <v>10487620.201987136</v>
      </c>
      <c r="J170">
        <v>10814450.187378511</v>
      </c>
      <c r="K170">
        <v>6624578.7931113215</v>
      </c>
      <c r="L170">
        <v>40232270.028068297</v>
      </c>
      <c r="M170">
        <v>6649579.8928463748</v>
      </c>
      <c r="N170">
        <f t="shared" si="3"/>
        <v>0.35241097122360254</v>
      </c>
    </row>
    <row r="171" spans="1:14" x14ac:dyDescent="0.45">
      <c r="A171" t="s">
        <v>336</v>
      </c>
      <c r="B171">
        <v>2270828.6992070987</v>
      </c>
      <c r="C171">
        <v>9780939.7857804745</v>
      </c>
      <c r="D171">
        <v>3398708.8866446749</v>
      </c>
      <c r="E171">
        <v>2644070.4994700593</v>
      </c>
      <c r="F171">
        <v>3818404.3883293234</v>
      </c>
      <c r="G171">
        <v>2366982.1853949251</v>
      </c>
      <c r="H171">
        <v>1705385.72230299</v>
      </c>
      <c r="I171">
        <v>7414477.2305341326</v>
      </c>
      <c r="J171">
        <v>8150289.3657011762</v>
      </c>
      <c r="K171">
        <v>4370222.2159234621</v>
      </c>
      <c r="L171">
        <v>10574251.594080901</v>
      </c>
      <c r="M171">
        <v>2754804.6860833</v>
      </c>
      <c r="N171">
        <f t="shared" si="3"/>
        <v>0.3528577885100358</v>
      </c>
    </row>
    <row r="172" spans="1:14" x14ac:dyDescent="0.45">
      <c r="A172" t="s">
        <v>321</v>
      </c>
      <c r="B172">
        <v>2090826.3788189534</v>
      </c>
      <c r="C172">
        <v>22615749.75714216</v>
      </c>
      <c r="D172">
        <v>4492849.3799547581</v>
      </c>
      <c r="E172">
        <v>7926361.4674418019</v>
      </c>
      <c r="F172">
        <v>6109306.1956237843</v>
      </c>
      <c r="G172">
        <v>4750836.5359329777</v>
      </c>
      <c r="H172">
        <v>4586954.5862754118</v>
      </c>
      <c r="I172">
        <v>81547430.111863002</v>
      </c>
      <c r="J172">
        <v>21882682.461660571</v>
      </c>
      <c r="K172">
        <v>4520650.7309864024</v>
      </c>
      <c r="L172">
        <v>8633828.2052903809</v>
      </c>
      <c r="M172">
        <v>2192103.7487743562</v>
      </c>
      <c r="N172">
        <f t="shared" si="3"/>
        <v>0.352899288883332</v>
      </c>
    </row>
    <row r="173" spans="1:14" x14ac:dyDescent="0.45">
      <c r="A173" t="s">
        <v>278</v>
      </c>
      <c r="B173">
        <v>9233638.1507489383</v>
      </c>
      <c r="C173">
        <v>11732746.986708572</v>
      </c>
      <c r="D173">
        <v>9944350.8138477914</v>
      </c>
      <c r="E173">
        <v>8341855.1787008885</v>
      </c>
      <c r="F173">
        <v>7860643.5332023399</v>
      </c>
      <c r="G173">
        <v>7754556.5761724543</v>
      </c>
      <c r="H173">
        <v>4816867.555676857</v>
      </c>
      <c r="I173">
        <v>117838663.17936702</v>
      </c>
      <c r="J173">
        <v>7483119.2524464829</v>
      </c>
      <c r="K173">
        <v>8254507.907591952</v>
      </c>
      <c r="L173">
        <v>16223533.07877</v>
      </c>
      <c r="M173">
        <v>6311103.6510828119</v>
      </c>
      <c r="N173">
        <f t="shared" si="3"/>
        <v>0.35650787425365482</v>
      </c>
    </row>
    <row r="174" spans="1:14" x14ac:dyDescent="0.45">
      <c r="A174" t="s">
        <v>434</v>
      </c>
      <c r="B174">
        <v>15080491.665619044</v>
      </c>
      <c r="C174">
        <v>19232373.156891573</v>
      </c>
      <c r="D174">
        <v>9720856.0415517166</v>
      </c>
      <c r="E174">
        <v>23495245.574471217</v>
      </c>
      <c r="F174">
        <v>16565083.899708992</v>
      </c>
      <c r="G174">
        <v>22774741.691915497</v>
      </c>
      <c r="H174">
        <v>4312262.0439640246</v>
      </c>
      <c r="I174">
        <v>8595823.9298924282</v>
      </c>
      <c r="J174">
        <v>24559989.844463632</v>
      </c>
      <c r="K174">
        <v>18716850.537640344</v>
      </c>
      <c r="L174">
        <v>9193461.5920003597</v>
      </c>
      <c r="M174">
        <v>19307060.528699249</v>
      </c>
      <c r="N174">
        <f t="shared" si="3"/>
        <v>0.35785778778748767</v>
      </c>
    </row>
    <row r="175" spans="1:14" x14ac:dyDescent="0.45">
      <c r="A175" t="s">
        <v>232</v>
      </c>
      <c r="B175">
        <v>19082627.046396777</v>
      </c>
      <c r="C175">
        <v>37764140.039171077</v>
      </c>
      <c r="D175">
        <v>15147067.376813326</v>
      </c>
      <c r="E175">
        <v>32518963.690963175</v>
      </c>
      <c r="F175">
        <v>29378039.549345862</v>
      </c>
      <c r="G175">
        <v>29965462.706427045</v>
      </c>
      <c r="H175">
        <v>13472001.687422642</v>
      </c>
      <c r="I175">
        <v>32935799.029853899</v>
      </c>
      <c r="J175">
        <v>36052426.91439496</v>
      </c>
      <c r="K175">
        <v>30016090.447480164</v>
      </c>
      <c r="L175">
        <v>70825761.040665507</v>
      </c>
      <c r="M175">
        <v>29418521.063550871</v>
      </c>
      <c r="N175">
        <f t="shared" si="3"/>
        <v>0.36090369687628587</v>
      </c>
    </row>
    <row r="176" spans="1:14" x14ac:dyDescent="0.45">
      <c r="A176" t="s">
        <v>90</v>
      </c>
      <c r="B176">
        <v>21495780.668426439</v>
      </c>
      <c r="C176">
        <v>70802131.120898291</v>
      </c>
      <c r="D176">
        <v>37572945.469803981</v>
      </c>
      <c r="E176">
        <v>59347490.982147127</v>
      </c>
      <c r="F176">
        <v>74571106.472524598</v>
      </c>
      <c r="G176">
        <v>43677016.488279931</v>
      </c>
      <c r="H176">
        <v>32068166.341153145</v>
      </c>
      <c r="I176">
        <v>89807673.347913802</v>
      </c>
      <c r="J176">
        <v>89230585.51524511</v>
      </c>
      <c r="K176">
        <v>55209640.97668872</v>
      </c>
      <c r="L176">
        <v>134348602.03304699</v>
      </c>
      <c r="M176">
        <v>18127226.640968811</v>
      </c>
      <c r="N176">
        <f t="shared" si="3"/>
        <v>0.36307496456815969</v>
      </c>
    </row>
    <row r="177" spans="1:14" x14ac:dyDescent="0.45">
      <c r="A177" t="s">
        <v>323</v>
      </c>
      <c r="B177">
        <v>11544607.479637891</v>
      </c>
      <c r="C177">
        <v>29844314.24069063</v>
      </c>
      <c r="D177">
        <v>14377749.095464651</v>
      </c>
      <c r="E177">
        <v>26051190.174470954</v>
      </c>
      <c r="F177">
        <v>20881599.239826232</v>
      </c>
      <c r="G177">
        <v>36886968.277671486</v>
      </c>
      <c r="H177">
        <v>11402922.451241519</v>
      </c>
      <c r="I177">
        <v>16497478.148541814</v>
      </c>
      <c r="J177">
        <v>32176890.271758378</v>
      </c>
      <c r="K177">
        <v>23212645.070666488</v>
      </c>
      <c r="L177">
        <v>501791406.56715101</v>
      </c>
      <c r="M177">
        <v>12925819.910549812</v>
      </c>
      <c r="N177">
        <f t="shared" si="3"/>
        <v>0.36539407005396685</v>
      </c>
    </row>
    <row r="178" spans="1:14" x14ac:dyDescent="0.45">
      <c r="A178" t="s">
        <v>222</v>
      </c>
      <c r="B178">
        <v>9348189.299718434</v>
      </c>
      <c r="C178">
        <v>20469749.164390706</v>
      </c>
      <c r="D178">
        <v>12365294.595572593</v>
      </c>
      <c r="E178">
        <v>15952563.575769845</v>
      </c>
      <c r="F178">
        <v>17358432.78918007</v>
      </c>
      <c r="G178">
        <v>15737984.390037842</v>
      </c>
      <c r="H178">
        <v>8998736.9204657692</v>
      </c>
      <c r="I178">
        <v>18081585.676346682</v>
      </c>
      <c r="J178">
        <v>13972500.463356303</v>
      </c>
      <c r="K178">
        <v>19329412.175555106</v>
      </c>
      <c r="L178">
        <v>48249277.496152401</v>
      </c>
      <c r="M178">
        <v>16089318.744793624</v>
      </c>
      <c r="N178">
        <f t="shared" si="3"/>
        <v>0.36695992786839882</v>
      </c>
    </row>
    <row r="179" spans="1:14" x14ac:dyDescent="0.45">
      <c r="A179" t="s">
        <v>360</v>
      </c>
      <c r="B179">
        <v>295060053.33860266</v>
      </c>
      <c r="C179">
        <v>290375378.61198574</v>
      </c>
      <c r="D179">
        <v>357979429.38130808</v>
      </c>
      <c r="E179">
        <v>392961487.74230242</v>
      </c>
      <c r="F179">
        <v>548941716.14549065</v>
      </c>
      <c r="G179">
        <v>699465701.25582504</v>
      </c>
      <c r="H179">
        <v>163535945.31189805</v>
      </c>
      <c r="I179">
        <v>1077167773.491384</v>
      </c>
      <c r="J179">
        <v>277356590.14284283</v>
      </c>
      <c r="K179">
        <v>563021441.89188945</v>
      </c>
      <c r="L179">
        <v>893904450.61026299</v>
      </c>
      <c r="M179">
        <v>504694980.68955559</v>
      </c>
      <c r="N179">
        <f t="shared" si="3"/>
        <v>0.36705853153516399</v>
      </c>
    </row>
    <row r="180" spans="1:14" x14ac:dyDescent="0.45">
      <c r="A180" t="s">
        <v>354</v>
      </c>
      <c r="B180">
        <v>324385122.0744189</v>
      </c>
      <c r="C180">
        <v>325075066.11697376</v>
      </c>
      <c r="D180">
        <v>398413305.40159011</v>
      </c>
      <c r="E180">
        <v>433605119.63706642</v>
      </c>
      <c r="F180">
        <v>601701001.9278239</v>
      </c>
      <c r="G180">
        <v>765462189.78104806</v>
      </c>
      <c r="H180">
        <v>178143767.12185836</v>
      </c>
      <c r="I180">
        <v>1132332831.5860028</v>
      </c>
      <c r="J180">
        <v>303473008.53013057</v>
      </c>
      <c r="K180">
        <v>621516776.12600088</v>
      </c>
      <c r="L180">
        <v>1011143619.69039</v>
      </c>
      <c r="M180">
        <v>562935104.37797189</v>
      </c>
      <c r="N180">
        <f t="shared" si="3"/>
        <v>0.36809424430966498</v>
      </c>
    </row>
    <row r="181" spans="1:14" x14ac:dyDescent="0.45">
      <c r="A181" t="s">
        <v>57</v>
      </c>
      <c r="B181">
        <v>14845242.853392124</v>
      </c>
      <c r="C181">
        <v>8154676.0614592331</v>
      </c>
      <c r="D181">
        <v>20504672.24137729</v>
      </c>
      <c r="E181">
        <v>24380550.240942426</v>
      </c>
      <c r="F181">
        <v>16578528.632929044</v>
      </c>
      <c r="G181">
        <v>20326138.445000045</v>
      </c>
      <c r="H181">
        <v>4744163.5291189058</v>
      </c>
      <c r="I181">
        <v>22449653.196040776</v>
      </c>
      <c r="J181">
        <v>24113333.514816221</v>
      </c>
      <c r="K181">
        <v>29330738.483764272</v>
      </c>
      <c r="L181">
        <v>39528578.212188803</v>
      </c>
      <c r="M181">
        <v>14898341.440868</v>
      </c>
      <c r="N181">
        <f t="shared" si="3"/>
        <v>0.37133542454923829</v>
      </c>
    </row>
    <row r="182" spans="1:14" x14ac:dyDescent="0.45">
      <c r="A182" t="s">
        <v>104</v>
      </c>
      <c r="B182">
        <v>658187.63519208645</v>
      </c>
      <c r="C182">
        <v>1895413.0187405767</v>
      </c>
      <c r="D182">
        <v>945864.87074180774</v>
      </c>
      <c r="E182">
        <v>1319850.681792574</v>
      </c>
      <c r="F182">
        <v>2286153.4219536982</v>
      </c>
      <c r="G182">
        <v>1362713.1244376155</v>
      </c>
      <c r="H182">
        <v>629942.26851627999</v>
      </c>
      <c r="I182">
        <v>628129.67920988868</v>
      </c>
      <c r="J182">
        <v>1778077.7010284693</v>
      </c>
      <c r="K182">
        <v>2127359.1424134462</v>
      </c>
      <c r="L182">
        <v>7997686.2383701103</v>
      </c>
      <c r="M182">
        <v>1709123.1602780875</v>
      </c>
      <c r="N182">
        <f t="shared" si="3"/>
        <v>0.37893553526968249</v>
      </c>
    </row>
    <row r="183" spans="1:14" x14ac:dyDescent="0.45">
      <c r="A183" t="s">
        <v>250</v>
      </c>
      <c r="B183">
        <v>2735526.9645699156</v>
      </c>
      <c r="C183">
        <v>4809667.9671831252</v>
      </c>
      <c r="D183">
        <v>2926943.7801775369</v>
      </c>
      <c r="E183">
        <v>4156783.1221857155</v>
      </c>
      <c r="F183">
        <v>6228752.1230921885</v>
      </c>
      <c r="G183">
        <v>6966842.1459195735</v>
      </c>
      <c r="H183">
        <v>2571381.6213475494</v>
      </c>
      <c r="I183">
        <v>6474265.4357954711</v>
      </c>
      <c r="J183">
        <v>6570644.1220542965</v>
      </c>
      <c r="K183">
        <v>5672352.6957452074</v>
      </c>
      <c r="L183">
        <v>11740361.209790699</v>
      </c>
      <c r="M183">
        <v>3038289.2937331563</v>
      </c>
      <c r="N183">
        <f t="shared" si="3"/>
        <v>0.38598139585625835</v>
      </c>
    </row>
    <row r="184" spans="1:14" x14ac:dyDescent="0.45">
      <c r="A184" t="s">
        <v>322</v>
      </c>
      <c r="B184">
        <v>134327047.31948081</v>
      </c>
      <c r="C184">
        <v>93872903.867714152</v>
      </c>
      <c r="D184">
        <v>88349276.142795876</v>
      </c>
      <c r="E184">
        <v>33561364.916296646</v>
      </c>
      <c r="F184">
        <v>99237941.360360846</v>
      </c>
      <c r="G184">
        <v>165092869.35284436</v>
      </c>
      <c r="H184">
        <v>67653798.472499564</v>
      </c>
      <c r="I184">
        <v>88444082.562934667</v>
      </c>
      <c r="J184">
        <v>91699026.450397238</v>
      </c>
      <c r="K184">
        <v>167548616.67253256</v>
      </c>
      <c r="L184">
        <v>378828874.99545199</v>
      </c>
      <c r="M184">
        <v>97339602.526663125</v>
      </c>
      <c r="N184">
        <f t="shared" si="3"/>
        <v>0.39039920760666758</v>
      </c>
    </row>
    <row r="185" spans="1:14" x14ac:dyDescent="0.45">
      <c r="A185" t="s">
        <v>157</v>
      </c>
      <c r="B185">
        <v>360805.0051704428</v>
      </c>
      <c r="C185">
        <v>1882197.625104778</v>
      </c>
      <c r="D185">
        <v>1020285.7903324523</v>
      </c>
      <c r="E185">
        <v>190403.86200433914</v>
      </c>
      <c r="F185">
        <v>968909.22160614131</v>
      </c>
      <c r="G185">
        <v>968780.83464448608</v>
      </c>
      <c r="H185">
        <v>447360.3827285096</v>
      </c>
      <c r="I185">
        <v>3771576.4228283539</v>
      </c>
      <c r="J185">
        <v>1039410.1392067526</v>
      </c>
      <c r="K185">
        <v>447419.89526362607</v>
      </c>
      <c r="L185">
        <v>2551244.5068129702</v>
      </c>
      <c r="M185">
        <v>449154.24215186189</v>
      </c>
      <c r="N185">
        <f t="shared" si="3"/>
        <v>0.39449753398603404</v>
      </c>
    </row>
    <row r="186" spans="1:14" x14ac:dyDescent="0.45">
      <c r="A186" t="s">
        <v>122</v>
      </c>
      <c r="B186">
        <v>1891500.8098298756</v>
      </c>
      <c r="C186">
        <v>2724570.0515889814</v>
      </c>
      <c r="D186">
        <v>3866650.8329763561</v>
      </c>
      <c r="E186">
        <v>4575508.8095308365</v>
      </c>
      <c r="F186">
        <v>2704664.4047081047</v>
      </c>
      <c r="G186">
        <v>4086165.7407950684</v>
      </c>
      <c r="H186">
        <v>1929648.4701049493</v>
      </c>
      <c r="I186">
        <v>2672510.7685650373</v>
      </c>
      <c r="J186">
        <v>3289258.7498376356</v>
      </c>
      <c r="K186">
        <v>4159278.4694216694</v>
      </c>
      <c r="L186">
        <v>7150663.0469617201</v>
      </c>
      <c r="M186">
        <v>5365910.2879862254</v>
      </c>
      <c r="N186">
        <f t="shared" si="3"/>
        <v>0.39565842431612042</v>
      </c>
    </row>
    <row r="187" spans="1:14" x14ac:dyDescent="0.45">
      <c r="A187" t="s">
        <v>40</v>
      </c>
      <c r="B187">
        <v>8423296.1556217037</v>
      </c>
      <c r="C187">
        <v>14100588.444414329</v>
      </c>
      <c r="D187">
        <v>11270856.163662955</v>
      </c>
      <c r="E187">
        <v>13790476.067307187</v>
      </c>
      <c r="F187">
        <v>14473059.03563942</v>
      </c>
      <c r="G187">
        <v>14601091.460472092</v>
      </c>
      <c r="H187">
        <v>7225256.8777295211</v>
      </c>
      <c r="I187">
        <v>12111186.310150189</v>
      </c>
      <c r="J187">
        <v>15896827.036122486</v>
      </c>
      <c r="K187">
        <v>12754895.057830373</v>
      </c>
      <c r="L187">
        <v>4643799.0659681195</v>
      </c>
      <c r="M187">
        <v>13485528.295009436</v>
      </c>
      <c r="N187">
        <f t="shared" si="3"/>
        <v>0.39901224193059992</v>
      </c>
    </row>
    <row r="188" spans="1:14" x14ac:dyDescent="0.45">
      <c r="A188" t="s">
        <v>67</v>
      </c>
      <c r="B188">
        <v>137469.70821368491</v>
      </c>
      <c r="C188">
        <v>900270.7955324403</v>
      </c>
      <c r="D188">
        <v>666829.24783617584</v>
      </c>
      <c r="E188">
        <v>700427.08422039065</v>
      </c>
      <c r="F188">
        <v>339777.1601306668</v>
      </c>
      <c r="G188">
        <v>165639.63834173128</v>
      </c>
      <c r="H188">
        <v>268951.12509444152</v>
      </c>
      <c r="I188">
        <v>789379.21312509675</v>
      </c>
      <c r="J188">
        <v>4280535.7750750752</v>
      </c>
      <c r="K188">
        <v>349321.13835821435</v>
      </c>
      <c r="L188">
        <v>401101.43550133199</v>
      </c>
      <c r="M188">
        <v>306185.71090978122</v>
      </c>
      <c r="N188">
        <f t="shared" si="3"/>
        <v>0.39958118435266077</v>
      </c>
    </row>
    <row r="189" spans="1:14" x14ac:dyDescent="0.45">
      <c r="A189" t="s">
        <v>319</v>
      </c>
      <c r="B189">
        <v>11373872.721663533</v>
      </c>
      <c r="C189">
        <v>15359423.619688451</v>
      </c>
      <c r="D189">
        <v>17064723.239406709</v>
      </c>
      <c r="E189">
        <v>20845632.613939852</v>
      </c>
      <c r="F189">
        <v>20965871.409094121</v>
      </c>
      <c r="G189">
        <v>23184863.827246983</v>
      </c>
      <c r="H189">
        <v>12134072.434353229</v>
      </c>
      <c r="I189">
        <v>8131070.7201466113</v>
      </c>
      <c r="J189">
        <v>18455991.962080453</v>
      </c>
      <c r="K189">
        <v>17857108.987822626</v>
      </c>
      <c r="L189">
        <v>11349664.0684001</v>
      </c>
      <c r="M189">
        <v>24858029.785078622</v>
      </c>
      <c r="N189">
        <f t="shared" si="3"/>
        <v>0.40307923536427859</v>
      </c>
    </row>
    <row r="190" spans="1:14" x14ac:dyDescent="0.45">
      <c r="A190" t="s">
        <v>235</v>
      </c>
      <c r="B190">
        <v>48015047.721424103</v>
      </c>
      <c r="C190">
        <v>88898352.717044756</v>
      </c>
      <c r="D190">
        <v>60710784.479936607</v>
      </c>
      <c r="E190">
        <v>39644090.821134612</v>
      </c>
      <c r="F190">
        <v>34874153.476436809</v>
      </c>
      <c r="G190">
        <v>67696491.541665003</v>
      </c>
      <c r="H190">
        <v>29157626.674779948</v>
      </c>
      <c r="I190">
        <v>47838527.686265729</v>
      </c>
      <c r="J190">
        <v>39391215.5390964</v>
      </c>
      <c r="K190">
        <v>54122461.714064546</v>
      </c>
      <c r="L190">
        <v>631976887.84308195</v>
      </c>
      <c r="M190">
        <v>49287177.457706936</v>
      </c>
      <c r="N190">
        <f t="shared" si="3"/>
        <v>0.40626293901948851</v>
      </c>
    </row>
    <row r="191" spans="1:14" x14ac:dyDescent="0.45">
      <c r="A191" t="s">
        <v>300</v>
      </c>
      <c r="B191">
        <v>33123858.816975228</v>
      </c>
      <c r="C191">
        <v>149060528.12559059</v>
      </c>
      <c r="D191">
        <v>80026732.509715378</v>
      </c>
      <c r="E191">
        <v>92912064.627495304</v>
      </c>
      <c r="F191">
        <v>113365130.46925946</v>
      </c>
      <c r="G191">
        <v>34482353.606199786</v>
      </c>
      <c r="H191">
        <v>58391192.427949898</v>
      </c>
      <c r="I191">
        <v>7693410.9334353022</v>
      </c>
      <c r="J191">
        <v>218730802.09635505</v>
      </c>
      <c r="K191">
        <v>106875027.27876633</v>
      </c>
      <c r="L191">
        <v>315110355.34034997</v>
      </c>
      <c r="M191">
        <v>58036987.29852131</v>
      </c>
      <c r="N191">
        <f t="shared" si="3"/>
        <v>0.41245108256290353</v>
      </c>
    </row>
    <row r="192" spans="1:14" x14ac:dyDescent="0.45">
      <c r="A192" t="s">
        <v>42</v>
      </c>
      <c r="B192">
        <v>12556974.404165903</v>
      </c>
      <c r="C192">
        <v>24112235.417195134</v>
      </c>
      <c r="D192">
        <v>9137456.9663161393</v>
      </c>
      <c r="E192">
        <v>17284220.616079088</v>
      </c>
      <c r="F192">
        <v>20649399.220544677</v>
      </c>
      <c r="G192">
        <v>15310779.574137831</v>
      </c>
      <c r="H192">
        <v>11137789.753458964</v>
      </c>
      <c r="I192">
        <v>23170922.75360145</v>
      </c>
      <c r="J192">
        <v>25383933.130020425</v>
      </c>
      <c r="K192">
        <v>24051084.279294185</v>
      </c>
      <c r="L192">
        <v>34494254.410614997</v>
      </c>
      <c r="M192">
        <v>5544700.5577965314</v>
      </c>
      <c r="N192">
        <f t="shared" si="3"/>
        <v>0.41267607653073679</v>
      </c>
    </row>
    <row r="193" spans="1:14" x14ac:dyDescent="0.45">
      <c r="A193" t="s">
        <v>352</v>
      </c>
      <c r="B193">
        <v>42047727.907211654</v>
      </c>
      <c r="C193">
        <v>136789752.53276607</v>
      </c>
      <c r="D193">
        <v>84920233.440433756</v>
      </c>
      <c r="E193">
        <v>73487346.695712671</v>
      </c>
      <c r="F193">
        <v>77617961.589580774</v>
      </c>
      <c r="G193">
        <v>63575159.278957345</v>
      </c>
      <c r="H193">
        <v>32668783.738535203</v>
      </c>
      <c r="I193">
        <v>23734802.414888304</v>
      </c>
      <c r="J193">
        <v>133019126.48934615</v>
      </c>
      <c r="K193">
        <v>88279323.507991835</v>
      </c>
      <c r="L193">
        <v>33788063.076142997</v>
      </c>
      <c r="M193">
        <v>57076610.030437313</v>
      </c>
      <c r="N193">
        <f t="shared" si="3"/>
        <v>0.41457337642072789</v>
      </c>
    </row>
    <row r="194" spans="1:14" x14ac:dyDescent="0.45">
      <c r="A194" t="s">
        <v>172</v>
      </c>
      <c r="B194">
        <v>5139882.1982255746</v>
      </c>
      <c r="C194">
        <v>39759755.60925439</v>
      </c>
      <c r="D194">
        <v>13755258.310243333</v>
      </c>
      <c r="E194">
        <v>19812370.044563904</v>
      </c>
      <c r="F194">
        <v>19326870.986733843</v>
      </c>
      <c r="G194">
        <v>13331029.839243472</v>
      </c>
      <c r="H194">
        <v>15592268.052162906</v>
      </c>
      <c r="I194">
        <v>8168868.7071795464</v>
      </c>
      <c r="J194">
        <v>28435083.50481052</v>
      </c>
      <c r="K194">
        <v>23564173.809631694</v>
      </c>
      <c r="L194">
        <v>50465083.412576102</v>
      </c>
      <c r="M194">
        <v>22974263.698714375</v>
      </c>
      <c r="N194">
        <f t="shared" ref="N194:N257" si="4">TTEST(B194:G194,H194:M194,2,2)</f>
        <v>0.42160031334058612</v>
      </c>
    </row>
    <row r="195" spans="1:14" x14ac:dyDescent="0.45">
      <c r="A195" t="s">
        <v>320</v>
      </c>
      <c r="B195">
        <v>12758950.608438991</v>
      </c>
      <c r="C195">
        <v>64978894.717901148</v>
      </c>
      <c r="D195">
        <v>18683203.684508562</v>
      </c>
      <c r="E195">
        <v>46446517.40506456</v>
      </c>
      <c r="F195">
        <v>49802071.405871049</v>
      </c>
      <c r="G195">
        <v>47142366.215195417</v>
      </c>
      <c r="H195">
        <v>22469820.871661477</v>
      </c>
      <c r="I195">
        <v>57876844.147666179</v>
      </c>
      <c r="J195">
        <v>54352410.278402373</v>
      </c>
      <c r="K195">
        <v>39945476.617499523</v>
      </c>
      <c r="L195">
        <v>93923349.877645701</v>
      </c>
      <c r="M195">
        <v>36066411.350033499</v>
      </c>
      <c r="N195">
        <f t="shared" si="4"/>
        <v>0.42529127874901351</v>
      </c>
    </row>
    <row r="196" spans="1:14" x14ac:dyDescent="0.45">
      <c r="A196" t="s">
        <v>72</v>
      </c>
      <c r="B196">
        <v>4333308.8258992825</v>
      </c>
      <c r="C196">
        <v>19417321.425458718</v>
      </c>
      <c r="D196">
        <v>6497477.7110242518</v>
      </c>
      <c r="E196">
        <v>7869030.741722961</v>
      </c>
      <c r="F196">
        <v>13059616.827906005</v>
      </c>
      <c r="G196">
        <v>13339956.851609953</v>
      </c>
      <c r="H196">
        <v>4174782.5682256669</v>
      </c>
      <c r="I196">
        <v>3299426.6497465842</v>
      </c>
      <c r="J196">
        <v>6938896.8535869299</v>
      </c>
      <c r="K196">
        <v>13567979.095318874</v>
      </c>
      <c r="L196">
        <v>7585306.2162661999</v>
      </c>
      <c r="M196">
        <v>14222750.933378873</v>
      </c>
      <c r="N196">
        <f t="shared" si="4"/>
        <v>0.42553625830388386</v>
      </c>
    </row>
    <row r="197" spans="1:14" x14ac:dyDescent="0.45">
      <c r="A197" t="s">
        <v>288</v>
      </c>
      <c r="B197">
        <v>662463333.60890031</v>
      </c>
      <c r="C197">
        <v>1159260935.3389363</v>
      </c>
      <c r="D197">
        <v>969387550.68677211</v>
      </c>
      <c r="E197">
        <v>354709982.78932226</v>
      </c>
      <c r="F197">
        <v>530990260.77895135</v>
      </c>
      <c r="G197">
        <v>399514187.47013789</v>
      </c>
      <c r="H197">
        <v>139136875.97609481</v>
      </c>
      <c r="I197">
        <v>328422245.48638749</v>
      </c>
      <c r="J197">
        <v>751023442.50120962</v>
      </c>
      <c r="K197">
        <v>554952159.91489792</v>
      </c>
      <c r="L197">
        <v>896359320.55029595</v>
      </c>
      <c r="M197">
        <v>553618219.35220563</v>
      </c>
      <c r="N197">
        <f t="shared" si="4"/>
        <v>0.43043691444598009</v>
      </c>
    </row>
    <row r="198" spans="1:14" x14ac:dyDescent="0.45">
      <c r="A198" t="s">
        <v>230</v>
      </c>
      <c r="B198">
        <v>28965097.393023122</v>
      </c>
      <c r="C198">
        <v>40659803.972212203</v>
      </c>
      <c r="D198">
        <v>41395119.364520937</v>
      </c>
      <c r="E198">
        <v>49941158.550828934</v>
      </c>
      <c r="F198">
        <v>83287570.762788445</v>
      </c>
      <c r="G198">
        <v>74578007.663437963</v>
      </c>
      <c r="H198">
        <v>19739622.791661445</v>
      </c>
      <c r="I198">
        <v>40043218.954397649</v>
      </c>
      <c r="J198">
        <v>30399891.926819496</v>
      </c>
      <c r="K198">
        <v>60227433.749270022</v>
      </c>
      <c r="L198">
        <v>414430324.30640203</v>
      </c>
      <c r="M198">
        <v>63432606.706841871</v>
      </c>
      <c r="N198">
        <f t="shared" si="4"/>
        <v>0.43154141005158331</v>
      </c>
    </row>
    <row r="199" spans="1:14" x14ac:dyDescent="0.45">
      <c r="A199" t="s">
        <v>324</v>
      </c>
      <c r="B199">
        <v>2068650.1641306777</v>
      </c>
      <c r="C199">
        <v>6048872.824749846</v>
      </c>
      <c r="D199">
        <v>2887780.2492720941</v>
      </c>
      <c r="E199">
        <v>4055973.9685710235</v>
      </c>
      <c r="F199">
        <v>5207638.6292868098</v>
      </c>
      <c r="G199">
        <v>50527034.810222507</v>
      </c>
      <c r="H199">
        <v>25810944.146133039</v>
      </c>
      <c r="I199">
        <v>117439805.38779081</v>
      </c>
      <c r="J199">
        <v>4651757.5254182769</v>
      </c>
      <c r="K199">
        <v>4013635.2970757349</v>
      </c>
      <c r="L199">
        <v>11643744.349977201</v>
      </c>
      <c r="M199">
        <v>4213391.327779281</v>
      </c>
      <c r="N199">
        <f t="shared" si="4"/>
        <v>0.43347731442756188</v>
      </c>
    </row>
    <row r="200" spans="1:14" x14ac:dyDescent="0.45">
      <c r="A200" t="s">
        <v>109</v>
      </c>
      <c r="B200">
        <v>58384.982803649793</v>
      </c>
      <c r="C200">
        <v>1179485.7401375147</v>
      </c>
      <c r="D200">
        <v>252470.8099784395</v>
      </c>
      <c r="E200">
        <v>212972.03774164003</v>
      </c>
      <c r="F200">
        <v>424633.43181397195</v>
      </c>
      <c r="G200">
        <v>93145.565970625641</v>
      </c>
      <c r="H200">
        <v>202216.70649001922</v>
      </c>
      <c r="I200">
        <v>532362.49921595247</v>
      </c>
      <c r="J200">
        <v>604159.8732350861</v>
      </c>
      <c r="K200">
        <v>854865.96135278</v>
      </c>
      <c r="L200">
        <v>381966.259188784</v>
      </c>
      <c r="M200">
        <v>588042.18011576938</v>
      </c>
      <c r="N200">
        <f t="shared" si="4"/>
        <v>0.43399010232560964</v>
      </c>
    </row>
    <row r="201" spans="1:14" x14ac:dyDescent="0.45">
      <c r="A201" t="s">
        <v>306</v>
      </c>
      <c r="B201">
        <v>27246849.504753534</v>
      </c>
      <c r="C201">
        <v>72642697.061731994</v>
      </c>
      <c r="D201">
        <v>42718252.680717058</v>
      </c>
      <c r="E201">
        <v>60694101.423508555</v>
      </c>
      <c r="F201">
        <v>73630291.879322007</v>
      </c>
      <c r="G201">
        <v>61283892.481505163</v>
      </c>
      <c r="H201">
        <v>37701609.211615942</v>
      </c>
      <c r="I201">
        <v>34264765.604842357</v>
      </c>
      <c r="J201">
        <v>79628695.011175632</v>
      </c>
      <c r="K201">
        <v>73802677.459033996</v>
      </c>
      <c r="L201">
        <v>113322732.728825</v>
      </c>
      <c r="M201">
        <v>67957897.90746437</v>
      </c>
      <c r="N201">
        <f t="shared" si="4"/>
        <v>0.43550593335887744</v>
      </c>
    </row>
    <row r="202" spans="1:14" x14ac:dyDescent="0.45">
      <c r="A202" t="s">
        <v>61</v>
      </c>
      <c r="B202">
        <v>23006435.753895454</v>
      </c>
      <c r="C202">
        <v>54532121.206604317</v>
      </c>
      <c r="D202">
        <v>28623145.50086185</v>
      </c>
      <c r="E202">
        <v>49167378.144698836</v>
      </c>
      <c r="F202">
        <v>49160721.17523098</v>
      </c>
      <c r="G202">
        <v>44083411.232750162</v>
      </c>
      <c r="H202">
        <v>15944157.802705463</v>
      </c>
      <c r="I202">
        <v>6326831.0323567931</v>
      </c>
      <c r="J202">
        <v>57508005.088505663</v>
      </c>
      <c r="K202">
        <v>46314171.863681741</v>
      </c>
      <c r="L202">
        <v>43477958.038361497</v>
      </c>
      <c r="M202">
        <v>33504514.945597995</v>
      </c>
      <c r="N202">
        <f t="shared" si="4"/>
        <v>0.44167930912999009</v>
      </c>
    </row>
    <row r="203" spans="1:14" x14ac:dyDescent="0.45">
      <c r="A203" t="s">
        <v>378</v>
      </c>
      <c r="B203">
        <v>144757848.28667337</v>
      </c>
      <c r="C203">
        <v>866858584.03602922</v>
      </c>
      <c r="D203">
        <v>339361678.7240929</v>
      </c>
      <c r="E203">
        <v>529597259.20830196</v>
      </c>
      <c r="F203">
        <v>473961809.03888673</v>
      </c>
      <c r="G203">
        <v>391626467.20296168</v>
      </c>
      <c r="H203">
        <v>99427847.333873719</v>
      </c>
      <c r="I203">
        <v>743785489.52009773</v>
      </c>
      <c r="J203">
        <v>935946867.38225269</v>
      </c>
      <c r="K203">
        <v>412770551.71827632</v>
      </c>
      <c r="L203">
        <v>1022355027.2366199</v>
      </c>
      <c r="M203">
        <v>379653540.38053185</v>
      </c>
      <c r="N203">
        <f t="shared" si="4"/>
        <v>0.44215871204353008</v>
      </c>
    </row>
    <row r="204" spans="1:14" x14ac:dyDescent="0.45">
      <c r="A204" t="s">
        <v>284</v>
      </c>
      <c r="B204">
        <v>11502504.36841145</v>
      </c>
      <c r="C204">
        <v>35480577.974528193</v>
      </c>
      <c r="D204">
        <v>21399712.532589052</v>
      </c>
      <c r="E204">
        <v>30837469.380293835</v>
      </c>
      <c r="F204">
        <v>31244825.986058801</v>
      </c>
      <c r="G204">
        <v>26306931.242629983</v>
      </c>
      <c r="H204">
        <v>15826164.638911735</v>
      </c>
      <c r="I204">
        <v>26564325.196614239</v>
      </c>
      <c r="J204">
        <v>38510155.009904929</v>
      </c>
      <c r="K204">
        <v>29028221.465998668</v>
      </c>
      <c r="L204">
        <v>40631909.505008303</v>
      </c>
      <c r="M204">
        <v>30199291.275677372</v>
      </c>
      <c r="N204">
        <f t="shared" si="4"/>
        <v>0.4486665987878099</v>
      </c>
    </row>
    <row r="205" spans="1:14" x14ac:dyDescent="0.45">
      <c r="A205" t="s">
        <v>373</v>
      </c>
      <c r="B205">
        <v>34668594.365928337</v>
      </c>
      <c r="C205">
        <v>31978112.39701084</v>
      </c>
      <c r="D205">
        <v>46884704.81719774</v>
      </c>
      <c r="E205">
        <v>28300567.931113202</v>
      </c>
      <c r="F205">
        <v>34899884.946277305</v>
      </c>
      <c r="G205">
        <v>33491434.15621208</v>
      </c>
      <c r="H205">
        <v>27344922.308209129</v>
      </c>
      <c r="I205">
        <v>36998783.931318685</v>
      </c>
      <c r="J205">
        <v>33674521.986961655</v>
      </c>
      <c r="K205">
        <v>26187875.588669993</v>
      </c>
      <c r="L205">
        <v>80077011.826123998</v>
      </c>
      <c r="M205">
        <v>46387148.032392748</v>
      </c>
      <c r="N205">
        <f t="shared" si="4"/>
        <v>0.45196180213638171</v>
      </c>
    </row>
    <row r="206" spans="1:14" x14ac:dyDescent="0.45">
      <c r="A206" t="s">
        <v>357</v>
      </c>
      <c r="B206">
        <v>45167282.040159337</v>
      </c>
      <c r="C206">
        <v>746768561.54803336</v>
      </c>
      <c r="D206">
        <v>110145326.12365912</v>
      </c>
      <c r="E206">
        <v>58124405.050672531</v>
      </c>
      <c r="F206">
        <v>75533480.230130076</v>
      </c>
      <c r="G206">
        <v>16019060.905337127</v>
      </c>
      <c r="H206">
        <v>96744032.2998631</v>
      </c>
      <c r="I206">
        <v>48280753.155690387</v>
      </c>
      <c r="J206">
        <v>361736967.7028774</v>
      </c>
      <c r="K206">
        <v>726719690.42527997</v>
      </c>
      <c r="L206">
        <v>202312843.65443099</v>
      </c>
      <c r="M206">
        <v>324553369.34321123</v>
      </c>
      <c r="N206">
        <f t="shared" si="4"/>
        <v>0.45647395014473113</v>
      </c>
    </row>
    <row r="207" spans="1:14" x14ac:dyDescent="0.45">
      <c r="A207" t="s">
        <v>274</v>
      </c>
      <c r="B207">
        <v>12631780.904760117</v>
      </c>
      <c r="C207">
        <v>19506299.853624243</v>
      </c>
      <c r="D207">
        <v>19120599.705125563</v>
      </c>
      <c r="E207">
        <v>23760716.899882581</v>
      </c>
      <c r="F207">
        <v>29947389.878877018</v>
      </c>
      <c r="G207">
        <v>23264330.075949471</v>
      </c>
      <c r="H207">
        <v>14442866.121992625</v>
      </c>
      <c r="I207">
        <v>7799090.7331956755</v>
      </c>
      <c r="J207">
        <v>32830181.546413589</v>
      </c>
      <c r="K207">
        <v>24274626.983114555</v>
      </c>
      <c r="L207">
        <v>69133847.724545702</v>
      </c>
      <c r="M207">
        <v>21626455.978031185</v>
      </c>
      <c r="N207">
        <f t="shared" si="4"/>
        <v>0.46468513635851694</v>
      </c>
    </row>
    <row r="208" spans="1:14" x14ac:dyDescent="0.45">
      <c r="A208" t="s">
        <v>207</v>
      </c>
      <c r="B208">
        <v>11436676.822196456</v>
      </c>
      <c r="C208">
        <v>54694452.158731423</v>
      </c>
      <c r="D208">
        <v>33014257.757975377</v>
      </c>
      <c r="E208">
        <v>14761723.621317394</v>
      </c>
      <c r="F208">
        <v>15819642.210493008</v>
      </c>
      <c r="G208">
        <v>13437436.161548324</v>
      </c>
      <c r="H208">
        <v>20845977.325810317</v>
      </c>
      <c r="I208">
        <v>75156594.198684469</v>
      </c>
      <c r="J208">
        <v>30378191.125645943</v>
      </c>
      <c r="K208">
        <v>17419877.411482304</v>
      </c>
      <c r="L208">
        <v>17723726.5942115</v>
      </c>
      <c r="M208">
        <v>33207342.135733936</v>
      </c>
      <c r="N208">
        <f t="shared" si="4"/>
        <v>0.46561501827684981</v>
      </c>
    </row>
    <row r="209" spans="1:14" x14ac:dyDescent="0.45">
      <c r="A209" t="s">
        <v>226</v>
      </c>
      <c r="B209">
        <v>220085049.26651284</v>
      </c>
      <c r="C209">
        <v>220085537.12487829</v>
      </c>
      <c r="D209">
        <v>193968666.00266945</v>
      </c>
      <c r="E209">
        <v>49459834.853587352</v>
      </c>
      <c r="F209">
        <v>102489861.64262399</v>
      </c>
      <c r="G209">
        <v>160276109.83770102</v>
      </c>
      <c r="H209">
        <v>72465171.829962537</v>
      </c>
      <c r="I209">
        <v>146129598.95164636</v>
      </c>
      <c r="J209">
        <v>151938751.55664772</v>
      </c>
      <c r="K209">
        <v>174548253.91079277</v>
      </c>
      <c r="L209">
        <v>729905384.00601006</v>
      </c>
      <c r="M209">
        <v>133056728.70594876</v>
      </c>
      <c r="N209">
        <f t="shared" si="4"/>
        <v>0.47611274239914569</v>
      </c>
    </row>
    <row r="210" spans="1:14" x14ac:dyDescent="0.45">
      <c r="A210" t="s">
        <v>54</v>
      </c>
      <c r="B210">
        <v>14853415.671569854</v>
      </c>
      <c r="C210">
        <v>24212110.030838303</v>
      </c>
      <c r="D210">
        <v>17910845.65160064</v>
      </c>
      <c r="E210">
        <v>24401361.526029345</v>
      </c>
      <c r="F210">
        <v>23738546.206377789</v>
      </c>
      <c r="G210">
        <v>24226306.835675385</v>
      </c>
      <c r="H210">
        <v>8326615.3816606561</v>
      </c>
      <c r="I210">
        <v>16290951.955008244</v>
      </c>
      <c r="J210">
        <v>34654860.261579826</v>
      </c>
      <c r="K210">
        <v>29350546.747148223</v>
      </c>
      <c r="L210">
        <v>34981636.262085102</v>
      </c>
      <c r="M210">
        <v>26400112.354538433</v>
      </c>
      <c r="N210">
        <f t="shared" si="4"/>
        <v>0.47735335018078739</v>
      </c>
    </row>
    <row r="211" spans="1:14" x14ac:dyDescent="0.45">
      <c r="A211" t="s">
        <v>82</v>
      </c>
      <c r="B211">
        <v>16699303.090472398</v>
      </c>
      <c r="C211">
        <v>14416992.82656722</v>
      </c>
      <c r="D211">
        <v>15651764.576974615</v>
      </c>
      <c r="E211">
        <v>6652376.3362187669</v>
      </c>
      <c r="F211">
        <v>16581736.514776483</v>
      </c>
      <c r="G211">
        <v>23222244.022247151</v>
      </c>
      <c r="H211">
        <v>11101149.539552806</v>
      </c>
      <c r="I211">
        <v>7481449.1159950998</v>
      </c>
      <c r="J211">
        <v>4279804.9848804921</v>
      </c>
      <c r="K211">
        <v>15578912.114429783</v>
      </c>
      <c r="L211">
        <v>26499952.660358999</v>
      </c>
      <c r="M211">
        <v>11360822.262586061</v>
      </c>
      <c r="N211">
        <f t="shared" si="4"/>
        <v>0.47979272242867765</v>
      </c>
    </row>
    <row r="212" spans="1:14" x14ac:dyDescent="0.45">
      <c r="A212" t="s">
        <v>141</v>
      </c>
      <c r="B212">
        <v>8883353.9032174628</v>
      </c>
      <c r="C212">
        <v>14317829.177344427</v>
      </c>
      <c r="D212">
        <v>9731053.0163658112</v>
      </c>
      <c r="E212">
        <v>12741571.548967879</v>
      </c>
      <c r="F212">
        <v>19715115.649075139</v>
      </c>
      <c r="G212">
        <v>22134590.324062284</v>
      </c>
      <c r="H212">
        <v>4972662.6466413774</v>
      </c>
      <c r="I212">
        <v>10037282.627337549</v>
      </c>
      <c r="J212">
        <v>10901783.410307925</v>
      </c>
      <c r="K212">
        <v>19065296.405093823</v>
      </c>
      <c r="L212">
        <v>13666234.897907199</v>
      </c>
      <c r="M212">
        <v>15851092.174645435</v>
      </c>
      <c r="N212">
        <f t="shared" si="4"/>
        <v>0.48078423018386929</v>
      </c>
    </row>
    <row r="213" spans="1:14" x14ac:dyDescent="0.45">
      <c r="A213" t="s">
        <v>219</v>
      </c>
      <c r="B213">
        <v>19808218.819292556</v>
      </c>
      <c r="C213">
        <v>43518949.048828535</v>
      </c>
      <c r="D213">
        <v>6213947.5817796085</v>
      </c>
      <c r="E213">
        <v>27466977.393166315</v>
      </c>
      <c r="F213">
        <v>36157269.35519553</v>
      </c>
      <c r="G213">
        <v>18199679.13210151</v>
      </c>
      <c r="H213">
        <v>5164145.253121186</v>
      </c>
      <c r="I213">
        <v>32445979.030489057</v>
      </c>
      <c r="J213">
        <v>5879426.4793109065</v>
      </c>
      <c r="K213">
        <v>19243354.056847613</v>
      </c>
      <c r="L213">
        <v>29039065.131979398</v>
      </c>
      <c r="M213">
        <v>27710342.560960997</v>
      </c>
      <c r="N213">
        <f t="shared" si="4"/>
        <v>0.48557414390495368</v>
      </c>
    </row>
    <row r="214" spans="1:14" x14ac:dyDescent="0.45">
      <c r="A214" t="s">
        <v>124</v>
      </c>
      <c r="B214">
        <v>18845073.226593338</v>
      </c>
      <c r="C214">
        <v>106765454.42229219</v>
      </c>
      <c r="D214">
        <v>44708175.748000361</v>
      </c>
      <c r="E214">
        <v>98043705.55419828</v>
      </c>
      <c r="F214">
        <v>126370760.40438345</v>
      </c>
      <c r="G214">
        <v>110766143.78290287</v>
      </c>
      <c r="H214">
        <v>61724884.722678386</v>
      </c>
      <c r="I214">
        <v>24070674.336116299</v>
      </c>
      <c r="J214">
        <v>116805877.8687472</v>
      </c>
      <c r="K214">
        <v>79229855.802135125</v>
      </c>
      <c r="L214">
        <v>55521538.516889699</v>
      </c>
      <c r="M214">
        <v>75422014.014429376</v>
      </c>
      <c r="N214">
        <f t="shared" si="4"/>
        <v>0.48614488776224152</v>
      </c>
    </row>
    <row r="215" spans="1:14" x14ac:dyDescent="0.45">
      <c r="A215" t="s">
        <v>171</v>
      </c>
      <c r="B215">
        <v>1939248.7530085428</v>
      </c>
      <c r="C215">
        <v>8371611.5680091744</v>
      </c>
      <c r="D215">
        <v>8803787.9000805337</v>
      </c>
      <c r="E215">
        <v>3599514.3953207838</v>
      </c>
      <c r="F215">
        <v>355812.15416656964</v>
      </c>
      <c r="G215">
        <v>5013460.1376326447</v>
      </c>
      <c r="H215">
        <v>135036.17162860581</v>
      </c>
      <c r="I215">
        <v>7461605.3059784472</v>
      </c>
      <c r="J215">
        <v>9376934.6022941489</v>
      </c>
      <c r="K215">
        <v>4868922.4791115178</v>
      </c>
      <c r="L215">
        <v>20753942.6091027</v>
      </c>
      <c r="M215">
        <v>289746.59925123188</v>
      </c>
      <c r="N215">
        <f t="shared" si="4"/>
        <v>0.48648874674206199</v>
      </c>
    </row>
    <row r="216" spans="1:14" x14ac:dyDescent="0.45">
      <c r="A216" t="s">
        <v>252</v>
      </c>
      <c r="B216">
        <v>11204832.329039373</v>
      </c>
      <c r="C216">
        <v>4604565.8306359034</v>
      </c>
      <c r="D216">
        <v>8208574.0159409754</v>
      </c>
      <c r="E216">
        <v>19674352.205456574</v>
      </c>
      <c r="F216">
        <v>17080295.16939678</v>
      </c>
      <c r="G216">
        <v>17233313.192003675</v>
      </c>
      <c r="H216">
        <v>7810245.5784074161</v>
      </c>
      <c r="I216">
        <v>15804013.730216108</v>
      </c>
      <c r="J216">
        <v>20888848.352085836</v>
      </c>
      <c r="K216">
        <v>5079669.9009553054</v>
      </c>
      <c r="L216">
        <v>30847168.674458999</v>
      </c>
      <c r="M216">
        <v>16656627.395861125</v>
      </c>
      <c r="N216">
        <f t="shared" si="4"/>
        <v>0.49562441245299016</v>
      </c>
    </row>
    <row r="217" spans="1:14" x14ac:dyDescent="0.45">
      <c r="A217" t="s">
        <v>382</v>
      </c>
      <c r="B217">
        <v>2694858.9686397999</v>
      </c>
      <c r="C217">
        <v>7914859.3021844337</v>
      </c>
      <c r="D217">
        <v>4376362.6647436908</v>
      </c>
      <c r="E217">
        <v>12953683.820045419</v>
      </c>
      <c r="F217">
        <v>33945845.056180961</v>
      </c>
      <c r="G217">
        <v>13301914.773956407</v>
      </c>
      <c r="H217">
        <v>9321754.2212064508</v>
      </c>
      <c r="I217">
        <v>51612580.99080202</v>
      </c>
      <c r="J217">
        <v>22351325.570844188</v>
      </c>
      <c r="K217">
        <v>12663189.379520694</v>
      </c>
      <c r="L217">
        <v>7501240.2665676698</v>
      </c>
      <c r="M217">
        <v>7339613.4231081866</v>
      </c>
      <c r="N217">
        <f t="shared" si="4"/>
        <v>0.49629396828408257</v>
      </c>
    </row>
    <row r="218" spans="1:14" x14ac:dyDescent="0.45">
      <c r="A218" t="s">
        <v>71</v>
      </c>
      <c r="B218">
        <v>579639.69165552955</v>
      </c>
      <c r="C218">
        <v>1971308.6329130293</v>
      </c>
      <c r="D218">
        <v>1008978.1114102557</v>
      </c>
      <c r="E218">
        <v>1196606.3079367781</v>
      </c>
      <c r="F218">
        <v>1573512.8871966822</v>
      </c>
      <c r="G218">
        <v>1028518.9978775444</v>
      </c>
      <c r="H218">
        <v>575946.57315189799</v>
      </c>
      <c r="I218">
        <v>1347096.7448984133</v>
      </c>
      <c r="J218">
        <v>1390654.7768380546</v>
      </c>
      <c r="K218">
        <v>1117900.8698535247</v>
      </c>
      <c r="L218">
        <v>4108467.6433508201</v>
      </c>
      <c r="M218">
        <v>1118266.0274115812</v>
      </c>
      <c r="N218">
        <f t="shared" si="4"/>
        <v>0.50217647816275912</v>
      </c>
    </row>
    <row r="219" spans="1:14" x14ac:dyDescent="0.45">
      <c r="A219" t="s">
        <v>302</v>
      </c>
      <c r="B219">
        <v>24183331.110288464</v>
      </c>
      <c r="C219">
        <v>202908999.91325635</v>
      </c>
      <c r="D219">
        <v>86217937.311428562</v>
      </c>
      <c r="E219">
        <v>31878761.594053511</v>
      </c>
      <c r="F219">
        <v>37852335.584931053</v>
      </c>
      <c r="G219">
        <v>11445112.257581331</v>
      </c>
      <c r="H219">
        <v>54649335.578942105</v>
      </c>
      <c r="I219">
        <v>86905525.025879532</v>
      </c>
      <c r="J219">
        <v>84677355.650999442</v>
      </c>
      <c r="K219">
        <v>66424292.779963166</v>
      </c>
      <c r="L219">
        <v>292538514.17513001</v>
      </c>
      <c r="M219">
        <v>16085383.934837248</v>
      </c>
      <c r="N219">
        <f t="shared" si="4"/>
        <v>0.50220100147711189</v>
      </c>
    </row>
    <row r="220" spans="1:14" x14ac:dyDescent="0.45">
      <c r="A220" t="s">
        <v>173</v>
      </c>
      <c r="B220">
        <v>4042228.7517500366</v>
      </c>
      <c r="C220">
        <v>23216427.278083526</v>
      </c>
      <c r="D220">
        <v>1208832.2800500363</v>
      </c>
      <c r="E220">
        <v>3098008.6341744363</v>
      </c>
      <c r="F220">
        <v>1646518.8857567299</v>
      </c>
      <c r="G220">
        <v>1859082.7117402749</v>
      </c>
      <c r="H220">
        <v>7322569.910134336</v>
      </c>
      <c r="I220">
        <v>10522911.281249484</v>
      </c>
      <c r="J220">
        <v>14487830.837443231</v>
      </c>
      <c r="K220">
        <v>8963854.4629311357</v>
      </c>
      <c r="L220">
        <v>8126589.0190642299</v>
      </c>
      <c r="M220">
        <v>1484181.8873055</v>
      </c>
      <c r="N220">
        <f t="shared" si="4"/>
        <v>0.51487036079258508</v>
      </c>
    </row>
    <row r="221" spans="1:14" x14ac:dyDescent="0.45">
      <c r="A221" t="s">
        <v>56</v>
      </c>
      <c r="B221">
        <v>332442.15924124635</v>
      </c>
      <c r="C221">
        <v>2244486.7705040183</v>
      </c>
      <c r="D221">
        <v>1615309.8921993654</v>
      </c>
      <c r="E221">
        <v>1958293.082179144</v>
      </c>
      <c r="F221">
        <v>2271613.0083078253</v>
      </c>
      <c r="G221">
        <v>1471862.5525909017</v>
      </c>
      <c r="H221">
        <v>1443006.5109388856</v>
      </c>
      <c r="I221">
        <v>1512576.2397610191</v>
      </c>
      <c r="J221">
        <v>2072285.847368811</v>
      </c>
      <c r="K221">
        <v>865734.53579027182</v>
      </c>
      <c r="L221">
        <v>1889925.8818764701</v>
      </c>
      <c r="M221">
        <v>593114.45123317244</v>
      </c>
      <c r="N221">
        <f t="shared" si="4"/>
        <v>0.51670877367218782</v>
      </c>
    </row>
    <row r="222" spans="1:14" x14ac:dyDescent="0.45">
      <c r="A222" t="s">
        <v>120</v>
      </c>
      <c r="B222">
        <v>11023975.915083706</v>
      </c>
      <c r="C222">
        <v>25729075.042753462</v>
      </c>
      <c r="D222">
        <v>17769096.962445118</v>
      </c>
      <c r="E222">
        <v>20814026.307792988</v>
      </c>
      <c r="F222">
        <v>25548138.727788113</v>
      </c>
      <c r="G222">
        <v>18782188.73813346</v>
      </c>
      <c r="H222">
        <v>12617613.218465906</v>
      </c>
      <c r="I222">
        <v>9960820.4405897986</v>
      </c>
      <c r="J222">
        <v>22737272.398892049</v>
      </c>
      <c r="K222">
        <v>17532839.981013637</v>
      </c>
      <c r="L222">
        <v>21089959.6962975</v>
      </c>
      <c r="M222">
        <v>22985406.028243687</v>
      </c>
      <c r="N222">
        <f t="shared" si="4"/>
        <v>0.51824420230872503</v>
      </c>
    </row>
    <row r="223" spans="1:14" x14ac:dyDescent="0.45">
      <c r="A223" t="s">
        <v>315</v>
      </c>
      <c r="B223">
        <v>155730776.39131507</v>
      </c>
      <c r="C223">
        <v>83224279.983749807</v>
      </c>
      <c r="D223">
        <v>125576155.86057599</v>
      </c>
      <c r="E223">
        <v>245544658.07879567</v>
      </c>
      <c r="F223">
        <v>330859802.18902993</v>
      </c>
      <c r="G223">
        <v>177950787.33874038</v>
      </c>
      <c r="H223">
        <v>200142758.6828104</v>
      </c>
      <c r="I223">
        <v>504617848.30088282</v>
      </c>
      <c r="J223">
        <v>140523124.7174032</v>
      </c>
      <c r="K223">
        <v>63777670.632880047</v>
      </c>
      <c r="L223">
        <v>549923739.86410606</v>
      </c>
      <c r="M223">
        <v>41644836.393712372</v>
      </c>
      <c r="N223">
        <f t="shared" si="4"/>
        <v>0.53008579321583604</v>
      </c>
    </row>
    <row r="224" spans="1:14" x14ac:dyDescent="0.45">
      <c r="A224" t="s">
        <v>217</v>
      </c>
      <c r="B224">
        <v>75277378.81024836</v>
      </c>
      <c r="C224">
        <v>292613021.89059412</v>
      </c>
      <c r="D224">
        <v>136751691.85312065</v>
      </c>
      <c r="E224">
        <v>191892772.8075445</v>
      </c>
      <c r="F224">
        <v>203829969.40499464</v>
      </c>
      <c r="G224">
        <v>162315144.34365156</v>
      </c>
      <c r="H224">
        <v>103275429.80634199</v>
      </c>
      <c r="I224">
        <v>168015521.22123477</v>
      </c>
      <c r="J224">
        <v>263652747.85399005</v>
      </c>
      <c r="K224">
        <v>233342194.35679454</v>
      </c>
      <c r="L224">
        <v>215890857.609938</v>
      </c>
      <c r="M224">
        <v>225109409.76806062</v>
      </c>
      <c r="N224">
        <f t="shared" si="4"/>
        <v>0.53273765003257012</v>
      </c>
    </row>
    <row r="225" spans="1:14" x14ac:dyDescent="0.45">
      <c r="A225" t="s">
        <v>94</v>
      </c>
      <c r="B225">
        <v>123496002.1074847</v>
      </c>
      <c r="C225">
        <v>299221439.63087291</v>
      </c>
      <c r="D225">
        <v>278805268.84592855</v>
      </c>
      <c r="E225">
        <v>207525399.75324467</v>
      </c>
      <c r="F225">
        <v>299034300.13461781</v>
      </c>
      <c r="G225">
        <v>228176429.74342418</v>
      </c>
      <c r="H225">
        <v>167294732.17009261</v>
      </c>
      <c r="I225">
        <v>124011576.6185879</v>
      </c>
      <c r="J225">
        <v>431160714.66093999</v>
      </c>
      <c r="K225">
        <v>261039140.68037635</v>
      </c>
      <c r="L225">
        <v>438483687.32617998</v>
      </c>
      <c r="M225">
        <v>246675472.9406625</v>
      </c>
      <c r="N225">
        <f t="shared" si="4"/>
        <v>0.53623964450623829</v>
      </c>
    </row>
    <row r="226" spans="1:14" x14ac:dyDescent="0.45">
      <c r="A226" t="s">
        <v>331</v>
      </c>
      <c r="B226">
        <v>43702169.356724948</v>
      </c>
      <c r="C226">
        <v>35150798.29153242</v>
      </c>
      <c r="D226">
        <v>18388778.389249373</v>
      </c>
      <c r="E226">
        <v>9224255.8532108385</v>
      </c>
      <c r="F226">
        <v>70757664.179427579</v>
      </c>
      <c r="G226">
        <v>73292892.205563337</v>
      </c>
      <c r="H226">
        <v>32791997.641735274</v>
      </c>
      <c r="I226">
        <v>67143770.053597301</v>
      </c>
      <c r="J226">
        <v>37365861.549620159</v>
      </c>
      <c r="K226">
        <v>42601649.204665065</v>
      </c>
      <c r="L226">
        <v>48111543.309541799</v>
      </c>
      <c r="M226">
        <v>69303441.070705622</v>
      </c>
      <c r="N226">
        <f t="shared" si="4"/>
        <v>0.5457121003478671</v>
      </c>
    </row>
    <row r="227" spans="1:14" x14ac:dyDescent="0.45">
      <c r="A227" t="s">
        <v>333</v>
      </c>
      <c r="B227">
        <v>104620989.85211352</v>
      </c>
      <c r="C227">
        <v>59244992.574815288</v>
      </c>
      <c r="D227">
        <v>120473057.57632016</v>
      </c>
      <c r="E227">
        <v>61374081.881252721</v>
      </c>
      <c r="F227">
        <v>165455394.99309969</v>
      </c>
      <c r="G227">
        <v>221252256.12834165</v>
      </c>
      <c r="H227">
        <v>81061948.760458708</v>
      </c>
      <c r="I227">
        <v>72864089.986425996</v>
      </c>
      <c r="J227">
        <v>84001231.423297733</v>
      </c>
      <c r="K227">
        <v>165965827.14780498</v>
      </c>
      <c r="L227">
        <v>115698158.116209</v>
      </c>
      <c r="M227">
        <v>105201018.02064249</v>
      </c>
      <c r="N227">
        <f t="shared" si="4"/>
        <v>0.55235582075189082</v>
      </c>
    </row>
    <row r="228" spans="1:14" x14ac:dyDescent="0.45">
      <c r="A228" t="s">
        <v>164</v>
      </c>
      <c r="B228">
        <v>14509278.936104424</v>
      </c>
      <c r="C228">
        <v>12083947.898916889</v>
      </c>
      <c r="D228">
        <v>14035571.922786195</v>
      </c>
      <c r="E228">
        <v>14248923.168323651</v>
      </c>
      <c r="F228">
        <v>26882159.025045328</v>
      </c>
      <c r="G228">
        <v>33707287.739361309</v>
      </c>
      <c r="H228">
        <v>8559910.5542636588</v>
      </c>
      <c r="I228">
        <v>3975981.1485532271</v>
      </c>
      <c r="J228">
        <v>19892815.087766435</v>
      </c>
      <c r="K228">
        <v>26440234.494584866</v>
      </c>
      <c r="L228">
        <v>15566583.003115401</v>
      </c>
      <c r="M228">
        <v>22485499.610557809</v>
      </c>
      <c r="N228">
        <f t="shared" si="4"/>
        <v>0.55271475573781803</v>
      </c>
    </row>
    <row r="229" spans="1:14" x14ac:dyDescent="0.45">
      <c r="A229" t="s">
        <v>285</v>
      </c>
      <c r="B229">
        <v>30142835.418445762</v>
      </c>
      <c r="C229">
        <v>80724415.856649026</v>
      </c>
      <c r="D229">
        <v>45052790.077461571</v>
      </c>
      <c r="E229">
        <v>30171718.934471924</v>
      </c>
      <c r="F229">
        <v>44987090.192748263</v>
      </c>
      <c r="G229">
        <v>51566251.995499566</v>
      </c>
      <c r="H229">
        <v>22379013.199553043</v>
      </c>
      <c r="I229">
        <v>24926736.775878083</v>
      </c>
      <c r="J229">
        <v>38260413.232706875</v>
      </c>
      <c r="K229">
        <v>47345088.737315349</v>
      </c>
      <c r="L229">
        <v>237320762.41631699</v>
      </c>
      <c r="M229">
        <v>40032431.526648246</v>
      </c>
      <c r="N229">
        <f t="shared" si="4"/>
        <v>0.55524052953786729</v>
      </c>
    </row>
    <row r="230" spans="1:14" x14ac:dyDescent="0.45">
      <c r="A230" t="s">
        <v>129</v>
      </c>
      <c r="B230">
        <v>98545063.479930699</v>
      </c>
      <c r="C230">
        <v>1057213386.5567108</v>
      </c>
      <c r="D230">
        <v>118208257.30162136</v>
      </c>
      <c r="E230">
        <v>174535082.59586763</v>
      </c>
      <c r="F230">
        <v>171210617.4550496</v>
      </c>
      <c r="G230">
        <v>149306835.49677905</v>
      </c>
      <c r="H230">
        <v>62134680.349161185</v>
      </c>
      <c r="I230">
        <v>122029822.1684147</v>
      </c>
      <c r="J230">
        <v>259436890.16493535</v>
      </c>
      <c r="K230">
        <v>277236283.28791457</v>
      </c>
      <c r="L230">
        <v>363311686.76738</v>
      </c>
      <c r="M230">
        <v>106444789.31449562</v>
      </c>
      <c r="N230">
        <f t="shared" si="4"/>
        <v>0.56120691201118711</v>
      </c>
    </row>
    <row r="231" spans="1:14" x14ac:dyDescent="0.45">
      <c r="A231" t="s">
        <v>436</v>
      </c>
      <c r="B231">
        <v>6185173.8350619618</v>
      </c>
      <c r="C231">
        <v>6303208.2529700268</v>
      </c>
      <c r="D231">
        <v>5103624.913411011</v>
      </c>
      <c r="E231">
        <v>3796489.2480886988</v>
      </c>
      <c r="F231">
        <v>7661216.6532223988</v>
      </c>
      <c r="G231">
        <v>9658855.2652771026</v>
      </c>
      <c r="H231">
        <v>5925754.1720659481</v>
      </c>
      <c r="I231">
        <v>2938973.0308606396</v>
      </c>
      <c r="J231">
        <v>10611025.740757897</v>
      </c>
      <c r="K231">
        <v>5302753.2133090319</v>
      </c>
      <c r="L231">
        <v>18872340.1352196</v>
      </c>
      <c r="M231">
        <v>4271419.6156239184</v>
      </c>
      <c r="N231">
        <f t="shared" si="4"/>
        <v>0.56216557773660303</v>
      </c>
    </row>
    <row r="232" spans="1:14" x14ac:dyDescent="0.45">
      <c r="A232" t="s">
        <v>175</v>
      </c>
      <c r="B232">
        <v>6636169.2281363392</v>
      </c>
      <c r="C232">
        <v>107832735.7918445</v>
      </c>
      <c r="D232">
        <v>27995778.850052919</v>
      </c>
      <c r="E232">
        <v>35503421.313955292</v>
      </c>
      <c r="F232">
        <v>41903735.132817894</v>
      </c>
      <c r="G232">
        <v>1827775.1156005119</v>
      </c>
      <c r="H232">
        <v>23392064.775796764</v>
      </c>
      <c r="I232">
        <v>123274951.94743113</v>
      </c>
      <c r="J232">
        <v>61579137.291839167</v>
      </c>
      <c r="K232">
        <v>19023939.781911954</v>
      </c>
      <c r="L232">
        <v>79202665.477125898</v>
      </c>
      <c r="M232">
        <v>1983060.9483648436</v>
      </c>
      <c r="N232">
        <f t="shared" si="4"/>
        <v>0.56380783545167346</v>
      </c>
    </row>
    <row r="233" spans="1:14" x14ac:dyDescent="0.45">
      <c r="A233" t="s">
        <v>259</v>
      </c>
      <c r="B233">
        <v>31788010.931128979</v>
      </c>
      <c r="C233">
        <v>13710315.870053206</v>
      </c>
      <c r="D233">
        <v>41901060.573199622</v>
      </c>
      <c r="E233">
        <v>52264796.01608108</v>
      </c>
      <c r="F233">
        <v>44668366.761681348</v>
      </c>
      <c r="G233">
        <v>49311033.314860329</v>
      </c>
      <c r="H233">
        <v>19583222.751275845</v>
      </c>
      <c r="I233">
        <v>33644105.45990064</v>
      </c>
      <c r="J233">
        <v>54490327.049874678</v>
      </c>
      <c r="K233">
        <v>44251310.999755174</v>
      </c>
      <c r="L233">
        <v>18529485.884183999</v>
      </c>
      <c r="M233">
        <v>34315435.772837251</v>
      </c>
      <c r="N233">
        <f t="shared" si="4"/>
        <v>0.56798391052226105</v>
      </c>
    </row>
    <row r="234" spans="1:14" x14ac:dyDescent="0.45">
      <c r="A234" t="s">
        <v>254</v>
      </c>
      <c r="B234">
        <v>28381095.588449154</v>
      </c>
      <c r="C234">
        <v>68054793.752057761</v>
      </c>
      <c r="D234">
        <v>39976837.942479834</v>
      </c>
      <c r="E234">
        <v>43384021.61687395</v>
      </c>
      <c r="F234">
        <v>50944185.99560032</v>
      </c>
      <c r="G234">
        <v>47854715.026587777</v>
      </c>
      <c r="H234">
        <v>26098316.471699178</v>
      </c>
      <c r="I234">
        <v>37980858.321250007</v>
      </c>
      <c r="J234">
        <v>54839173.866767034</v>
      </c>
      <c r="K234">
        <v>42398456.754111312</v>
      </c>
      <c r="L234">
        <v>73152243.1083498</v>
      </c>
      <c r="M234">
        <v>5546447.5361242685</v>
      </c>
      <c r="N234">
        <f t="shared" si="4"/>
        <v>0.56896945987215131</v>
      </c>
    </row>
    <row r="235" spans="1:14" x14ac:dyDescent="0.45">
      <c r="A235" t="s">
        <v>365</v>
      </c>
      <c r="B235">
        <v>60160990.019927688</v>
      </c>
      <c r="C235">
        <v>109597723.49194439</v>
      </c>
      <c r="D235">
        <v>44842702.190521613</v>
      </c>
      <c r="E235">
        <v>46128965.245864086</v>
      </c>
      <c r="F235">
        <v>46154984.233633004</v>
      </c>
      <c r="G235">
        <v>44368668.899536982</v>
      </c>
      <c r="H235">
        <v>32795085.659756176</v>
      </c>
      <c r="I235">
        <v>98042092.301969633</v>
      </c>
      <c r="J235">
        <v>64719056.299472146</v>
      </c>
      <c r="K235">
        <v>68751339.20864509</v>
      </c>
      <c r="L235">
        <v>71766663.091087997</v>
      </c>
      <c r="M235">
        <v>61868719.588693753</v>
      </c>
      <c r="N235">
        <f t="shared" si="4"/>
        <v>0.57797314582439974</v>
      </c>
    </row>
    <row r="236" spans="1:14" x14ac:dyDescent="0.45">
      <c r="A236" t="s">
        <v>329</v>
      </c>
      <c r="B236">
        <v>10141811.371824373</v>
      </c>
      <c r="C236">
        <v>36399617.173129685</v>
      </c>
      <c r="D236">
        <v>5371640.6902107764</v>
      </c>
      <c r="E236">
        <v>95380315.76523602</v>
      </c>
      <c r="F236">
        <v>214156858.53982458</v>
      </c>
      <c r="G236">
        <v>290619233.48978657</v>
      </c>
      <c r="H236">
        <v>699470.95225643518</v>
      </c>
      <c r="I236">
        <v>36606665.53953556</v>
      </c>
      <c r="J236">
        <v>3096214.0052429922</v>
      </c>
      <c r="K236">
        <v>185134457.99156985</v>
      </c>
      <c r="L236">
        <v>103040683.222853</v>
      </c>
      <c r="M236">
        <v>127570153.77743812</v>
      </c>
      <c r="N236">
        <f t="shared" si="4"/>
        <v>0.5801081925553474</v>
      </c>
    </row>
    <row r="237" spans="1:14" x14ac:dyDescent="0.45">
      <c r="A237" t="s">
        <v>96</v>
      </c>
      <c r="B237">
        <v>25225284.341502454</v>
      </c>
      <c r="C237">
        <v>39242929.272965379</v>
      </c>
      <c r="D237">
        <v>56891835.111959115</v>
      </c>
      <c r="E237">
        <v>75800218.957813323</v>
      </c>
      <c r="F237">
        <v>67915457.15585722</v>
      </c>
      <c r="G237">
        <v>54997659.341688775</v>
      </c>
      <c r="H237">
        <v>35420709.528817594</v>
      </c>
      <c r="I237">
        <v>20092989.997743305</v>
      </c>
      <c r="J237">
        <v>105926209.36760253</v>
      </c>
      <c r="K237">
        <v>48297244.723748885</v>
      </c>
      <c r="L237">
        <v>30560433.714767601</v>
      </c>
      <c r="M237">
        <v>30282194.817389123</v>
      </c>
      <c r="N237">
        <f t="shared" si="4"/>
        <v>0.58982503490000915</v>
      </c>
    </row>
    <row r="238" spans="1:14" x14ac:dyDescent="0.45">
      <c r="A238" t="s">
        <v>163</v>
      </c>
      <c r="B238">
        <v>4066093.124241218</v>
      </c>
      <c r="C238">
        <v>5459739.6106191278</v>
      </c>
      <c r="D238">
        <v>6142106.6832750207</v>
      </c>
      <c r="E238">
        <v>8437982.3068115544</v>
      </c>
      <c r="F238">
        <v>5196261.4800962899</v>
      </c>
      <c r="G238">
        <v>6015322.2779377382</v>
      </c>
      <c r="H238">
        <v>4555506.0942364</v>
      </c>
      <c r="I238">
        <v>2981492.644332591</v>
      </c>
      <c r="J238">
        <v>7409476.8079402167</v>
      </c>
      <c r="K238">
        <v>7005453.1203523595</v>
      </c>
      <c r="L238">
        <v>13583182.6083668</v>
      </c>
      <c r="M238">
        <v>5117669.0716654556</v>
      </c>
      <c r="N238">
        <f t="shared" si="4"/>
        <v>0.59672922225062852</v>
      </c>
    </row>
    <row r="239" spans="1:14" x14ac:dyDescent="0.45">
      <c r="A239" t="s">
        <v>369</v>
      </c>
      <c r="B239">
        <v>29720451.902702004</v>
      </c>
      <c r="C239">
        <v>142351292.26216415</v>
      </c>
      <c r="D239">
        <v>30049530.249167442</v>
      </c>
      <c r="E239">
        <v>224601072.12178701</v>
      </c>
      <c r="F239">
        <v>432390018.02041161</v>
      </c>
      <c r="G239">
        <v>518551055.84337997</v>
      </c>
      <c r="H239">
        <v>19507180.85146657</v>
      </c>
      <c r="I239">
        <v>106216658.79825069</v>
      </c>
      <c r="J239">
        <v>43565491.34993805</v>
      </c>
      <c r="K239">
        <v>375939002.1305365</v>
      </c>
      <c r="L239">
        <v>246646769.897701</v>
      </c>
      <c r="M239">
        <v>257714587.53396812</v>
      </c>
      <c r="N239">
        <f t="shared" si="4"/>
        <v>0.60273599634013808</v>
      </c>
    </row>
    <row r="240" spans="1:14" x14ac:dyDescent="0.45">
      <c r="A240" t="s">
        <v>317</v>
      </c>
      <c r="B240">
        <v>47307792.454301476</v>
      </c>
      <c r="C240">
        <v>135227061.69121647</v>
      </c>
      <c r="D240">
        <v>74254732.427189097</v>
      </c>
      <c r="E240">
        <v>91382556.153363809</v>
      </c>
      <c r="F240">
        <v>109907218.31480359</v>
      </c>
      <c r="G240">
        <v>106293850.41218416</v>
      </c>
      <c r="H240">
        <v>33194504.70772963</v>
      </c>
      <c r="I240">
        <v>52942206.727046095</v>
      </c>
      <c r="J240">
        <v>77464762.605050534</v>
      </c>
      <c r="K240">
        <v>103685464.08087595</v>
      </c>
      <c r="L240">
        <v>355858857.86635602</v>
      </c>
      <c r="M240">
        <v>100912807.19242436</v>
      </c>
      <c r="N240">
        <f t="shared" si="4"/>
        <v>0.60562814693541756</v>
      </c>
    </row>
    <row r="241" spans="1:14" x14ac:dyDescent="0.45">
      <c r="A241" t="s">
        <v>345</v>
      </c>
      <c r="B241">
        <v>5508324.4766488345</v>
      </c>
      <c r="C241">
        <v>107609894.82599317</v>
      </c>
      <c r="D241">
        <v>4693359.3035738189</v>
      </c>
      <c r="E241">
        <v>9608106.8039600588</v>
      </c>
      <c r="F241">
        <v>27515985.707832258</v>
      </c>
      <c r="G241">
        <v>6274206.4995432142</v>
      </c>
      <c r="H241">
        <v>2410464.9173653829</v>
      </c>
      <c r="I241">
        <v>46684793.582824469</v>
      </c>
      <c r="J241">
        <v>13091692.559134521</v>
      </c>
      <c r="K241">
        <v>8087832.243390237</v>
      </c>
      <c r="L241">
        <v>30120989.880991999</v>
      </c>
      <c r="M241">
        <v>5994505.6572815562</v>
      </c>
      <c r="N241">
        <f t="shared" si="4"/>
        <v>0.621834207388132</v>
      </c>
    </row>
    <row r="242" spans="1:14" x14ac:dyDescent="0.45">
      <c r="A242" t="s">
        <v>249</v>
      </c>
      <c r="B242">
        <v>6373517.8184112823</v>
      </c>
      <c r="C242">
        <v>15228744.48458761</v>
      </c>
      <c r="D242">
        <v>9745728.4277502485</v>
      </c>
      <c r="E242">
        <v>13179700.491918085</v>
      </c>
      <c r="F242">
        <v>22408228.354086813</v>
      </c>
      <c r="G242">
        <v>18720002.507436611</v>
      </c>
      <c r="H242">
        <v>6548527.4355410952</v>
      </c>
      <c r="I242">
        <v>12215271.660679556</v>
      </c>
      <c r="J242">
        <v>19208845.414192818</v>
      </c>
      <c r="K242">
        <v>13141401.491520837</v>
      </c>
      <c r="L242">
        <v>41389016.4455119</v>
      </c>
      <c r="M242">
        <v>10315465.863687811</v>
      </c>
      <c r="N242">
        <f t="shared" si="4"/>
        <v>0.6244569130174723</v>
      </c>
    </row>
    <row r="243" spans="1:14" x14ac:dyDescent="0.45">
      <c r="A243" t="s">
        <v>335</v>
      </c>
      <c r="B243">
        <v>47007723.704257227</v>
      </c>
      <c r="C243">
        <v>25167220.641863655</v>
      </c>
      <c r="D243">
        <v>59396680.061076999</v>
      </c>
      <c r="E243">
        <v>39345327.154555164</v>
      </c>
      <c r="F243">
        <v>25882305.929862279</v>
      </c>
      <c r="G243">
        <v>46925105.830545962</v>
      </c>
      <c r="H243">
        <v>16844992.07322545</v>
      </c>
      <c r="I243">
        <v>33592040.452881128</v>
      </c>
      <c r="J243">
        <v>37090166.644064955</v>
      </c>
      <c r="K243">
        <v>31011093.748158596</v>
      </c>
      <c r="L243">
        <v>171602854.24470901</v>
      </c>
      <c r="M243">
        <v>26622778.804944746</v>
      </c>
      <c r="N243">
        <f t="shared" si="4"/>
        <v>0.63064021442982754</v>
      </c>
    </row>
    <row r="244" spans="1:14" x14ac:dyDescent="0.45">
      <c r="A244" t="s">
        <v>289</v>
      </c>
      <c r="B244">
        <v>4085524.927021387</v>
      </c>
      <c r="C244">
        <v>39000852.266944282</v>
      </c>
      <c r="D244">
        <v>21233662.7156852</v>
      </c>
      <c r="E244">
        <v>23920611.412824277</v>
      </c>
      <c r="F244">
        <v>61880935.772550769</v>
      </c>
      <c r="G244">
        <v>34830821.169567823</v>
      </c>
      <c r="H244">
        <v>27459483.866241928</v>
      </c>
      <c r="I244">
        <v>4469760.9891782999</v>
      </c>
      <c r="J244">
        <v>71415298.641386494</v>
      </c>
      <c r="K244">
        <v>33646586.038266398</v>
      </c>
      <c r="L244">
        <v>58082237.527580298</v>
      </c>
      <c r="M244">
        <v>26208116.860328</v>
      </c>
      <c r="N244">
        <f t="shared" si="4"/>
        <v>0.64272749334314061</v>
      </c>
    </row>
    <row r="245" spans="1:14" x14ac:dyDescent="0.45">
      <c r="A245" t="s">
        <v>344</v>
      </c>
      <c r="B245">
        <v>9594578.0735570788</v>
      </c>
      <c r="C245">
        <v>13573407.372605925</v>
      </c>
      <c r="D245">
        <v>12811936.096219167</v>
      </c>
      <c r="E245">
        <v>7447058.3197254194</v>
      </c>
      <c r="F245">
        <v>9957888.6904169414</v>
      </c>
      <c r="G245">
        <v>14996424.031026924</v>
      </c>
      <c r="H245">
        <v>6613665.8583276188</v>
      </c>
      <c r="I245">
        <v>12828742.881940747</v>
      </c>
      <c r="J245">
        <v>8470676.601241434</v>
      </c>
      <c r="K245">
        <v>9584037.6407150328</v>
      </c>
      <c r="L245">
        <v>32902002.272190001</v>
      </c>
      <c r="M245">
        <v>9774762.9581581857</v>
      </c>
      <c r="N245">
        <f t="shared" si="4"/>
        <v>0.64678795650585363</v>
      </c>
    </row>
    <row r="246" spans="1:14" x14ac:dyDescent="0.45">
      <c r="A246" t="s">
        <v>97</v>
      </c>
      <c r="B246">
        <v>8772861.603723539</v>
      </c>
      <c r="C246">
        <v>20817548.335204888</v>
      </c>
      <c r="D246">
        <v>12842762.104220243</v>
      </c>
      <c r="E246">
        <v>15473324.398331292</v>
      </c>
      <c r="F246">
        <v>18539543.415424332</v>
      </c>
      <c r="G246">
        <v>17500275.513024434</v>
      </c>
      <c r="H246">
        <v>5494100.1445785556</v>
      </c>
      <c r="I246">
        <v>7712260.4066952923</v>
      </c>
      <c r="J246">
        <v>21247673.953840677</v>
      </c>
      <c r="K246">
        <v>17362524.68427996</v>
      </c>
      <c r="L246">
        <v>20645468.6127734</v>
      </c>
      <c r="M246">
        <v>12376817.956222374</v>
      </c>
      <c r="N246">
        <f t="shared" si="4"/>
        <v>0.65007102557722285</v>
      </c>
    </row>
    <row r="247" spans="1:14" x14ac:dyDescent="0.45">
      <c r="A247" t="s">
        <v>92</v>
      </c>
      <c r="B247">
        <v>5154343.7710132487</v>
      </c>
      <c r="C247">
        <v>5122082.9296311243</v>
      </c>
      <c r="D247">
        <v>5776266.7504231259</v>
      </c>
      <c r="E247">
        <v>8596880.0643285122</v>
      </c>
      <c r="F247">
        <v>10538176.887200309</v>
      </c>
      <c r="G247">
        <v>9591388.596832389</v>
      </c>
      <c r="H247">
        <v>3580793.9556268901</v>
      </c>
      <c r="I247">
        <v>9593314.3764697574</v>
      </c>
      <c r="J247">
        <v>5178872.1654521255</v>
      </c>
      <c r="K247">
        <v>6511602.5324219773</v>
      </c>
      <c r="L247">
        <v>9540326.4783353601</v>
      </c>
      <c r="M247">
        <v>6521053.3269688124</v>
      </c>
      <c r="N247">
        <f t="shared" si="4"/>
        <v>0.65236492902047893</v>
      </c>
    </row>
    <row r="248" spans="1:14" x14ac:dyDescent="0.45">
      <c r="A248" t="s">
        <v>167</v>
      </c>
      <c r="B248">
        <v>286583.46758482419</v>
      </c>
      <c r="C248">
        <v>1717340.6611806012</v>
      </c>
      <c r="D248">
        <v>677933.28548452852</v>
      </c>
      <c r="E248">
        <v>1932406.4267021606</v>
      </c>
      <c r="F248">
        <v>1543526.4702701783</v>
      </c>
      <c r="G248">
        <v>1107831.6906488675</v>
      </c>
      <c r="H248">
        <v>743328.08470788214</v>
      </c>
      <c r="I248">
        <v>475779.61954623775</v>
      </c>
      <c r="J248">
        <v>3011504.1140637845</v>
      </c>
      <c r="K248">
        <v>1907512.5031984176</v>
      </c>
      <c r="L248">
        <v>514745.32659530401</v>
      </c>
      <c r="M248">
        <v>1979770.6449028435</v>
      </c>
      <c r="N248">
        <f t="shared" si="4"/>
        <v>0.65378148837820926</v>
      </c>
    </row>
    <row r="249" spans="1:14" x14ac:dyDescent="0.45">
      <c r="A249" t="s">
        <v>174</v>
      </c>
      <c r="B249">
        <v>228303553.97876251</v>
      </c>
      <c r="C249">
        <v>193613801.03411329</v>
      </c>
      <c r="D249">
        <v>257983269.34829813</v>
      </c>
      <c r="E249">
        <v>128775348.51225452</v>
      </c>
      <c r="F249">
        <v>771734518.3325547</v>
      </c>
      <c r="G249">
        <v>882903476.34813333</v>
      </c>
      <c r="H249">
        <v>100911197.40286379</v>
      </c>
      <c r="I249">
        <v>650162894.69116485</v>
      </c>
      <c r="J249">
        <v>266825550.92980984</v>
      </c>
      <c r="K249">
        <v>335648865.58485234</v>
      </c>
      <c r="L249">
        <v>1302503627.23281</v>
      </c>
      <c r="M249">
        <v>413764024.34114814</v>
      </c>
      <c r="N249">
        <f t="shared" si="4"/>
        <v>0.6555418931660244</v>
      </c>
    </row>
    <row r="250" spans="1:14" x14ac:dyDescent="0.45">
      <c r="A250" t="s">
        <v>36</v>
      </c>
      <c r="B250">
        <v>3328760.0796513315</v>
      </c>
      <c r="C250">
        <v>29162506.326109897</v>
      </c>
      <c r="D250">
        <v>4790928.6757760402</v>
      </c>
      <c r="E250">
        <v>15445150.781720338</v>
      </c>
      <c r="F250">
        <v>20530029.677690685</v>
      </c>
      <c r="G250">
        <v>28000281.815598298</v>
      </c>
      <c r="H250">
        <v>7854529.809881717</v>
      </c>
      <c r="I250">
        <v>17905111.555968154</v>
      </c>
      <c r="J250">
        <v>13319276.90835363</v>
      </c>
      <c r="K250">
        <v>15128153.729312995</v>
      </c>
      <c r="L250">
        <v>28596401.542687099</v>
      </c>
      <c r="M250">
        <v>2532481.7970784497</v>
      </c>
      <c r="N250">
        <f t="shared" si="4"/>
        <v>0.65856174296200465</v>
      </c>
    </row>
    <row r="251" spans="1:14" x14ac:dyDescent="0.45">
      <c r="A251" t="s">
        <v>51</v>
      </c>
      <c r="B251">
        <v>151988371.52224493</v>
      </c>
      <c r="C251">
        <v>449541557.66810924</v>
      </c>
      <c r="D251">
        <v>223378497.1583178</v>
      </c>
      <c r="E251">
        <v>291334306.51016796</v>
      </c>
      <c r="F251">
        <v>366258124.90429211</v>
      </c>
      <c r="G251">
        <v>354744003.7856828</v>
      </c>
      <c r="H251">
        <v>182071376.38906363</v>
      </c>
      <c r="I251">
        <v>175031897.65961078</v>
      </c>
      <c r="J251">
        <v>359282254.6234771</v>
      </c>
      <c r="K251">
        <v>397300174.87450272</v>
      </c>
      <c r="L251">
        <v>272006541.92773497</v>
      </c>
      <c r="M251">
        <v>299525894.49478495</v>
      </c>
      <c r="N251">
        <f t="shared" si="4"/>
        <v>0.66770648118266773</v>
      </c>
    </row>
    <row r="252" spans="1:14" x14ac:dyDescent="0.45">
      <c r="A252" t="s">
        <v>195</v>
      </c>
      <c r="B252">
        <v>616073409.02816617</v>
      </c>
      <c r="C252">
        <v>360207989.34952998</v>
      </c>
      <c r="D252">
        <v>490239926.04309821</v>
      </c>
      <c r="E252">
        <v>253970877.23684916</v>
      </c>
      <c r="F252">
        <v>661783474.5922972</v>
      </c>
      <c r="G252">
        <v>1301631426.7630787</v>
      </c>
      <c r="H252">
        <v>258252658.49379933</v>
      </c>
      <c r="I252">
        <v>511544809.66241014</v>
      </c>
      <c r="J252">
        <v>418133296.26626438</v>
      </c>
      <c r="K252">
        <v>539286829.64750612</v>
      </c>
      <c r="L252">
        <v>1128223073.9699199</v>
      </c>
      <c r="M252">
        <v>303896881.8814981</v>
      </c>
      <c r="N252">
        <f t="shared" si="4"/>
        <v>0.66873710708302947</v>
      </c>
    </row>
    <row r="253" spans="1:14" x14ac:dyDescent="0.45">
      <c r="A253" t="s">
        <v>349</v>
      </c>
      <c r="B253">
        <v>1522638.7082180544</v>
      </c>
      <c r="C253">
        <v>2699136.9447677038</v>
      </c>
      <c r="D253">
        <v>5523416.1374216378</v>
      </c>
      <c r="E253">
        <v>2370527.2072443916</v>
      </c>
      <c r="F253">
        <v>13977937.447273424</v>
      </c>
      <c r="G253">
        <v>3736979.3488974399</v>
      </c>
      <c r="H253">
        <v>2095556.8021147791</v>
      </c>
      <c r="I253">
        <v>9856946.2823733259</v>
      </c>
      <c r="J253">
        <v>6490406.6458389098</v>
      </c>
      <c r="K253">
        <v>3500209.4167332007</v>
      </c>
      <c r="L253">
        <v>8995961.3205239307</v>
      </c>
      <c r="M253">
        <v>4756997.1820126055</v>
      </c>
      <c r="N253">
        <f t="shared" si="4"/>
        <v>0.67516623231564543</v>
      </c>
    </row>
    <row r="254" spans="1:14" x14ac:dyDescent="0.45">
      <c r="A254" t="s">
        <v>266</v>
      </c>
      <c r="B254">
        <v>771328.98616531165</v>
      </c>
      <c r="C254">
        <v>4086811.6131969253</v>
      </c>
      <c r="D254">
        <v>1953153.7325756894</v>
      </c>
      <c r="E254">
        <v>2393574.4064790355</v>
      </c>
      <c r="F254">
        <v>3325585.6350713554</v>
      </c>
      <c r="G254">
        <v>1928823.1313162195</v>
      </c>
      <c r="H254">
        <v>1510117.2407167349</v>
      </c>
      <c r="I254">
        <v>3995967.4743736987</v>
      </c>
      <c r="J254">
        <v>2992892.725990097</v>
      </c>
      <c r="K254">
        <v>1819011.2960619454</v>
      </c>
      <c r="L254">
        <v>4444589.6368441796</v>
      </c>
      <c r="M254">
        <v>1508144.7670781561</v>
      </c>
      <c r="N254">
        <f t="shared" si="4"/>
        <v>0.68040430932820262</v>
      </c>
    </row>
    <row r="255" spans="1:14" x14ac:dyDescent="0.45">
      <c r="A255" t="s">
        <v>269</v>
      </c>
      <c r="B255">
        <v>1989122.0923329249</v>
      </c>
      <c r="C255">
        <v>6834909.5978485765</v>
      </c>
      <c r="D255">
        <v>3577086.3975091586</v>
      </c>
      <c r="E255">
        <v>3452753.4398498232</v>
      </c>
      <c r="F255">
        <v>5823598.8726651324</v>
      </c>
      <c r="G255">
        <v>4215563.3468498727</v>
      </c>
      <c r="H255">
        <v>2799134.2241079737</v>
      </c>
      <c r="I255">
        <v>1905618.309596383</v>
      </c>
      <c r="J255">
        <v>5229730.829321445</v>
      </c>
      <c r="K255">
        <v>5331847.7884975234</v>
      </c>
      <c r="L255">
        <v>4309480.10757853</v>
      </c>
      <c r="M255">
        <v>4050871.7562126438</v>
      </c>
      <c r="N255">
        <f t="shared" si="4"/>
        <v>0.68493608716539756</v>
      </c>
    </row>
    <row r="256" spans="1:14" x14ac:dyDescent="0.45">
      <c r="A256" t="s">
        <v>111</v>
      </c>
      <c r="B256">
        <v>24095184.570249598</v>
      </c>
      <c r="C256">
        <v>19906312.971313573</v>
      </c>
      <c r="D256">
        <v>23753459.517721411</v>
      </c>
      <c r="E256">
        <v>19063762.25022598</v>
      </c>
      <c r="F256">
        <v>50792184.144885331</v>
      </c>
      <c r="G256">
        <v>72706236.984612137</v>
      </c>
      <c r="H256">
        <v>22973590.48240792</v>
      </c>
      <c r="I256">
        <v>13556469.21559776</v>
      </c>
      <c r="J256">
        <v>28669404.346704215</v>
      </c>
      <c r="K256">
        <v>46496284.852907352</v>
      </c>
      <c r="L256">
        <v>39775611.770606503</v>
      </c>
      <c r="M256">
        <v>34029967.030722871</v>
      </c>
      <c r="N256">
        <f t="shared" si="4"/>
        <v>0.69261546144193442</v>
      </c>
    </row>
    <row r="257" spans="1:14" x14ac:dyDescent="0.45">
      <c r="A257" t="s">
        <v>372</v>
      </c>
      <c r="B257">
        <v>932193.0330056625</v>
      </c>
      <c r="C257">
        <v>2412977.8154418999</v>
      </c>
      <c r="D257">
        <v>1460136.7577681062</v>
      </c>
      <c r="E257">
        <v>1036983.9340537665</v>
      </c>
      <c r="F257">
        <v>1315487.2861368794</v>
      </c>
      <c r="G257">
        <v>1261390.3445367063</v>
      </c>
      <c r="H257">
        <v>772208.20531708526</v>
      </c>
      <c r="I257">
        <v>890850.2544874032</v>
      </c>
      <c r="J257">
        <v>1484889.0309316129</v>
      </c>
      <c r="K257">
        <v>1289464.2792197077</v>
      </c>
      <c r="L257">
        <v>2063928.6572143901</v>
      </c>
      <c r="M257">
        <v>1216457.0303818563</v>
      </c>
      <c r="N257">
        <f t="shared" si="4"/>
        <v>0.69267869731886744</v>
      </c>
    </row>
    <row r="258" spans="1:14" x14ac:dyDescent="0.45">
      <c r="A258" t="s">
        <v>437</v>
      </c>
      <c r="B258">
        <v>7760243.8386174161</v>
      </c>
      <c r="C258">
        <v>21129681.754524425</v>
      </c>
      <c r="D258">
        <v>14114878.90380007</v>
      </c>
      <c r="E258">
        <v>8055296.8581489222</v>
      </c>
      <c r="F258">
        <v>20948093.718828764</v>
      </c>
      <c r="G258">
        <v>16982130.827806469</v>
      </c>
      <c r="H258">
        <v>10415568.708363404</v>
      </c>
      <c r="I258">
        <v>19652040.454063315</v>
      </c>
      <c r="J258">
        <v>8861050.5676390771</v>
      </c>
      <c r="K258">
        <v>19807415.651579659</v>
      </c>
      <c r="L258">
        <v>39003575.802623697</v>
      </c>
      <c r="M258">
        <v>4651756.2645158432</v>
      </c>
      <c r="N258">
        <f t="shared" ref="N258:N319" si="5">TTEST(B258:G258,H258:M258,2,2)</f>
        <v>0.69816066033237179</v>
      </c>
    </row>
    <row r="259" spans="1:14" x14ac:dyDescent="0.45">
      <c r="A259" t="s">
        <v>65</v>
      </c>
      <c r="B259">
        <v>732048.33643311867</v>
      </c>
      <c r="C259">
        <v>4242670.0276470566</v>
      </c>
      <c r="D259">
        <v>1395632.6127182862</v>
      </c>
      <c r="E259">
        <v>2434296.8326413198</v>
      </c>
      <c r="F259">
        <v>2214892.0364152659</v>
      </c>
      <c r="G259">
        <v>1294295.5680604768</v>
      </c>
      <c r="H259">
        <v>847014.15338067</v>
      </c>
      <c r="I259">
        <v>2200703.7783352239</v>
      </c>
      <c r="J259">
        <v>3586068.7061720146</v>
      </c>
      <c r="K259">
        <v>1559398.6772933574</v>
      </c>
      <c r="L259">
        <v>4453166.7427845905</v>
      </c>
      <c r="M259">
        <v>1456049.3288965437</v>
      </c>
      <c r="N259">
        <f t="shared" si="5"/>
        <v>0.70350272797598845</v>
      </c>
    </row>
    <row r="260" spans="1:14" x14ac:dyDescent="0.45">
      <c r="A260" t="s">
        <v>118</v>
      </c>
      <c r="B260">
        <v>3244340.2469973559</v>
      </c>
      <c r="C260">
        <v>7635825.2446587402</v>
      </c>
      <c r="D260">
        <v>5291864.5903191017</v>
      </c>
      <c r="E260">
        <v>4408240.3796153655</v>
      </c>
      <c r="F260">
        <v>5330261.3893161165</v>
      </c>
      <c r="G260">
        <v>7627353.2561058523</v>
      </c>
      <c r="H260">
        <v>2852531.3886906616</v>
      </c>
      <c r="I260">
        <v>10185665.731384274</v>
      </c>
      <c r="J260">
        <v>6157153.5775004579</v>
      </c>
      <c r="K260">
        <v>7588829.4756292254</v>
      </c>
      <c r="L260">
        <v>4519325.8993883803</v>
      </c>
      <c r="M260">
        <v>5169597.2160237627</v>
      </c>
      <c r="N260">
        <f t="shared" si="5"/>
        <v>0.70765304908871396</v>
      </c>
    </row>
    <row r="261" spans="1:14" x14ac:dyDescent="0.45">
      <c r="A261" t="s">
        <v>238</v>
      </c>
      <c r="B261">
        <v>7960578.5934927166</v>
      </c>
      <c r="C261">
        <v>25809337.620185509</v>
      </c>
      <c r="D261">
        <v>11345120.991450505</v>
      </c>
      <c r="E261">
        <v>18269120.110880051</v>
      </c>
      <c r="F261">
        <v>16347658.324679749</v>
      </c>
      <c r="G261">
        <v>11622087.569831861</v>
      </c>
      <c r="H261">
        <v>7388272.1572728902</v>
      </c>
      <c r="I261">
        <v>13000643.993832631</v>
      </c>
      <c r="J261">
        <v>16300255.104433963</v>
      </c>
      <c r="K261">
        <v>19812338.759927306</v>
      </c>
      <c r="L261">
        <v>22665570.057300001</v>
      </c>
      <c r="M261">
        <v>20157467.911927</v>
      </c>
      <c r="N261">
        <f t="shared" si="5"/>
        <v>0.70977261225707378</v>
      </c>
    </row>
    <row r="262" spans="1:14" x14ac:dyDescent="0.45">
      <c r="A262" t="s">
        <v>433</v>
      </c>
      <c r="B262">
        <v>160581.60588963324</v>
      </c>
      <c r="C262">
        <v>1711270.5750292805</v>
      </c>
      <c r="D262">
        <v>252135.63110947734</v>
      </c>
      <c r="E262">
        <v>163907.4573527833</v>
      </c>
      <c r="F262">
        <v>297806.36507894931</v>
      </c>
      <c r="G262">
        <v>487070.0797821898</v>
      </c>
      <c r="H262">
        <v>164029.64691555881</v>
      </c>
      <c r="I262">
        <v>2484417.1682041814</v>
      </c>
      <c r="J262">
        <v>1151821.4172061011</v>
      </c>
      <c r="K262">
        <v>91444.467275570569</v>
      </c>
      <c r="L262">
        <v>187998.059226079</v>
      </c>
      <c r="M262">
        <v>55488.953652965123</v>
      </c>
      <c r="N262">
        <f t="shared" si="5"/>
        <v>0.71200958163321393</v>
      </c>
    </row>
    <row r="263" spans="1:14" x14ac:dyDescent="0.45">
      <c r="A263" t="s">
        <v>126</v>
      </c>
      <c r="B263">
        <v>5386608137.384161</v>
      </c>
      <c r="C263">
        <v>2566927889.0925465</v>
      </c>
      <c r="D263">
        <v>7838306177.8862038</v>
      </c>
      <c r="E263">
        <v>337471346.86110324</v>
      </c>
      <c r="F263">
        <v>194166929.84921324</v>
      </c>
      <c r="G263">
        <v>60506999.385106161</v>
      </c>
      <c r="H263">
        <v>165029730.78176576</v>
      </c>
      <c r="I263">
        <v>18195517854.815067</v>
      </c>
      <c r="J263">
        <v>1910734900.5631809</v>
      </c>
      <c r="K263">
        <v>444927622.54900694</v>
      </c>
      <c r="L263">
        <v>2485813188.3221598</v>
      </c>
      <c r="M263">
        <v>271703857.41004372</v>
      </c>
      <c r="N263">
        <f t="shared" si="5"/>
        <v>0.71727388318843022</v>
      </c>
    </row>
    <row r="264" spans="1:14" x14ac:dyDescent="0.45">
      <c r="A264" t="s">
        <v>52</v>
      </c>
      <c r="B264">
        <v>12865007.428708456</v>
      </c>
      <c r="C264">
        <v>28726640.118452583</v>
      </c>
      <c r="D264">
        <v>18091884.352458965</v>
      </c>
      <c r="E264">
        <v>20373529.695630953</v>
      </c>
      <c r="F264">
        <v>24336298.994679779</v>
      </c>
      <c r="G264">
        <v>22387685.086360611</v>
      </c>
      <c r="H264">
        <v>12166518.55139735</v>
      </c>
      <c r="I264">
        <v>21367485.766512245</v>
      </c>
      <c r="J264">
        <v>27651785.301646475</v>
      </c>
      <c r="K264">
        <v>22894521.296020053</v>
      </c>
      <c r="L264">
        <v>28537676.664080199</v>
      </c>
      <c r="M264">
        <v>21178695.23300356</v>
      </c>
      <c r="N264">
        <f t="shared" si="5"/>
        <v>0.72793648546938816</v>
      </c>
    </row>
    <row r="265" spans="1:14" x14ac:dyDescent="0.45">
      <c r="A265" t="s">
        <v>116</v>
      </c>
      <c r="B265">
        <v>2558524.1646764046</v>
      </c>
      <c r="C265">
        <v>9213029.0966099016</v>
      </c>
      <c r="D265">
        <v>5893943.2983938893</v>
      </c>
      <c r="E265">
        <v>5731437.2847545445</v>
      </c>
      <c r="F265">
        <v>9339231.9579586536</v>
      </c>
      <c r="G265">
        <v>6667525.2266959902</v>
      </c>
      <c r="H265">
        <v>3539906.3519522701</v>
      </c>
      <c r="I265">
        <v>1653443.1559821379</v>
      </c>
      <c r="J265">
        <v>10746550.548024002</v>
      </c>
      <c r="K265">
        <v>10119391.403900011</v>
      </c>
      <c r="L265">
        <v>11074903.028266501</v>
      </c>
      <c r="M265">
        <v>6227002.2798317997</v>
      </c>
      <c r="N265">
        <f t="shared" si="5"/>
        <v>0.74114488110168608</v>
      </c>
    </row>
    <row r="266" spans="1:14" x14ac:dyDescent="0.45">
      <c r="A266" t="s">
        <v>80</v>
      </c>
      <c r="B266">
        <v>16717410.894283123</v>
      </c>
      <c r="C266">
        <v>44122547.785995767</v>
      </c>
      <c r="D266">
        <v>24358547.883245714</v>
      </c>
      <c r="E266">
        <v>32514694.918483865</v>
      </c>
      <c r="F266">
        <v>34670205.52596958</v>
      </c>
      <c r="G266">
        <v>41801399.765007749</v>
      </c>
      <c r="H266">
        <v>19441961.423460934</v>
      </c>
      <c r="I266">
        <v>25581350.941799026</v>
      </c>
      <c r="J266">
        <v>37425340.22296302</v>
      </c>
      <c r="K266">
        <v>53114099.345981419</v>
      </c>
      <c r="L266">
        <v>25125731.269500401</v>
      </c>
      <c r="M266">
        <v>47441208.062721178</v>
      </c>
      <c r="N266">
        <f t="shared" si="5"/>
        <v>0.7457321832827426</v>
      </c>
    </row>
    <row r="267" spans="1:14" x14ac:dyDescent="0.45">
      <c r="A267" t="s">
        <v>243</v>
      </c>
      <c r="B267">
        <v>17611342.326021455</v>
      </c>
      <c r="C267">
        <v>55448687.52146133</v>
      </c>
      <c r="D267">
        <v>24550969.256748892</v>
      </c>
      <c r="E267">
        <v>34401564.087494731</v>
      </c>
      <c r="F267">
        <v>38778916.059771486</v>
      </c>
      <c r="G267">
        <v>33203568.678684056</v>
      </c>
      <c r="H267">
        <v>25078093.083633546</v>
      </c>
      <c r="I267">
        <v>25007475.068075228</v>
      </c>
      <c r="J267">
        <v>43647094.082503639</v>
      </c>
      <c r="K267">
        <v>34585287.19364547</v>
      </c>
      <c r="L267">
        <v>57886854.310588203</v>
      </c>
      <c r="M267">
        <v>32105529.895322625</v>
      </c>
      <c r="N267">
        <f t="shared" si="5"/>
        <v>0.75324609901300499</v>
      </c>
    </row>
    <row r="268" spans="1:14" x14ac:dyDescent="0.45">
      <c r="A268" t="s">
        <v>417</v>
      </c>
      <c r="B268">
        <v>42986728.633516088</v>
      </c>
      <c r="C268">
        <v>44425526.9792355</v>
      </c>
      <c r="D268">
        <v>65202440.5715198</v>
      </c>
      <c r="E268">
        <v>50316070.48926644</v>
      </c>
      <c r="F268">
        <v>146412221.66222659</v>
      </c>
      <c r="G268">
        <v>172094484.76578686</v>
      </c>
      <c r="H268">
        <v>77680056.144490987</v>
      </c>
      <c r="I268">
        <v>32168918.013534848</v>
      </c>
      <c r="J268">
        <v>113856786.87060013</v>
      </c>
      <c r="K268">
        <v>126215656.92405497</v>
      </c>
      <c r="L268">
        <v>103905623.657572</v>
      </c>
      <c r="M268">
        <v>120682304.45781687</v>
      </c>
      <c r="N268">
        <f t="shared" si="5"/>
        <v>0.75417060085218668</v>
      </c>
    </row>
    <row r="269" spans="1:14" x14ac:dyDescent="0.45">
      <c r="A269" t="s">
        <v>251</v>
      </c>
      <c r="B269">
        <v>8000992.1711901054</v>
      </c>
      <c r="C269">
        <v>8836338.9048470613</v>
      </c>
      <c r="D269">
        <v>7732737.3556716805</v>
      </c>
      <c r="E269">
        <v>9616722.9348755758</v>
      </c>
      <c r="F269">
        <v>17126261.908279091</v>
      </c>
      <c r="G269">
        <v>20398749.009510145</v>
      </c>
      <c r="H269">
        <v>6669639.2897800971</v>
      </c>
      <c r="I269">
        <v>4166323.8360316348</v>
      </c>
      <c r="J269">
        <v>15282705.388069894</v>
      </c>
      <c r="K269">
        <v>17942133.917522211</v>
      </c>
      <c r="L269">
        <v>19275745.0420774</v>
      </c>
      <c r="M269">
        <v>14569136.193087311</v>
      </c>
      <c r="N269">
        <f t="shared" si="5"/>
        <v>0.76415595586267471</v>
      </c>
    </row>
    <row r="270" spans="1:14" x14ac:dyDescent="0.45">
      <c r="A270" t="s">
        <v>212</v>
      </c>
      <c r="B270">
        <v>104686330.70548555</v>
      </c>
      <c r="C270">
        <v>101531367.5973006</v>
      </c>
      <c r="D270">
        <v>114002111.75029145</v>
      </c>
      <c r="E270">
        <v>491928527.44225198</v>
      </c>
      <c r="F270">
        <v>516889791.12053198</v>
      </c>
      <c r="G270">
        <v>934905246.13132489</v>
      </c>
      <c r="H270">
        <v>194425440.88214603</v>
      </c>
      <c r="I270">
        <v>269946380.73110241</v>
      </c>
      <c r="J270">
        <v>350547671.67797178</v>
      </c>
      <c r="K270">
        <v>262690966.75045726</v>
      </c>
      <c r="L270">
        <v>664395232.17247796</v>
      </c>
      <c r="M270">
        <v>836662125.93044364</v>
      </c>
      <c r="N270">
        <f t="shared" si="5"/>
        <v>0.76808701756755116</v>
      </c>
    </row>
    <row r="271" spans="1:14" x14ac:dyDescent="0.45">
      <c r="A271" t="s">
        <v>283</v>
      </c>
      <c r="B271">
        <v>139908007.29985127</v>
      </c>
      <c r="C271">
        <v>87455234.699573651</v>
      </c>
      <c r="D271">
        <v>115025717.82760762</v>
      </c>
      <c r="E271">
        <v>63938810.103257902</v>
      </c>
      <c r="F271">
        <v>155973994.25503236</v>
      </c>
      <c r="G271">
        <v>301240904.04481691</v>
      </c>
      <c r="H271">
        <v>59476821.268952936</v>
      </c>
      <c r="I271">
        <v>132698000.9344514</v>
      </c>
      <c r="J271">
        <v>98814840.845214099</v>
      </c>
      <c r="K271">
        <v>134227104.97096831</v>
      </c>
      <c r="L271">
        <v>276753628.27002603</v>
      </c>
      <c r="M271">
        <v>76634775.733645618</v>
      </c>
      <c r="N271">
        <f t="shared" si="5"/>
        <v>0.76844636695059643</v>
      </c>
    </row>
    <row r="272" spans="1:14" x14ac:dyDescent="0.45">
      <c r="A272" t="s">
        <v>341</v>
      </c>
      <c r="B272">
        <v>1472995.7992694215</v>
      </c>
      <c r="C272">
        <v>6871355.0926985061</v>
      </c>
      <c r="D272">
        <v>2015048.2804573632</v>
      </c>
      <c r="E272">
        <v>3845152.7268850305</v>
      </c>
      <c r="F272">
        <v>5324069.9789981432</v>
      </c>
      <c r="G272">
        <v>3868637.9662339692</v>
      </c>
      <c r="H272">
        <v>2228054.2958643176</v>
      </c>
      <c r="I272">
        <v>3107279.6637239465</v>
      </c>
      <c r="J272">
        <v>3646440.1871912819</v>
      </c>
      <c r="K272">
        <v>6001328.5722288406</v>
      </c>
      <c r="L272">
        <v>7337410.5274111601</v>
      </c>
      <c r="M272">
        <v>3138908.1151690502</v>
      </c>
      <c r="N272">
        <f t="shared" si="5"/>
        <v>0.77177716754644476</v>
      </c>
    </row>
    <row r="273" spans="1:14" x14ac:dyDescent="0.45">
      <c r="A273" t="s">
        <v>229</v>
      </c>
      <c r="B273">
        <v>10899929.971115191</v>
      </c>
      <c r="C273">
        <v>44818529.42623879</v>
      </c>
      <c r="D273">
        <v>16615177.742928384</v>
      </c>
      <c r="E273">
        <v>22627757.095900297</v>
      </c>
      <c r="F273">
        <v>23831740.34073237</v>
      </c>
      <c r="G273">
        <v>21011852.276000056</v>
      </c>
      <c r="H273">
        <v>12692881.14069275</v>
      </c>
      <c r="I273">
        <v>16183241.182889726</v>
      </c>
      <c r="J273">
        <v>31393105.25330428</v>
      </c>
      <c r="K273">
        <v>29333940.258004412</v>
      </c>
      <c r="L273">
        <v>31244524.207042299</v>
      </c>
      <c r="M273">
        <v>29063456.206384625</v>
      </c>
      <c r="N273">
        <f t="shared" si="5"/>
        <v>0.77771835523648991</v>
      </c>
    </row>
    <row r="274" spans="1:14" x14ac:dyDescent="0.45">
      <c r="A274" t="s">
        <v>178</v>
      </c>
      <c r="B274">
        <v>50881216.888365932</v>
      </c>
      <c r="C274">
        <v>152010980.39979377</v>
      </c>
      <c r="D274">
        <v>77731265.271642447</v>
      </c>
      <c r="E274">
        <v>102186536.13428865</v>
      </c>
      <c r="F274">
        <v>122051670.41153286</v>
      </c>
      <c r="G274">
        <v>118155401.52419628</v>
      </c>
      <c r="H274">
        <v>64615823.644006945</v>
      </c>
      <c r="I274">
        <v>56856034.952910893</v>
      </c>
      <c r="J274">
        <v>124754053.29330106</v>
      </c>
      <c r="K274">
        <v>133748156.69173492</v>
      </c>
      <c r="L274">
        <v>180971707.17431101</v>
      </c>
      <c r="M274">
        <v>103183578.81844436</v>
      </c>
      <c r="N274">
        <f t="shared" si="5"/>
        <v>0.77992282594462969</v>
      </c>
    </row>
    <row r="275" spans="1:14" x14ac:dyDescent="0.45">
      <c r="A275" t="s">
        <v>262</v>
      </c>
      <c r="B275">
        <v>5447197.6232606545</v>
      </c>
      <c r="C275">
        <v>2255521.7804540196</v>
      </c>
      <c r="D275">
        <v>5141385.2407097863</v>
      </c>
      <c r="E275">
        <v>4606891.864083901</v>
      </c>
      <c r="F275">
        <v>10812113.477003386</v>
      </c>
      <c r="G275">
        <v>14395116.309590463</v>
      </c>
      <c r="H275">
        <v>5240914.582374244</v>
      </c>
      <c r="I275">
        <v>1560577.2689515948</v>
      </c>
      <c r="J275">
        <v>4663465.3188958559</v>
      </c>
      <c r="K275">
        <v>13300423.089945568</v>
      </c>
      <c r="L275">
        <v>3397401.5786062502</v>
      </c>
      <c r="M275">
        <v>10157055.905634062</v>
      </c>
      <c r="N275">
        <f t="shared" si="5"/>
        <v>0.78607351889497956</v>
      </c>
    </row>
    <row r="276" spans="1:14" x14ac:dyDescent="0.45">
      <c r="A276" t="s">
        <v>75</v>
      </c>
      <c r="B276">
        <v>11250369.437525027</v>
      </c>
      <c r="C276">
        <v>56029233.28352017</v>
      </c>
      <c r="D276">
        <v>19439543.996557124</v>
      </c>
      <c r="E276">
        <v>27877498.686233841</v>
      </c>
      <c r="F276">
        <v>31155779.974291679</v>
      </c>
      <c r="G276">
        <v>21615913.044395056</v>
      </c>
      <c r="H276">
        <v>14316852.449597603</v>
      </c>
      <c r="I276">
        <v>29379056.730085883</v>
      </c>
      <c r="J276">
        <v>39347954.483259775</v>
      </c>
      <c r="K276">
        <v>29297714.177034475</v>
      </c>
      <c r="L276">
        <v>37362085.644812301</v>
      </c>
      <c r="M276">
        <v>29384519.423337437</v>
      </c>
      <c r="N276">
        <f t="shared" si="5"/>
        <v>0.79320550673330781</v>
      </c>
    </row>
    <row r="277" spans="1:14" x14ac:dyDescent="0.45">
      <c r="A277" t="s">
        <v>356</v>
      </c>
      <c r="B277">
        <v>309917306.88729078</v>
      </c>
      <c r="C277">
        <v>186646593.98127279</v>
      </c>
      <c r="D277">
        <v>236248266.00519088</v>
      </c>
      <c r="E277">
        <v>139632078.61959252</v>
      </c>
      <c r="F277">
        <v>348507590.06092584</v>
      </c>
      <c r="G277">
        <v>621324168.03761888</v>
      </c>
      <c r="H277">
        <v>130057786.72478448</v>
      </c>
      <c r="I277">
        <v>248167528.76838687</v>
      </c>
      <c r="J277">
        <v>206198390.7548939</v>
      </c>
      <c r="K277">
        <v>258375958.3303999</v>
      </c>
      <c r="L277">
        <v>664123894.25983</v>
      </c>
      <c r="M277">
        <v>163965784.02221063</v>
      </c>
      <c r="N277">
        <f t="shared" si="5"/>
        <v>0.79344918124438035</v>
      </c>
    </row>
    <row r="278" spans="1:14" x14ac:dyDescent="0.45">
      <c r="A278" t="s">
        <v>245</v>
      </c>
      <c r="B278">
        <v>10162893.156049725</v>
      </c>
      <c r="C278">
        <v>12962265.286180256</v>
      </c>
      <c r="D278">
        <v>13990891.809928505</v>
      </c>
      <c r="E278">
        <v>16327683.607632261</v>
      </c>
      <c r="F278">
        <v>24179421.00203174</v>
      </c>
      <c r="G278">
        <v>28495252.649438359</v>
      </c>
      <c r="H278">
        <v>1761301.6857491678</v>
      </c>
      <c r="I278">
        <v>8539223.314268738</v>
      </c>
      <c r="J278">
        <v>29802612.576854173</v>
      </c>
      <c r="K278">
        <v>18191466.353726231</v>
      </c>
      <c r="L278">
        <v>35112819.811705999</v>
      </c>
      <c r="M278">
        <v>21701617.239761874</v>
      </c>
      <c r="N278">
        <f t="shared" si="5"/>
        <v>0.80464240799711273</v>
      </c>
    </row>
    <row r="279" spans="1:14" x14ac:dyDescent="0.45">
      <c r="A279" t="s">
        <v>206</v>
      </c>
      <c r="B279">
        <v>4548052.4859820725</v>
      </c>
      <c r="C279">
        <v>34013793.217533067</v>
      </c>
      <c r="D279">
        <v>8654451.2258193586</v>
      </c>
      <c r="E279">
        <v>2268971.8293558983</v>
      </c>
      <c r="F279">
        <v>7023124.0224415231</v>
      </c>
      <c r="G279">
        <v>4880881.6823887164</v>
      </c>
      <c r="H279">
        <v>8488763.0705607459</v>
      </c>
      <c r="I279">
        <v>11204766.04884875</v>
      </c>
      <c r="J279">
        <v>18670675.436007634</v>
      </c>
      <c r="K279">
        <v>9563229.112174226</v>
      </c>
      <c r="L279">
        <v>16811252.478984401</v>
      </c>
      <c r="M279">
        <v>4550062.1943491744</v>
      </c>
      <c r="N279">
        <f t="shared" si="5"/>
        <v>0.80893552001202174</v>
      </c>
    </row>
    <row r="280" spans="1:14" x14ac:dyDescent="0.45">
      <c r="A280" t="s">
        <v>224</v>
      </c>
      <c r="B280">
        <v>322215445.76605046</v>
      </c>
      <c r="C280">
        <v>174175621.63644573</v>
      </c>
      <c r="D280">
        <v>319601400.24223256</v>
      </c>
      <c r="E280">
        <v>179565264.94140133</v>
      </c>
      <c r="F280">
        <v>489754760.36634707</v>
      </c>
      <c r="G280">
        <v>670649663.57884443</v>
      </c>
      <c r="H280">
        <v>224738583.49820548</v>
      </c>
      <c r="I280">
        <v>311119316.6524018</v>
      </c>
      <c r="J280">
        <v>212012569.25368643</v>
      </c>
      <c r="K280">
        <v>451144543.7141248</v>
      </c>
      <c r="L280">
        <v>513845864.60563803</v>
      </c>
      <c r="M280">
        <v>321518494.5661056</v>
      </c>
      <c r="N280">
        <f t="shared" si="5"/>
        <v>0.83107091389839349</v>
      </c>
    </row>
    <row r="281" spans="1:14" x14ac:dyDescent="0.45">
      <c r="A281" t="s">
        <v>276</v>
      </c>
      <c r="B281">
        <v>219032653.90108052</v>
      </c>
      <c r="C281">
        <v>368914077.57328373</v>
      </c>
      <c r="D281">
        <v>279356213.24342608</v>
      </c>
      <c r="E281">
        <v>309948180.56961089</v>
      </c>
      <c r="F281">
        <v>203930723.14925605</v>
      </c>
      <c r="G281">
        <v>268323450.54783916</v>
      </c>
      <c r="H281">
        <v>91557775.5449972</v>
      </c>
      <c r="I281">
        <v>177923183.09803569</v>
      </c>
      <c r="J281">
        <v>331410667.66146928</v>
      </c>
      <c r="K281">
        <v>316097366.4888404</v>
      </c>
      <c r="L281">
        <v>456832064.71261299</v>
      </c>
      <c r="M281">
        <v>352533504.66354877</v>
      </c>
      <c r="N281">
        <f t="shared" si="5"/>
        <v>0.83243101377735274</v>
      </c>
    </row>
    <row r="282" spans="1:14" x14ac:dyDescent="0.45">
      <c r="A282" t="s">
        <v>53</v>
      </c>
      <c r="B282">
        <v>135058478.04948369</v>
      </c>
      <c r="C282">
        <v>185532986.93917108</v>
      </c>
      <c r="D282">
        <v>157980284.86421931</v>
      </c>
      <c r="E282">
        <v>238418555.88257599</v>
      </c>
      <c r="F282">
        <v>160014358.92235178</v>
      </c>
      <c r="G282">
        <v>226281778.101551</v>
      </c>
      <c r="H282">
        <v>38093846.894945264</v>
      </c>
      <c r="I282">
        <v>192835688.24438286</v>
      </c>
      <c r="J282">
        <v>292082172.49077457</v>
      </c>
      <c r="K282">
        <v>191825034.58988646</v>
      </c>
      <c r="L282">
        <v>212092801.635187</v>
      </c>
      <c r="M282">
        <v>126578253.41923313</v>
      </c>
      <c r="N282">
        <f t="shared" si="5"/>
        <v>0.83499228198585196</v>
      </c>
    </row>
    <row r="283" spans="1:14" x14ac:dyDescent="0.45">
      <c r="A283" t="s">
        <v>192</v>
      </c>
      <c r="B283">
        <v>39287567.136562869</v>
      </c>
      <c r="C283">
        <v>191697001.09701791</v>
      </c>
      <c r="D283">
        <v>70188032.39892748</v>
      </c>
      <c r="E283">
        <v>115778021.37325789</v>
      </c>
      <c r="F283">
        <v>135046984.70037201</v>
      </c>
      <c r="G283">
        <v>109240711.84094898</v>
      </c>
      <c r="H283">
        <v>60404155.656912871</v>
      </c>
      <c r="I283">
        <v>99184196.157767326</v>
      </c>
      <c r="J283">
        <v>157164770.09492633</v>
      </c>
      <c r="K283">
        <v>126222439.70504029</v>
      </c>
      <c r="L283">
        <v>66436487.450291798</v>
      </c>
      <c r="M283">
        <v>118921542.45171186</v>
      </c>
      <c r="N283">
        <f t="shared" si="5"/>
        <v>0.83917783675267676</v>
      </c>
    </row>
    <row r="284" spans="1:14" x14ac:dyDescent="0.45">
      <c r="A284" t="s">
        <v>121</v>
      </c>
      <c r="B284">
        <v>2729502.32278874</v>
      </c>
      <c r="C284">
        <v>7380833.8993288865</v>
      </c>
      <c r="D284">
        <v>2279256.5975694489</v>
      </c>
      <c r="E284">
        <v>2251149.9562874795</v>
      </c>
      <c r="F284">
        <v>2611324.7906069481</v>
      </c>
      <c r="G284">
        <v>2615467.1990586286</v>
      </c>
      <c r="H284">
        <v>1542597.7554328896</v>
      </c>
      <c r="I284">
        <v>5400094.5466126828</v>
      </c>
      <c r="J284">
        <v>5088808.5020216554</v>
      </c>
      <c r="K284">
        <v>3446326.5402176273</v>
      </c>
      <c r="L284">
        <v>2519998.6450687801</v>
      </c>
      <c r="M284">
        <v>3141155.9748048498</v>
      </c>
      <c r="N284">
        <f t="shared" si="5"/>
        <v>0.83935288298055943</v>
      </c>
    </row>
    <row r="285" spans="1:14" x14ac:dyDescent="0.45">
      <c r="A285" t="s">
        <v>85</v>
      </c>
      <c r="B285">
        <v>13112949.699361958</v>
      </c>
      <c r="C285">
        <v>20795947.031206012</v>
      </c>
      <c r="D285">
        <v>16544209.342510669</v>
      </c>
      <c r="E285">
        <v>34233863.663578331</v>
      </c>
      <c r="F285">
        <v>18843650.933665369</v>
      </c>
      <c r="G285">
        <v>21255946.020343028</v>
      </c>
      <c r="H285">
        <v>4452252.9083828898</v>
      </c>
      <c r="I285">
        <v>17164696.868426792</v>
      </c>
      <c r="J285">
        <v>28610632.964287035</v>
      </c>
      <c r="K285">
        <v>13795953.47776372</v>
      </c>
      <c r="L285">
        <v>50629697.211312398</v>
      </c>
      <c r="M285">
        <v>18267565.352574375</v>
      </c>
      <c r="N285">
        <f t="shared" si="5"/>
        <v>0.85358726442592481</v>
      </c>
    </row>
    <row r="286" spans="1:14" x14ac:dyDescent="0.45">
      <c r="A286" t="s">
        <v>425</v>
      </c>
      <c r="B286">
        <v>64856017.420523942</v>
      </c>
      <c r="C286">
        <v>38090300.585061528</v>
      </c>
      <c r="D286">
        <v>73036206.003076494</v>
      </c>
      <c r="E286">
        <v>28790690.193315428</v>
      </c>
      <c r="F286">
        <v>201793857.33924949</v>
      </c>
      <c r="G286">
        <v>237915266.92266017</v>
      </c>
      <c r="H286">
        <v>24227965.644202486</v>
      </c>
      <c r="I286">
        <v>253572112.26383537</v>
      </c>
      <c r="J286">
        <v>57933938.155936748</v>
      </c>
      <c r="K286">
        <v>80864859.242600113</v>
      </c>
      <c r="L286">
        <v>188857135.480782</v>
      </c>
      <c r="M286">
        <v>95844101.087942496</v>
      </c>
      <c r="N286">
        <f t="shared" si="5"/>
        <v>0.85600053070426463</v>
      </c>
    </row>
    <row r="287" spans="1:14" x14ac:dyDescent="0.45">
      <c r="A287" t="s">
        <v>58</v>
      </c>
      <c r="B287">
        <v>10681587.797499625</v>
      </c>
      <c r="C287">
        <v>22138457.979973231</v>
      </c>
      <c r="D287">
        <v>14605614.379508104</v>
      </c>
      <c r="E287">
        <v>15898983.800568692</v>
      </c>
      <c r="F287">
        <v>17107122.514744401</v>
      </c>
      <c r="G287">
        <v>16412356.465356575</v>
      </c>
      <c r="H287">
        <v>5224400.0559997521</v>
      </c>
      <c r="I287">
        <v>21949517.652113002</v>
      </c>
      <c r="J287">
        <v>22777893.39805093</v>
      </c>
      <c r="K287">
        <v>20780742.050062779</v>
      </c>
      <c r="L287">
        <v>26691780.924102999</v>
      </c>
      <c r="M287">
        <v>4089293.4468657314</v>
      </c>
      <c r="N287">
        <f t="shared" si="5"/>
        <v>0.85820216264091187</v>
      </c>
    </row>
    <row r="288" spans="1:14" x14ac:dyDescent="0.45">
      <c r="A288" t="s">
        <v>342</v>
      </c>
      <c r="B288">
        <v>90133315.015834704</v>
      </c>
      <c r="C288">
        <v>77640947.101126581</v>
      </c>
      <c r="D288">
        <v>96554719.893856838</v>
      </c>
      <c r="E288">
        <v>56145652.15315789</v>
      </c>
      <c r="F288">
        <v>78436535.886113927</v>
      </c>
      <c r="G288">
        <v>119359248.83985731</v>
      </c>
      <c r="H288">
        <v>48990625.138617843</v>
      </c>
      <c r="I288">
        <v>12006776.367592731</v>
      </c>
      <c r="J288">
        <v>53370537.680225894</v>
      </c>
      <c r="K288">
        <v>100480871.42498378</v>
      </c>
      <c r="L288">
        <v>203413161.078437</v>
      </c>
      <c r="M288">
        <v>68712051.238572493</v>
      </c>
      <c r="N288">
        <f t="shared" si="5"/>
        <v>0.85830970313290988</v>
      </c>
    </row>
    <row r="289" spans="1:14" x14ac:dyDescent="0.45">
      <c r="A289" t="s">
        <v>83</v>
      </c>
      <c r="B289">
        <v>13507258.741254641</v>
      </c>
      <c r="C289">
        <v>7596768.8150186082</v>
      </c>
      <c r="D289">
        <v>15532255.154743155</v>
      </c>
      <c r="E289">
        <v>24147950.599448424</v>
      </c>
      <c r="F289">
        <v>5773705.0125716655</v>
      </c>
      <c r="G289">
        <v>21057133.551349066</v>
      </c>
      <c r="H289">
        <v>9139875.168571135</v>
      </c>
      <c r="I289">
        <v>5161399.8986243112</v>
      </c>
      <c r="J289">
        <v>24078339.681761395</v>
      </c>
      <c r="K289">
        <v>21193162.940714907</v>
      </c>
      <c r="L289">
        <v>25492999.285643801</v>
      </c>
      <c r="M289">
        <v>7718921.2837363128</v>
      </c>
      <c r="N289">
        <f t="shared" si="5"/>
        <v>0.85955479717258221</v>
      </c>
    </row>
    <row r="290" spans="1:14" x14ac:dyDescent="0.45">
      <c r="A290" t="s">
        <v>237</v>
      </c>
      <c r="B290">
        <v>23076583.529049203</v>
      </c>
      <c r="C290">
        <v>64451016.432927802</v>
      </c>
      <c r="D290">
        <v>47737350.155053213</v>
      </c>
      <c r="E290">
        <v>1528420245.3697591</v>
      </c>
      <c r="F290">
        <v>1746407514.7985518</v>
      </c>
      <c r="G290">
        <v>1425197240.6870527</v>
      </c>
      <c r="H290">
        <v>948355329.42386246</v>
      </c>
      <c r="I290">
        <v>1329482642.140907</v>
      </c>
      <c r="J290">
        <v>2343467998.7838578</v>
      </c>
      <c r="K290">
        <v>22604327.381663524</v>
      </c>
      <c r="L290">
        <v>608060538.10440898</v>
      </c>
      <c r="M290">
        <v>102303616.32569313</v>
      </c>
      <c r="N290">
        <f t="shared" si="5"/>
        <v>0.86420332073325667</v>
      </c>
    </row>
    <row r="291" spans="1:14" x14ac:dyDescent="0.45">
      <c r="A291" t="s">
        <v>127</v>
      </c>
      <c r="B291">
        <v>107869718.60464856</v>
      </c>
      <c r="C291">
        <v>35798655.240615532</v>
      </c>
      <c r="D291">
        <v>94633000.241195366</v>
      </c>
      <c r="E291">
        <v>30616938.613399573</v>
      </c>
      <c r="F291">
        <v>129342793.24061295</v>
      </c>
      <c r="G291">
        <v>186797850.97163811</v>
      </c>
      <c r="H291">
        <v>46094871.858201869</v>
      </c>
      <c r="I291">
        <v>32834889.979122475</v>
      </c>
      <c r="J291">
        <v>43905200.749486335</v>
      </c>
      <c r="K291">
        <v>75885840.445391431</v>
      </c>
      <c r="L291">
        <v>301437852.18618399</v>
      </c>
      <c r="M291">
        <v>33080824.386414059</v>
      </c>
      <c r="N291">
        <f t="shared" si="5"/>
        <v>0.86436417845715419</v>
      </c>
    </row>
    <row r="292" spans="1:14" x14ac:dyDescent="0.45">
      <c r="A292" t="s">
        <v>214</v>
      </c>
      <c r="B292">
        <v>7953444.5956215607</v>
      </c>
      <c r="C292">
        <v>98858225.498523533</v>
      </c>
      <c r="D292">
        <v>24057718.827804089</v>
      </c>
      <c r="E292">
        <v>58023434.357238322</v>
      </c>
      <c r="F292">
        <v>71956949.463430181</v>
      </c>
      <c r="G292">
        <v>93549852.317919523</v>
      </c>
      <c r="H292">
        <v>36943764.509449311</v>
      </c>
      <c r="I292">
        <v>9971261.6197591517</v>
      </c>
      <c r="J292">
        <v>50203401.559519827</v>
      </c>
      <c r="K292">
        <v>62590886.466786146</v>
      </c>
      <c r="L292">
        <v>111548945.917192</v>
      </c>
      <c r="M292">
        <v>62478611.516807936</v>
      </c>
      <c r="N292">
        <f t="shared" si="5"/>
        <v>0.8691988602765498</v>
      </c>
    </row>
    <row r="293" spans="1:14" x14ac:dyDescent="0.45">
      <c r="A293" t="s">
        <v>228</v>
      </c>
      <c r="B293">
        <v>13703150.650411693</v>
      </c>
      <c r="C293">
        <v>66566151.564450055</v>
      </c>
      <c r="D293">
        <v>24436647.028407764</v>
      </c>
      <c r="E293">
        <v>53751424.137216903</v>
      </c>
      <c r="F293">
        <v>60487851.262521148</v>
      </c>
      <c r="G293">
        <v>49073950.242554024</v>
      </c>
      <c r="H293">
        <v>27461292.558489252</v>
      </c>
      <c r="I293">
        <v>33506879.338295951</v>
      </c>
      <c r="J293">
        <v>64063736.965758786</v>
      </c>
      <c r="K293">
        <v>57694043.417743996</v>
      </c>
      <c r="L293">
        <v>18721611.133853201</v>
      </c>
      <c r="M293">
        <v>55264081.840115622</v>
      </c>
      <c r="N293">
        <f t="shared" si="5"/>
        <v>0.87250393960084671</v>
      </c>
    </row>
    <row r="294" spans="1:14" x14ac:dyDescent="0.45">
      <c r="A294" t="s">
        <v>257</v>
      </c>
      <c r="B294">
        <v>1289518.5437483438</v>
      </c>
      <c r="C294">
        <v>1318010.0013066086</v>
      </c>
      <c r="D294">
        <v>1615048.0671905589</v>
      </c>
      <c r="E294">
        <v>867242.58909786842</v>
      </c>
      <c r="F294">
        <v>3744626.514164608</v>
      </c>
      <c r="G294">
        <v>5150054.0153304534</v>
      </c>
      <c r="H294">
        <v>1008849.8864569606</v>
      </c>
      <c r="I294">
        <v>3016392.5059901117</v>
      </c>
      <c r="J294">
        <v>1832433.2143572913</v>
      </c>
      <c r="K294">
        <v>2539831.2842532378</v>
      </c>
      <c r="L294">
        <v>1554947.5975927899</v>
      </c>
      <c r="M294">
        <v>3263488.9056196935</v>
      </c>
      <c r="N294">
        <f t="shared" si="5"/>
        <v>0.87399358208662226</v>
      </c>
    </row>
    <row r="295" spans="1:14" x14ac:dyDescent="0.45">
      <c r="A295" t="s">
        <v>366</v>
      </c>
      <c r="B295">
        <v>221448535.82486436</v>
      </c>
      <c r="C295">
        <v>62628773.830713145</v>
      </c>
      <c r="D295">
        <v>167742235.37981737</v>
      </c>
      <c r="E295">
        <v>44684218.568598844</v>
      </c>
      <c r="F295">
        <v>220926125.20796135</v>
      </c>
      <c r="G295">
        <v>362821962.45767301</v>
      </c>
      <c r="H295">
        <v>88683330.003632516</v>
      </c>
      <c r="I295">
        <v>50976651.629743718</v>
      </c>
      <c r="J295">
        <v>40934748.216882139</v>
      </c>
      <c r="K295">
        <v>134374358.13882068</v>
      </c>
      <c r="L295">
        <v>618636281.81357098</v>
      </c>
      <c r="M295">
        <v>54518788.827972561</v>
      </c>
      <c r="N295">
        <f t="shared" si="5"/>
        <v>0.88515999591011552</v>
      </c>
    </row>
    <row r="296" spans="1:14" x14ac:dyDescent="0.45">
      <c r="A296" t="s">
        <v>142</v>
      </c>
      <c r="B296">
        <v>206616.24440975295</v>
      </c>
      <c r="C296">
        <v>369071.33630722121</v>
      </c>
      <c r="D296">
        <v>381402.76913401723</v>
      </c>
      <c r="E296">
        <v>664382.26481701399</v>
      </c>
      <c r="F296">
        <v>456536.6331009352</v>
      </c>
      <c r="G296">
        <v>394006.55077836954</v>
      </c>
      <c r="H296">
        <v>225470.82832359272</v>
      </c>
      <c r="I296">
        <v>314905.99002657813</v>
      </c>
      <c r="J296">
        <v>775174.85537016508</v>
      </c>
      <c r="K296">
        <v>356544.96180174197</v>
      </c>
      <c r="L296">
        <v>515111.39374693198</v>
      </c>
      <c r="M296">
        <v>373035.86011836992</v>
      </c>
      <c r="N296">
        <f t="shared" si="5"/>
        <v>0.88620723447866312</v>
      </c>
    </row>
    <row r="297" spans="1:14" x14ac:dyDescent="0.45">
      <c r="A297" t="s">
        <v>225</v>
      </c>
      <c r="B297">
        <v>1575733.2900824654</v>
      </c>
      <c r="C297">
        <v>3184234.7297333828</v>
      </c>
      <c r="D297">
        <v>1364593.1609129065</v>
      </c>
      <c r="E297">
        <v>536963.84246135724</v>
      </c>
      <c r="F297">
        <v>987037.86498859944</v>
      </c>
      <c r="G297">
        <v>799556.61878987856</v>
      </c>
      <c r="H297">
        <v>813830.24523613381</v>
      </c>
      <c r="I297">
        <v>1512087.3209909333</v>
      </c>
      <c r="J297">
        <v>1246535.7103789216</v>
      </c>
      <c r="K297">
        <v>1079926.3755638751</v>
      </c>
      <c r="L297">
        <v>3455430.4875210901</v>
      </c>
      <c r="M297">
        <v>820789.32040819374</v>
      </c>
      <c r="N297">
        <f t="shared" si="5"/>
        <v>0.88958977678876106</v>
      </c>
    </row>
    <row r="298" spans="1:14" x14ac:dyDescent="0.45">
      <c r="A298" t="s">
        <v>177</v>
      </c>
      <c r="B298">
        <v>2191172.7001893306</v>
      </c>
      <c r="C298">
        <v>6618788.4370907545</v>
      </c>
      <c r="D298">
        <v>4007508.7333242199</v>
      </c>
      <c r="E298">
        <v>5520298.7567327889</v>
      </c>
      <c r="F298">
        <v>5923970.5952904001</v>
      </c>
      <c r="G298">
        <v>4377617.5655010678</v>
      </c>
      <c r="H298">
        <v>2570993.7930395692</v>
      </c>
      <c r="I298">
        <v>4815731.6540908534</v>
      </c>
      <c r="J298">
        <v>5782613.2636706876</v>
      </c>
      <c r="K298">
        <v>5405347.9448926002</v>
      </c>
      <c r="L298">
        <v>5591701.9787296802</v>
      </c>
      <c r="M298">
        <v>5158726.6149708563</v>
      </c>
      <c r="N298">
        <f t="shared" si="5"/>
        <v>0.89066109153700856</v>
      </c>
    </row>
    <row r="299" spans="1:14" x14ac:dyDescent="0.45">
      <c r="A299" t="s">
        <v>264</v>
      </c>
      <c r="B299">
        <v>2992581.0045241695</v>
      </c>
      <c r="C299">
        <v>13456219.747448388</v>
      </c>
      <c r="D299">
        <v>6538374.9423598647</v>
      </c>
      <c r="E299">
        <v>7585425.5810292112</v>
      </c>
      <c r="F299">
        <v>10534902.629035965</v>
      </c>
      <c r="G299">
        <v>26637388.525190983</v>
      </c>
      <c r="H299">
        <v>2903016.9996436336</v>
      </c>
      <c r="I299">
        <v>9406616.1118182857</v>
      </c>
      <c r="J299">
        <v>14573934.384642128</v>
      </c>
      <c r="K299">
        <v>10685610.503348224</v>
      </c>
      <c r="L299">
        <v>25739567.675153598</v>
      </c>
      <c r="M299">
        <v>8200663.7383990623</v>
      </c>
      <c r="N299">
        <f t="shared" si="5"/>
        <v>0.89520742946733878</v>
      </c>
    </row>
    <row r="300" spans="1:14" x14ac:dyDescent="0.45">
      <c r="A300" t="s">
        <v>429</v>
      </c>
      <c r="B300">
        <v>11089485.312326513</v>
      </c>
      <c r="C300">
        <v>118785627.05664952</v>
      </c>
      <c r="D300">
        <v>41938450.323574901</v>
      </c>
      <c r="E300">
        <v>80386975.678225487</v>
      </c>
      <c r="F300">
        <v>96444384.328512147</v>
      </c>
      <c r="G300">
        <v>68005746.860053331</v>
      </c>
      <c r="H300">
        <v>41532862.842952482</v>
      </c>
      <c r="I300">
        <v>51759562.474230275</v>
      </c>
      <c r="J300">
        <v>123045941.9866585</v>
      </c>
      <c r="K300">
        <v>89027079.443988636</v>
      </c>
      <c r="L300">
        <v>41177443.178393602</v>
      </c>
      <c r="M300">
        <v>85428485.605919376</v>
      </c>
      <c r="N300">
        <f t="shared" si="5"/>
        <v>0.90410822360272491</v>
      </c>
    </row>
    <row r="301" spans="1:14" x14ac:dyDescent="0.45">
      <c r="A301" t="s">
        <v>158</v>
      </c>
      <c r="B301">
        <v>185015544.28559262</v>
      </c>
      <c r="C301">
        <v>769107805.21813941</v>
      </c>
      <c r="D301">
        <v>399708284.70916539</v>
      </c>
      <c r="E301">
        <v>86300905.036079198</v>
      </c>
      <c r="F301">
        <v>205753915.21873805</v>
      </c>
      <c r="G301">
        <v>201187349.76019293</v>
      </c>
      <c r="H301">
        <v>212214107.39647105</v>
      </c>
      <c r="I301">
        <v>297573153.2613762</v>
      </c>
      <c r="J301">
        <v>170880244.99998617</v>
      </c>
      <c r="K301">
        <v>575823764.86373949</v>
      </c>
      <c r="L301">
        <v>102257289.76386701</v>
      </c>
      <c r="M301">
        <v>397476687.51644057</v>
      </c>
      <c r="N301">
        <f t="shared" si="5"/>
        <v>0.90467960357810706</v>
      </c>
    </row>
    <row r="302" spans="1:14" x14ac:dyDescent="0.45">
      <c r="A302" t="s">
        <v>43</v>
      </c>
      <c r="B302">
        <v>1229006.2552566256</v>
      </c>
      <c r="C302">
        <v>4138330.4170832452</v>
      </c>
      <c r="D302">
        <v>2136289.8903363589</v>
      </c>
      <c r="E302">
        <v>4938814.7384166252</v>
      </c>
      <c r="F302">
        <v>4209290.6581937103</v>
      </c>
      <c r="G302">
        <v>3190800.1627819785</v>
      </c>
      <c r="H302">
        <v>899774.2067830374</v>
      </c>
      <c r="I302">
        <v>2571153.8005880322</v>
      </c>
      <c r="J302">
        <v>7983217.1233461648</v>
      </c>
      <c r="K302">
        <v>3124371.4082354414</v>
      </c>
      <c r="L302">
        <v>3606678.9424799299</v>
      </c>
      <c r="M302">
        <v>2493771.7124584308</v>
      </c>
      <c r="N302">
        <f t="shared" si="5"/>
        <v>0.90479502780630816</v>
      </c>
    </row>
    <row r="303" spans="1:14" x14ac:dyDescent="0.45">
      <c r="A303" t="s">
        <v>73</v>
      </c>
      <c r="B303">
        <v>15208537.77859319</v>
      </c>
      <c r="C303">
        <v>75481321.833751962</v>
      </c>
      <c r="D303">
        <v>14358649.509037135</v>
      </c>
      <c r="E303">
        <v>10584586.273026142</v>
      </c>
      <c r="F303">
        <v>23450602.120655805</v>
      </c>
      <c r="G303">
        <v>22574132.249034528</v>
      </c>
      <c r="H303">
        <v>13404355.603645148</v>
      </c>
      <c r="I303">
        <v>19689924.250853315</v>
      </c>
      <c r="J303">
        <v>30519632.550954882</v>
      </c>
      <c r="K303">
        <v>36780453.177493803</v>
      </c>
      <c r="L303">
        <v>41711505.347778901</v>
      </c>
      <c r="M303">
        <v>11519039.736730624</v>
      </c>
      <c r="N303">
        <f t="shared" si="5"/>
        <v>0.90695136071227789</v>
      </c>
    </row>
    <row r="304" spans="1:14" x14ac:dyDescent="0.45">
      <c r="A304" t="s">
        <v>236</v>
      </c>
      <c r="B304">
        <v>2030068.1371105607</v>
      </c>
      <c r="C304">
        <v>11438378.5686695</v>
      </c>
      <c r="D304">
        <v>4531204.1460028766</v>
      </c>
      <c r="E304">
        <v>417217873.04128349</v>
      </c>
      <c r="F304">
        <v>489034581.57582599</v>
      </c>
      <c r="G304">
        <v>433049482.83713406</v>
      </c>
      <c r="H304">
        <v>271942051.69272792</v>
      </c>
      <c r="I304">
        <v>398915300.18785888</v>
      </c>
      <c r="J304">
        <v>694010526.24926209</v>
      </c>
      <c r="K304">
        <v>2000676.399074276</v>
      </c>
      <c r="L304">
        <v>85477951.905898303</v>
      </c>
      <c r="M304">
        <v>2339360.3085549371</v>
      </c>
      <c r="N304">
        <f t="shared" si="5"/>
        <v>0.91523485645155689</v>
      </c>
    </row>
    <row r="305" spans="1:14" x14ac:dyDescent="0.45">
      <c r="A305" t="s">
        <v>193</v>
      </c>
      <c r="B305">
        <v>3982526.6591931172</v>
      </c>
      <c r="C305">
        <v>20034626.773702048</v>
      </c>
      <c r="D305">
        <v>6512998.784343333</v>
      </c>
      <c r="E305">
        <v>12051486.293246556</v>
      </c>
      <c r="F305">
        <v>14769776.129041165</v>
      </c>
      <c r="G305">
        <v>11317928.402112434</v>
      </c>
      <c r="H305">
        <v>6622637.5429215413</v>
      </c>
      <c r="I305">
        <v>10801362.416309979</v>
      </c>
      <c r="J305">
        <v>16969054.243825864</v>
      </c>
      <c r="K305">
        <v>13165183.113285435</v>
      </c>
      <c r="L305">
        <v>9957880.1021133997</v>
      </c>
      <c r="M305">
        <v>12672541.077151</v>
      </c>
      <c r="N305">
        <f t="shared" si="5"/>
        <v>0.92826947919400582</v>
      </c>
    </row>
    <row r="306" spans="1:14" x14ac:dyDescent="0.45">
      <c r="A306" t="s">
        <v>211</v>
      </c>
      <c r="B306">
        <v>6627138.6553256009</v>
      </c>
      <c r="C306">
        <v>25991458.688776255</v>
      </c>
      <c r="D306">
        <v>13479530.677891772</v>
      </c>
      <c r="E306">
        <v>22415957.114742763</v>
      </c>
      <c r="F306">
        <v>24941931.503960673</v>
      </c>
      <c r="G306">
        <v>18832031.907405563</v>
      </c>
      <c r="H306">
        <v>9629801.2277639527</v>
      </c>
      <c r="I306">
        <v>2507280.7952898759</v>
      </c>
      <c r="J306">
        <v>38053343.196705967</v>
      </c>
      <c r="K306">
        <v>23957793.343306787</v>
      </c>
      <c r="L306">
        <v>15242923.019110801</v>
      </c>
      <c r="M306">
        <v>25572249.013443187</v>
      </c>
      <c r="N306">
        <f t="shared" si="5"/>
        <v>0.94231938063985532</v>
      </c>
    </row>
    <row r="307" spans="1:14" x14ac:dyDescent="0.45">
      <c r="A307" t="s">
        <v>343</v>
      </c>
      <c r="B307">
        <v>40696077.012824893</v>
      </c>
      <c r="C307">
        <v>39675260.557459049</v>
      </c>
      <c r="D307">
        <v>62379556.968504705</v>
      </c>
      <c r="E307">
        <v>29845568.176081873</v>
      </c>
      <c r="F307">
        <v>126372630.44432826</v>
      </c>
      <c r="G307">
        <v>184393326.330861</v>
      </c>
      <c r="H307">
        <v>41423347.582032226</v>
      </c>
      <c r="I307">
        <v>97022725.336119443</v>
      </c>
      <c r="J307">
        <v>73812304.749392927</v>
      </c>
      <c r="K307">
        <v>86086820.764439672</v>
      </c>
      <c r="L307">
        <v>70197579.439203501</v>
      </c>
      <c r="M307">
        <v>103145857.0037156</v>
      </c>
      <c r="N307">
        <f t="shared" si="5"/>
        <v>0.94351778494518834</v>
      </c>
    </row>
    <row r="308" spans="1:14" x14ac:dyDescent="0.45">
      <c r="A308" t="s">
        <v>106</v>
      </c>
      <c r="B308">
        <v>3532245.5285639544</v>
      </c>
      <c r="C308">
        <v>2487965.6638017232</v>
      </c>
      <c r="D308">
        <v>4773576.3379361695</v>
      </c>
      <c r="E308">
        <v>1669753.6355362074</v>
      </c>
      <c r="F308">
        <v>9491272.649989251</v>
      </c>
      <c r="G308">
        <v>10131480.598734833</v>
      </c>
      <c r="H308">
        <v>6143010.0814667167</v>
      </c>
      <c r="I308">
        <v>3875612.0287043164</v>
      </c>
      <c r="J308">
        <v>3342724.7089771088</v>
      </c>
      <c r="K308">
        <v>9014467.1488329452</v>
      </c>
      <c r="L308">
        <v>4093546.36533943</v>
      </c>
      <c r="M308">
        <v>6246955.2922824314</v>
      </c>
      <c r="N308">
        <f t="shared" si="5"/>
        <v>0.9523117138693058</v>
      </c>
    </row>
    <row r="309" spans="1:14" x14ac:dyDescent="0.45">
      <c r="A309" t="s">
        <v>38</v>
      </c>
      <c r="B309">
        <v>6142194.9076534649</v>
      </c>
      <c r="C309">
        <v>19776209.03904723</v>
      </c>
      <c r="D309">
        <v>10194521.535167307</v>
      </c>
      <c r="E309">
        <v>8600961.7430881169</v>
      </c>
      <c r="F309">
        <v>11811470.439944571</v>
      </c>
      <c r="G309">
        <v>8427606.0390608329</v>
      </c>
      <c r="H309">
        <v>3064805.9455921827</v>
      </c>
      <c r="I309">
        <v>22152018.930756692</v>
      </c>
      <c r="J309">
        <v>8986298.8577069584</v>
      </c>
      <c r="K309">
        <v>6684131.2763323281</v>
      </c>
      <c r="L309">
        <v>13830371.123634599</v>
      </c>
      <c r="M309">
        <v>9099323.7832413111</v>
      </c>
      <c r="N309">
        <f t="shared" si="5"/>
        <v>0.95593035753841193</v>
      </c>
    </row>
    <row r="310" spans="1:14" x14ac:dyDescent="0.45">
      <c r="A310" t="s">
        <v>325</v>
      </c>
      <c r="B310">
        <v>241304212.87537995</v>
      </c>
      <c r="C310">
        <v>185027418.3524234</v>
      </c>
      <c r="D310">
        <v>100451241.59054892</v>
      </c>
      <c r="E310">
        <v>49960868.592918977</v>
      </c>
      <c r="F310">
        <v>148802872.20106193</v>
      </c>
      <c r="G310">
        <v>196839544.64361444</v>
      </c>
      <c r="H310">
        <v>26032328.280696213</v>
      </c>
      <c r="I310">
        <v>363308607.10293776</v>
      </c>
      <c r="J310">
        <v>85055962.177050143</v>
      </c>
      <c r="K310">
        <v>80277532.312161773</v>
      </c>
      <c r="L310">
        <v>334513497.10255402</v>
      </c>
      <c r="M310">
        <v>52442801.747415997</v>
      </c>
      <c r="N310">
        <f t="shared" si="5"/>
        <v>0.96312686155883998</v>
      </c>
    </row>
    <row r="311" spans="1:14" x14ac:dyDescent="0.45">
      <c r="A311" t="s">
        <v>117</v>
      </c>
      <c r="B311">
        <v>397267760.6205222</v>
      </c>
      <c r="C311">
        <v>244656401.70701644</v>
      </c>
      <c r="D311">
        <v>366628022.90584266</v>
      </c>
      <c r="E311">
        <v>256994196.98574883</v>
      </c>
      <c r="F311">
        <v>144146220.52414611</v>
      </c>
      <c r="G311">
        <v>404755936.02446204</v>
      </c>
      <c r="H311">
        <v>103601634.50841226</v>
      </c>
      <c r="I311">
        <v>218008940.59381118</v>
      </c>
      <c r="J311">
        <v>269102104.78234351</v>
      </c>
      <c r="K311">
        <v>259724806.29284394</v>
      </c>
      <c r="L311">
        <v>871472510.30868399</v>
      </c>
      <c r="M311">
        <v>127424820.56712374</v>
      </c>
      <c r="N311">
        <f t="shared" si="5"/>
        <v>0.96338857370706532</v>
      </c>
    </row>
    <row r="312" spans="1:14" x14ac:dyDescent="0.45">
      <c r="A312" t="s">
        <v>100</v>
      </c>
      <c r="B312">
        <v>41094739.182662711</v>
      </c>
      <c r="C312">
        <v>70979874.811964571</v>
      </c>
      <c r="D312">
        <v>37233435.930842407</v>
      </c>
      <c r="E312">
        <v>47668297.053840719</v>
      </c>
      <c r="F312">
        <v>98841714.912369624</v>
      </c>
      <c r="G312">
        <v>70194295.753094077</v>
      </c>
      <c r="H312">
        <v>21423860.006839771</v>
      </c>
      <c r="I312">
        <v>64551944.464211904</v>
      </c>
      <c r="J312">
        <v>76353783.424773559</v>
      </c>
      <c r="K312">
        <v>72506827.288814262</v>
      </c>
      <c r="L312">
        <v>89167491.508837104</v>
      </c>
      <c r="M312">
        <v>44848840.675656624</v>
      </c>
      <c r="N312">
        <f t="shared" si="5"/>
        <v>0.97340641333586053</v>
      </c>
    </row>
    <row r="313" spans="1:14" x14ac:dyDescent="0.45">
      <c r="A313" t="s">
        <v>314</v>
      </c>
      <c r="B313">
        <v>12294272.726012232</v>
      </c>
      <c r="C313">
        <v>35561144.792950936</v>
      </c>
      <c r="D313">
        <v>17466942.053310953</v>
      </c>
      <c r="E313">
        <v>12942798.904120484</v>
      </c>
      <c r="F313">
        <v>60993983.466947258</v>
      </c>
      <c r="G313">
        <v>27763122.320548933</v>
      </c>
      <c r="H313">
        <v>12136543.516817376</v>
      </c>
      <c r="I313">
        <v>19869961.390619371</v>
      </c>
      <c r="J313">
        <v>38800445.233259581</v>
      </c>
      <c r="K313">
        <v>33970094.104157783</v>
      </c>
      <c r="L313">
        <v>47231479.552852899</v>
      </c>
      <c r="M313">
        <v>16945184.788331937</v>
      </c>
      <c r="N313">
        <f t="shared" si="5"/>
        <v>0.97355968244368496</v>
      </c>
    </row>
    <row r="314" spans="1:14" x14ac:dyDescent="0.45">
      <c r="A314" t="s">
        <v>338</v>
      </c>
      <c r="B314">
        <v>75763382.795386866</v>
      </c>
      <c r="C314">
        <v>74296705.822969154</v>
      </c>
      <c r="D314">
        <v>103970092.72191311</v>
      </c>
      <c r="E314">
        <v>100511631.17686883</v>
      </c>
      <c r="F314">
        <v>51238990.437568203</v>
      </c>
      <c r="G314">
        <v>86416743.889692217</v>
      </c>
      <c r="H314">
        <v>29086646.097812135</v>
      </c>
      <c r="I314">
        <v>50001843.257062241</v>
      </c>
      <c r="J314">
        <v>81795614.599380985</v>
      </c>
      <c r="K314">
        <v>79433748.687571183</v>
      </c>
      <c r="L314">
        <v>185054794.11302799</v>
      </c>
      <c r="M314">
        <v>62385820.224494249</v>
      </c>
      <c r="N314">
        <f t="shared" si="5"/>
        <v>0.97561713448047094</v>
      </c>
    </row>
    <row r="315" spans="1:14" x14ac:dyDescent="0.45">
      <c r="A315" t="s">
        <v>273</v>
      </c>
      <c r="B315">
        <v>29226579.60930185</v>
      </c>
      <c r="C315">
        <v>46129473.03562773</v>
      </c>
      <c r="D315">
        <v>27235250.961600319</v>
      </c>
      <c r="E315">
        <v>30585189.550451171</v>
      </c>
      <c r="F315">
        <v>64215171.172773942</v>
      </c>
      <c r="G315">
        <v>27956106.635369822</v>
      </c>
      <c r="H315">
        <v>16568298.086663259</v>
      </c>
      <c r="I315">
        <v>52796817.403160281</v>
      </c>
      <c r="J315">
        <v>39993498.262957901</v>
      </c>
      <c r="K315">
        <v>20791578.025630031</v>
      </c>
      <c r="L315">
        <v>63604358.091474801</v>
      </c>
      <c r="M315">
        <v>30560496.316815935</v>
      </c>
      <c r="N315">
        <f t="shared" si="5"/>
        <v>0.9861058868345739</v>
      </c>
    </row>
    <row r="316" spans="1:14" x14ac:dyDescent="0.45">
      <c r="A316" t="s">
        <v>93</v>
      </c>
      <c r="B316">
        <v>666280162.63122845</v>
      </c>
      <c r="C316">
        <v>3052114967.9784875</v>
      </c>
      <c r="D316">
        <v>1260169383.7994072</v>
      </c>
      <c r="E316">
        <v>1492520783.1573939</v>
      </c>
      <c r="F316">
        <v>1634131412.593771</v>
      </c>
      <c r="G316">
        <v>1089470063.6976333</v>
      </c>
      <c r="H316">
        <v>756464143.49856496</v>
      </c>
      <c r="I316">
        <v>1574288832.5272923</v>
      </c>
      <c r="J316">
        <v>1869623031.1272407</v>
      </c>
      <c r="K316">
        <v>1586326156.1698844</v>
      </c>
      <c r="L316">
        <v>2236364610.6201401</v>
      </c>
      <c r="M316">
        <v>1136188855.843925</v>
      </c>
      <c r="N316">
        <f t="shared" si="5"/>
        <v>0.98840825519081055</v>
      </c>
    </row>
    <row r="317" spans="1:14" x14ac:dyDescent="0.45">
      <c r="A317" t="s">
        <v>223</v>
      </c>
      <c r="B317">
        <v>103648404.29991584</v>
      </c>
      <c r="C317">
        <v>94678417.601327673</v>
      </c>
      <c r="D317">
        <v>93301290.69238703</v>
      </c>
      <c r="E317">
        <v>38672835.194980465</v>
      </c>
      <c r="F317">
        <v>130260635.78506345</v>
      </c>
      <c r="G317">
        <v>154416108.24311906</v>
      </c>
      <c r="H317">
        <v>44952788.283089399</v>
      </c>
      <c r="I317">
        <v>58605069.183292963</v>
      </c>
      <c r="J317">
        <v>76190302.985606804</v>
      </c>
      <c r="K317">
        <v>76094712.540535122</v>
      </c>
      <c r="L317">
        <v>291480038.138942</v>
      </c>
      <c r="M317">
        <v>64766889.456565619</v>
      </c>
      <c r="N317">
        <f t="shared" si="5"/>
        <v>0.99095550098385043</v>
      </c>
    </row>
    <row r="318" spans="1:14" x14ac:dyDescent="0.45">
      <c r="A318" t="s">
        <v>216</v>
      </c>
      <c r="B318">
        <v>9778969.2297526579</v>
      </c>
      <c r="C318">
        <v>6682778.7602085229</v>
      </c>
      <c r="D318">
        <v>2541034.7044679276</v>
      </c>
      <c r="E318">
        <v>2397019.2011397476</v>
      </c>
      <c r="F318">
        <v>3775388.3864391171</v>
      </c>
      <c r="G318">
        <v>5487709.0059785768</v>
      </c>
      <c r="H318">
        <v>1750486.8470529332</v>
      </c>
      <c r="I318">
        <v>5354869.3876955323</v>
      </c>
      <c r="J318">
        <v>2982246.4109597937</v>
      </c>
      <c r="K318">
        <v>9109469.4377528727</v>
      </c>
      <c r="L318">
        <v>5226633.7861391203</v>
      </c>
      <c r="M318">
        <v>6190987.0552837867</v>
      </c>
      <c r="N318">
        <f t="shared" si="5"/>
        <v>0.99599747914434045</v>
      </c>
    </row>
    <row r="319" spans="1:14" x14ac:dyDescent="0.45">
      <c r="A319" t="s">
        <v>119</v>
      </c>
      <c r="B319">
        <v>5579885.1227844348</v>
      </c>
      <c r="C319">
        <v>4781788.343518055</v>
      </c>
      <c r="D319">
        <v>5747414.1903077206</v>
      </c>
      <c r="E319">
        <v>13056642.456652584</v>
      </c>
      <c r="F319">
        <v>8861158.6039407756</v>
      </c>
      <c r="G319">
        <v>13754797.914668739</v>
      </c>
      <c r="H319">
        <v>7575369.7589481045</v>
      </c>
      <c r="I319">
        <v>2253582.0734942388</v>
      </c>
      <c r="J319">
        <v>14960038.425910598</v>
      </c>
      <c r="K319">
        <v>9234158.9725046288</v>
      </c>
      <c r="L319">
        <v>4770018.2747352002</v>
      </c>
      <c r="M319">
        <v>13042308.731975874</v>
      </c>
      <c r="N319">
        <f t="shared" si="5"/>
        <v>0.99726287538038116</v>
      </c>
    </row>
    <row r="320" spans="1:14" x14ac:dyDescent="0.45">
      <c r="A320" t="s">
        <v>348</v>
      </c>
      <c r="B320">
        <v>33100702.116336774</v>
      </c>
      <c r="C320">
        <v>90603736.318125725</v>
      </c>
      <c r="D320">
        <v>52175094.484795019</v>
      </c>
      <c r="E320">
        <v>54990355.28788738</v>
      </c>
      <c r="F320">
        <v>83194657.767549992</v>
      </c>
      <c r="G320">
        <v>76411736.938792497</v>
      </c>
      <c r="H320">
        <v>45520837.099757962</v>
      </c>
      <c r="I320">
        <v>96686024.249638304</v>
      </c>
      <c r="J320">
        <v>95323109.24465093</v>
      </c>
      <c r="K320">
        <v>76201111.996272832</v>
      </c>
      <c r="L320">
        <v>72475307.177797303</v>
      </c>
      <c r="M320">
        <v>66206544.329802491</v>
      </c>
      <c r="N320" s="8" t="s">
        <v>444</v>
      </c>
    </row>
  </sheetData>
  <sortState xmlns:xlrd2="http://schemas.microsoft.com/office/spreadsheetml/2017/richdata2" ref="A3:N320">
    <sortCondition ref="N1:N32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F140-9233-4497-9A9F-60AEA33FCE82}">
  <dimension ref="A1:Q18"/>
  <sheetViews>
    <sheetView workbookViewId="0">
      <selection activeCell="F11" sqref="F10:F11"/>
    </sheetView>
  </sheetViews>
  <sheetFormatPr defaultRowHeight="14.25" x14ac:dyDescent="0.45"/>
  <sheetData>
    <row r="1" spans="1:17" x14ac:dyDescent="0.45">
      <c r="A1" t="s">
        <v>0</v>
      </c>
      <c r="B1" t="s">
        <v>390</v>
      </c>
      <c r="C1" t="s">
        <v>398</v>
      </c>
      <c r="D1" t="s">
        <v>406</v>
      </c>
      <c r="E1" t="s">
        <v>391</v>
      </c>
      <c r="F1" t="s">
        <v>399</v>
      </c>
      <c r="G1" t="s">
        <v>407</v>
      </c>
      <c r="H1" t="s">
        <v>387</v>
      </c>
      <c r="I1" t="s">
        <v>395</v>
      </c>
      <c r="J1" t="s">
        <v>403</v>
      </c>
      <c r="K1" t="s">
        <v>392</v>
      </c>
      <c r="L1" t="s">
        <v>400</v>
      </c>
      <c r="M1" t="s">
        <v>408</v>
      </c>
      <c r="N1" t="s">
        <v>445</v>
      </c>
      <c r="O1" t="s">
        <v>446</v>
      </c>
      <c r="P1" t="s">
        <v>447</v>
      </c>
      <c r="Q1" t="s">
        <v>448</v>
      </c>
    </row>
    <row r="2" spans="1:17" x14ac:dyDescent="0.45">
      <c r="A2" t="s">
        <v>384</v>
      </c>
      <c r="B2" s="9" t="s">
        <v>443</v>
      </c>
      <c r="C2" s="9" t="s">
        <v>443</v>
      </c>
      <c r="D2" s="9" t="s">
        <v>443</v>
      </c>
      <c r="E2" s="9" t="s">
        <v>443</v>
      </c>
      <c r="F2" s="9" t="s">
        <v>443</v>
      </c>
      <c r="G2" s="9" t="s">
        <v>443</v>
      </c>
      <c r="H2" s="9" t="s">
        <v>441</v>
      </c>
      <c r="I2" s="9" t="s">
        <v>441</v>
      </c>
      <c r="J2" s="9" t="s">
        <v>441</v>
      </c>
      <c r="K2" s="9" t="s">
        <v>441</v>
      </c>
      <c r="L2" s="9" t="s">
        <v>441</v>
      </c>
      <c r="M2" s="9" t="s">
        <v>441</v>
      </c>
      <c r="N2" s="9" t="s">
        <v>449</v>
      </c>
    </row>
    <row r="3" spans="1:17" x14ac:dyDescent="0.45">
      <c r="A3" t="s">
        <v>123</v>
      </c>
      <c r="B3">
        <v>4082971.6291372892</v>
      </c>
      <c r="C3">
        <v>4511333.7613614602</v>
      </c>
      <c r="D3">
        <v>3501851.6193595128</v>
      </c>
      <c r="E3">
        <v>10981850.261522541</v>
      </c>
      <c r="F3">
        <v>7154590.7747843126</v>
      </c>
      <c r="G3">
        <v>6257202.6366362786</v>
      </c>
      <c r="H3">
        <v>28670258.94679438</v>
      </c>
      <c r="I3">
        <v>35092686.722909369</v>
      </c>
      <c r="J3">
        <v>57099074.497896545</v>
      </c>
      <c r="K3">
        <v>53305988.069968008</v>
      </c>
      <c r="L3">
        <v>60621980.995545797</v>
      </c>
      <c r="M3">
        <v>48994262.947997935</v>
      </c>
      <c r="N3">
        <f t="shared" ref="N3:N8" si="0">TTEST(B3:G3,H3:M3,2,2)</f>
        <v>1.5402116445161984E-5</v>
      </c>
      <c r="O3">
        <v>1</v>
      </c>
      <c r="P3">
        <f>N3*9/O3</f>
        <v>1.3861904800645784E-4</v>
      </c>
      <c r="Q3">
        <f>AVERAGE(H3:M3)/AVERAGE(B3:G3)</f>
        <v>7.7770841953342611</v>
      </c>
    </row>
    <row r="4" spans="1:17" x14ac:dyDescent="0.45">
      <c r="A4" t="s">
        <v>421</v>
      </c>
      <c r="B4">
        <v>75959.341698675576</v>
      </c>
      <c r="C4">
        <v>165555.02485440989</v>
      </c>
      <c r="D4">
        <v>1176338.9046336417</v>
      </c>
      <c r="E4">
        <v>3959359.4866712894</v>
      </c>
      <c r="F4">
        <v>786768.45580003387</v>
      </c>
      <c r="G4">
        <v>4190917.467215396</v>
      </c>
      <c r="H4">
        <v>2218905.1162067931</v>
      </c>
      <c r="I4">
        <v>7152742.0872221766</v>
      </c>
      <c r="J4">
        <v>10339605.891141383</v>
      </c>
      <c r="K4">
        <v>5123355.1233058479</v>
      </c>
      <c r="L4">
        <v>7253721.2718449403</v>
      </c>
      <c r="M4">
        <v>5070862.4428030932</v>
      </c>
      <c r="N4">
        <f t="shared" si="0"/>
        <v>7.9581912856262448E-3</v>
      </c>
      <c r="O4">
        <v>2</v>
      </c>
      <c r="P4">
        <f t="shared" ref="P4:P8" si="1">N4*9/O4</f>
        <v>3.5811860785318103E-2</v>
      </c>
      <c r="Q4">
        <f t="shared" ref="Q4:Q8" si="2">AVERAGE(H4:M4)/AVERAGE(B4:G4)</f>
        <v>3.5885616149157546</v>
      </c>
    </row>
    <row r="5" spans="1:17" x14ac:dyDescent="0.45">
      <c r="A5" t="s">
        <v>423</v>
      </c>
      <c r="B5">
        <v>23059884.546313658</v>
      </c>
      <c r="C5">
        <v>99863916.299286813</v>
      </c>
      <c r="D5">
        <v>14217009.349202342</v>
      </c>
      <c r="E5">
        <v>54080023.078263901</v>
      </c>
      <c r="F5">
        <v>89075085.198533848</v>
      </c>
      <c r="G5">
        <v>70481985.238600835</v>
      </c>
      <c r="H5">
        <v>37525265.395112485</v>
      </c>
      <c r="I5">
        <v>205044002.57702175</v>
      </c>
      <c r="J5">
        <v>94578485.505108908</v>
      </c>
      <c r="K5">
        <v>211110282.11148894</v>
      </c>
      <c r="L5">
        <v>266844365.12914199</v>
      </c>
      <c r="M5">
        <v>236446447.86223122</v>
      </c>
      <c r="N5">
        <f t="shared" si="0"/>
        <v>1.360021945966786E-2</v>
      </c>
      <c r="O5">
        <v>4</v>
      </c>
      <c r="P5">
        <f t="shared" si="1"/>
        <v>3.0600493784252683E-2</v>
      </c>
      <c r="Q5">
        <f t="shared" si="2"/>
        <v>2.9977625085782273</v>
      </c>
    </row>
    <row r="6" spans="1:17" x14ac:dyDescent="0.45">
      <c r="A6" t="s">
        <v>197</v>
      </c>
      <c r="B6">
        <v>86458.975295883865</v>
      </c>
      <c r="C6">
        <v>207267.85229184487</v>
      </c>
      <c r="D6">
        <v>147199.73349020514</v>
      </c>
      <c r="E6">
        <v>229180.48531271942</v>
      </c>
      <c r="F6">
        <v>181450.15471989711</v>
      </c>
      <c r="G6">
        <v>229505.07820368075</v>
      </c>
      <c r="H6">
        <v>152115.45761021465</v>
      </c>
      <c r="I6">
        <v>527395.03764946805</v>
      </c>
      <c r="J6">
        <v>401203.35715328751</v>
      </c>
      <c r="K6">
        <v>325770.78361775127</v>
      </c>
      <c r="L6">
        <v>421362.72984052403</v>
      </c>
      <c r="M6">
        <v>196540.04231967061</v>
      </c>
      <c r="N6">
        <f t="shared" si="0"/>
        <v>3.0496465862245574E-2</v>
      </c>
      <c r="O6">
        <v>6</v>
      </c>
      <c r="P6">
        <f t="shared" si="1"/>
        <v>4.5744698793368364E-2</v>
      </c>
      <c r="Q6">
        <f t="shared" si="2"/>
        <v>1.8725909199931392</v>
      </c>
    </row>
    <row r="7" spans="1:17" x14ac:dyDescent="0.45">
      <c r="A7" t="s">
        <v>233</v>
      </c>
      <c r="B7">
        <v>24520391.37720412</v>
      </c>
      <c r="C7">
        <v>5725523.9326264514</v>
      </c>
      <c r="D7">
        <v>7410693.706193924</v>
      </c>
      <c r="E7">
        <v>27803806.695906375</v>
      </c>
      <c r="F7">
        <v>10267085.475278774</v>
      </c>
      <c r="G7">
        <v>24456008.940563604</v>
      </c>
      <c r="H7">
        <v>28150448.396386147</v>
      </c>
      <c r="I7">
        <v>30930528.610838596</v>
      </c>
      <c r="J7">
        <v>66143435.159854203</v>
      </c>
      <c r="K7">
        <v>21020036.122736119</v>
      </c>
      <c r="L7">
        <v>120006070.690393</v>
      </c>
      <c r="M7">
        <v>52775759.998264998</v>
      </c>
      <c r="N7">
        <f t="shared" si="0"/>
        <v>4.1268491034436257E-2</v>
      </c>
      <c r="O7">
        <v>8</v>
      </c>
      <c r="P7">
        <f t="shared" si="1"/>
        <v>4.6427052413740788E-2</v>
      </c>
      <c r="Q7">
        <f t="shared" si="2"/>
        <v>3.1844190583020047</v>
      </c>
    </row>
    <row r="8" spans="1:17" x14ac:dyDescent="0.45">
      <c r="A8" t="s">
        <v>160</v>
      </c>
      <c r="B8">
        <v>15110190.352451768</v>
      </c>
      <c r="C8">
        <v>12811805.35063578</v>
      </c>
      <c r="D8">
        <v>8136755.2849347787</v>
      </c>
      <c r="E8">
        <v>4216070.3434546404</v>
      </c>
      <c r="F8">
        <v>6501007.2614708329</v>
      </c>
      <c r="G8">
        <v>7951508.2092228606</v>
      </c>
      <c r="H8">
        <v>1543510.0779299398</v>
      </c>
      <c r="I8">
        <v>249210293.05430958</v>
      </c>
      <c r="J8">
        <v>9245709.8183290642</v>
      </c>
      <c r="K8">
        <v>318055768.15284497</v>
      </c>
      <c r="L8">
        <v>30658888.747025698</v>
      </c>
      <c r="M8">
        <v>331886114.47577876</v>
      </c>
      <c r="N8">
        <f t="shared" si="0"/>
        <v>4.6680512910807E-2</v>
      </c>
      <c r="O8">
        <v>9</v>
      </c>
      <c r="P8">
        <f t="shared" si="1"/>
        <v>4.6680512910807E-2</v>
      </c>
      <c r="Q8">
        <f t="shared" si="2"/>
        <v>17.187028262060632</v>
      </c>
    </row>
    <row r="11" spans="1:17" x14ac:dyDescent="0.45">
      <c r="A11" t="s">
        <v>0</v>
      </c>
      <c r="B11" t="s">
        <v>390</v>
      </c>
      <c r="C11" t="s">
        <v>398</v>
      </c>
      <c r="D11" t="s">
        <v>406</v>
      </c>
      <c r="E11" t="s">
        <v>391</v>
      </c>
      <c r="F11" t="s">
        <v>399</v>
      </c>
      <c r="G11" t="s">
        <v>407</v>
      </c>
      <c r="H11" t="s">
        <v>387</v>
      </c>
      <c r="I11" t="s">
        <v>395</v>
      </c>
      <c r="J11" t="s">
        <v>403</v>
      </c>
      <c r="K11" t="s">
        <v>392</v>
      </c>
      <c r="L11" t="s">
        <v>400</v>
      </c>
      <c r="M11" t="s">
        <v>408</v>
      </c>
    </row>
    <row r="12" spans="1:17" x14ac:dyDescent="0.45">
      <c r="A12" t="s">
        <v>384</v>
      </c>
      <c r="B12" s="9" t="s">
        <v>443</v>
      </c>
      <c r="C12" s="9" t="s">
        <v>443</v>
      </c>
      <c r="D12" s="9" t="s">
        <v>443</v>
      </c>
      <c r="E12" s="9" t="s">
        <v>443</v>
      </c>
      <c r="F12" s="9" t="s">
        <v>443</v>
      </c>
      <c r="G12" s="9" t="s">
        <v>443</v>
      </c>
      <c r="H12" s="9" t="s">
        <v>441</v>
      </c>
      <c r="I12" s="9" t="s">
        <v>441</v>
      </c>
      <c r="J12" s="9" t="s">
        <v>441</v>
      </c>
      <c r="K12" s="9" t="s">
        <v>441</v>
      </c>
      <c r="L12" s="9" t="s">
        <v>441</v>
      </c>
      <c r="M12" s="9" t="s">
        <v>441</v>
      </c>
    </row>
    <row r="13" spans="1:17" x14ac:dyDescent="0.45">
      <c r="A13" t="s">
        <v>123</v>
      </c>
      <c r="B13">
        <f>LOG10(B3)</f>
        <v>6.6109763622027105</v>
      </c>
      <c r="C13">
        <f t="shared" ref="C13:M13" si="3">LOG10(C3)</f>
        <v>6.654304958632955</v>
      </c>
      <c r="D13">
        <f t="shared" si="3"/>
        <v>6.544297740188715</v>
      </c>
      <c r="E13">
        <f t="shared" si="3"/>
        <v>7.040675517770933</v>
      </c>
      <c r="F13">
        <f t="shared" si="3"/>
        <v>6.8545847982166013</v>
      </c>
      <c r="G13">
        <f t="shared" si="3"/>
        <v>6.7963802196327823</v>
      </c>
      <c r="H13">
        <f t="shared" si="3"/>
        <v>7.457431615466751</v>
      </c>
      <c r="I13">
        <f t="shared" si="3"/>
        <v>7.5452166194056636</v>
      </c>
      <c r="J13">
        <f t="shared" si="3"/>
        <v>7.7566290689513826</v>
      </c>
      <c r="K13">
        <f t="shared" si="3"/>
        <v>7.7267759977633812</v>
      </c>
      <c r="L13">
        <f t="shared" si="3"/>
        <v>7.782630124070157</v>
      </c>
      <c r="M13">
        <f t="shared" si="3"/>
        <v>7.6901452286836536</v>
      </c>
    </row>
    <row r="14" spans="1:17" x14ac:dyDescent="0.45">
      <c r="A14" t="s">
        <v>421</v>
      </c>
      <c r="B14">
        <f t="shared" ref="B14:M18" si="4">LOG10(B4)</f>
        <v>4.8805811922699363</v>
      </c>
      <c r="C14">
        <f t="shared" si="4"/>
        <v>5.2189423668061456</v>
      </c>
      <c r="D14">
        <f t="shared" si="4"/>
        <v>6.0705324605226396</v>
      </c>
      <c r="E14">
        <f t="shared" si="4"/>
        <v>6.5976249349398568</v>
      </c>
      <c r="F14">
        <f t="shared" si="4"/>
        <v>5.8958469392663551</v>
      </c>
      <c r="G14">
        <f t="shared" si="4"/>
        <v>6.6223091082483361</v>
      </c>
      <c r="H14">
        <f t="shared" si="4"/>
        <v>6.3461387315295079</v>
      </c>
      <c r="I14">
        <f t="shared" si="4"/>
        <v>6.8544725655846763</v>
      </c>
      <c r="J14">
        <f t="shared" si="4"/>
        <v>7.0145039853184157</v>
      </c>
      <c r="K14">
        <f t="shared" si="4"/>
        <v>6.7095544598675323</v>
      </c>
      <c r="L14">
        <f t="shared" si="4"/>
        <v>6.8605608635651532</v>
      </c>
      <c r="M14">
        <f t="shared" si="4"/>
        <v>6.7050818296088393</v>
      </c>
    </row>
    <row r="15" spans="1:17" x14ac:dyDescent="0.45">
      <c r="A15" t="s">
        <v>423</v>
      </c>
      <c r="B15">
        <f t="shared" si="4"/>
        <v>7.3628571285864162</v>
      </c>
      <c r="C15">
        <f t="shared" si="4"/>
        <v>7.9994085935017782</v>
      </c>
      <c r="D15">
        <f t="shared" si="4"/>
        <v>7.1528082490141713</v>
      </c>
      <c r="E15">
        <f t="shared" si="4"/>
        <v>7.7330368682656898</v>
      </c>
      <c r="F15">
        <f t="shared" si="4"/>
        <v>7.9497562464172198</v>
      </c>
      <c r="G15">
        <f t="shared" si="4"/>
        <v>7.8480781281796324</v>
      </c>
      <c r="H15">
        <f t="shared" si="4"/>
        <v>7.5743237724469612</v>
      </c>
      <c r="I15">
        <f t="shared" si="4"/>
        <v>8.3118470709373433</v>
      </c>
      <c r="J15">
        <f t="shared" si="4"/>
        <v>7.9757923553334544</v>
      </c>
      <c r="K15">
        <f t="shared" si="4"/>
        <v>8.3245093861050758</v>
      </c>
      <c r="L15">
        <f t="shared" si="4"/>
        <v>8.4262580363726656</v>
      </c>
      <c r="M15">
        <f t="shared" si="4"/>
        <v>8.3737327939893405</v>
      </c>
    </row>
    <row r="16" spans="1:17" x14ac:dyDescent="0.45">
      <c r="A16" t="s">
        <v>197</v>
      </c>
      <c r="B16">
        <f t="shared" si="4"/>
        <v>4.9368100840084077</v>
      </c>
      <c r="C16">
        <f t="shared" si="4"/>
        <v>5.3165319472702368</v>
      </c>
      <c r="D16">
        <f t="shared" si="4"/>
        <v>5.1679070236982323</v>
      </c>
      <c r="E16">
        <f t="shared" si="4"/>
        <v>5.3601776347533825</v>
      </c>
      <c r="F16">
        <f t="shared" si="4"/>
        <v>5.2587573428532952</v>
      </c>
      <c r="G16">
        <f t="shared" si="4"/>
        <v>5.3607922995091704</v>
      </c>
      <c r="H16">
        <f t="shared" si="4"/>
        <v>5.1821733482654944</v>
      </c>
      <c r="I16">
        <f t="shared" si="4"/>
        <v>5.7221360391252345</v>
      </c>
      <c r="J16">
        <f t="shared" si="4"/>
        <v>5.6033645584138032</v>
      </c>
      <c r="K16">
        <f t="shared" si="4"/>
        <v>5.5129121325122323</v>
      </c>
      <c r="L16">
        <f t="shared" si="4"/>
        <v>5.6246561189787094</v>
      </c>
      <c r="M16">
        <f t="shared" si="4"/>
        <v>5.2934510452297809</v>
      </c>
    </row>
    <row r="17" spans="1:13" x14ac:dyDescent="0.45">
      <c r="A17" t="s">
        <v>233</v>
      </c>
      <c r="B17">
        <f t="shared" si="4"/>
        <v>7.3895273978041098</v>
      </c>
      <c r="C17">
        <f t="shared" si="4"/>
        <v>6.7578152343546849</v>
      </c>
      <c r="D17">
        <f t="shared" si="4"/>
        <v>6.8698588636703874</v>
      </c>
      <c r="E17">
        <f t="shared" si="4"/>
        <v>7.4441042604449583</v>
      </c>
      <c r="F17">
        <f t="shared" si="4"/>
        <v>7.011447177614496</v>
      </c>
      <c r="G17">
        <f t="shared" si="4"/>
        <v>7.3883855844862989</v>
      </c>
      <c r="H17">
        <f t="shared" si="4"/>
        <v>7.4494853169324902</v>
      </c>
      <c r="I17">
        <f t="shared" si="4"/>
        <v>7.4903873422730962</v>
      </c>
      <c r="J17">
        <f t="shared" si="4"/>
        <v>7.8204867462509275</v>
      </c>
      <c r="K17">
        <f t="shared" si="4"/>
        <v>7.3226334580238834</v>
      </c>
      <c r="L17">
        <f t="shared" si="4"/>
        <v>8.0792032160530667</v>
      </c>
      <c r="M17">
        <f t="shared" si="4"/>
        <v>7.7224344960900906</v>
      </c>
    </row>
    <row r="18" spans="1:13" x14ac:dyDescent="0.45">
      <c r="A18" t="s">
        <v>160</v>
      </c>
      <c r="B18">
        <f t="shared" si="4"/>
        <v>7.1792699354507858</v>
      </c>
      <c r="C18">
        <f t="shared" si="4"/>
        <v>7.107610331819215</v>
      </c>
      <c r="D18">
        <f t="shared" si="4"/>
        <v>6.9104512546707246</v>
      </c>
      <c r="E18">
        <f t="shared" si="4"/>
        <v>6.6249078482954129</v>
      </c>
      <c r="F18">
        <f t="shared" si="4"/>
        <v>6.8129806511363808</v>
      </c>
      <c r="G18">
        <f t="shared" si="4"/>
        <v>6.9004495116526474</v>
      </c>
      <c r="H18">
        <f t="shared" si="4"/>
        <v>6.1885094694352656</v>
      </c>
      <c r="I18">
        <f t="shared" si="4"/>
        <v>8.3965659758858937</v>
      </c>
      <c r="J18">
        <f t="shared" si="4"/>
        <v>6.965940258745575</v>
      </c>
      <c r="K18">
        <f t="shared" si="4"/>
        <v>8.5025032762031838</v>
      </c>
      <c r="L18">
        <f t="shared" si="4"/>
        <v>7.4865564094948427</v>
      </c>
      <c r="M18">
        <f t="shared" si="4"/>
        <v>8.5209890826806838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4638-B4AE-4A6C-99E2-34BFEC93DC38}">
  <dimension ref="A1:Q321"/>
  <sheetViews>
    <sheetView topLeftCell="C1" workbookViewId="0">
      <selection activeCell="N1" sqref="N1:N1048576"/>
    </sheetView>
  </sheetViews>
  <sheetFormatPr defaultRowHeight="14.25" x14ac:dyDescent="0.45"/>
  <cols>
    <col min="1" max="1" width="26.796875" customWidth="1"/>
    <col min="16" max="16" width="11.19921875" bestFit="1" customWidth="1"/>
  </cols>
  <sheetData>
    <row r="1" spans="1:17" x14ac:dyDescent="0.45">
      <c r="A1" t="s">
        <v>0</v>
      </c>
      <c r="B1" t="s">
        <v>390</v>
      </c>
      <c r="C1" t="s">
        <v>398</v>
      </c>
      <c r="D1" t="s">
        <v>406</v>
      </c>
      <c r="E1" t="s">
        <v>391</v>
      </c>
      <c r="F1" t="s">
        <v>399</v>
      </c>
      <c r="G1" t="s">
        <v>407</v>
      </c>
      <c r="H1" t="s">
        <v>385</v>
      </c>
      <c r="I1" t="s">
        <v>393</v>
      </c>
      <c r="J1" t="s">
        <v>401</v>
      </c>
      <c r="K1" t="s">
        <v>386</v>
      </c>
      <c r="L1" t="s">
        <v>394</v>
      </c>
      <c r="M1" t="s">
        <v>402</v>
      </c>
      <c r="N1" t="s">
        <v>445</v>
      </c>
      <c r="O1" t="s">
        <v>446</v>
      </c>
      <c r="P1" t="s">
        <v>447</v>
      </c>
    </row>
    <row r="2" spans="1:17" x14ac:dyDescent="0.45">
      <c r="A2" t="s">
        <v>194</v>
      </c>
      <c r="B2">
        <v>294181.75439624448</v>
      </c>
      <c r="C2">
        <v>1056234.0165405939</v>
      </c>
      <c r="D2">
        <v>328881.30598242552</v>
      </c>
      <c r="E2">
        <v>484144.31074650044</v>
      </c>
      <c r="F2">
        <v>535494.70043409592</v>
      </c>
      <c r="G2">
        <v>248006.90439140063</v>
      </c>
      <c r="H2">
        <v>2846841.3951717662</v>
      </c>
      <c r="I2">
        <v>3399789.9639820801</v>
      </c>
      <c r="J2">
        <v>2572053.3101059827</v>
      </c>
      <c r="K2">
        <v>2124290.0143076754</v>
      </c>
      <c r="L2">
        <v>1539206.4546592787</v>
      </c>
      <c r="M2">
        <v>2619676.5582445785</v>
      </c>
      <c r="N2">
        <f t="shared" ref="N2:N65" si="0">TTEST(B2:G2,H2:M2,2,2)</f>
        <v>3.3833499406770495E-5</v>
      </c>
      <c r="O2">
        <v>1</v>
      </c>
      <c r="P2">
        <f>N2*51/O2</f>
        <v>1.7255084697452951E-3</v>
      </c>
      <c r="Q2">
        <v>1.7255084697452951E-3</v>
      </c>
    </row>
    <row r="3" spans="1:17" x14ac:dyDescent="0.45">
      <c r="A3" t="s">
        <v>265</v>
      </c>
      <c r="B3">
        <v>7956444.5015911385</v>
      </c>
      <c r="C3">
        <v>12129880.526055377</v>
      </c>
      <c r="D3">
        <v>11142366.699191786</v>
      </c>
      <c r="E3">
        <v>16448254.988543438</v>
      </c>
      <c r="F3">
        <v>7669272.4382941034</v>
      </c>
      <c r="G3">
        <v>8443478.9147417583</v>
      </c>
      <c r="H3">
        <v>4333357.1945308885</v>
      </c>
      <c r="I3">
        <v>3457939.6033281581</v>
      </c>
      <c r="J3">
        <v>3421250.5755470982</v>
      </c>
      <c r="K3">
        <v>2600447.329669754</v>
      </c>
      <c r="L3">
        <v>2579343.5841025631</v>
      </c>
      <c r="M3">
        <v>1857156.7646494019</v>
      </c>
      <c r="N3">
        <f t="shared" si="0"/>
        <v>3.3340055152966073E-4</v>
      </c>
      <c r="O3">
        <v>2</v>
      </c>
      <c r="P3">
        <f t="shared" ref="P3:P52" si="1">N3*51/O3</f>
        <v>8.5017140640063493E-3</v>
      </c>
      <c r="Q3">
        <v>8.5017140640063493E-3</v>
      </c>
    </row>
    <row r="4" spans="1:17" x14ac:dyDescent="0.45">
      <c r="A4" t="s">
        <v>170</v>
      </c>
      <c r="B4">
        <v>4069796.7476220094</v>
      </c>
      <c r="C4">
        <v>5495368.9766148292</v>
      </c>
      <c r="D4">
        <v>5492102.7317058621</v>
      </c>
      <c r="E4">
        <v>4505561.1160088712</v>
      </c>
      <c r="F4">
        <v>6039806.3435410336</v>
      </c>
      <c r="G4">
        <v>5970076.4243287668</v>
      </c>
      <c r="H4">
        <v>2686327.2347404994</v>
      </c>
      <c r="I4">
        <v>4135999.0951197259</v>
      </c>
      <c r="J4">
        <v>2739380.410379447</v>
      </c>
      <c r="K4">
        <v>2526821.3429473029</v>
      </c>
      <c r="L4">
        <v>2966204.6280879453</v>
      </c>
      <c r="M4">
        <v>3724920.409495044</v>
      </c>
      <c r="N4">
        <f t="shared" si="0"/>
        <v>4.873925967704285E-4</v>
      </c>
      <c r="O4">
        <v>3</v>
      </c>
      <c r="P4">
        <f t="shared" si="1"/>
        <v>8.2856741450972847E-3</v>
      </c>
      <c r="Q4">
        <v>8.2856741450972847E-3</v>
      </c>
    </row>
    <row r="5" spans="1:17" x14ac:dyDescent="0.45">
      <c r="A5" t="s">
        <v>210</v>
      </c>
      <c r="B5">
        <v>125716371.34275237</v>
      </c>
      <c r="C5">
        <v>221858478.7871533</v>
      </c>
      <c r="D5">
        <v>182154331.80543846</v>
      </c>
      <c r="E5">
        <v>136273620.13495493</v>
      </c>
      <c r="F5">
        <v>175377650.41982847</v>
      </c>
      <c r="G5">
        <v>187952576.53934807</v>
      </c>
      <c r="H5">
        <v>87243714.707664564</v>
      </c>
      <c r="I5">
        <v>145886125.83677095</v>
      </c>
      <c r="J5">
        <v>82204507.744864523</v>
      </c>
      <c r="K5">
        <v>57416214.493164368</v>
      </c>
      <c r="L5">
        <v>76736158.678925425</v>
      </c>
      <c r="M5">
        <v>82963445.342684314</v>
      </c>
      <c r="N5">
        <f t="shared" si="0"/>
        <v>1.3848683185981019E-3</v>
      </c>
      <c r="O5">
        <v>4</v>
      </c>
      <c r="P5">
        <f t="shared" si="1"/>
        <v>1.7657071062125801E-2</v>
      </c>
      <c r="Q5">
        <v>1.7657071062125801E-2</v>
      </c>
    </row>
    <row r="6" spans="1:17" x14ac:dyDescent="0.45">
      <c r="A6" t="s">
        <v>323</v>
      </c>
      <c r="B6">
        <v>11544607.479637891</v>
      </c>
      <c r="C6">
        <v>29844314.24069063</v>
      </c>
      <c r="D6">
        <v>14377749.095464651</v>
      </c>
      <c r="E6">
        <v>26051190.174470954</v>
      </c>
      <c r="F6">
        <v>20881599.239826232</v>
      </c>
      <c r="G6">
        <v>36886968.277671486</v>
      </c>
      <c r="H6">
        <v>8654477.6018802598</v>
      </c>
      <c r="I6">
        <v>9667425.6154145095</v>
      </c>
      <c r="J6">
        <v>7435296.2004067143</v>
      </c>
      <c r="K6">
        <v>10725881.969689017</v>
      </c>
      <c r="L6">
        <v>9336523.2818581909</v>
      </c>
      <c r="M6">
        <v>9750407.7910826467</v>
      </c>
      <c r="N6">
        <f t="shared" si="0"/>
        <v>5.2063891469261263E-3</v>
      </c>
      <c r="O6">
        <v>5</v>
      </c>
      <c r="P6">
        <f t="shared" si="1"/>
        <v>5.310516929864649E-2</v>
      </c>
      <c r="Q6">
        <v>5.310516929864649E-2</v>
      </c>
    </row>
    <row r="7" spans="1:17" x14ac:dyDescent="0.45">
      <c r="A7" t="s">
        <v>56</v>
      </c>
      <c r="B7">
        <v>332442.15924124635</v>
      </c>
      <c r="C7">
        <v>2244486.7705040183</v>
      </c>
      <c r="D7">
        <v>1615309.8921993654</v>
      </c>
      <c r="E7">
        <v>1958293.082179144</v>
      </c>
      <c r="F7">
        <v>2271613.0083078253</v>
      </c>
      <c r="G7">
        <v>1471862.5525909017</v>
      </c>
      <c r="H7">
        <v>822020.39075542148</v>
      </c>
      <c r="I7">
        <v>548009.6981564383</v>
      </c>
      <c r="J7">
        <v>397383.88561911572</v>
      </c>
      <c r="K7">
        <v>757567.57906222972</v>
      </c>
      <c r="L7">
        <v>717709.09570763086</v>
      </c>
      <c r="M7">
        <v>662686.24353491166</v>
      </c>
      <c r="N7">
        <f t="shared" si="0"/>
        <v>7.8473742442659571E-3</v>
      </c>
      <c r="O7">
        <v>6</v>
      </c>
      <c r="P7">
        <f t="shared" si="1"/>
        <v>6.6702681076260636E-2</v>
      </c>
      <c r="Q7">
        <v>6.6702681076260636E-2</v>
      </c>
    </row>
    <row r="8" spans="1:17" x14ac:dyDescent="0.45">
      <c r="A8" t="s">
        <v>128</v>
      </c>
      <c r="B8">
        <v>7832654.6298461137</v>
      </c>
      <c r="C8">
        <v>30017219.550858788</v>
      </c>
      <c r="D8">
        <v>20053303.643360753</v>
      </c>
      <c r="E8">
        <v>27649386.276695196</v>
      </c>
      <c r="F8">
        <v>22931769.072404053</v>
      </c>
      <c r="G8">
        <v>31891597.712230407</v>
      </c>
      <c r="H8">
        <v>10516923.450391443</v>
      </c>
      <c r="I8">
        <v>10399116.030542413</v>
      </c>
      <c r="J8">
        <v>12123841.489077009</v>
      </c>
      <c r="K8">
        <v>11541413.874769792</v>
      </c>
      <c r="L8">
        <v>14570253.156593159</v>
      </c>
      <c r="M8">
        <v>10309735.784371519</v>
      </c>
      <c r="N8">
        <f t="shared" si="0"/>
        <v>8.9844747833408671E-3</v>
      </c>
      <c r="O8">
        <v>7</v>
      </c>
      <c r="P8">
        <f t="shared" si="1"/>
        <v>6.5458316278626319E-2</v>
      </c>
      <c r="Q8">
        <v>6.5458316278626319E-2</v>
      </c>
    </row>
    <row r="9" spans="1:17" x14ac:dyDescent="0.45">
      <c r="A9" t="s">
        <v>273</v>
      </c>
      <c r="B9">
        <v>29226579.60930185</v>
      </c>
      <c r="C9">
        <v>46129473.03562773</v>
      </c>
      <c r="D9">
        <v>27235250.961600319</v>
      </c>
      <c r="E9">
        <v>30585189.550451171</v>
      </c>
      <c r="F9">
        <v>64215171.172773942</v>
      </c>
      <c r="G9">
        <v>27956106.635369822</v>
      </c>
      <c r="H9">
        <v>14419588.03142659</v>
      </c>
      <c r="I9">
        <v>17630995.742720559</v>
      </c>
      <c r="J9">
        <v>12868552.564991819</v>
      </c>
      <c r="K9">
        <v>10323996.339401882</v>
      </c>
      <c r="L9">
        <v>25317101.896094263</v>
      </c>
      <c r="M9">
        <v>19992756.867765341</v>
      </c>
      <c r="N9">
        <f t="shared" si="0"/>
        <v>9.0881291872690791E-3</v>
      </c>
      <c r="O9">
        <v>8</v>
      </c>
      <c r="P9">
        <f t="shared" si="1"/>
        <v>5.7936823568840376E-2</v>
      </c>
      <c r="Q9">
        <v>5.7936823568840376E-2</v>
      </c>
    </row>
    <row r="10" spans="1:17" x14ac:dyDescent="0.45">
      <c r="A10" t="s">
        <v>58</v>
      </c>
      <c r="B10">
        <v>10681587.797499625</v>
      </c>
      <c r="C10">
        <v>22138457.979973231</v>
      </c>
      <c r="D10">
        <v>14605614.379508104</v>
      </c>
      <c r="E10">
        <v>15898983.800568692</v>
      </c>
      <c r="F10">
        <v>17107122.514744401</v>
      </c>
      <c r="G10">
        <v>16412356.465356575</v>
      </c>
      <c r="H10">
        <v>9152616.4696886372</v>
      </c>
      <c r="I10">
        <v>13593228.515576614</v>
      </c>
      <c r="J10">
        <v>9965904.9627082516</v>
      </c>
      <c r="K10">
        <v>11159916.991833448</v>
      </c>
      <c r="L10">
        <v>10795338.388637297</v>
      </c>
      <c r="M10">
        <v>10820586.286875343</v>
      </c>
      <c r="N10">
        <f t="shared" si="0"/>
        <v>9.6354946581444691E-3</v>
      </c>
      <c r="O10">
        <v>9</v>
      </c>
      <c r="P10">
        <f t="shared" si="1"/>
        <v>5.4601136396151995E-2</v>
      </c>
      <c r="Q10">
        <v>5.4601136396151995E-2</v>
      </c>
    </row>
    <row r="11" spans="1:17" x14ac:dyDescent="0.45">
      <c r="A11" t="s">
        <v>161</v>
      </c>
      <c r="B11">
        <v>10753070.23163924</v>
      </c>
      <c r="C11">
        <v>31431235.184327912</v>
      </c>
      <c r="D11">
        <v>14273231.142321268</v>
      </c>
      <c r="E11">
        <v>12640890.563724179</v>
      </c>
      <c r="F11">
        <v>32860072.98782403</v>
      </c>
      <c r="G11">
        <v>27164379.356166501</v>
      </c>
      <c r="H11">
        <v>11073208.389698392</v>
      </c>
      <c r="I11">
        <v>12255313.838856969</v>
      </c>
      <c r="J11">
        <v>7759119.4890147094</v>
      </c>
      <c r="K11">
        <v>4886256.4841182614</v>
      </c>
      <c r="L11">
        <v>8878403.7855846714</v>
      </c>
      <c r="M11">
        <v>8072496.2237874512</v>
      </c>
      <c r="N11">
        <f t="shared" si="0"/>
        <v>1.3496965886957838E-2</v>
      </c>
      <c r="O11">
        <v>10</v>
      </c>
      <c r="P11">
        <f t="shared" si="1"/>
        <v>6.8834526023484971E-2</v>
      </c>
      <c r="Q11">
        <v>6.8834526023484971E-2</v>
      </c>
    </row>
    <row r="12" spans="1:17" x14ac:dyDescent="0.45">
      <c r="A12" t="s">
        <v>221</v>
      </c>
      <c r="B12">
        <v>50043205.094946787</v>
      </c>
      <c r="C12">
        <v>182620562.87186974</v>
      </c>
      <c r="D12">
        <v>126129107.86558852</v>
      </c>
      <c r="E12">
        <v>170737827.54665574</v>
      </c>
      <c r="F12">
        <v>140235609.36556792</v>
      </c>
      <c r="G12">
        <v>194723002.0355362</v>
      </c>
      <c r="H12">
        <v>72973355.079085574</v>
      </c>
      <c r="I12">
        <v>74342048.759286463</v>
      </c>
      <c r="J12">
        <v>84091882.382365525</v>
      </c>
      <c r="K12">
        <v>75005300.278970554</v>
      </c>
      <c r="L12">
        <v>98282311.757786319</v>
      </c>
      <c r="M12">
        <v>65033352.389286764</v>
      </c>
      <c r="N12">
        <f t="shared" si="0"/>
        <v>1.3761486975101231E-2</v>
      </c>
      <c r="O12">
        <v>11</v>
      </c>
      <c r="P12">
        <f t="shared" si="1"/>
        <v>6.3803257793651161E-2</v>
      </c>
      <c r="Q12">
        <v>6.3803257793651161E-2</v>
      </c>
    </row>
    <row r="13" spans="1:17" x14ac:dyDescent="0.45">
      <c r="A13" t="s">
        <v>325</v>
      </c>
      <c r="B13">
        <v>241304212.87537995</v>
      </c>
      <c r="C13">
        <v>185027418.3524234</v>
      </c>
      <c r="D13">
        <v>100451241.59054892</v>
      </c>
      <c r="E13">
        <v>49960868.592918977</v>
      </c>
      <c r="F13">
        <v>148802872.20106193</v>
      </c>
      <c r="G13">
        <v>196839544.64361444</v>
      </c>
      <c r="H13">
        <v>22874794.116530105</v>
      </c>
      <c r="I13">
        <v>161965374.78553644</v>
      </c>
      <c r="J13">
        <v>37733953.470192082</v>
      </c>
      <c r="K13">
        <v>21704581.342559304</v>
      </c>
      <c r="L13">
        <v>25406382.226863157</v>
      </c>
      <c r="M13">
        <v>12222666.347363137</v>
      </c>
      <c r="N13">
        <f t="shared" si="0"/>
        <v>1.5536150843193222E-2</v>
      </c>
      <c r="O13">
        <v>12</v>
      </c>
      <c r="P13">
        <f t="shared" si="1"/>
        <v>6.6028641083571191E-2</v>
      </c>
      <c r="Q13">
        <v>6.6028641083571191E-2</v>
      </c>
    </row>
    <row r="14" spans="1:17" x14ac:dyDescent="0.45">
      <c r="A14" t="s">
        <v>254</v>
      </c>
      <c r="B14">
        <v>28381095.588449154</v>
      </c>
      <c r="C14">
        <v>68054793.752057761</v>
      </c>
      <c r="D14">
        <v>39976837.942479834</v>
      </c>
      <c r="E14">
        <v>43384021.61687395</v>
      </c>
      <c r="F14">
        <v>50944185.99560032</v>
      </c>
      <c r="G14">
        <v>47854715.026587777</v>
      </c>
      <c r="H14">
        <v>26334283.772527311</v>
      </c>
      <c r="I14">
        <v>32318029.962169793</v>
      </c>
      <c r="J14">
        <v>24320411.238478106</v>
      </c>
      <c r="K14">
        <v>30868657.704852648</v>
      </c>
      <c r="L14">
        <v>34656142.324075811</v>
      </c>
      <c r="M14">
        <v>32779362.207802992</v>
      </c>
      <c r="N14">
        <f t="shared" si="0"/>
        <v>1.622182937252999E-2</v>
      </c>
      <c r="O14">
        <v>13</v>
      </c>
      <c r="P14">
        <f t="shared" si="1"/>
        <v>6.3639484461463808E-2</v>
      </c>
      <c r="Q14">
        <v>6.3639484461463808E-2</v>
      </c>
    </row>
    <row r="15" spans="1:17" x14ac:dyDescent="0.45">
      <c r="A15" t="s">
        <v>354</v>
      </c>
      <c r="B15">
        <v>324385122.0744189</v>
      </c>
      <c r="C15">
        <v>325075066.11697376</v>
      </c>
      <c r="D15">
        <v>398413305.40159011</v>
      </c>
      <c r="E15">
        <v>433605119.63706642</v>
      </c>
      <c r="F15">
        <v>601701001.9278239</v>
      </c>
      <c r="G15">
        <v>765462189.78104806</v>
      </c>
      <c r="H15">
        <v>224364683.05027726</v>
      </c>
      <c r="I15">
        <v>365084738.51727897</v>
      </c>
      <c r="J15">
        <v>222346226.54297861</v>
      </c>
      <c r="K15">
        <v>152881654.27903888</v>
      </c>
      <c r="L15">
        <v>328097666.68485272</v>
      </c>
      <c r="M15">
        <v>198177752.17836177</v>
      </c>
      <c r="N15">
        <f t="shared" si="0"/>
        <v>1.65681831440142E-2</v>
      </c>
      <c r="O15">
        <v>14</v>
      </c>
      <c r="P15">
        <f t="shared" si="1"/>
        <v>6.0355524310337437E-2</v>
      </c>
      <c r="Q15">
        <v>6.0355524310337437E-2</v>
      </c>
    </row>
    <row r="16" spans="1:17" x14ac:dyDescent="0.45">
      <c r="A16" t="s">
        <v>86</v>
      </c>
      <c r="B16">
        <v>12202218.007070296</v>
      </c>
      <c r="C16">
        <v>39862829.488750644</v>
      </c>
      <c r="D16">
        <v>29304376.28336376</v>
      </c>
      <c r="E16">
        <v>41631401.298573956</v>
      </c>
      <c r="F16">
        <v>32130827.121543415</v>
      </c>
      <c r="G16">
        <v>45860160.327013604</v>
      </c>
      <c r="H16">
        <v>17167023.698484261</v>
      </c>
      <c r="I16">
        <v>17954914.917417429</v>
      </c>
      <c r="J16">
        <v>20910684.69149746</v>
      </c>
      <c r="K16">
        <v>18432704.268578313</v>
      </c>
      <c r="L16">
        <v>23591292.177996408</v>
      </c>
      <c r="M16">
        <v>16578629.608949069</v>
      </c>
      <c r="N16">
        <f t="shared" si="0"/>
        <v>1.739628703782892E-2</v>
      </c>
      <c r="O16">
        <v>15</v>
      </c>
      <c r="P16">
        <f t="shared" si="1"/>
        <v>5.914737592861833E-2</v>
      </c>
      <c r="Q16">
        <v>5.914737592861833E-2</v>
      </c>
    </row>
    <row r="17" spans="1:17" x14ac:dyDescent="0.45">
      <c r="A17" t="s">
        <v>277</v>
      </c>
      <c r="B17">
        <v>33132.668513957775</v>
      </c>
      <c r="C17">
        <v>295059.17396563746</v>
      </c>
      <c r="D17">
        <v>170898.02634729751</v>
      </c>
      <c r="E17">
        <v>362625.77534847171</v>
      </c>
      <c r="F17">
        <v>223348.92172687984</v>
      </c>
      <c r="G17">
        <v>154852.94881801045</v>
      </c>
      <c r="H17">
        <v>441073.88128495897</v>
      </c>
      <c r="I17">
        <v>900231.70275762503</v>
      </c>
      <c r="J17">
        <v>207925.81813790629</v>
      </c>
      <c r="K17">
        <v>394131.61875703547</v>
      </c>
      <c r="L17">
        <v>501152.35822166409</v>
      </c>
      <c r="M17">
        <v>585132.3588035343</v>
      </c>
      <c r="N17">
        <f t="shared" si="0"/>
        <v>1.791424947452561E-2</v>
      </c>
      <c r="O17">
        <v>16</v>
      </c>
      <c r="P17">
        <f t="shared" si="1"/>
        <v>5.7101670200050379E-2</v>
      </c>
      <c r="Q17">
        <v>5.7101670200050379E-2</v>
      </c>
    </row>
    <row r="18" spans="1:17" x14ac:dyDescent="0.45">
      <c r="A18" t="s">
        <v>332</v>
      </c>
      <c r="B18">
        <v>356949034.66651982</v>
      </c>
      <c r="C18">
        <v>440451953.43411756</v>
      </c>
      <c r="D18">
        <v>322057920.87805748</v>
      </c>
      <c r="E18">
        <v>251184589.79921564</v>
      </c>
      <c r="F18">
        <v>265702744.92557687</v>
      </c>
      <c r="G18">
        <v>431310427.49399042</v>
      </c>
      <c r="H18">
        <v>122400740.53918245</v>
      </c>
      <c r="I18">
        <v>276077559.15277946</v>
      </c>
      <c r="J18">
        <v>125658543.28267173</v>
      </c>
      <c r="K18">
        <v>228623711.34771746</v>
      </c>
      <c r="L18">
        <v>234601536.37555733</v>
      </c>
      <c r="M18">
        <v>311181277.05542254</v>
      </c>
      <c r="N18">
        <f t="shared" si="0"/>
        <v>1.8463898232400588E-2</v>
      </c>
      <c r="O18">
        <v>17</v>
      </c>
      <c r="P18">
        <f t="shared" si="1"/>
        <v>5.5391694697201767E-2</v>
      </c>
      <c r="Q18">
        <v>5.5391694697201767E-2</v>
      </c>
    </row>
    <row r="19" spans="1:17" x14ac:dyDescent="0.45">
      <c r="A19" t="s">
        <v>209</v>
      </c>
      <c r="B19">
        <v>221884080.07897812</v>
      </c>
      <c r="C19">
        <v>585232916.25792336</v>
      </c>
      <c r="D19">
        <v>352059874.62660944</v>
      </c>
      <c r="E19">
        <v>249264740.48409754</v>
      </c>
      <c r="F19">
        <v>318983238.94175583</v>
      </c>
      <c r="G19">
        <v>389707294.83102733</v>
      </c>
      <c r="H19">
        <v>214937636.82466531</v>
      </c>
      <c r="I19">
        <v>326280278.2947129</v>
      </c>
      <c r="J19">
        <v>159643098.13190848</v>
      </c>
      <c r="K19">
        <v>140620607.43045521</v>
      </c>
      <c r="L19">
        <v>102823844.44766107</v>
      </c>
      <c r="M19">
        <v>144334556.13959214</v>
      </c>
      <c r="N19">
        <f t="shared" si="0"/>
        <v>2.0324120148626727E-2</v>
      </c>
      <c r="O19">
        <v>18</v>
      </c>
      <c r="P19">
        <f t="shared" si="1"/>
        <v>5.7585007087775725E-2</v>
      </c>
      <c r="Q19">
        <v>5.7585007087775725E-2</v>
      </c>
    </row>
    <row r="20" spans="1:17" x14ac:dyDescent="0.45">
      <c r="A20" t="s">
        <v>36</v>
      </c>
      <c r="B20">
        <v>3328760.0796513315</v>
      </c>
      <c r="C20">
        <v>29162506.326109897</v>
      </c>
      <c r="D20">
        <v>4790928.6757760402</v>
      </c>
      <c r="E20">
        <v>15445150.781720338</v>
      </c>
      <c r="F20">
        <v>20530029.677690685</v>
      </c>
      <c r="G20">
        <v>28000281.815598298</v>
      </c>
      <c r="H20">
        <v>3902017.5146898609</v>
      </c>
      <c r="I20">
        <v>3231689.9787681703</v>
      </c>
      <c r="J20">
        <v>1295862.6524931984</v>
      </c>
      <c r="K20">
        <v>3025183.750473483</v>
      </c>
      <c r="L20">
        <v>7162838.0305382172</v>
      </c>
      <c r="M20">
        <v>6205447.9247885784</v>
      </c>
      <c r="N20">
        <f t="shared" si="0"/>
        <v>2.0442735334543608E-2</v>
      </c>
      <c r="O20">
        <v>19</v>
      </c>
      <c r="P20">
        <f t="shared" si="1"/>
        <v>5.4872605371669693E-2</v>
      </c>
      <c r="Q20">
        <v>5.4872605371669693E-2</v>
      </c>
    </row>
    <row r="21" spans="1:17" x14ac:dyDescent="0.45">
      <c r="A21" t="s">
        <v>61</v>
      </c>
      <c r="B21">
        <v>23006435.753895454</v>
      </c>
      <c r="C21">
        <v>54532121.206604317</v>
      </c>
      <c r="D21">
        <v>28623145.50086185</v>
      </c>
      <c r="E21">
        <v>49167378.144698836</v>
      </c>
      <c r="F21">
        <v>49160721.17523098</v>
      </c>
      <c r="G21">
        <v>44083411.232750162</v>
      </c>
      <c r="H21">
        <v>30763384.676233776</v>
      </c>
      <c r="I21">
        <v>30054283.569162436</v>
      </c>
      <c r="J21">
        <v>20996270.485935625</v>
      </c>
      <c r="K21">
        <v>23328794.498081334</v>
      </c>
      <c r="L21">
        <v>31882199.531892501</v>
      </c>
      <c r="M21">
        <v>20596429.597012989</v>
      </c>
      <c r="N21">
        <f t="shared" si="0"/>
        <v>2.181371247693879E-2</v>
      </c>
      <c r="O21">
        <v>20</v>
      </c>
      <c r="P21">
        <f t="shared" si="1"/>
        <v>5.5624966816193909E-2</v>
      </c>
      <c r="Q21">
        <v>5.5624966816193909E-2</v>
      </c>
    </row>
    <row r="22" spans="1:17" x14ac:dyDescent="0.45">
      <c r="A22" t="s">
        <v>223</v>
      </c>
      <c r="B22">
        <v>103648404.29991584</v>
      </c>
      <c r="C22">
        <v>94678417.601327673</v>
      </c>
      <c r="D22">
        <v>93301290.69238703</v>
      </c>
      <c r="E22">
        <v>38672835.194980465</v>
      </c>
      <c r="F22">
        <v>130260635.78506345</v>
      </c>
      <c r="G22">
        <v>154416108.24311906</v>
      </c>
      <c r="H22">
        <v>29315442.549883299</v>
      </c>
      <c r="I22">
        <v>93442480.235770822</v>
      </c>
      <c r="J22">
        <v>37012900.52430366</v>
      </c>
      <c r="K22">
        <v>54443443.321993448</v>
      </c>
      <c r="L22">
        <v>13604798.466089686</v>
      </c>
      <c r="M22">
        <v>65276230.641751476</v>
      </c>
      <c r="N22">
        <f t="shared" si="0"/>
        <v>2.1864583934964203E-2</v>
      </c>
      <c r="O22">
        <v>21</v>
      </c>
      <c r="P22">
        <f t="shared" si="1"/>
        <v>5.3099703842055923E-2</v>
      </c>
      <c r="Q22">
        <v>5.3099703842055923E-2</v>
      </c>
    </row>
    <row r="23" spans="1:17" x14ac:dyDescent="0.45">
      <c r="A23" t="s">
        <v>69</v>
      </c>
      <c r="B23">
        <v>8440760.3866513968</v>
      </c>
      <c r="C23">
        <v>19353912.666892145</v>
      </c>
      <c r="D23">
        <v>11054868.962030085</v>
      </c>
      <c r="E23">
        <v>14337790.664020583</v>
      </c>
      <c r="F23">
        <v>14317567.580901435</v>
      </c>
      <c r="G23">
        <v>13004490.829590362</v>
      </c>
      <c r="H23">
        <v>7112311.0621870477</v>
      </c>
      <c r="I23">
        <v>9554048.8207393866</v>
      </c>
      <c r="J23">
        <v>6897127.756965681</v>
      </c>
      <c r="K23">
        <v>8623190.4356210232</v>
      </c>
      <c r="L23">
        <v>10016685.818944307</v>
      </c>
      <c r="M23">
        <v>11368413.009807989</v>
      </c>
      <c r="N23">
        <f t="shared" si="0"/>
        <v>2.2012851780720363E-2</v>
      </c>
      <c r="O23">
        <v>22</v>
      </c>
      <c r="P23">
        <f t="shared" si="1"/>
        <v>5.102979276439721E-2</v>
      </c>
      <c r="Q23">
        <v>5.102979276439721E-2</v>
      </c>
    </row>
    <row r="24" spans="1:17" x14ac:dyDescent="0.45">
      <c r="A24" t="s">
        <v>140</v>
      </c>
      <c r="B24">
        <v>11847008.904977115</v>
      </c>
      <c r="C24">
        <v>46109498.864120401</v>
      </c>
      <c r="D24">
        <v>51194884.210776925</v>
      </c>
      <c r="E24">
        <v>7054201.7758082161</v>
      </c>
      <c r="F24">
        <v>14991564.258912288</v>
      </c>
      <c r="G24">
        <v>17330166.004699852</v>
      </c>
      <c r="H24">
        <v>164241825.16693205</v>
      </c>
      <c r="I24">
        <v>137360669.45241687</v>
      </c>
      <c r="J24">
        <v>178537565.81757346</v>
      </c>
      <c r="K24">
        <v>18517062.041573759</v>
      </c>
      <c r="L24">
        <v>21156602.499939021</v>
      </c>
      <c r="M24">
        <v>106531673.80725393</v>
      </c>
      <c r="N24">
        <f t="shared" si="0"/>
        <v>2.2632424945017878E-2</v>
      </c>
      <c r="O24">
        <v>23</v>
      </c>
      <c r="P24">
        <f t="shared" si="1"/>
        <v>5.0184942269387467E-2</v>
      </c>
      <c r="Q24">
        <v>5.0184942269387467E-2</v>
      </c>
    </row>
    <row r="25" spans="1:17" x14ac:dyDescent="0.45">
      <c r="A25" t="s">
        <v>360</v>
      </c>
      <c r="B25">
        <v>295060053.33860266</v>
      </c>
      <c r="C25">
        <v>290375378.61198574</v>
      </c>
      <c r="D25">
        <v>357979429.38130808</v>
      </c>
      <c r="E25">
        <v>392961487.74230242</v>
      </c>
      <c r="F25">
        <v>548941716.14549065</v>
      </c>
      <c r="G25">
        <v>699465701.25582504</v>
      </c>
      <c r="H25">
        <v>215229322.38032389</v>
      </c>
      <c r="I25">
        <v>350955190.22212309</v>
      </c>
      <c r="J25">
        <v>210874298.43665382</v>
      </c>
      <c r="K25">
        <v>141994689.57902837</v>
      </c>
      <c r="L25">
        <v>308608939.32640505</v>
      </c>
      <c r="M25">
        <v>182308996.86973676</v>
      </c>
      <c r="N25">
        <f t="shared" si="0"/>
        <v>2.3808317534344453E-2</v>
      </c>
      <c r="O25">
        <v>24</v>
      </c>
      <c r="P25">
        <f t="shared" si="1"/>
        <v>5.0592674760481959E-2</v>
      </c>
      <c r="Q25">
        <v>5.0592674760481959E-2</v>
      </c>
    </row>
    <row r="26" spans="1:17" x14ac:dyDescent="0.45">
      <c r="A26" t="s">
        <v>380</v>
      </c>
      <c r="B26">
        <v>84949628.397257596</v>
      </c>
      <c r="C26">
        <v>392190351.1331417</v>
      </c>
      <c r="D26">
        <v>235761124.4529478</v>
      </c>
      <c r="E26">
        <v>298664680.01492101</v>
      </c>
      <c r="F26">
        <v>266478346.03398991</v>
      </c>
      <c r="G26">
        <v>339344932.56300259</v>
      </c>
      <c r="H26">
        <v>153727814.85440406</v>
      </c>
      <c r="I26">
        <v>139744728.38326114</v>
      </c>
      <c r="J26">
        <v>166072153.10850102</v>
      </c>
      <c r="K26">
        <v>132796796.94255495</v>
      </c>
      <c r="L26">
        <v>194218157.09254482</v>
      </c>
      <c r="M26">
        <v>119975691.34792696</v>
      </c>
      <c r="N26">
        <f t="shared" si="0"/>
        <v>2.3896926138025965E-2</v>
      </c>
      <c r="O26">
        <v>25</v>
      </c>
      <c r="P26">
        <f t="shared" si="1"/>
        <v>4.8749729321572968E-2</v>
      </c>
      <c r="Q26">
        <v>4.8749729321572968E-2</v>
      </c>
    </row>
    <row r="27" spans="1:17" x14ac:dyDescent="0.45">
      <c r="A27" t="s">
        <v>97</v>
      </c>
      <c r="B27">
        <v>8772861.603723539</v>
      </c>
      <c r="C27">
        <v>20817548.335204888</v>
      </c>
      <c r="D27">
        <v>12842762.104220243</v>
      </c>
      <c r="E27">
        <v>15473324.398331292</v>
      </c>
      <c r="F27">
        <v>18539543.415424332</v>
      </c>
      <c r="G27">
        <v>17500275.513024434</v>
      </c>
      <c r="H27">
        <v>8719199.5288210642</v>
      </c>
      <c r="I27">
        <v>11844177.9958985</v>
      </c>
      <c r="J27">
        <v>9538801.7448672187</v>
      </c>
      <c r="K27">
        <v>11024619.871692929</v>
      </c>
      <c r="L27">
        <v>13139622.873283859</v>
      </c>
      <c r="M27">
        <v>9741838.813371323</v>
      </c>
      <c r="N27">
        <f t="shared" si="0"/>
        <v>2.4768980546911123E-2</v>
      </c>
      <c r="O27">
        <v>26</v>
      </c>
      <c r="P27">
        <f t="shared" si="1"/>
        <v>4.8585307995864128E-2</v>
      </c>
      <c r="Q27">
        <v>4.8585307995864128E-2</v>
      </c>
    </row>
    <row r="28" spans="1:17" x14ac:dyDescent="0.45">
      <c r="A28" t="s">
        <v>224</v>
      </c>
      <c r="B28">
        <v>322215445.76605046</v>
      </c>
      <c r="C28">
        <v>174175621.63644573</v>
      </c>
      <c r="D28">
        <v>319601400.24223256</v>
      </c>
      <c r="E28">
        <v>179565264.94140133</v>
      </c>
      <c r="F28">
        <v>489754760.36634707</v>
      </c>
      <c r="G28">
        <v>670649663.57884443</v>
      </c>
      <c r="H28">
        <v>74151634.129568547</v>
      </c>
      <c r="I28">
        <v>222683920.92695904</v>
      </c>
      <c r="J28">
        <v>80234654.911435515</v>
      </c>
      <c r="K28">
        <v>105237165.61789593</v>
      </c>
      <c r="L28">
        <v>154162980.78195414</v>
      </c>
      <c r="M28">
        <v>227174285.96362695</v>
      </c>
      <c r="N28">
        <f t="shared" si="0"/>
        <v>2.6855499930773186E-2</v>
      </c>
      <c r="O28">
        <v>27</v>
      </c>
      <c r="P28">
        <f t="shared" si="1"/>
        <v>5.0727055424793797E-2</v>
      </c>
      <c r="Q28">
        <v>5.0727055424793797E-2</v>
      </c>
    </row>
    <row r="29" spans="1:17" x14ac:dyDescent="0.45">
      <c r="A29" t="s">
        <v>230</v>
      </c>
      <c r="B29">
        <v>28965097.393023122</v>
      </c>
      <c r="C29">
        <v>40659803.972212203</v>
      </c>
      <c r="D29">
        <v>41395119.364520937</v>
      </c>
      <c r="E29">
        <v>49941158.550828934</v>
      </c>
      <c r="F29">
        <v>83287570.762788445</v>
      </c>
      <c r="G29">
        <v>74578007.663437963</v>
      </c>
      <c r="H29">
        <v>42878084.537675396</v>
      </c>
      <c r="I29">
        <v>37472867.020169117</v>
      </c>
      <c r="J29">
        <v>16566979.976303767</v>
      </c>
      <c r="K29">
        <v>15523221.960836723</v>
      </c>
      <c r="L29">
        <v>31483401.279901054</v>
      </c>
      <c r="M29">
        <v>24150074.181203775</v>
      </c>
      <c r="N29">
        <f t="shared" si="0"/>
        <v>2.8189400248120916E-2</v>
      </c>
      <c r="O29">
        <v>28</v>
      </c>
      <c r="P29">
        <f t="shared" si="1"/>
        <v>5.1344979023363095E-2</v>
      </c>
      <c r="Q29">
        <v>5.1344979023363095E-2</v>
      </c>
    </row>
    <row r="30" spans="1:17" x14ac:dyDescent="0.45">
      <c r="A30" t="s">
        <v>160</v>
      </c>
      <c r="B30">
        <v>15110190.352451768</v>
      </c>
      <c r="C30">
        <v>12811805.35063578</v>
      </c>
      <c r="D30">
        <v>8136755.2849347787</v>
      </c>
      <c r="E30">
        <v>4216070.3434546404</v>
      </c>
      <c r="F30">
        <v>6501007.2614708329</v>
      </c>
      <c r="G30">
        <v>7951508.2092228606</v>
      </c>
      <c r="H30">
        <v>1941907.5352783611</v>
      </c>
      <c r="I30">
        <v>8506598.6923962831</v>
      </c>
      <c r="J30">
        <v>4820920.6533839181</v>
      </c>
      <c r="K30">
        <v>1111801.151278801</v>
      </c>
      <c r="L30">
        <v>5496888.0008739196</v>
      </c>
      <c r="M30">
        <v>1508776.0090666814</v>
      </c>
      <c r="N30">
        <f t="shared" si="0"/>
        <v>2.8273690734441848E-2</v>
      </c>
      <c r="O30">
        <v>29</v>
      </c>
      <c r="P30">
        <f t="shared" si="1"/>
        <v>4.9722697498501181E-2</v>
      </c>
      <c r="Q30">
        <v>4.9722697498501181E-2</v>
      </c>
    </row>
    <row r="31" spans="1:17" x14ac:dyDescent="0.45">
      <c r="A31" t="s">
        <v>288</v>
      </c>
      <c r="B31">
        <v>662463333.60890031</v>
      </c>
      <c r="C31">
        <v>1159260935.3389363</v>
      </c>
      <c r="D31">
        <v>969387550.68677211</v>
      </c>
      <c r="E31">
        <v>354709982.78932226</v>
      </c>
      <c r="F31">
        <v>530990260.77895135</v>
      </c>
      <c r="G31">
        <v>399514187.47013789</v>
      </c>
      <c r="H31">
        <v>203070733.41146916</v>
      </c>
      <c r="I31">
        <v>460528331.52903783</v>
      </c>
      <c r="J31">
        <v>169813435.87078857</v>
      </c>
      <c r="K31">
        <v>369089051.81883246</v>
      </c>
      <c r="L31">
        <v>355968637.38553226</v>
      </c>
      <c r="M31">
        <v>401803153.09456468</v>
      </c>
      <c r="N31">
        <f t="shared" si="0"/>
        <v>3.0269892993424335E-2</v>
      </c>
      <c r="O31">
        <v>30</v>
      </c>
      <c r="P31">
        <f t="shared" si="1"/>
        <v>5.145881808882137E-2</v>
      </c>
      <c r="Q31">
        <v>5.145881808882137E-2</v>
      </c>
    </row>
    <row r="32" spans="1:17" x14ac:dyDescent="0.45">
      <c r="A32" t="s">
        <v>333</v>
      </c>
      <c r="B32">
        <v>104620989.85211352</v>
      </c>
      <c r="C32">
        <v>59244992.574815288</v>
      </c>
      <c r="D32">
        <v>120473057.57632016</v>
      </c>
      <c r="E32">
        <v>61374081.881252721</v>
      </c>
      <c r="F32">
        <v>165455394.99309969</v>
      </c>
      <c r="G32">
        <v>221252256.12834165</v>
      </c>
      <c r="H32">
        <v>29897116.65148101</v>
      </c>
      <c r="I32">
        <v>94818872.131013155</v>
      </c>
      <c r="J32">
        <v>28593765.16782634</v>
      </c>
      <c r="K32">
        <v>35849294.636152059</v>
      </c>
      <c r="L32">
        <v>52493718.157160178</v>
      </c>
      <c r="M32">
        <v>71004038.372729912</v>
      </c>
      <c r="N32">
        <f t="shared" si="0"/>
        <v>3.0464804374532136E-2</v>
      </c>
      <c r="O32">
        <v>31</v>
      </c>
      <c r="P32">
        <f t="shared" si="1"/>
        <v>5.0119516874230288E-2</v>
      </c>
      <c r="Q32">
        <v>5.0119516874230288E-2</v>
      </c>
    </row>
    <row r="33" spans="1:17" x14ac:dyDescent="0.45">
      <c r="A33" t="s">
        <v>437</v>
      </c>
      <c r="B33">
        <v>7760243.8386174161</v>
      </c>
      <c r="C33">
        <v>21129681.754524425</v>
      </c>
      <c r="D33">
        <v>14114878.90380007</v>
      </c>
      <c r="E33">
        <v>8055296.8581489222</v>
      </c>
      <c r="F33">
        <v>20948093.718828764</v>
      </c>
      <c r="G33">
        <v>16982130.827806469</v>
      </c>
      <c r="H33">
        <v>3791108.9843100538</v>
      </c>
      <c r="I33">
        <v>14566928.587912977</v>
      </c>
      <c r="J33">
        <v>9101188.024146473</v>
      </c>
      <c r="K33">
        <v>3716893.7166186878</v>
      </c>
      <c r="L33">
        <v>8620980.012397103</v>
      </c>
      <c r="M33">
        <v>3733928.6806520149</v>
      </c>
      <c r="N33">
        <f t="shared" si="0"/>
        <v>3.102038002371986E-2</v>
      </c>
      <c r="O33">
        <v>32</v>
      </c>
      <c r="P33">
        <f t="shared" si="1"/>
        <v>4.9438730662803528E-2</v>
      </c>
      <c r="Q33">
        <v>4.9438730662803528E-2</v>
      </c>
    </row>
    <row r="34" spans="1:17" x14ac:dyDescent="0.45">
      <c r="A34" t="s">
        <v>241</v>
      </c>
      <c r="B34">
        <v>10393084.166169012</v>
      </c>
      <c r="C34">
        <v>37118465.442285411</v>
      </c>
      <c r="D34">
        <v>20017923.924934145</v>
      </c>
      <c r="E34">
        <v>21647420.726248544</v>
      </c>
      <c r="F34">
        <v>27608169.638467129</v>
      </c>
      <c r="G34">
        <v>25952111.456848107</v>
      </c>
      <c r="H34">
        <v>13886841.403108178</v>
      </c>
      <c r="I34">
        <v>14652619.178184243</v>
      </c>
      <c r="J34">
        <v>12125299.140365576</v>
      </c>
      <c r="K34">
        <v>13619362.360276561</v>
      </c>
      <c r="L34">
        <v>19726383.024273943</v>
      </c>
      <c r="M34">
        <v>12054049.450580735</v>
      </c>
      <c r="N34">
        <f t="shared" si="0"/>
        <v>3.2541322757388802E-2</v>
      </c>
      <c r="O34">
        <v>33</v>
      </c>
      <c r="P34">
        <f t="shared" si="1"/>
        <v>5.0291135170509968E-2</v>
      </c>
      <c r="Q34">
        <v>5.0291135170509968E-2</v>
      </c>
    </row>
    <row r="35" spans="1:17" x14ac:dyDescent="0.45">
      <c r="A35" t="s">
        <v>79</v>
      </c>
      <c r="B35">
        <v>2657925.5033091619</v>
      </c>
      <c r="C35">
        <v>7523267.4330990622</v>
      </c>
      <c r="D35">
        <v>4850903.1404555598</v>
      </c>
      <c r="E35">
        <v>4666604.4637772143</v>
      </c>
      <c r="F35">
        <v>4853029.0725705437</v>
      </c>
      <c r="G35">
        <v>4422085.7770703966</v>
      </c>
      <c r="H35">
        <v>3671251.0481991121</v>
      </c>
      <c r="I35">
        <v>3107737.97000953</v>
      </c>
      <c r="J35">
        <v>2759045.5309997317</v>
      </c>
      <c r="K35">
        <v>3614034.9606073215</v>
      </c>
      <c r="L35">
        <v>2541123.9133893326</v>
      </c>
      <c r="M35">
        <v>3403498.2151238136</v>
      </c>
      <c r="N35">
        <f t="shared" si="0"/>
        <v>3.2634521097653378E-2</v>
      </c>
      <c r="O35">
        <v>34</v>
      </c>
      <c r="P35">
        <f t="shared" si="1"/>
        <v>4.8951781646480071E-2</v>
      </c>
      <c r="Q35">
        <v>4.8951781646480071E-2</v>
      </c>
    </row>
    <row r="36" spans="1:17" x14ac:dyDescent="0.45">
      <c r="A36" t="s">
        <v>239</v>
      </c>
      <c r="B36">
        <v>1166872.0846741302</v>
      </c>
      <c r="C36">
        <v>1294540.6297014647</v>
      </c>
      <c r="D36">
        <v>1694027.1588679692</v>
      </c>
      <c r="E36">
        <v>2647405.6152457525</v>
      </c>
      <c r="F36">
        <v>1794816.8527810597</v>
      </c>
      <c r="G36">
        <v>2332906.4361493397</v>
      </c>
      <c r="H36">
        <v>3111927.0278177811</v>
      </c>
      <c r="I36">
        <v>5137735.5993346935</v>
      </c>
      <c r="J36">
        <v>2768616.6063519008</v>
      </c>
      <c r="K36">
        <v>1712236.5336347434</v>
      </c>
      <c r="L36">
        <v>2626547.4483248554</v>
      </c>
      <c r="M36">
        <v>3230840.1545873629</v>
      </c>
      <c r="N36">
        <f t="shared" si="0"/>
        <v>3.3870016225844235E-2</v>
      </c>
      <c r="O36">
        <v>35</v>
      </c>
      <c r="P36">
        <f t="shared" si="1"/>
        <v>4.9353452214801599E-2</v>
      </c>
      <c r="Q36">
        <v>4.9353452214801599E-2</v>
      </c>
    </row>
    <row r="37" spans="1:17" x14ac:dyDescent="0.45">
      <c r="A37" t="s">
        <v>123</v>
      </c>
      <c r="B37">
        <v>4082971.6291372892</v>
      </c>
      <c r="C37">
        <v>4511333.7613614602</v>
      </c>
      <c r="D37">
        <v>3501851.6193595128</v>
      </c>
      <c r="E37">
        <v>10981850.261522541</v>
      </c>
      <c r="F37">
        <v>7154590.7747843126</v>
      </c>
      <c r="G37">
        <v>6257202.6366362786</v>
      </c>
      <c r="H37">
        <v>3302253.5111498642</v>
      </c>
      <c r="I37">
        <v>3447688.7920870446</v>
      </c>
      <c r="J37">
        <v>2286306.1013713973</v>
      </c>
      <c r="K37">
        <v>3688988.6887779795</v>
      </c>
      <c r="L37">
        <v>3471843.8770744912</v>
      </c>
      <c r="M37">
        <v>3434129.0110155297</v>
      </c>
      <c r="N37">
        <f t="shared" si="0"/>
        <v>3.4432564860683676E-2</v>
      </c>
      <c r="O37">
        <v>36</v>
      </c>
      <c r="P37">
        <f t="shared" si="1"/>
        <v>4.8779466885968542E-2</v>
      </c>
      <c r="Q37">
        <v>4.8779466885968542E-2</v>
      </c>
    </row>
    <row r="38" spans="1:17" x14ac:dyDescent="0.45">
      <c r="A38" t="s">
        <v>59</v>
      </c>
      <c r="B38">
        <v>99404.089096711337</v>
      </c>
      <c r="C38">
        <v>1878299.447935357</v>
      </c>
      <c r="D38">
        <v>308445.22384208225</v>
      </c>
      <c r="E38">
        <v>840151.05444215541</v>
      </c>
      <c r="F38">
        <v>1172721.2443729651</v>
      </c>
      <c r="G38">
        <v>1019621.2478604639</v>
      </c>
      <c r="H38">
        <v>155860.99122601922</v>
      </c>
      <c r="I38">
        <v>127678.35958916444</v>
      </c>
      <c r="J38">
        <v>472668.21961831913</v>
      </c>
      <c r="K38">
        <v>245616.31916932651</v>
      </c>
      <c r="L38">
        <v>182796.89818625242</v>
      </c>
      <c r="M38">
        <v>264128.20178356371</v>
      </c>
      <c r="N38">
        <f t="shared" si="0"/>
        <v>3.5565932611423608E-2</v>
      </c>
      <c r="O38">
        <v>37</v>
      </c>
      <c r="P38">
        <f t="shared" si="1"/>
        <v>4.9023312518448756E-2</v>
      </c>
      <c r="Q38">
        <v>4.9023312518448756E-2</v>
      </c>
    </row>
    <row r="39" spans="1:17" x14ac:dyDescent="0.45">
      <c r="A39" t="s">
        <v>141</v>
      </c>
      <c r="B39">
        <v>8883353.9032174628</v>
      </c>
      <c r="C39">
        <v>14317829.177344427</v>
      </c>
      <c r="D39">
        <v>9731053.0163658112</v>
      </c>
      <c r="E39">
        <v>12741571.548967879</v>
      </c>
      <c r="F39">
        <v>19715115.649075139</v>
      </c>
      <c r="G39">
        <v>22134590.324062284</v>
      </c>
      <c r="H39">
        <v>10582028.289964827</v>
      </c>
      <c r="I39">
        <v>13864644.459893951</v>
      </c>
      <c r="J39">
        <v>5047949.990717019</v>
      </c>
      <c r="K39">
        <v>5747309.4218108486</v>
      </c>
      <c r="L39">
        <v>8182382.3893885054</v>
      </c>
      <c r="M39">
        <v>6615031.3639296563</v>
      </c>
      <c r="N39">
        <f t="shared" si="0"/>
        <v>3.5699850480146289E-2</v>
      </c>
      <c r="O39">
        <v>38</v>
      </c>
      <c r="P39">
        <f t="shared" si="1"/>
        <v>4.791295722335423E-2</v>
      </c>
      <c r="Q39">
        <v>4.791295722335423E-2</v>
      </c>
    </row>
    <row r="40" spans="1:17" x14ac:dyDescent="0.45">
      <c r="A40" t="s">
        <v>222</v>
      </c>
      <c r="B40">
        <v>9348189.299718434</v>
      </c>
      <c r="C40">
        <v>20469749.164390706</v>
      </c>
      <c r="D40">
        <v>12365294.595572593</v>
      </c>
      <c r="E40">
        <v>15952563.575769845</v>
      </c>
      <c r="F40">
        <v>17358432.78918007</v>
      </c>
      <c r="G40">
        <v>15737984.390037842</v>
      </c>
      <c r="H40">
        <v>10958881.646948524</v>
      </c>
      <c r="I40">
        <v>14595664.999750428</v>
      </c>
      <c r="J40">
        <v>8644756.2557281405</v>
      </c>
      <c r="K40">
        <v>7143910.2777945613</v>
      </c>
      <c r="L40">
        <v>12945923.973126706</v>
      </c>
      <c r="M40">
        <v>7960876.0609632349</v>
      </c>
      <c r="N40">
        <f t="shared" si="0"/>
        <v>3.610368388590094E-2</v>
      </c>
      <c r="O40">
        <v>39</v>
      </c>
      <c r="P40">
        <f t="shared" si="1"/>
        <v>4.7212509696947381E-2</v>
      </c>
      <c r="Q40">
        <v>4.7212509696947381E-2</v>
      </c>
    </row>
    <row r="41" spans="1:17" x14ac:dyDescent="0.45">
      <c r="A41" t="s">
        <v>285</v>
      </c>
      <c r="B41">
        <v>30142835.418445762</v>
      </c>
      <c r="C41">
        <v>80724415.856649026</v>
      </c>
      <c r="D41">
        <v>45052790.077461571</v>
      </c>
      <c r="E41">
        <v>30171718.934471924</v>
      </c>
      <c r="F41">
        <v>44987090.192748263</v>
      </c>
      <c r="G41">
        <v>51566251.995499566</v>
      </c>
      <c r="H41">
        <v>28707016.727079641</v>
      </c>
      <c r="I41">
        <v>34972928.558612823</v>
      </c>
      <c r="J41">
        <v>20688007.250664357</v>
      </c>
      <c r="K41">
        <v>33883038.491594404</v>
      </c>
      <c r="L41">
        <v>26143753.997330543</v>
      </c>
      <c r="M41">
        <v>24126801.001952942</v>
      </c>
      <c r="N41">
        <f t="shared" si="0"/>
        <v>3.7503713442485778E-2</v>
      </c>
      <c r="O41">
        <v>40</v>
      </c>
      <c r="P41">
        <f t="shared" si="1"/>
        <v>4.7817234639169363E-2</v>
      </c>
      <c r="Q41">
        <v>4.7817234639169363E-2</v>
      </c>
    </row>
    <row r="42" spans="1:17" x14ac:dyDescent="0.45">
      <c r="A42" t="s">
        <v>306</v>
      </c>
      <c r="B42">
        <v>27246849.504753534</v>
      </c>
      <c r="C42">
        <v>72642697.061731994</v>
      </c>
      <c r="D42">
        <v>42718252.680717058</v>
      </c>
      <c r="E42">
        <v>60694101.423508555</v>
      </c>
      <c r="F42">
        <v>73630291.879322007</v>
      </c>
      <c r="G42">
        <v>61283892.481505163</v>
      </c>
      <c r="H42">
        <v>36665996.979104348</v>
      </c>
      <c r="I42">
        <v>31017506.207281325</v>
      </c>
      <c r="J42">
        <v>24448610.40935811</v>
      </c>
      <c r="K42">
        <v>47054755.463447839</v>
      </c>
      <c r="L42">
        <v>50108146.590341814</v>
      </c>
      <c r="M42">
        <v>4594392.2441612156</v>
      </c>
      <c r="N42">
        <f t="shared" si="0"/>
        <v>3.7601457488021246E-2</v>
      </c>
      <c r="O42">
        <v>41</v>
      </c>
      <c r="P42">
        <f t="shared" si="1"/>
        <v>4.6772544680221552E-2</v>
      </c>
      <c r="Q42">
        <v>4.6772544680221552E-2</v>
      </c>
    </row>
    <row r="43" spans="1:17" x14ac:dyDescent="0.45">
      <c r="A43" t="s">
        <v>295</v>
      </c>
      <c r="B43">
        <v>4282549.818352595</v>
      </c>
      <c r="C43">
        <v>7634428.1097000688</v>
      </c>
      <c r="D43">
        <v>5323339.4879026916</v>
      </c>
      <c r="E43">
        <v>9262350.95885255</v>
      </c>
      <c r="F43">
        <v>10027489.400330387</v>
      </c>
      <c r="G43">
        <v>8870481.7635062207</v>
      </c>
      <c r="H43">
        <v>4982458.7322115228</v>
      </c>
      <c r="I43">
        <v>7798714.6225702344</v>
      </c>
      <c r="J43">
        <v>5440344.4152912721</v>
      </c>
      <c r="K43">
        <v>2234153.1777697336</v>
      </c>
      <c r="L43">
        <v>4179085.9670026954</v>
      </c>
      <c r="M43">
        <v>3168182.4831215884</v>
      </c>
      <c r="N43">
        <f t="shared" si="0"/>
        <v>3.8261610444466521E-2</v>
      </c>
      <c r="O43">
        <v>42</v>
      </c>
      <c r="P43">
        <f t="shared" si="1"/>
        <v>4.6460526968280777E-2</v>
      </c>
      <c r="Q43">
        <v>4.6460526968280777E-2</v>
      </c>
    </row>
    <row r="44" spans="1:17" x14ac:dyDescent="0.45">
      <c r="A44" t="s">
        <v>91</v>
      </c>
      <c r="B44">
        <v>7041195.3918783125</v>
      </c>
      <c r="C44">
        <v>20795573.329238281</v>
      </c>
      <c r="D44">
        <v>11781069.248318063</v>
      </c>
      <c r="E44">
        <v>18208277.292743873</v>
      </c>
      <c r="F44">
        <v>32352656.986263879</v>
      </c>
      <c r="G44">
        <v>22762749.840062298</v>
      </c>
      <c r="H44">
        <v>10781663.666608782</v>
      </c>
      <c r="I44">
        <v>14234942.485896379</v>
      </c>
      <c r="J44">
        <v>8419144.3012735024</v>
      </c>
      <c r="K44">
        <v>7135872.8490417153</v>
      </c>
      <c r="L44">
        <v>11775723.488368377</v>
      </c>
      <c r="M44">
        <v>7431320.5629459796</v>
      </c>
      <c r="N44">
        <f t="shared" si="0"/>
        <v>4.135858661829437E-2</v>
      </c>
      <c r="O44">
        <v>43</v>
      </c>
      <c r="P44">
        <f t="shared" si="1"/>
        <v>4.9053207384488672E-2</v>
      </c>
      <c r="Q44">
        <v>4.9053207384488672E-2</v>
      </c>
    </row>
    <row r="45" spans="1:17" x14ac:dyDescent="0.45">
      <c r="A45" t="s">
        <v>216</v>
      </c>
      <c r="B45">
        <v>9778969.2297526579</v>
      </c>
      <c r="C45">
        <v>6682778.7602085229</v>
      </c>
      <c r="D45">
        <v>2541034.7044679276</v>
      </c>
      <c r="E45">
        <v>2397019.2011397476</v>
      </c>
      <c r="F45">
        <v>3775388.3864391171</v>
      </c>
      <c r="G45">
        <v>5487709.0059785768</v>
      </c>
      <c r="H45">
        <v>2048643.2142507886</v>
      </c>
      <c r="I45">
        <v>3670561.4300965015</v>
      </c>
      <c r="J45">
        <v>1734773.2967074791</v>
      </c>
      <c r="K45">
        <v>1887763.721610921</v>
      </c>
      <c r="L45">
        <v>2452446.7807912244</v>
      </c>
      <c r="M45">
        <v>2167843.5970403678</v>
      </c>
      <c r="N45">
        <f t="shared" si="0"/>
        <v>4.1680210469602984E-2</v>
      </c>
      <c r="O45">
        <v>44</v>
      </c>
      <c r="P45">
        <f t="shared" si="1"/>
        <v>4.8311153044312549E-2</v>
      </c>
      <c r="Q45">
        <v>4.8311153044312549E-2</v>
      </c>
    </row>
    <row r="46" spans="1:17" x14ac:dyDescent="0.45">
      <c r="A46" t="s">
        <v>300</v>
      </c>
      <c r="B46">
        <v>33123858.816975228</v>
      </c>
      <c r="C46">
        <v>149060528.12559059</v>
      </c>
      <c r="D46">
        <v>80026732.509715378</v>
      </c>
      <c r="E46">
        <v>92912064.627495304</v>
      </c>
      <c r="F46">
        <v>113365130.46925946</v>
      </c>
      <c r="G46">
        <v>34482353.606199786</v>
      </c>
      <c r="H46">
        <v>1773002.7846758908</v>
      </c>
      <c r="I46">
        <v>1569611.627247774</v>
      </c>
      <c r="J46">
        <v>1125957.0643928912</v>
      </c>
      <c r="K46">
        <v>82429347.657501861</v>
      </c>
      <c r="L46">
        <v>72767203.423637837</v>
      </c>
      <c r="M46">
        <v>1572722.3704439069</v>
      </c>
      <c r="N46">
        <f t="shared" si="0"/>
        <v>4.2380188683114696E-2</v>
      </c>
      <c r="O46">
        <v>45</v>
      </c>
      <c r="P46">
        <f t="shared" si="1"/>
        <v>4.8030880507529988E-2</v>
      </c>
      <c r="Q46">
        <v>4.8030880507529988E-2</v>
      </c>
    </row>
    <row r="47" spans="1:17" x14ac:dyDescent="0.45">
      <c r="A47" t="s">
        <v>312</v>
      </c>
      <c r="B47">
        <v>6245916.298188501</v>
      </c>
      <c r="C47">
        <v>3711310.015828595</v>
      </c>
      <c r="D47">
        <v>14000143.430586923</v>
      </c>
      <c r="E47">
        <v>11223063.751465263</v>
      </c>
      <c r="F47">
        <v>38304726.760374106</v>
      </c>
      <c r="G47">
        <v>32200723.044434063</v>
      </c>
      <c r="H47">
        <v>646960.83112298464</v>
      </c>
      <c r="I47">
        <v>524435.24568560498</v>
      </c>
      <c r="J47">
        <v>349728.99915846786</v>
      </c>
      <c r="K47">
        <v>12886319.141211685</v>
      </c>
      <c r="L47">
        <v>2696623.4406888732</v>
      </c>
      <c r="M47">
        <v>3501466.041182314</v>
      </c>
      <c r="N47">
        <f t="shared" si="0"/>
        <v>4.369564700897767E-2</v>
      </c>
      <c r="O47">
        <v>46</v>
      </c>
      <c r="P47">
        <f t="shared" si="1"/>
        <v>4.8445173857779585E-2</v>
      </c>
      <c r="Q47">
        <v>4.8445173857779585E-2</v>
      </c>
    </row>
    <row r="48" spans="1:17" x14ac:dyDescent="0.45">
      <c r="A48" t="s">
        <v>52</v>
      </c>
      <c r="B48">
        <v>12865007.428708456</v>
      </c>
      <c r="C48">
        <v>28726640.118452583</v>
      </c>
      <c r="D48">
        <v>18091884.352458965</v>
      </c>
      <c r="E48">
        <v>20373529.695630953</v>
      </c>
      <c r="F48">
        <v>24336298.994679779</v>
      </c>
      <c r="G48">
        <v>22387685.086360611</v>
      </c>
      <c r="H48">
        <v>13633035.068571383</v>
      </c>
      <c r="I48">
        <v>19415380.888258308</v>
      </c>
      <c r="J48">
        <v>12413211.713013083</v>
      </c>
      <c r="K48">
        <v>14850981.193357613</v>
      </c>
      <c r="L48">
        <v>17718499.823142432</v>
      </c>
      <c r="M48">
        <v>14837803.641419852</v>
      </c>
      <c r="N48">
        <f t="shared" si="0"/>
        <v>4.4561260851777473E-2</v>
      </c>
      <c r="O48">
        <v>47</v>
      </c>
      <c r="P48">
        <f t="shared" si="1"/>
        <v>4.8353708583843642E-2</v>
      </c>
      <c r="Q48">
        <v>4.8353708583843642E-2</v>
      </c>
    </row>
    <row r="49" spans="1:17" x14ac:dyDescent="0.45">
      <c r="A49" t="s">
        <v>226</v>
      </c>
      <c r="B49">
        <v>220085049.26651284</v>
      </c>
      <c r="C49">
        <v>220085537.12487829</v>
      </c>
      <c r="D49">
        <v>193968666.00266945</v>
      </c>
      <c r="E49">
        <v>49459834.853587352</v>
      </c>
      <c r="F49">
        <v>102489861.64262399</v>
      </c>
      <c r="G49">
        <v>160276109.83770102</v>
      </c>
      <c r="H49">
        <v>58780732.977122612</v>
      </c>
      <c r="I49">
        <v>150124739.84623671</v>
      </c>
      <c r="J49">
        <v>80255586.601128563</v>
      </c>
      <c r="K49">
        <v>106440614.99520813</v>
      </c>
      <c r="L49">
        <v>21257871.701467246</v>
      </c>
      <c r="M49">
        <v>69589796.651768625</v>
      </c>
      <c r="N49">
        <f t="shared" si="0"/>
        <v>4.4691043637958151E-2</v>
      </c>
      <c r="O49">
        <v>48</v>
      </c>
      <c r="P49">
        <f t="shared" si="1"/>
        <v>4.7484233865330537E-2</v>
      </c>
      <c r="Q49">
        <v>4.7484233865330537E-2</v>
      </c>
    </row>
    <row r="50" spans="1:17" x14ac:dyDescent="0.45">
      <c r="A50" t="s">
        <v>197</v>
      </c>
      <c r="B50">
        <v>86458.975295883865</v>
      </c>
      <c r="C50">
        <v>207267.85229184487</v>
      </c>
      <c r="D50">
        <v>147199.73349020514</v>
      </c>
      <c r="E50">
        <v>229180.48531271942</v>
      </c>
      <c r="F50">
        <v>181450.15471989711</v>
      </c>
      <c r="G50">
        <v>229505.07820368075</v>
      </c>
      <c r="H50">
        <v>109940.12685409734</v>
      </c>
      <c r="I50">
        <v>130505.82584447652</v>
      </c>
      <c r="J50">
        <v>75042.967620417636</v>
      </c>
      <c r="K50">
        <v>123085.4178335601</v>
      </c>
      <c r="L50">
        <v>169951.00800577752</v>
      </c>
      <c r="M50">
        <v>115815.14784651715</v>
      </c>
      <c r="N50">
        <f t="shared" si="0"/>
        <v>4.4888870652403538E-2</v>
      </c>
      <c r="O50">
        <v>49</v>
      </c>
      <c r="P50">
        <f t="shared" si="1"/>
        <v>4.6721069454542463E-2</v>
      </c>
      <c r="Q50">
        <v>4.6721069454542463E-2</v>
      </c>
    </row>
    <row r="51" spans="1:17" x14ac:dyDescent="0.45">
      <c r="A51" t="s">
        <v>95</v>
      </c>
      <c r="B51">
        <v>296992.92535238608</v>
      </c>
      <c r="C51">
        <v>1231140.6705738085</v>
      </c>
      <c r="D51">
        <v>714705.10894523363</v>
      </c>
      <c r="E51">
        <v>648977.77715832891</v>
      </c>
      <c r="F51">
        <v>695608.627236448</v>
      </c>
      <c r="G51">
        <v>639679.75591251731</v>
      </c>
      <c r="H51">
        <v>2544504.4164557452</v>
      </c>
      <c r="I51">
        <v>5986721.6393085727</v>
      </c>
      <c r="J51">
        <v>3811202.6072304607</v>
      </c>
      <c r="K51">
        <v>680857.68785439047</v>
      </c>
      <c r="L51">
        <v>771235.03049484699</v>
      </c>
      <c r="M51">
        <v>9642120.2006241176</v>
      </c>
      <c r="N51">
        <f t="shared" si="0"/>
        <v>4.6718365607411369E-2</v>
      </c>
      <c r="O51">
        <v>50</v>
      </c>
      <c r="P51">
        <f t="shared" si="1"/>
        <v>4.7652732919559598E-2</v>
      </c>
      <c r="Q51">
        <v>4.7652732919559598E-2</v>
      </c>
    </row>
    <row r="52" spans="1:17" x14ac:dyDescent="0.45">
      <c r="A52" t="s">
        <v>105</v>
      </c>
      <c r="B52">
        <v>12908028.79397692</v>
      </c>
      <c r="C52">
        <v>64348953.600703306</v>
      </c>
      <c r="D52">
        <v>24039697.127017964</v>
      </c>
      <c r="E52">
        <v>18580356.031063348</v>
      </c>
      <c r="F52">
        <v>40296453.5675238</v>
      </c>
      <c r="G52">
        <v>31446341.186916444</v>
      </c>
      <c r="H52">
        <v>12279209.92334252</v>
      </c>
      <c r="I52">
        <v>23398984.292996008</v>
      </c>
      <c r="J52">
        <v>9464934.5330578517</v>
      </c>
      <c r="K52">
        <v>13088861.301294228</v>
      </c>
      <c r="L52">
        <v>15138237.221181115</v>
      </c>
      <c r="M52">
        <v>13461763.264555098</v>
      </c>
      <c r="N52">
        <f t="shared" si="0"/>
        <v>4.9659073235258915E-2</v>
      </c>
      <c r="O52">
        <v>51</v>
      </c>
      <c r="P52">
        <f t="shared" si="1"/>
        <v>4.9659073235258921E-2</v>
      </c>
      <c r="Q52">
        <v>4.9659073235258921E-2</v>
      </c>
    </row>
    <row r="53" spans="1:17" x14ac:dyDescent="0.45">
      <c r="A53" t="s">
        <v>286</v>
      </c>
      <c r="B53">
        <v>3569250.6651580012</v>
      </c>
      <c r="C53">
        <v>10005095.820280964</v>
      </c>
      <c r="D53">
        <v>4540386.1199725056</v>
      </c>
      <c r="E53">
        <v>6069836.3464043997</v>
      </c>
      <c r="F53">
        <v>8730268.9493060354</v>
      </c>
      <c r="G53">
        <v>9525240.5302830078</v>
      </c>
      <c r="H53">
        <v>3101943.5003642756</v>
      </c>
      <c r="I53">
        <v>6046160.94456675</v>
      </c>
      <c r="J53">
        <v>3115870.8006715407</v>
      </c>
      <c r="K53">
        <v>2810910.995533241</v>
      </c>
      <c r="L53">
        <v>5589613.4692706931</v>
      </c>
      <c r="M53">
        <v>5057045.3863182841</v>
      </c>
      <c r="N53">
        <f t="shared" si="0"/>
        <v>5.0959818191727187E-2</v>
      </c>
    </row>
    <row r="54" spans="1:17" x14ac:dyDescent="0.45">
      <c r="A54" t="s">
        <v>76</v>
      </c>
      <c r="B54">
        <v>139756906.78466645</v>
      </c>
      <c r="C54">
        <v>454253160.69731581</v>
      </c>
      <c r="D54">
        <v>168177068.65917718</v>
      </c>
      <c r="E54">
        <v>189671107.29573068</v>
      </c>
      <c r="F54">
        <v>275714101.36540306</v>
      </c>
      <c r="G54">
        <v>204798681.22868001</v>
      </c>
      <c r="H54">
        <v>161448542.61941004</v>
      </c>
      <c r="I54">
        <v>145780932.84585476</v>
      </c>
      <c r="J54">
        <v>89367561.790727958</v>
      </c>
      <c r="K54">
        <v>122218787.97381735</v>
      </c>
      <c r="L54">
        <v>159864179.10116866</v>
      </c>
      <c r="M54">
        <v>110167199.60132352</v>
      </c>
      <c r="N54">
        <f t="shared" si="0"/>
        <v>5.1168943499437736E-2</v>
      </c>
    </row>
    <row r="55" spans="1:17" x14ac:dyDescent="0.45">
      <c r="A55" t="s">
        <v>431</v>
      </c>
      <c r="B55">
        <v>39723418.463437289</v>
      </c>
      <c r="C55">
        <v>54211882.122204728</v>
      </c>
      <c r="D55">
        <v>42248214.574412122</v>
      </c>
      <c r="E55">
        <v>79370543.034309208</v>
      </c>
      <c r="F55">
        <v>66847582.715222724</v>
      </c>
      <c r="G55">
        <v>78059053.063219532</v>
      </c>
      <c r="H55">
        <v>35992244.583172269</v>
      </c>
      <c r="I55">
        <v>62168913.492147334</v>
      </c>
      <c r="J55">
        <v>34114888.435806811</v>
      </c>
      <c r="K55">
        <v>35476963.87070509</v>
      </c>
      <c r="L55">
        <v>45805369.222492591</v>
      </c>
      <c r="M55">
        <v>37276051.81350892</v>
      </c>
      <c r="N55">
        <f t="shared" si="0"/>
        <v>5.352531549234988E-2</v>
      </c>
    </row>
    <row r="56" spans="1:17" x14ac:dyDescent="0.45">
      <c r="A56" t="s">
        <v>263</v>
      </c>
      <c r="B56">
        <v>24868158.883506294</v>
      </c>
      <c r="C56">
        <v>51288942.000993863</v>
      </c>
      <c r="D56">
        <v>50066897.702028349</v>
      </c>
      <c r="E56">
        <v>37481526.402833492</v>
      </c>
      <c r="F56">
        <v>61975087.187067054</v>
      </c>
      <c r="G56">
        <v>127220022.7541399</v>
      </c>
      <c r="H56">
        <v>12488773.725032778</v>
      </c>
      <c r="I56">
        <v>43302126.258379824</v>
      </c>
      <c r="J56">
        <v>27494674.720712256</v>
      </c>
      <c r="K56">
        <v>15599433.926355751</v>
      </c>
      <c r="L56">
        <v>28878220.461741164</v>
      </c>
      <c r="M56">
        <v>28157535.608829167</v>
      </c>
      <c r="N56">
        <f t="shared" si="0"/>
        <v>5.7659692878990927E-2</v>
      </c>
    </row>
    <row r="57" spans="1:17" x14ac:dyDescent="0.45">
      <c r="A57" t="s">
        <v>283</v>
      </c>
      <c r="B57">
        <v>139908007.29985127</v>
      </c>
      <c r="C57">
        <v>87455234.699573651</v>
      </c>
      <c r="D57">
        <v>115025717.82760762</v>
      </c>
      <c r="E57">
        <v>63938810.103257902</v>
      </c>
      <c r="F57">
        <v>155973994.25503236</v>
      </c>
      <c r="G57">
        <v>301240904.04481691</v>
      </c>
      <c r="H57">
        <v>30659026.646659456</v>
      </c>
      <c r="I57">
        <v>138225388.75398692</v>
      </c>
      <c r="J57">
        <v>58421764.091826901</v>
      </c>
      <c r="K57">
        <v>40137831.508107498</v>
      </c>
      <c r="L57">
        <v>41519045.373249479</v>
      </c>
      <c r="M57">
        <v>70062868.547970101</v>
      </c>
      <c r="N57">
        <f t="shared" si="0"/>
        <v>5.8950400833217231E-2</v>
      </c>
    </row>
    <row r="58" spans="1:17" x14ac:dyDescent="0.45">
      <c r="A58" t="s">
        <v>80</v>
      </c>
      <c r="B58">
        <v>16717410.894283123</v>
      </c>
      <c r="C58">
        <v>44122547.785995767</v>
      </c>
      <c r="D58">
        <v>24358547.883245714</v>
      </c>
      <c r="E58">
        <v>32514694.918483865</v>
      </c>
      <c r="F58">
        <v>34670205.52596958</v>
      </c>
      <c r="G58">
        <v>41801399.765007749</v>
      </c>
      <c r="H58">
        <v>25353943.653751515</v>
      </c>
      <c r="I58">
        <v>23531092.462373603</v>
      </c>
      <c r="J58">
        <v>15600766.159531707</v>
      </c>
      <c r="K58">
        <v>23669953.139429059</v>
      </c>
      <c r="L58">
        <v>26919282.860925235</v>
      </c>
      <c r="M58">
        <v>21126680.299755096</v>
      </c>
      <c r="N58">
        <f t="shared" si="0"/>
        <v>5.9602569913293137E-2</v>
      </c>
    </row>
    <row r="59" spans="1:17" x14ac:dyDescent="0.45">
      <c r="A59" t="s">
        <v>250</v>
      </c>
      <c r="B59">
        <v>2735526.9645699156</v>
      </c>
      <c r="C59">
        <v>4809667.9671831252</v>
      </c>
      <c r="D59">
        <v>2926943.7801775369</v>
      </c>
      <c r="E59">
        <v>4156783.1221857155</v>
      </c>
      <c r="F59">
        <v>6228752.1230921885</v>
      </c>
      <c r="G59">
        <v>6966842.1459195735</v>
      </c>
      <c r="H59">
        <v>3063658.7784328563</v>
      </c>
      <c r="I59">
        <v>4465757.1814005952</v>
      </c>
      <c r="J59">
        <v>2563436.6930464325</v>
      </c>
      <c r="K59">
        <v>1908765.8351524514</v>
      </c>
      <c r="L59">
        <v>3122934.4600273157</v>
      </c>
      <c r="M59">
        <v>2741519.8595499997</v>
      </c>
      <c r="N59">
        <f t="shared" si="0"/>
        <v>5.9948790412329388E-2</v>
      </c>
    </row>
    <row r="60" spans="1:17" x14ac:dyDescent="0.45">
      <c r="A60" t="s">
        <v>330</v>
      </c>
      <c r="B60">
        <v>18128551.47656351</v>
      </c>
      <c r="C60">
        <v>37629470.158999033</v>
      </c>
      <c r="D60">
        <v>32337806.754479472</v>
      </c>
      <c r="E60">
        <v>36198684.381148428</v>
      </c>
      <c r="F60">
        <v>71683620.494077489</v>
      </c>
      <c r="G60">
        <v>66479214.810971014</v>
      </c>
      <c r="H60">
        <v>39916294.206727296</v>
      </c>
      <c r="I60">
        <v>26715829.62525259</v>
      </c>
      <c r="J60">
        <v>11966399.769489454</v>
      </c>
      <c r="K60">
        <v>14009451.981960554</v>
      </c>
      <c r="L60">
        <v>32708864.517850697</v>
      </c>
      <c r="M60">
        <v>13465733.280483235</v>
      </c>
      <c r="N60">
        <f t="shared" si="0"/>
        <v>6.1145083993860788E-2</v>
      </c>
    </row>
    <row r="61" spans="1:17" x14ac:dyDescent="0.45">
      <c r="A61" t="s">
        <v>356</v>
      </c>
      <c r="B61">
        <v>309917306.88729078</v>
      </c>
      <c r="C61">
        <v>186646593.98127279</v>
      </c>
      <c r="D61">
        <v>236248266.00519088</v>
      </c>
      <c r="E61">
        <v>139632078.61959252</v>
      </c>
      <c r="F61">
        <v>348507590.06092584</v>
      </c>
      <c r="G61">
        <v>621324168.03761888</v>
      </c>
      <c r="H61">
        <v>60639597.180516824</v>
      </c>
      <c r="I61">
        <v>297258668.17638028</v>
      </c>
      <c r="J61">
        <v>134781383.83342603</v>
      </c>
      <c r="K61">
        <v>101690283.37239574</v>
      </c>
      <c r="L61">
        <v>96828413.851714522</v>
      </c>
      <c r="M61">
        <v>170120780.9149093</v>
      </c>
      <c r="N61">
        <f t="shared" si="0"/>
        <v>6.29311678537436E-2</v>
      </c>
    </row>
    <row r="62" spans="1:17" x14ac:dyDescent="0.45">
      <c r="A62" t="s">
        <v>374</v>
      </c>
      <c r="B62">
        <v>47912520.745896831</v>
      </c>
      <c r="C62">
        <v>47561546.788012803</v>
      </c>
      <c r="D62">
        <v>29187078.648307819</v>
      </c>
      <c r="E62">
        <v>26943575.955209091</v>
      </c>
      <c r="F62">
        <v>50588787.662156031</v>
      </c>
      <c r="G62">
        <v>64106323.18400605</v>
      </c>
      <c r="H62">
        <v>12519839.244989116</v>
      </c>
      <c r="I62">
        <v>50360590.507374562</v>
      </c>
      <c r="J62">
        <v>25725525.053511493</v>
      </c>
      <c r="K62">
        <v>16509910.082335329</v>
      </c>
      <c r="L62">
        <v>33616502.337754361</v>
      </c>
      <c r="M62">
        <v>27965374.120393235</v>
      </c>
      <c r="N62">
        <f t="shared" si="0"/>
        <v>6.3164363239202367E-2</v>
      </c>
    </row>
    <row r="63" spans="1:17" x14ac:dyDescent="0.45">
      <c r="A63" t="s">
        <v>314</v>
      </c>
      <c r="B63">
        <v>12294272.726012232</v>
      </c>
      <c r="C63">
        <v>35561144.792950936</v>
      </c>
      <c r="D63">
        <v>17466942.053310953</v>
      </c>
      <c r="E63">
        <v>12942798.904120484</v>
      </c>
      <c r="F63">
        <v>60993983.466947258</v>
      </c>
      <c r="G63">
        <v>27763122.320548933</v>
      </c>
      <c r="H63">
        <v>15212675.136731198</v>
      </c>
      <c r="I63">
        <v>15036707.217895718</v>
      </c>
      <c r="J63">
        <v>7598655.0290418733</v>
      </c>
      <c r="K63">
        <v>5385436.4520003535</v>
      </c>
      <c r="L63">
        <v>15968574.298526155</v>
      </c>
      <c r="M63">
        <v>9992590.2866375986</v>
      </c>
      <c r="N63">
        <f t="shared" si="0"/>
        <v>6.3454185291575288E-2</v>
      </c>
    </row>
    <row r="64" spans="1:17" x14ac:dyDescent="0.45">
      <c r="A64" t="s">
        <v>42</v>
      </c>
      <c r="B64">
        <v>12556974.404165903</v>
      </c>
      <c r="C64">
        <v>24112235.417195134</v>
      </c>
      <c r="D64">
        <v>9137456.9663161393</v>
      </c>
      <c r="E64">
        <v>17284220.616079088</v>
      </c>
      <c r="F64">
        <v>20649399.220544677</v>
      </c>
      <c r="G64">
        <v>15310779.574137831</v>
      </c>
      <c r="H64">
        <v>8638764.4451318495</v>
      </c>
      <c r="I64">
        <v>12659532.663771791</v>
      </c>
      <c r="J64">
        <v>9936417.592125522</v>
      </c>
      <c r="K64">
        <v>12049937.364009179</v>
      </c>
      <c r="L64">
        <v>14561094.713127103</v>
      </c>
      <c r="M64">
        <v>11600893.15136358</v>
      </c>
      <c r="N64">
        <f t="shared" si="0"/>
        <v>6.4038387652245163E-2</v>
      </c>
    </row>
    <row r="65" spans="1:14" x14ac:dyDescent="0.45">
      <c r="A65" t="s">
        <v>60</v>
      </c>
      <c r="B65">
        <v>269982.15311894205</v>
      </c>
      <c r="C65">
        <v>1595321.9527867574</v>
      </c>
      <c r="D65">
        <v>719739.43275929277</v>
      </c>
      <c r="E65">
        <v>1335061.0821775191</v>
      </c>
      <c r="F65">
        <v>2852293.1582323415</v>
      </c>
      <c r="G65">
        <v>2855849.1930048754</v>
      </c>
      <c r="H65">
        <v>320868.74141003721</v>
      </c>
      <c r="I65">
        <v>851044.8866853331</v>
      </c>
      <c r="J65">
        <v>636367.18285440479</v>
      </c>
      <c r="K65">
        <v>352520.74750467786</v>
      </c>
      <c r="L65">
        <v>1007452.450798636</v>
      </c>
      <c r="M65">
        <v>827331.9626259068</v>
      </c>
      <c r="N65">
        <f t="shared" si="0"/>
        <v>6.4992234478439409E-2</v>
      </c>
    </row>
    <row r="66" spans="1:14" x14ac:dyDescent="0.45">
      <c r="A66" t="s">
        <v>368</v>
      </c>
      <c r="B66">
        <v>4885762.7908451948</v>
      </c>
      <c r="C66">
        <v>29283285.118789304</v>
      </c>
      <c r="D66">
        <v>15452792.106557235</v>
      </c>
      <c r="E66">
        <v>15149714.3303743</v>
      </c>
      <c r="F66">
        <v>26848762.788069937</v>
      </c>
      <c r="G66">
        <v>18221342.55969112</v>
      </c>
      <c r="H66">
        <v>9540016.1055679191</v>
      </c>
      <c r="I66">
        <v>12551169.629173903</v>
      </c>
      <c r="J66">
        <v>3728735.0239238627</v>
      </c>
      <c r="K66">
        <v>11088051.924554389</v>
      </c>
      <c r="L66">
        <v>13884452.460289806</v>
      </c>
      <c r="M66">
        <v>11256892.715536322</v>
      </c>
      <c r="N66">
        <f t="shared" ref="N66:N129" si="2">TTEST(B66:G66,H66:M66,2,2)</f>
        <v>6.8011596460086046E-2</v>
      </c>
    </row>
    <row r="67" spans="1:14" x14ac:dyDescent="0.45">
      <c r="A67" t="s">
        <v>418</v>
      </c>
      <c r="B67">
        <v>10070249.254034948</v>
      </c>
      <c r="C67">
        <v>7258773.8586295396</v>
      </c>
      <c r="D67">
        <v>5287265.0993212042</v>
      </c>
      <c r="E67">
        <v>4019407.2709067874</v>
      </c>
      <c r="F67">
        <v>7072410.6571200294</v>
      </c>
      <c r="G67">
        <v>9829054.4200796112</v>
      </c>
      <c r="H67">
        <v>1699467.1247099848</v>
      </c>
      <c r="I67">
        <v>8112718.6459993152</v>
      </c>
      <c r="J67">
        <v>4515488.7430371093</v>
      </c>
      <c r="K67">
        <v>2908628.9199466854</v>
      </c>
      <c r="L67">
        <v>5371207.0508431913</v>
      </c>
      <c r="M67">
        <v>4626787.3816128084</v>
      </c>
      <c r="N67">
        <f t="shared" si="2"/>
        <v>6.8422360526014511E-2</v>
      </c>
    </row>
    <row r="68" spans="1:14" x14ac:dyDescent="0.45">
      <c r="A68" t="s">
        <v>358</v>
      </c>
      <c r="B68">
        <v>50560708.717010491</v>
      </c>
      <c r="C68">
        <v>136496973.61933243</v>
      </c>
      <c r="D68">
        <v>61108806.421552636</v>
      </c>
      <c r="E68">
        <v>88753921.178292528</v>
      </c>
      <c r="F68">
        <v>104966194.31105736</v>
      </c>
      <c r="G68">
        <v>119890734.40241139</v>
      </c>
      <c r="H68">
        <v>40824164.046261773</v>
      </c>
      <c r="I68">
        <v>81178561.270157024</v>
      </c>
      <c r="J68">
        <v>44986393.061303206</v>
      </c>
      <c r="K68">
        <v>44413277.623581067</v>
      </c>
      <c r="L68">
        <v>79854631.716166377</v>
      </c>
      <c r="M68">
        <v>77706596.602607355</v>
      </c>
      <c r="N68">
        <f t="shared" si="2"/>
        <v>7.0639770151858308E-2</v>
      </c>
    </row>
    <row r="69" spans="1:14" x14ac:dyDescent="0.45">
      <c r="A69" t="s">
        <v>54</v>
      </c>
      <c r="B69">
        <v>14853415.671569854</v>
      </c>
      <c r="C69">
        <v>24212110.030838303</v>
      </c>
      <c r="D69">
        <v>17910845.65160064</v>
      </c>
      <c r="E69">
        <v>24401361.526029345</v>
      </c>
      <c r="F69">
        <v>23738546.206377789</v>
      </c>
      <c r="G69">
        <v>24226306.835675385</v>
      </c>
      <c r="H69">
        <v>5963250.6433773665</v>
      </c>
      <c r="I69">
        <v>19464137.139461901</v>
      </c>
      <c r="J69">
        <v>14512351.621034669</v>
      </c>
      <c r="K69">
        <v>17359190.761777185</v>
      </c>
      <c r="L69">
        <v>21483518.886339054</v>
      </c>
      <c r="M69">
        <v>16861889.365243088</v>
      </c>
      <c r="N69">
        <f t="shared" si="2"/>
        <v>7.1459652762144166E-2</v>
      </c>
    </row>
    <row r="70" spans="1:14" x14ac:dyDescent="0.45">
      <c r="A70" t="s">
        <v>195</v>
      </c>
      <c r="B70">
        <v>616073409.02816617</v>
      </c>
      <c r="C70">
        <v>360207989.34952998</v>
      </c>
      <c r="D70">
        <v>490239926.04309821</v>
      </c>
      <c r="E70">
        <v>253970877.23684916</v>
      </c>
      <c r="F70">
        <v>661783474.5922972</v>
      </c>
      <c r="G70">
        <v>1301631426.7630787</v>
      </c>
      <c r="H70">
        <v>133363079.78788663</v>
      </c>
      <c r="I70">
        <v>624670661.38234603</v>
      </c>
      <c r="J70">
        <v>261451985.13999394</v>
      </c>
      <c r="K70">
        <v>169025952.48692551</v>
      </c>
      <c r="L70">
        <v>168639673.6622287</v>
      </c>
      <c r="M70">
        <v>301690149.11210245</v>
      </c>
      <c r="N70">
        <f t="shared" si="2"/>
        <v>7.2797933687964625E-2</v>
      </c>
    </row>
    <row r="71" spans="1:14" x14ac:dyDescent="0.45">
      <c r="A71" t="s">
        <v>344</v>
      </c>
      <c r="B71">
        <v>9594578.0735570788</v>
      </c>
      <c r="C71">
        <v>13573407.372605925</v>
      </c>
      <c r="D71">
        <v>12811936.096219167</v>
      </c>
      <c r="E71">
        <v>7447058.3197254194</v>
      </c>
      <c r="F71">
        <v>9957888.6904169414</v>
      </c>
      <c r="G71">
        <v>14996424.031026924</v>
      </c>
      <c r="H71">
        <v>11365883.196549147</v>
      </c>
      <c r="I71">
        <v>12304337.216401493</v>
      </c>
      <c r="J71">
        <v>6113404.4891127562</v>
      </c>
      <c r="K71">
        <v>5251699.5596455634</v>
      </c>
      <c r="L71">
        <v>4454708.3319912767</v>
      </c>
      <c r="M71">
        <v>7801470.4252263233</v>
      </c>
      <c r="N71">
        <f t="shared" si="2"/>
        <v>7.5299813085876063E-2</v>
      </c>
    </row>
    <row r="72" spans="1:14" x14ac:dyDescent="0.45">
      <c r="A72" t="s">
        <v>243</v>
      </c>
      <c r="B72">
        <v>17611342.326021455</v>
      </c>
      <c r="C72">
        <v>55448687.52146133</v>
      </c>
      <c r="D72">
        <v>24550969.256748892</v>
      </c>
      <c r="E72">
        <v>34401564.087494731</v>
      </c>
      <c r="F72">
        <v>38778916.059771486</v>
      </c>
      <c r="G72">
        <v>33203568.678684056</v>
      </c>
      <c r="H72">
        <v>18326100.369255047</v>
      </c>
      <c r="I72">
        <v>15467621.073899638</v>
      </c>
      <c r="J72">
        <v>10907145.62711738</v>
      </c>
      <c r="K72">
        <v>25823882.523874935</v>
      </c>
      <c r="L72">
        <v>34465779.99770648</v>
      </c>
      <c r="M72">
        <v>24126554.794650979</v>
      </c>
      <c r="N72">
        <f t="shared" si="2"/>
        <v>7.6097700599608062E-2</v>
      </c>
    </row>
    <row r="73" spans="1:14" x14ac:dyDescent="0.45">
      <c r="A73" t="s">
        <v>235</v>
      </c>
      <c r="B73">
        <v>48015047.721424103</v>
      </c>
      <c r="C73">
        <v>88898352.717044756</v>
      </c>
      <c r="D73">
        <v>60710784.479936607</v>
      </c>
      <c r="E73">
        <v>39644090.821134612</v>
      </c>
      <c r="F73">
        <v>34874153.476436809</v>
      </c>
      <c r="G73">
        <v>67696491.541665003</v>
      </c>
      <c r="H73">
        <v>23047577.134090815</v>
      </c>
      <c r="I73">
        <v>69000380.901601374</v>
      </c>
      <c r="J73">
        <v>37293817.36903692</v>
      </c>
      <c r="K73">
        <v>26041107.183613848</v>
      </c>
      <c r="L73">
        <v>16939493.8866501</v>
      </c>
      <c r="M73">
        <v>35829878.807304464</v>
      </c>
      <c r="N73">
        <f t="shared" si="2"/>
        <v>7.7262217191435612E-2</v>
      </c>
    </row>
    <row r="74" spans="1:14" x14ac:dyDescent="0.45">
      <c r="A74" t="s">
        <v>175</v>
      </c>
      <c r="B74">
        <v>6636169.2281363392</v>
      </c>
      <c r="C74">
        <v>107832735.7918445</v>
      </c>
      <c r="D74">
        <v>27995778.850052919</v>
      </c>
      <c r="E74">
        <v>35503421.313955292</v>
      </c>
      <c r="F74">
        <v>41903735.132817894</v>
      </c>
      <c r="G74">
        <v>1827775.1156005119</v>
      </c>
      <c r="H74">
        <v>5715917.4134437768</v>
      </c>
      <c r="I74">
        <v>906113.27460129117</v>
      </c>
      <c r="J74">
        <v>4635135.854471528</v>
      </c>
      <c r="K74">
        <v>5710087.3388159228</v>
      </c>
      <c r="L74">
        <v>9092869.9292124324</v>
      </c>
      <c r="M74">
        <v>11106691.737185931</v>
      </c>
      <c r="N74">
        <f t="shared" si="2"/>
        <v>7.7750722363108662E-2</v>
      </c>
    </row>
    <row r="75" spans="1:14" x14ac:dyDescent="0.45">
      <c r="A75" t="s">
        <v>51</v>
      </c>
      <c r="B75">
        <v>151988371.52224493</v>
      </c>
      <c r="C75">
        <v>449541557.66810924</v>
      </c>
      <c r="D75">
        <v>223378497.1583178</v>
      </c>
      <c r="E75">
        <v>291334306.51016796</v>
      </c>
      <c r="F75">
        <v>366258124.90429211</v>
      </c>
      <c r="G75">
        <v>354744003.7856828</v>
      </c>
      <c r="H75">
        <v>231424850.94778812</v>
      </c>
      <c r="I75">
        <v>216358651.45673203</v>
      </c>
      <c r="J75">
        <v>155825186.55540636</v>
      </c>
      <c r="K75">
        <v>209704893.76948604</v>
      </c>
      <c r="L75">
        <v>259540503.95949137</v>
      </c>
      <c r="M75">
        <v>225585667.30097744</v>
      </c>
      <c r="N75">
        <f t="shared" si="2"/>
        <v>7.9007613281519992E-2</v>
      </c>
    </row>
    <row r="76" spans="1:14" x14ac:dyDescent="0.45">
      <c r="A76" t="s">
        <v>322</v>
      </c>
      <c r="B76">
        <v>134327047.31948081</v>
      </c>
      <c r="C76">
        <v>93872903.867714152</v>
      </c>
      <c r="D76">
        <v>88349276.142795876</v>
      </c>
      <c r="E76">
        <v>33561364.916296646</v>
      </c>
      <c r="F76">
        <v>99237941.360360846</v>
      </c>
      <c r="G76">
        <v>165092869.35284436</v>
      </c>
      <c r="H76">
        <v>40453144.970567487</v>
      </c>
      <c r="I76">
        <v>117084162.39100678</v>
      </c>
      <c r="J76">
        <v>42183773.23517786</v>
      </c>
      <c r="K76">
        <v>41134869.370861322</v>
      </c>
      <c r="L76">
        <v>56653054.800000072</v>
      </c>
      <c r="M76">
        <v>61002272.275338233</v>
      </c>
      <c r="N76">
        <f t="shared" si="2"/>
        <v>7.9207749732780774E-2</v>
      </c>
    </row>
    <row r="77" spans="1:14" x14ac:dyDescent="0.45">
      <c r="A77" t="s">
        <v>369</v>
      </c>
      <c r="B77">
        <v>29720451.902702004</v>
      </c>
      <c r="C77">
        <v>142351292.26216415</v>
      </c>
      <c r="D77">
        <v>30049530.249167442</v>
      </c>
      <c r="E77">
        <v>224601072.12178701</v>
      </c>
      <c r="F77">
        <v>432390018.02041161</v>
      </c>
      <c r="G77">
        <v>518551055.84337997</v>
      </c>
      <c r="H77">
        <v>137561712.11691049</v>
      </c>
      <c r="I77">
        <v>79910116.356541365</v>
      </c>
      <c r="J77">
        <v>16895061.032383043</v>
      </c>
      <c r="K77">
        <v>30642268.555001944</v>
      </c>
      <c r="L77">
        <v>78953678.913085297</v>
      </c>
      <c r="M77">
        <v>25003859.776107796</v>
      </c>
      <c r="N77">
        <f t="shared" si="2"/>
        <v>7.9601626005471271E-2</v>
      </c>
    </row>
    <row r="78" spans="1:14" x14ac:dyDescent="0.45">
      <c r="A78" t="s">
        <v>89</v>
      </c>
      <c r="B78">
        <v>2337672.940603517</v>
      </c>
      <c r="C78">
        <v>6757679.6357752075</v>
      </c>
      <c r="D78">
        <v>3299206.5575121306</v>
      </c>
      <c r="E78">
        <v>3788068.6991585731</v>
      </c>
      <c r="F78">
        <v>3530481.5484163505</v>
      </c>
      <c r="G78">
        <v>6461979.6967969434</v>
      </c>
      <c r="H78">
        <v>1228417.5718836037</v>
      </c>
      <c r="I78">
        <v>1683882.4418823074</v>
      </c>
      <c r="J78">
        <v>814999.55304581416</v>
      </c>
      <c r="K78">
        <v>3870739.0145235909</v>
      </c>
      <c r="L78">
        <v>4510763.0450501218</v>
      </c>
      <c r="M78">
        <v>2858524.3145323722</v>
      </c>
      <c r="N78">
        <f t="shared" si="2"/>
        <v>7.9941679134015245E-2</v>
      </c>
    </row>
    <row r="79" spans="1:14" x14ac:dyDescent="0.45">
      <c r="A79" t="s">
        <v>171</v>
      </c>
      <c r="B79">
        <v>1939248.7530085428</v>
      </c>
      <c r="C79">
        <v>8371611.5680091744</v>
      </c>
      <c r="D79">
        <v>8803787.9000805337</v>
      </c>
      <c r="E79">
        <v>3599514.3953207838</v>
      </c>
      <c r="F79">
        <v>355812.15416656964</v>
      </c>
      <c r="G79">
        <v>5013460.1376326447</v>
      </c>
      <c r="H79">
        <v>186752.45493294921</v>
      </c>
      <c r="I79">
        <v>3649493.9006574773</v>
      </c>
      <c r="J79">
        <v>128720.8939068563</v>
      </c>
      <c r="K79">
        <v>183930.53101186824</v>
      </c>
      <c r="L79">
        <v>281970.20502870448</v>
      </c>
      <c r="M79">
        <v>4655002.509929372</v>
      </c>
      <c r="N79">
        <f t="shared" si="2"/>
        <v>8.043628378791419E-2</v>
      </c>
    </row>
    <row r="80" spans="1:14" x14ac:dyDescent="0.45">
      <c r="A80" t="s">
        <v>383</v>
      </c>
      <c r="B80">
        <v>1687851.8823064701</v>
      </c>
      <c r="C80">
        <v>3330831.5665030172</v>
      </c>
      <c r="D80">
        <v>2791600.7419696166</v>
      </c>
      <c r="E80">
        <v>3596968.9695074614</v>
      </c>
      <c r="F80">
        <v>5533797.6502321456</v>
      </c>
      <c r="G80">
        <v>4871853.6803203356</v>
      </c>
      <c r="H80">
        <v>1766172.8041628683</v>
      </c>
      <c r="I80">
        <v>2995662.3293612865</v>
      </c>
      <c r="J80">
        <v>1718881.7077291734</v>
      </c>
      <c r="K80">
        <v>1867388.5196641451</v>
      </c>
      <c r="L80">
        <v>3713732.9665201507</v>
      </c>
      <c r="M80">
        <v>2233793.9227229315</v>
      </c>
      <c r="N80">
        <f t="shared" si="2"/>
        <v>8.6030682284950338E-2</v>
      </c>
    </row>
    <row r="81" spans="1:14" x14ac:dyDescent="0.45">
      <c r="A81" t="s">
        <v>144</v>
      </c>
      <c r="B81">
        <v>12852944.143514778</v>
      </c>
      <c r="C81">
        <v>23519206.699014205</v>
      </c>
      <c r="D81">
        <v>13886647.939850049</v>
      </c>
      <c r="E81">
        <v>16405237.273928931</v>
      </c>
      <c r="F81">
        <v>24393275.153832</v>
      </c>
      <c r="G81">
        <v>22384884.788373072</v>
      </c>
      <c r="H81">
        <v>13436203.04955278</v>
      </c>
      <c r="I81">
        <v>19413769.486084584</v>
      </c>
      <c r="J81">
        <v>9925419.5363810677</v>
      </c>
      <c r="K81">
        <v>11857440.59428744</v>
      </c>
      <c r="L81">
        <v>15579390.647551512</v>
      </c>
      <c r="M81">
        <v>14858050.256187694</v>
      </c>
      <c r="N81">
        <f t="shared" si="2"/>
        <v>8.6346735318781023E-2</v>
      </c>
    </row>
    <row r="82" spans="1:14" x14ac:dyDescent="0.45">
      <c r="A82" t="s">
        <v>249</v>
      </c>
      <c r="B82">
        <v>6373517.8184112823</v>
      </c>
      <c r="C82">
        <v>15228744.48458761</v>
      </c>
      <c r="D82">
        <v>9745728.4277502485</v>
      </c>
      <c r="E82">
        <v>13179700.491918085</v>
      </c>
      <c r="F82">
        <v>22408228.354086813</v>
      </c>
      <c r="G82">
        <v>18720002.507436611</v>
      </c>
      <c r="H82">
        <v>9442303.6122912169</v>
      </c>
      <c r="I82">
        <v>13138457.045687186</v>
      </c>
      <c r="J82">
        <v>10524505.032492746</v>
      </c>
      <c r="K82">
        <v>5230145.5288833054</v>
      </c>
      <c r="L82">
        <v>9587668.5186674073</v>
      </c>
      <c r="M82">
        <v>7938157.9766302947</v>
      </c>
      <c r="N82">
        <f t="shared" si="2"/>
        <v>8.7149617882914254E-2</v>
      </c>
    </row>
    <row r="83" spans="1:14" x14ac:dyDescent="0.45">
      <c r="A83" t="s">
        <v>93</v>
      </c>
      <c r="B83">
        <v>666280162.63122845</v>
      </c>
      <c r="C83">
        <v>3052114967.9784875</v>
      </c>
      <c r="D83">
        <v>1260169383.7994072</v>
      </c>
      <c r="E83">
        <v>1492520783.1573939</v>
      </c>
      <c r="F83">
        <v>1634131412.593771</v>
      </c>
      <c r="G83">
        <v>1089470063.6976333</v>
      </c>
      <c r="H83">
        <v>1058345674.8347493</v>
      </c>
      <c r="I83">
        <v>822649011.66985083</v>
      </c>
      <c r="J83">
        <v>670266076.7383548</v>
      </c>
      <c r="K83">
        <v>877225168.17370868</v>
      </c>
      <c r="L83">
        <v>986148059.36041212</v>
      </c>
      <c r="M83">
        <v>936189451.93096566</v>
      </c>
      <c r="N83">
        <f t="shared" si="2"/>
        <v>8.7572601700608516E-2</v>
      </c>
    </row>
    <row r="84" spans="1:14" x14ac:dyDescent="0.45">
      <c r="A84" t="s">
        <v>88</v>
      </c>
      <c r="B84">
        <v>2504541.1071058316</v>
      </c>
      <c r="C84">
        <v>6673039.5310940351</v>
      </c>
      <c r="D84">
        <v>2976778.3724274416</v>
      </c>
      <c r="E84">
        <v>4621853.7608391726</v>
      </c>
      <c r="F84">
        <v>15295540.613333017</v>
      </c>
      <c r="G84">
        <v>5924281.044833757</v>
      </c>
      <c r="H84">
        <v>33650636.58207456</v>
      </c>
      <c r="I84">
        <v>39482345.79526379</v>
      </c>
      <c r="J84">
        <v>24783938.835930817</v>
      </c>
      <c r="K84">
        <v>8229847.1344027789</v>
      </c>
      <c r="L84">
        <v>3945308.4717568979</v>
      </c>
      <c r="M84">
        <v>3894833.590424059</v>
      </c>
      <c r="N84">
        <f t="shared" si="2"/>
        <v>8.8136276461291477E-2</v>
      </c>
    </row>
    <row r="85" spans="1:14" x14ac:dyDescent="0.45">
      <c r="A85" t="s">
        <v>132</v>
      </c>
      <c r="B85">
        <v>826088.19892214763</v>
      </c>
      <c r="C85">
        <v>8773602.6822259277</v>
      </c>
      <c r="D85">
        <v>1723023.384344839</v>
      </c>
      <c r="E85">
        <v>2910995.7034353702</v>
      </c>
      <c r="F85">
        <v>1876909.6847382875</v>
      </c>
      <c r="G85">
        <v>1084998.9366231491</v>
      </c>
      <c r="H85">
        <v>7936745.7127984837</v>
      </c>
      <c r="I85">
        <v>3754730.5102907876</v>
      </c>
      <c r="J85">
        <v>6272216.2364659524</v>
      </c>
      <c r="K85">
        <v>5252545.5769110592</v>
      </c>
      <c r="L85">
        <v>5125339.1602808069</v>
      </c>
      <c r="M85">
        <v>4192037.6403011666</v>
      </c>
      <c r="N85">
        <f t="shared" si="2"/>
        <v>9.07916414269751E-2</v>
      </c>
    </row>
    <row r="86" spans="1:14" x14ac:dyDescent="0.45">
      <c r="A86" t="s">
        <v>320</v>
      </c>
      <c r="B86">
        <v>12758950.608438991</v>
      </c>
      <c r="C86">
        <v>64978894.717901148</v>
      </c>
      <c r="D86">
        <v>18683203.684508562</v>
      </c>
      <c r="E86">
        <v>46446517.40506456</v>
      </c>
      <c r="F86">
        <v>49802071.405871049</v>
      </c>
      <c r="G86">
        <v>47142366.215195417</v>
      </c>
      <c r="H86">
        <v>21927338.620736651</v>
      </c>
      <c r="I86">
        <v>26592922.085870963</v>
      </c>
      <c r="J86">
        <v>15225866.92998603</v>
      </c>
      <c r="K86">
        <v>23859275.020358276</v>
      </c>
      <c r="L86">
        <v>32231518.7280019</v>
      </c>
      <c r="M86">
        <v>25434629.842986617</v>
      </c>
      <c r="N86">
        <f t="shared" si="2"/>
        <v>9.3414773661092909E-2</v>
      </c>
    </row>
    <row r="87" spans="1:14" x14ac:dyDescent="0.45">
      <c r="A87" t="s">
        <v>39</v>
      </c>
      <c r="B87">
        <v>34535255.143131435</v>
      </c>
      <c r="C87">
        <v>40057826.068609826</v>
      </c>
      <c r="D87">
        <v>19214103.603270512</v>
      </c>
      <c r="E87">
        <v>18097679.152390298</v>
      </c>
      <c r="F87">
        <v>25340312.057636172</v>
      </c>
      <c r="G87">
        <v>35224219.457599021</v>
      </c>
      <c r="H87">
        <v>13382168.372173823</v>
      </c>
      <c r="I87">
        <v>24087254.430651326</v>
      </c>
      <c r="J87">
        <v>10635883.73433955</v>
      </c>
      <c r="K87">
        <v>23772140.519640759</v>
      </c>
      <c r="L87">
        <v>25814245.135416277</v>
      </c>
      <c r="M87">
        <v>23836685.031414609</v>
      </c>
      <c r="N87">
        <f t="shared" si="2"/>
        <v>9.3591611283238105E-2</v>
      </c>
    </row>
    <row r="88" spans="1:14" x14ac:dyDescent="0.45">
      <c r="A88" t="s">
        <v>155</v>
      </c>
      <c r="B88">
        <v>33152925.027875494</v>
      </c>
      <c r="C88">
        <v>191064806.30765927</v>
      </c>
      <c r="D88">
        <v>67447479.664069012</v>
      </c>
      <c r="E88">
        <v>65828867.934653044</v>
      </c>
      <c r="F88">
        <v>121267062.18782797</v>
      </c>
      <c r="G88">
        <v>89767423.711679891</v>
      </c>
      <c r="H88">
        <v>51841579.375385903</v>
      </c>
      <c r="I88">
        <v>65459393.68500565</v>
      </c>
      <c r="J88">
        <v>29862507.730768394</v>
      </c>
      <c r="K88">
        <v>48863940.211360343</v>
      </c>
      <c r="L88">
        <v>67866726.82943894</v>
      </c>
      <c r="M88">
        <v>45365189.317894854</v>
      </c>
      <c r="N88">
        <f t="shared" si="2"/>
        <v>9.3948218675080797E-2</v>
      </c>
    </row>
    <row r="89" spans="1:14" x14ac:dyDescent="0.45">
      <c r="A89" t="s">
        <v>133</v>
      </c>
      <c r="B89">
        <v>4475782.1138700685</v>
      </c>
      <c r="C89">
        <v>39458731.540504925</v>
      </c>
      <c r="D89">
        <v>8690630.7989086807</v>
      </c>
      <c r="E89">
        <v>13970599.219390798</v>
      </c>
      <c r="F89">
        <v>9629493.6932148896</v>
      </c>
      <c r="G89">
        <v>5422030.5119913844</v>
      </c>
      <c r="H89">
        <v>34413661.05231338</v>
      </c>
      <c r="I89">
        <v>17442541.582184646</v>
      </c>
      <c r="J89">
        <v>28835400.751163151</v>
      </c>
      <c r="K89">
        <v>25017727.674059588</v>
      </c>
      <c r="L89">
        <v>21838779.953444406</v>
      </c>
      <c r="M89">
        <v>19905975.115981665</v>
      </c>
      <c r="N89">
        <f t="shared" si="2"/>
        <v>9.4002496589874737E-2</v>
      </c>
    </row>
    <row r="90" spans="1:14" x14ac:dyDescent="0.45">
      <c r="A90" t="s">
        <v>87</v>
      </c>
      <c r="B90">
        <v>233563528.73468104</v>
      </c>
      <c r="C90">
        <v>844497969.82802153</v>
      </c>
      <c r="D90">
        <v>418240733.69008023</v>
      </c>
      <c r="E90">
        <v>555598012.99631155</v>
      </c>
      <c r="F90">
        <v>620381607.67740667</v>
      </c>
      <c r="G90">
        <v>430062193.76477194</v>
      </c>
      <c r="H90">
        <v>366117551.72665173</v>
      </c>
      <c r="I90">
        <v>324493420.09485996</v>
      </c>
      <c r="J90">
        <v>241911853.92904884</v>
      </c>
      <c r="K90">
        <v>315213578.75619304</v>
      </c>
      <c r="L90">
        <v>491761939.82125115</v>
      </c>
      <c r="M90">
        <v>352005058.07393771</v>
      </c>
      <c r="N90">
        <f t="shared" si="2"/>
        <v>9.5292894844952597E-2</v>
      </c>
    </row>
    <row r="91" spans="1:14" x14ac:dyDescent="0.45">
      <c r="A91" t="s">
        <v>70</v>
      </c>
      <c r="B91">
        <v>728020.66775537445</v>
      </c>
      <c r="C91">
        <v>1929147.1857020743</v>
      </c>
      <c r="D91">
        <v>545580.42953445367</v>
      </c>
      <c r="E91">
        <v>1277110.0381101563</v>
      </c>
      <c r="F91">
        <v>3504413.010046511</v>
      </c>
      <c r="G91">
        <v>2294973.1690174267</v>
      </c>
      <c r="H91">
        <v>631305.22899564693</v>
      </c>
      <c r="I91">
        <v>1279647.8780513636</v>
      </c>
      <c r="J91">
        <v>716777.00653860066</v>
      </c>
      <c r="K91">
        <v>662597.04712185892</v>
      </c>
      <c r="L91">
        <v>955514.02247947128</v>
      </c>
      <c r="M91">
        <v>923177.7668229558</v>
      </c>
      <c r="N91">
        <f t="shared" si="2"/>
        <v>9.5392473166093353E-2</v>
      </c>
    </row>
    <row r="92" spans="1:14" x14ac:dyDescent="0.45">
      <c r="A92" t="s">
        <v>424</v>
      </c>
      <c r="B92">
        <v>1367442.7407151414</v>
      </c>
      <c r="C92">
        <v>6910497.4342362257</v>
      </c>
      <c r="D92">
        <v>2654433.7715494237</v>
      </c>
      <c r="E92">
        <v>2346803.0968516325</v>
      </c>
      <c r="F92">
        <v>4126485.6245804266</v>
      </c>
      <c r="G92">
        <v>4558080.4092389932</v>
      </c>
      <c r="H92">
        <v>2006583.9582364305</v>
      </c>
      <c r="I92">
        <v>2062774.8397343669</v>
      </c>
      <c r="J92">
        <v>2022060.8464296097</v>
      </c>
      <c r="K92">
        <v>1489580.2107664836</v>
      </c>
      <c r="L92">
        <v>2610706.9881128282</v>
      </c>
      <c r="M92">
        <v>2639429.9880900001</v>
      </c>
      <c r="N92">
        <f t="shared" si="2"/>
        <v>9.5485196982466491E-2</v>
      </c>
    </row>
    <row r="93" spans="1:14" x14ac:dyDescent="0.45">
      <c r="A93" t="s">
        <v>378</v>
      </c>
      <c r="B93">
        <v>144757848.28667337</v>
      </c>
      <c r="C93">
        <v>866858584.03602922</v>
      </c>
      <c r="D93">
        <v>339361678.7240929</v>
      </c>
      <c r="E93">
        <v>529597259.20830196</v>
      </c>
      <c r="F93">
        <v>473961809.03888673</v>
      </c>
      <c r="G93">
        <v>391626467.20296168</v>
      </c>
      <c r="H93">
        <v>221030013.54776561</v>
      </c>
      <c r="I93">
        <v>192922538.96215492</v>
      </c>
      <c r="J93">
        <v>259247730.74678531</v>
      </c>
      <c r="K93">
        <v>257035708.58753845</v>
      </c>
      <c r="L93">
        <v>453681022.44124222</v>
      </c>
      <c r="M93">
        <v>198067515.92197746</v>
      </c>
      <c r="N93">
        <f t="shared" si="2"/>
        <v>9.6825818799276792E-2</v>
      </c>
    </row>
    <row r="94" spans="1:14" x14ac:dyDescent="0.45">
      <c r="A94" t="s">
        <v>264</v>
      </c>
      <c r="B94">
        <v>2992581.0045241695</v>
      </c>
      <c r="C94">
        <v>13456219.747448388</v>
      </c>
      <c r="D94">
        <v>6538374.9423598647</v>
      </c>
      <c r="E94">
        <v>7585425.5810292112</v>
      </c>
      <c r="F94">
        <v>10534902.629035965</v>
      </c>
      <c r="G94">
        <v>26637388.525190983</v>
      </c>
      <c r="H94">
        <v>733353.01911412692</v>
      </c>
      <c r="I94">
        <v>7355646.4905643556</v>
      </c>
      <c r="J94">
        <v>3012401.1844518133</v>
      </c>
      <c r="K94">
        <v>3602372.4144636011</v>
      </c>
      <c r="L94">
        <v>6496756.6558088344</v>
      </c>
      <c r="M94">
        <v>7503593.0948098032</v>
      </c>
      <c r="N94">
        <f t="shared" si="2"/>
        <v>9.8924715139740618E-2</v>
      </c>
    </row>
    <row r="95" spans="1:14" x14ac:dyDescent="0.45">
      <c r="A95" t="s">
        <v>145</v>
      </c>
      <c r="B95">
        <v>45862081.326954424</v>
      </c>
      <c r="C95">
        <v>173182008.29341316</v>
      </c>
      <c r="D95">
        <v>75635599.938126564</v>
      </c>
      <c r="E95">
        <v>44674683.492151335</v>
      </c>
      <c r="F95">
        <v>133557560.70740218</v>
      </c>
      <c r="G95">
        <v>91041952.87584962</v>
      </c>
      <c r="H95">
        <v>55311503.716798209</v>
      </c>
      <c r="I95">
        <v>73691920.41632919</v>
      </c>
      <c r="J95">
        <v>34171194.57626754</v>
      </c>
      <c r="K95">
        <v>40968889.78722547</v>
      </c>
      <c r="L95">
        <v>86066961.5777255</v>
      </c>
      <c r="M95">
        <v>28877817.646953482</v>
      </c>
      <c r="N95">
        <f t="shared" si="2"/>
        <v>0.10318777884163062</v>
      </c>
    </row>
    <row r="96" spans="1:14" x14ac:dyDescent="0.45">
      <c r="A96" t="s">
        <v>127</v>
      </c>
      <c r="B96">
        <v>107869718.60464856</v>
      </c>
      <c r="C96">
        <v>35798655.240615532</v>
      </c>
      <c r="D96">
        <v>94633000.241195366</v>
      </c>
      <c r="E96">
        <v>30616938.613399573</v>
      </c>
      <c r="F96">
        <v>129342793.24061295</v>
      </c>
      <c r="G96">
        <v>186797850.97163811</v>
      </c>
      <c r="H96">
        <v>41698022.564157896</v>
      </c>
      <c r="I96">
        <v>112324025.99996686</v>
      </c>
      <c r="J96">
        <v>43854619.694053404</v>
      </c>
      <c r="K96">
        <v>22606100.203150801</v>
      </c>
      <c r="L96">
        <v>29999682.103655439</v>
      </c>
      <c r="M96">
        <v>41411549.634521373</v>
      </c>
      <c r="N96">
        <f t="shared" si="2"/>
        <v>0.10531593567385242</v>
      </c>
    </row>
    <row r="97" spans="1:14" x14ac:dyDescent="0.45">
      <c r="A97" t="s">
        <v>157</v>
      </c>
      <c r="B97">
        <v>360805.0051704428</v>
      </c>
      <c r="C97">
        <v>1882197.625104778</v>
      </c>
      <c r="D97">
        <v>1020285.7903324523</v>
      </c>
      <c r="E97">
        <v>190403.86200433914</v>
      </c>
      <c r="F97">
        <v>968909.22160614131</v>
      </c>
      <c r="G97">
        <v>968780.83464448608</v>
      </c>
      <c r="H97">
        <v>169977.69786449004</v>
      </c>
      <c r="I97">
        <v>344040.10519230261</v>
      </c>
      <c r="J97">
        <v>315111.64156064816</v>
      </c>
      <c r="K97">
        <v>492424.74071165477</v>
      </c>
      <c r="L97">
        <v>806684.18917849066</v>
      </c>
      <c r="M97">
        <v>491865.67488749023</v>
      </c>
      <c r="N97">
        <f t="shared" si="2"/>
        <v>0.10546552305070908</v>
      </c>
    </row>
    <row r="98" spans="1:14" x14ac:dyDescent="0.45">
      <c r="A98" t="s">
        <v>71</v>
      </c>
      <c r="B98">
        <v>579639.69165552955</v>
      </c>
      <c r="C98">
        <v>1971308.6329130293</v>
      </c>
      <c r="D98">
        <v>1008978.1114102557</v>
      </c>
      <c r="E98">
        <v>1196606.3079367781</v>
      </c>
      <c r="F98">
        <v>1573512.8871966822</v>
      </c>
      <c r="G98">
        <v>1028518.9978775444</v>
      </c>
      <c r="H98">
        <v>1087878.6656584754</v>
      </c>
      <c r="I98">
        <v>706192.96385018958</v>
      </c>
      <c r="J98">
        <v>1141144.3455534305</v>
      </c>
      <c r="K98">
        <v>698508.20537191222</v>
      </c>
      <c r="L98">
        <v>803969.48342663515</v>
      </c>
      <c r="M98">
        <v>585869.94833742653</v>
      </c>
      <c r="N98">
        <f t="shared" si="2"/>
        <v>0.10573211768816995</v>
      </c>
    </row>
    <row r="99" spans="1:14" x14ac:dyDescent="0.45">
      <c r="A99" t="s">
        <v>82</v>
      </c>
      <c r="B99">
        <v>16699303.090472398</v>
      </c>
      <c r="C99">
        <v>14416992.82656722</v>
      </c>
      <c r="D99">
        <v>15651764.576974615</v>
      </c>
      <c r="E99">
        <v>6652376.3362187669</v>
      </c>
      <c r="F99">
        <v>16581736.514776483</v>
      </c>
      <c r="G99">
        <v>23222244.022247151</v>
      </c>
      <c r="H99">
        <v>2449489.2957270825</v>
      </c>
      <c r="I99">
        <v>19350178.511555895</v>
      </c>
      <c r="J99">
        <v>7693859.5302677611</v>
      </c>
      <c r="K99">
        <v>5852092.3725984665</v>
      </c>
      <c r="L99">
        <v>4430908.378527537</v>
      </c>
      <c r="M99">
        <v>15955949.774037549</v>
      </c>
      <c r="N99">
        <f t="shared" si="2"/>
        <v>0.10642314137095761</v>
      </c>
    </row>
    <row r="100" spans="1:14" x14ac:dyDescent="0.45">
      <c r="A100" t="s">
        <v>366</v>
      </c>
      <c r="B100">
        <v>221448535.82486436</v>
      </c>
      <c r="C100">
        <v>62628773.830713145</v>
      </c>
      <c r="D100">
        <v>167742235.37981737</v>
      </c>
      <c r="E100">
        <v>44684218.568598844</v>
      </c>
      <c r="F100">
        <v>220926125.20796135</v>
      </c>
      <c r="G100">
        <v>362821962.45767301</v>
      </c>
      <c r="H100">
        <v>49661475.278067887</v>
      </c>
      <c r="I100">
        <v>212360026.87701124</v>
      </c>
      <c r="J100">
        <v>66350126.039502405</v>
      </c>
      <c r="K100">
        <v>40743777.970904067</v>
      </c>
      <c r="L100">
        <v>59104723.471242227</v>
      </c>
      <c r="M100">
        <v>74296573.788472056</v>
      </c>
      <c r="N100">
        <f t="shared" si="2"/>
        <v>0.10857554481113708</v>
      </c>
    </row>
    <row r="101" spans="1:14" x14ac:dyDescent="0.45">
      <c r="A101" t="s">
        <v>102</v>
      </c>
      <c r="B101">
        <v>8825511.492843654</v>
      </c>
      <c r="C101">
        <v>15567869.902700756</v>
      </c>
      <c r="D101">
        <v>12053983.38479252</v>
      </c>
      <c r="E101">
        <v>502589719.90856218</v>
      </c>
      <c r="F101">
        <v>792219755.09107077</v>
      </c>
      <c r="G101">
        <v>634918948.97566271</v>
      </c>
      <c r="H101">
        <v>56947190.974771142</v>
      </c>
      <c r="I101">
        <v>194244602.27494171</v>
      </c>
      <c r="J101">
        <v>122977695.04326968</v>
      </c>
      <c r="K101">
        <v>4381023.6276071845</v>
      </c>
      <c r="L101">
        <v>7916810.8321513506</v>
      </c>
      <c r="M101">
        <v>6549962.9091260778</v>
      </c>
      <c r="N101">
        <f t="shared" si="2"/>
        <v>0.10987658993994402</v>
      </c>
    </row>
    <row r="102" spans="1:14" x14ac:dyDescent="0.45">
      <c r="A102" t="s">
        <v>178</v>
      </c>
      <c r="B102">
        <v>50881216.888365932</v>
      </c>
      <c r="C102">
        <v>152010980.39979377</v>
      </c>
      <c r="D102">
        <v>77731265.271642447</v>
      </c>
      <c r="E102">
        <v>102186536.13428865</v>
      </c>
      <c r="F102">
        <v>122051670.41153286</v>
      </c>
      <c r="G102">
        <v>118155401.52419628</v>
      </c>
      <c r="H102">
        <v>85810416.081426397</v>
      </c>
      <c r="I102">
        <v>79342308.197612986</v>
      </c>
      <c r="J102">
        <v>56598148.612868637</v>
      </c>
      <c r="K102">
        <v>72833503.714379281</v>
      </c>
      <c r="L102">
        <v>90521543.996516213</v>
      </c>
      <c r="M102">
        <v>77275470.516841173</v>
      </c>
      <c r="N102">
        <f t="shared" si="2"/>
        <v>0.11122097368275842</v>
      </c>
    </row>
    <row r="103" spans="1:14" x14ac:dyDescent="0.45">
      <c r="A103" t="s">
        <v>329</v>
      </c>
      <c r="B103">
        <v>10141811.371824373</v>
      </c>
      <c r="C103">
        <v>36399617.173129685</v>
      </c>
      <c r="D103">
        <v>5371640.6902107764</v>
      </c>
      <c r="E103">
        <v>95380315.76523602</v>
      </c>
      <c r="F103">
        <v>214156858.53982458</v>
      </c>
      <c r="G103">
        <v>290619233.48978657</v>
      </c>
      <c r="H103">
        <v>59365324.609026194</v>
      </c>
      <c r="I103">
        <v>36271254.553910986</v>
      </c>
      <c r="J103">
        <v>2597653.0842975937</v>
      </c>
      <c r="K103">
        <v>5601796.2720464179</v>
      </c>
      <c r="L103">
        <v>27604350.985352583</v>
      </c>
      <c r="M103">
        <v>5499640.7638449511</v>
      </c>
      <c r="N103">
        <f t="shared" si="2"/>
        <v>0.11143866298170442</v>
      </c>
    </row>
    <row r="104" spans="1:14" x14ac:dyDescent="0.45">
      <c r="A104" t="s">
        <v>165</v>
      </c>
      <c r="B104">
        <v>13735877.861395547</v>
      </c>
      <c r="C104">
        <v>23040326.585696168</v>
      </c>
      <c r="D104">
        <v>29315318.600211535</v>
      </c>
      <c r="E104">
        <v>10588307.038887123</v>
      </c>
      <c r="F104">
        <v>13301026.03035723</v>
      </c>
      <c r="G104">
        <v>8722259.0352541395</v>
      </c>
      <c r="H104">
        <v>5814416.4697944475</v>
      </c>
      <c r="I104">
        <v>6753201.1943518389</v>
      </c>
      <c r="J104">
        <v>8115827.3933435623</v>
      </c>
      <c r="K104">
        <v>9402048.9733896181</v>
      </c>
      <c r="L104">
        <v>13459794.950848809</v>
      </c>
      <c r="M104">
        <v>16588929.571798725</v>
      </c>
      <c r="N104">
        <f t="shared" si="2"/>
        <v>0.11179483558983075</v>
      </c>
    </row>
    <row r="105" spans="1:14" x14ac:dyDescent="0.45">
      <c r="A105" t="s">
        <v>214</v>
      </c>
      <c r="B105">
        <v>7953444.5956215607</v>
      </c>
      <c r="C105">
        <v>98858225.498523533</v>
      </c>
      <c r="D105">
        <v>24057718.827804089</v>
      </c>
      <c r="E105">
        <v>58023434.357238322</v>
      </c>
      <c r="F105">
        <v>71956949.463430181</v>
      </c>
      <c r="G105">
        <v>93549852.317919523</v>
      </c>
      <c r="H105">
        <v>33414147.364832919</v>
      </c>
      <c r="I105">
        <v>25780840.657571208</v>
      </c>
      <c r="J105">
        <v>17653053.93122948</v>
      </c>
      <c r="K105">
        <v>48462512.811656505</v>
      </c>
      <c r="L105">
        <v>36148152.051508851</v>
      </c>
      <c r="M105">
        <v>29637846.934716813</v>
      </c>
      <c r="N105">
        <f t="shared" si="2"/>
        <v>0.11200751859124065</v>
      </c>
    </row>
    <row r="106" spans="1:14" x14ac:dyDescent="0.45">
      <c r="A106" t="s">
        <v>124</v>
      </c>
      <c r="B106">
        <v>18845073.226593338</v>
      </c>
      <c r="C106">
        <v>106765454.42229219</v>
      </c>
      <c r="D106">
        <v>44708175.748000361</v>
      </c>
      <c r="E106">
        <v>98043705.55419828</v>
      </c>
      <c r="F106">
        <v>126370760.40438345</v>
      </c>
      <c r="G106">
        <v>110766143.78290287</v>
      </c>
      <c r="H106">
        <v>60071799.152145877</v>
      </c>
      <c r="I106">
        <v>49613484.338824287</v>
      </c>
      <c r="J106">
        <v>38435849.457511976</v>
      </c>
      <c r="K106">
        <v>60997833.862283729</v>
      </c>
      <c r="L106">
        <v>64481840.921997719</v>
      </c>
      <c r="M106">
        <v>45578681.987385631</v>
      </c>
      <c r="N106">
        <f t="shared" si="2"/>
        <v>0.11223480838929376</v>
      </c>
    </row>
    <row r="107" spans="1:14" x14ac:dyDescent="0.45">
      <c r="A107" t="s">
        <v>238</v>
      </c>
      <c r="B107">
        <v>7960578.5934927166</v>
      </c>
      <c r="C107">
        <v>25809337.620185509</v>
      </c>
      <c r="D107">
        <v>11345120.991450505</v>
      </c>
      <c r="E107">
        <v>18269120.110880051</v>
      </c>
      <c r="F107">
        <v>16347658.324679749</v>
      </c>
      <c r="G107">
        <v>11622087.569831861</v>
      </c>
      <c r="H107">
        <v>11353636.348829921</v>
      </c>
      <c r="I107">
        <v>8878951.7999988478</v>
      </c>
      <c r="J107">
        <v>7573100.7258094791</v>
      </c>
      <c r="K107">
        <v>12141146.663686469</v>
      </c>
      <c r="L107">
        <v>12407835.580255819</v>
      </c>
      <c r="M107">
        <v>11209568.437864363</v>
      </c>
      <c r="N107">
        <f t="shared" si="2"/>
        <v>0.11951708590772794</v>
      </c>
    </row>
    <row r="108" spans="1:14" x14ac:dyDescent="0.45">
      <c r="A108" t="s">
        <v>90</v>
      </c>
      <c r="B108">
        <v>21495780.668426439</v>
      </c>
      <c r="C108">
        <v>70802131.120898291</v>
      </c>
      <c r="D108">
        <v>37572945.469803981</v>
      </c>
      <c r="E108">
        <v>59347490.982147127</v>
      </c>
      <c r="F108">
        <v>74571106.472524598</v>
      </c>
      <c r="G108">
        <v>43677016.488279931</v>
      </c>
      <c r="H108">
        <v>32344993.662108704</v>
      </c>
      <c r="I108">
        <v>32823125.59673322</v>
      </c>
      <c r="J108">
        <v>21220445.131030016</v>
      </c>
      <c r="K108">
        <v>34329659.950662211</v>
      </c>
      <c r="L108">
        <v>55787327.863917194</v>
      </c>
      <c r="M108">
        <v>33954182.178682007</v>
      </c>
      <c r="N108">
        <f t="shared" si="2"/>
        <v>0.12257470563029366</v>
      </c>
    </row>
    <row r="109" spans="1:14" x14ac:dyDescent="0.45">
      <c r="A109" t="s">
        <v>269</v>
      </c>
      <c r="B109">
        <v>1989122.0923329249</v>
      </c>
      <c r="C109">
        <v>6834909.5978485765</v>
      </c>
      <c r="D109">
        <v>3577086.3975091586</v>
      </c>
      <c r="E109">
        <v>3452753.4398498232</v>
      </c>
      <c r="F109">
        <v>5823598.8726651324</v>
      </c>
      <c r="G109">
        <v>4215563.3468498727</v>
      </c>
      <c r="H109">
        <v>3506779.4853495583</v>
      </c>
      <c r="I109">
        <v>3134511.9765865332</v>
      </c>
      <c r="J109">
        <v>1952059.6495030606</v>
      </c>
      <c r="K109">
        <v>2785708.800169629</v>
      </c>
      <c r="L109">
        <v>4282422.3123420775</v>
      </c>
      <c r="M109">
        <v>2240667.4898470193</v>
      </c>
      <c r="N109">
        <f t="shared" si="2"/>
        <v>0.12492491458089348</v>
      </c>
    </row>
    <row r="110" spans="1:14" x14ac:dyDescent="0.45">
      <c r="A110" t="s">
        <v>72</v>
      </c>
      <c r="B110">
        <v>4333308.8258992825</v>
      </c>
      <c r="C110">
        <v>19417321.425458718</v>
      </c>
      <c r="D110">
        <v>6497477.7110242518</v>
      </c>
      <c r="E110">
        <v>7869030.741722961</v>
      </c>
      <c r="F110">
        <v>13059616.827906005</v>
      </c>
      <c r="G110">
        <v>13339956.851609953</v>
      </c>
      <c r="H110">
        <v>9253589.8336019088</v>
      </c>
      <c r="I110">
        <v>7299614.1856294442</v>
      </c>
      <c r="J110">
        <v>5093487.0010489831</v>
      </c>
      <c r="K110">
        <v>3666354.055049628</v>
      </c>
      <c r="L110">
        <v>10567520.14866152</v>
      </c>
      <c r="M110">
        <v>2410112.65903376</v>
      </c>
      <c r="N110">
        <f t="shared" si="2"/>
        <v>0.12638284478756537</v>
      </c>
    </row>
    <row r="111" spans="1:14" x14ac:dyDescent="0.45">
      <c r="A111" t="s">
        <v>219</v>
      </c>
      <c r="B111">
        <v>19808218.819292556</v>
      </c>
      <c r="C111">
        <v>43518949.048828535</v>
      </c>
      <c r="D111">
        <v>6213947.5817796085</v>
      </c>
      <c r="E111">
        <v>27466977.393166315</v>
      </c>
      <c r="F111">
        <v>36157269.35519553</v>
      </c>
      <c r="G111">
        <v>18199679.13210151</v>
      </c>
      <c r="H111">
        <v>7483021.7077749334</v>
      </c>
      <c r="I111">
        <v>17996941.074943926</v>
      </c>
      <c r="J111">
        <v>3570966.7189634419</v>
      </c>
      <c r="K111">
        <v>7080409.6057573026</v>
      </c>
      <c r="L111">
        <v>33550015.193768252</v>
      </c>
      <c r="M111">
        <v>11466568.118241178</v>
      </c>
      <c r="N111">
        <f t="shared" si="2"/>
        <v>0.12910916895452265</v>
      </c>
    </row>
    <row r="112" spans="1:14" x14ac:dyDescent="0.45">
      <c r="A112" t="s">
        <v>196</v>
      </c>
      <c r="B112">
        <v>54245009.991531536</v>
      </c>
      <c r="C112">
        <v>215162922.20886025</v>
      </c>
      <c r="D112">
        <v>89353764.259912461</v>
      </c>
      <c r="E112">
        <v>87748330.675366849</v>
      </c>
      <c r="F112">
        <v>161832764.36943653</v>
      </c>
      <c r="G112">
        <v>207989012.35630715</v>
      </c>
      <c r="H112">
        <v>46930016.156802796</v>
      </c>
      <c r="I112">
        <v>99997114.162932903</v>
      </c>
      <c r="J112">
        <v>77266095.896494046</v>
      </c>
      <c r="K112">
        <v>66230131.384705946</v>
      </c>
      <c r="L112">
        <v>138057225.13718292</v>
      </c>
      <c r="M112">
        <v>92928282.575622544</v>
      </c>
      <c r="N112">
        <f t="shared" si="2"/>
        <v>0.14026359881593184</v>
      </c>
    </row>
    <row r="113" spans="1:14" x14ac:dyDescent="0.45">
      <c r="A113" t="s">
        <v>107</v>
      </c>
      <c r="B113">
        <v>485096.68538815505</v>
      </c>
      <c r="C113">
        <v>35519.335012878153</v>
      </c>
      <c r="D113">
        <v>418926.23157579987</v>
      </c>
      <c r="E113">
        <v>85884.06908676587</v>
      </c>
      <c r="F113">
        <v>889595.39498581365</v>
      </c>
      <c r="G113">
        <v>1276979.5205684223</v>
      </c>
      <c r="H113">
        <v>22830.104706714235</v>
      </c>
      <c r="I113">
        <v>701284.2030907775</v>
      </c>
      <c r="J113">
        <v>19237.504113571831</v>
      </c>
      <c r="K113">
        <v>20675.181817315341</v>
      </c>
      <c r="L113">
        <v>27669.19364482733</v>
      </c>
      <c r="M113">
        <v>243186.14597311718</v>
      </c>
      <c r="N113">
        <f t="shared" si="2"/>
        <v>0.14105617426546133</v>
      </c>
    </row>
    <row r="114" spans="1:14" x14ac:dyDescent="0.45">
      <c r="A114" t="s">
        <v>100</v>
      </c>
      <c r="B114">
        <v>41094739.182662711</v>
      </c>
      <c r="C114">
        <v>70979874.811964571</v>
      </c>
      <c r="D114">
        <v>37233435.930842407</v>
      </c>
      <c r="E114">
        <v>47668297.053840719</v>
      </c>
      <c r="F114">
        <v>98841714.912369624</v>
      </c>
      <c r="G114">
        <v>70194295.753094077</v>
      </c>
      <c r="H114">
        <v>43192027.646455534</v>
      </c>
      <c r="I114">
        <v>59144260.763807826</v>
      </c>
      <c r="J114">
        <v>39764588.566568039</v>
      </c>
      <c r="K114">
        <v>57922838.718445428</v>
      </c>
      <c r="L114">
        <v>26465723.495151453</v>
      </c>
      <c r="M114">
        <v>35314632.136705145</v>
      </c>
      <c r="N114">
        <f t="shared" si="2"/>
        <v>0.14288116666093209</v>
      </c>
    </row>
    <row r="115" spans="1:14" x14ac:dyDescent="0.45">
      <c r="A115" t="s">
        <v>342</v>
      </c>
      <c r="B115">
        <v>90133315.015834704</v>
      </c>
      <c r="C115">
        <v>77640947.101126581</v>
      </c>
      <c r="D115">
        <v>96554719.893856838</v>
      </c>
      <c r="E115">
        <v>56145652.15315789</v>
      </c>
      <c r="F115">
        <v>78436535.886113927</v>
      </c>
      <c r="G115">
        <v>119359248.83985731</v>
      </c>
      <c r="H115">
        <v>83710535.730279848</v>
      </c>
      <c r="I115">
        <v>72258737.812207833</v>
      </c>
      <c r="J115">
        <v>49688184.904454708</v>
      </c>
      <c r="K115">
        <v>86587074.602974206</v>
      </c>
      <c r="L115">
        <v>35950582.334129855</v>
      </c>
      <c r="M115">
        <v>76670646.442930385</v>
      </c>
      <c r="N115">
        <f t="shared" si="2"/>
        <v>0.14570190835544394</v>
      </c>
    </row>
    <row r="116" spans="1:14" x14ac:dyDescent="0.45">
      <c r="A116" t="s">
        <v>174</v>
      </c>
      <c r="B116">
        <v>228303553.97876251</v>
      </c>
      <c r="C116">
        <v>193613801.03411329</v>
      </c>
      <c r="D116">
        <v>257983269.34829813</v>
      </c>
      <c r="E116">
        <v>128775348.51225452</v>
      </c>
      <c r="F116">
        <v>771734518.3325547</v>
      </c>
      <c r="G116">
        <v>882903476.34813333</v>
      </c>
      <c r="H116">
        <v>83739066.677326739</v>
      </c>
      <c r="I116">
        <v>395221520.70555168</v>
      </c>
      <c r="J116">
        <v>81804224.184055865</v>
      </c>
      <c r="K116">
        <v>100563443.89523052</v>
      </c>
      <c r="L116">
        <v>106062061.22550344</v>
      </c>
      <c r="M116">
        <v>323554440.74609214</v>
      </c>
      <c r="N116">
        <f t="shared" si="2"/>
        <v>0.14673785675458914</v>
      </c>
    </row>
    <row r="117" spans="1:14" x14ac:dyDescent="0.45">
      <c r="A117" t="s">
        <v>318</v>
      </c>
      <c r="B117">
        <v>11050235.618715011</v>
      </c>
      <c r="C117">
        <v>30993342.012194987</v>
      </c>
      <c r="D117">
        <v>12661615.968146922</v>
      </c>
      <c r="E117">
        <v>20473427.777489707</v>
      </c>
      <c r="F117">
        <v>12603992.46035986</v>
      </c>
      <c r="G117">
        <v>24087536.064652666</v>
      </c>
      <c r="H117">
        <v>5878860.7844018815</v>
      </c>
      <c r="I117">
        <v>11167548.231707113</v>
      </c>
      <c r="J117">
        <v>11567362.090341859</v>
      </c>
      <c r="K117">
        <v>12404999.880247081</v>
      </c>
      <c r="L117">
        <v>22733970.766120616</v>
      </c>
      <c r="M117">
        <v>11018018.088427451</v>
      </c>
      <c r="N117">
        <f t="shared" si="2"/>
        <v>0.14885942134560312</v>
      </c>
    </row>
    <row r="118" spans="1:14" x14ac:dyDescent="0.45">
      <c r="A118" t="s">
        <v>120</v>
      </c>
      <c r="B118">
        <v>11023975.915083706</v>
      </c>
      <c r="C118">
        <v>25729075.042753462</v>
      </c>
      <c r="D118">
        <v>17769096.962445118</v>
      </c>
      <c r="E118">
        <v>20814026.307792988</v>
      </c>
      <c r="F118">
        <v>25548138.727788113</v>
      </c>
      <c r="G118">
        <v>18782188.73813346</v>
      </c>
      <c r="H118">
        <v>16399561.820028272</v>
      </c>
      <c r="I118">
        <v>19724921.456632905</v>
      </c>
      <c r="J118">
        <v>10871982.251914904</v>
      </c>
      <c r="K118">
        <v>15039907.210551456</v>
      </c>
      <c r="L118">
        <v>17379889.309939813</v>
      </c>
      <c r="M118">
        <v>16392682.394421518</v>
      </c>
      <c r="N118">
        <f t="shared" si="2"/>
        <v>0.14951783658842374</v>
      </c>
    </row>
    <row r="119" spans="1:14" x14ac:dyDescent="0.45">
      <c r="A119" t="s">
        <v>75</v>
      </c>
      <c r="B119">
        <v>11250369.437525027</v>
      </c>
      <c r="C119">
        <v>56029233.28352017</v>
      </c>
      <c r="D119">
        <v>19439543.996557124</v>
      </c>
      <c r="E119">
        <v>27877498.686233841</v>
      </c>
      <c r="F119">
        <v>31155779.974291679</v>
      </c>
      <c r="G119">
        <v>21615913.044395056</v>
      </c>
      <c r="H119">
        <v>17905517.453153703</v>
      </c>
      <c r="I119">
        <v>14996703.398508154</v>
      </c>
      <c r="J119">
        <v>12170738.330860181</v>
      </c>
      <c r="K119">
        <v>19121381.957315031</v>
      </c>
      <c r="L119">
        <v>25661943.362044591</v>
      </c>
      <c r="M119">
        <v>16099249.373490196</v>
      </c>
      <c r="N119">
        <f t="shared" si="2"/>
        <v>0.15046429953754772</v>
      </c>
    </row>
    <row r="120" spans="1:14" x14ac:dyDescent="0.45">
      <c r="A120" t="s">
        <v>201</v>
      </c>
      <c r="B120">
        <v>8658107.0375021361</v>
      </c>
      <c r="C120">
        <v>4971504.1919639036</v>
      </c>
      <c r="D120">
        <v>4825032.6853029216</v>
      </c>
      <c r="E120">
        <v>7819306.1028196467</v>
      </c>
      <c r="F120">
        <v>8107707.713256225</v>
      </c>
      <c r="G120">
        <v>10487512.475421268</v>
      </c>
      <c r="H120">
        <v>4146669.3781663212</v>
      </c>
      <c r="I120">
        <v>10498447.172232363</v>
      </c>
      <c r="J120">
        <v>3360091.2922318722</v>
      </c>
      <c r="K120">
        <v>4013652.7889109072</v>
      </c>
      <c r="L120">
        <v>4639548.3584461762</v>
      </c>
      <c r="M120">
        <v>5196343.6461289208</v>
      </c>
      <c r="N120">
        <f t="shared" si="2"/>
        <v>0.15140691136169798</v>
      </c>
    </row>
    <row r="121" spans="1:14" x14ac:dyDescent="0.45">
      <c r="A121" t="s">
        <v>40</v>
      </c>
      <c r="B121">
        <v>8423296.1556217037</v>
      </c>
      <c r="C121">
        <v>14100588.444414329</v>
      </c>
      <c r="D121">
        <v>11270856.163662955</v>
      </c>
      <c r="E121">
        <v>13790476.067307187</v>
      </c>
      <c r="F121">
        <v>14473059.03563942</v>
      </c>
      <c r="G121">
        <v>14601091.460472092</v>
      </c>
      <c r="H121">
        <v>11868571.143101303</v>
      </c>
      <c r="I121">
        <v>13196726.527962476</v>
      </c>
      <c r="J121">
        <v>7185535.8459387068</v>
      </c>
      <c r="K121">
        <v>9790273.8028868828</v>
      </c>
      <c r="L121">
        <v>12354092.900182238</v>
      </c>
      <c r="M121">
        <v>9717783.4832176957</v>
      </c>
      <c r="N121">
        <f t="shared" si="2"/>
        <v>0.15246899107009301</v>
      </c>
    </row>
    <row r="122" spans="1:14" x14ac:dyDescent="0.45">
      <c r="A122" t="s">
        <v>339</v>
      </c>
      <c r="B122">
        <v>92190237.751834497</v>
      </c>
      <c r="C122">
        <v>18716158.982639913</v>
      </c>
      <c r="D122">
        <v>115567592.80082743</v>
      </c>
      <c r="E122">
        <v>6454742.2581797456</v>
      </c>
      <c r="F122">
        <v>60291954.048249364</v>
      </c>
      <c r="G122">
        <v>173344329.31665304</v>
      </c>
      <c r="H122">
        <v>52849246.763124801</v>
      </c>
      <c r="I122">
        <v>95578700.923476696</v>
      </c>
      <c r="J122">
        <v>6888197.0298286024</v>
      </c>
      <c r="K122">
        <v>10467265.358281611</v>
      </c>
      <c r="L122">
        <v>4438484.5727682412</v>
      </c>
      <c r="M122">
        <v>22541355.274133187</v>
      </c>
      <c r="N122">
        <f t="shared" si="2"/>
        <v>0.15265849504172763</v>
      </c>
    </row>
    <row r="123" spans="1:14" x14ac:dyDescent="0.45">
      <c r="A123" t="s">
        <v>340</v>
      </c>
      <c r="B123">
        <v>29947832.488507461</v>
      </c>
      <c r="C123">
        <v>87061324.32627596</v>
      </c>
      <c r="D123">
        <v>41949956.25439585</v>
      </c>
      <c r="E123">
        <v>49446593.834417388</v>
      </c>
      <c r="F123">
        <v>74384749.739599094</v>
      </c>
      <c r="G123">
        <v>72157050.113926291</v>
      </c>
      <c r="H123">
        <v>26875912.054159518</v>
      </c>
      <c r="I123">
        <v>58494303.81263452</v>
      </c>
      <c r="J123">
        <v>32977207.497135799</v>
      </c>
      <c r="K123">
        <v>35308309.644544266</v>
      </c>
      <c r="L123">
        <v>60489029.768667147</v>
      </c>
      <c r="M123">
        <v>42095783.849070884</v>
      </c>
      <c r="N123">
        <f t="shared" si="2"/>
        <v>0.15270079728590003</v>
      </c>
    </row>
    <row r="124" spans="1:14" x14ac:dyDescent="0.45">
      <c r="A124" t="s">
        <v>257</v>
      </c>
      <c r="B124">
        <v>1289518.5437483438</v>
      </c>
      <c r="C124">
        <v>1318010.0013066086</v>
      </c>
      <c r="D124">
        <v>1615048.0671905589</v>
      </c>
      <c r="E124">
        <v>867242.58909786842</v>
      </c>
      <c r="F124">
        <v>3744626.514164608</v>
      </c>
      <c r="G124">
        <v>5150054.0153304534</v>
      </c>
      <c r="H124">
        <v>973656.99480701855</v>
      </c>
      <c r="I124">
        <v>2314472.7802713662</v>
      </c>
      <c r="J124">
        <v>944171.24072613672</v>
      </c>
      <c r="K124">
        <v>715061.02760341961</v>
      </c>
      <c r="L124">
        <v>802488.9432503893</v>
      </c>
      <c r="M124">
        <v>1361338.8921994853</v>
      </c>
      <c r="N124">
        <f t="shared" si="2"/>
        <v>0.15332689042114098</v>
      </c>
    </row>
    <row r="125" spans="1:14" x14ac:dyDescent="0.45">
      <c r="A125" t="s">
        <v>208</v>
      </c>
      <c r="B125">
        <v>718792.8097968665</v>
      </c>
      <c r="C125">
        <v>11757200.342161193</v>
      </c>
      <c r="D125">
        <v>2941870.2208600431</v>
      </c>
      <c r="E125">
        <v>9524690.4678722285</v>
      </c>
      <c r="F125">
        <v>33453311.108660258</v>
      </c>
      <c r="G125">
        <v>8624509.6542119533</v>
      </c>
      <c r="H125">
        <v>2788658.2709286874</v>
      </c>
      <c r="I125">
        <v>3170938.5319010224</v>
      </c>
      <c r="J125">
        <v>1743874.8190348849</v>
      </c>
      <c r="K125">
        <v>2343744.455171884</v>
      </c>
      <c r="L125">
        <v>8853633.3678428121</v>
      </c>
      <c r="M125">
        <v>2942134.1473815585</v>
      </c>
      <c r="N125">
        <f t="shared" si="2"/>
        <v>0.15451318884909693</v>
      </c>
    </row>
    <row r="126" spans="1:14" x14ac:dyDescent="0.45">
      <c r="A126" t="s">
        <v>220</v>
      </c>
      <c r="B126">
        <v>34731887.011816658</v>
      </c>
      <c r="C126">
        <v>230247603.65918586</v>
      </c>
      <c r="D126">
        <v>86546633.241618454</v>
      </c>
      <c r="E126">
        <v>216053484.37482837</v>
      </c>
      <c r="F126">
        <v>276694409.87683535</v>
      </c>
      <c r="G126">
        <v>244321368.48284858</v>
      </c>
      <c r="H126">
        <v>137211325.77296355</v>
      </c>
      <c r="I126">
        <v>105610612.45187138</v>
      </c>
      <c r="J126">
        <v>84360392.197868794</v>
      </c>
      <c r="K126">
        <v>139546802.57224944</v>
      </c>
      <c r="L126">
        <v>142167795.67125031</v>
      </c>
      <c r="M126">
        <v>102336353.98617058</v>
      </c>
      <c r="N126">
        <f t="shared" si="2"/>
        <v>0.15474870857896134</v>
      </c>
    </row>
    <row r="127" spans="1:14" x14ac:dyDescent="0.45">
      <c r="A127" t="s">
        <v>203</v>
      </c>
      <c r="B127">
        <v>202385279.642573</v>
      </c>
      <c r="C127">
        <v>424122521.51515704</v>
      </c>
      <c r="D127">
        <v>291066969.61230749</v>
      </c>
      <c r="E127">
        <v>356778401.15171009</v>
      </c>
      <c r="F127">
        <v>407284459.81679285</v>
      </c>
      <c r="G127">
        <v>336381718.49523497</v>
      </c>
      <c r="H127">
        <v>294801387.7470575</v>
      </c>
      <c r="I127">
        <v>287836643.53750086</v>
      </c>
      <c r="J127">
        <v>193970596.14228776</v>
      </c>
      <c r="K127">
        <v>233111796.74791777</v>
      </c>
      <c r="L127">
        <v>355264069.56057203</v>
      </c>
      <c r="M127">
        <v>281727451.27873188</v>
      </c>
      <c r="N127">
        <f t="shared" si="2"/>
        <v>0.15484638859366848</v>
      </c>
    </row>
    <row r="128" spans="1:14" x14ac:dyDescent="0.45">
      <c r="A128" t="s">
        <v>99</v>
      </c>
      <c r="B128">
        <v>33629283.490368217</v>
      </c>
      <c r="C128">
        <v>162053178.61174709</v>
      </c>
      <c r="D128">
        <v>57784274.050872363</v>
      </c>
      <c r="E128">
        <v>79899043.15326719</v>
      </c>
      <c r="F128">
        <v>82704171.655816421</v>
      </c>
      <c r="G128">
        <v>70322845.572891206</v>
      </c>
      <c r="H128">
        <v>57131219.772807844</v>
      </c>
      <c r="I128">
        <v>49195999.380993053</v>
      </c>
      <c r="J128">
        <v>35104719.650971092</v>
      </c>
      <c r="K128">
        <v>52768528.41498027</v>
      </c>
      <c r="L128">
        <v>70638169.700824156</v>
      </c>
      <c r="M128">
        <v>51895545.436508335</v>
      </c>
      <c r="N128">
        <f t="shared" si="2"/>
        <v>0.15495795325223868</v>
      </c>
    </row>
    <row r="129" spans="1:14" x14ac:dyDescent="0.45">
      <c r="A129" t="s">
        <v>104</v>
      </c>
      <c r="B129">
        <v>658187.63519208645</v>
      </c>
      <c r="C129">
        <v>1895413.0187405767</v>
      </c>
      <c r="D129">
        <v>945864.87074180774</v>
      </c>
      <c r="E129">
        <v>1319850.681792574</v>
      </c>
      <c r="F129">
        <v>2286153.4219536982</v>
      </c>
      <c r="G129">
        <v>1362713.1244376155</v>
      </c>
      <c r="H129">
        <v>1063830.1388250599</v>
      </c>
      <c r="I129">
        <v>948577.59997457266</v>
      </c>
      <c r="J129">
        <v>630950.58118243585</v>
      </c>
      <c r="K129">
        <v>540482.68372576556</v>
      </c>
      <c r="L129">
        <v>1777336.3847841816</v>
      </c>
      <c r="M129">
        <v>673833.61757555883</v>
      </c>
      <c r="N129">
        <f t="shared" si="2"/>
        <v>0.15565528235722748</v>
      </c>
    </row>
    <row r="130" spans="1:14" x14ac:dyDescent="0.45">
      <c r="A130" t="s">
        <v>423</v>
      </c>
      <c r="B130">
        <v>23059884.546313658</v>
      </c>
      <c r="C130">
        <v>99863916.299286813</v>
      </c>
      <c r="D130">
        <v>14217009.349202342</v>
      </c>
      <c r="E130">
        <v>54080023.078263901</v>
      </c>
      <c r="F130">
        <v>89075085.198533848</v>
      </c>
      <c r="G130">
        <v>70481985.238600835</v>
      </c>
      <c r="H130">
        <v>40292718.222931467</v>
      </c>
      <c r="I130">
        <v>38851983.082947217</v>
      </c>
      <c r="J130">
        <v>46499271.641668536</v>
      </c>
      <c r="K130">
        <v>30774902.626001723</v>
      </c>
      <c r="L130">
        <v>22864617.234160978</v>
      </c>
      <c r="M130">
        <v>37587871.63423647</v>
      </c>
      <c r="N130">
        <f t="shared" ref="N130:N193" si="3">TTEST(B130:G130,H130:M130,2,2)</f>
        <v>0.15647678833146472</v>
      </c>
    </row>
    <row r="131" spans="1:14" x14ac:dyDescent="0.45">
      <c r="A131" t="s">
        <v>326</v>
      </c>
      <c r="B131">
        <v>17632373.263806451</v>
      </c>
      <c r="C131">
        <v>1396425.3599343889</v>
      </c>
      <c r="D131">
        <v>1647124.9054258952</v>
      </c>
      <c r="E131">
        <v>2047191.4155692344</v>
      </c>
      <c r="F131">
        <v>2932854.9017967358</v>
      </c>
      <c r="G131">
        <v>3913250.779328268</v>
      </c>
      <c r="H131">
        <v>616416.46708393819</v>
      </c>
      <c r="I131">
        <v>1216563.2730843404</v>
      </c>
      <c r="J131">
        <v>664805.39099886268</v>
      </c>
      <c r="K131">
        <v>874890.61921938625</v>
      </c>
      <c r="L131">
        <v>910125.81393388088</v>
      </c>
      <c r="M131">
        <v>1704209.9757330148</v>
      </c>
      <c r="N131">
        <f t="shared" si="3"/>
        <v>0.15776969279138681</v>
      </c>
    </row>
    <row r="132" spans="1:14" x14ac:dyDescent="0.45">
      <c r="A132" t="s">
        <v>112</v>
      </c>
      <c r="B132">
        <v>5450392.4442262817</v>
      </c>
      <c r="C132">
        <v>11005246.128009938</v>
      </c>
      <c r="D132">
        <v>6094839.7679036539</v>
      </c>
      <c r="E132">
        <v>7375741.6358543178</v>
      </c>
      <c r="F132">
        <v>20695992.513606712</v>
      </c>
      <c r="G132">
        <v>22034830.89173197</v>
      </c>
      <c r="H132">
        <v>4328290.7170864837</v>
      </c>
      <c r="I132">
        <v>10064283.378938589</v>
      </c>
      <c r="J132">
        <v>3642014.6460840227</v>
      </c>
      <c r="K132">
        <v>5566029.3109825812</v>
      </c>
      <c r="L132">
        <v>9318642.0142513346</v>
      </c>
      <c r="M132">
        <v>10002047.919624656</v>
      </c>
      <c r="N132">
        <f t="shared" si="3"/>
        <v>0.16040463373771119</v>
      </c>
    </row>
    <row r="133" spans="1:14" x14ac:dyDescent="0.45">
      <c r="A133" t="s">
        <v>341</v>
      </c>
      <c r="B133">
        <v>1472995.7992694215</v>
      </c>
      <c r="C133">
        <v>6871355.0926985061</v>
      </c>
      <c r="D133">
        <v>2015048.2804573632</v>
      </c>
      <c r="E133">
        <v>3845152.7268850305</v>
      </c>
      <c r="F133">
        <v>5324069.9789981432</v>
      </c>
      <c r="G133">
        <v>3868637.9662339692</v>
      </c>
      <c r="H133">
        <v>1940580.7027439382</v>
      </c>
      <c r="I133">
        <v>2876010.5659266314</v>
      </c>
      <c r="J133">
        <v>1670413.6648163362</v>
      </c>
      <c r="K133">
        <v>2871430.343403901</v>
      </c>
      <c r="L133">
        <v>3030195.631073412</v>
      </c>
      <c r="M133">
        <v>3196769.3948745634</v>
      </c>
      <c r="N133">
        <f t="shared" si="3"/>
        <v>0.16189688881300693</v>
      </c>
    </row>
    <row r="134" spans="1:14" x14ac:dyDescent="0.45">
      <c r="A134" t="s">
        <v>316</v>
      </c>
      <c r="B134">
        <v>3272838.379732918</v>
      </c>
      <c r="C134">
        <v>12337842.610685781</v>
      </c>
      <c r="D134">
        <v>7371378.9256715737</v>
      </c>
      <c r="E134">
        <v>9278449.281334212</v>
      </c>
      <c r="F134">
        <v>11409005.546166573</v>
      </c>
      <c r="G134">
        <v>7974424.1551088979</v>
      </c>
      <c r="H134">
        <v>6698253.2973021213</v>
      </c>
      <c r="I134">
        <v>5135890.6316517778</v>
      </c>
      <c r="J134">
        <v>4096527.7737285621</v>
      </c>
      <c r="K134">
        <v>4532237.642589177</v>
      </c>
      <c r="L134">
        <v>10395843.581731267</v>
      </c>
      <c r="M134">
        <v>6379587.5520159798</v>
      </c>
      <c r="N134">
        <f t="shared" si="3"/>
        <v>0.16936518138563544</v>
      </c>
    </row>
    <row r="135" spans="1:14" x14ac:dyDescent="0.45">
      <c r="A135" t="s">
        <v>270</v>
      </c>
      <c r="B135">
        <v>721576791.00075054</v>
      </c>
      <c r="C135">
        <v>1815939186.8840718</v>
      </c>
      <c r="D135">
        <v>1063906306.4322977</v>
      </c>
      <c r="E135">
        <v>1184902468.1681252</v>
      </c>
      <c r="F135">
        <v>1339029753.7834013</v>
      </c>
      <c r="G135">
        <v>1146023756.8884027</v>
      </c>
      <c r="H135">
        <v>816279703.3220365</v>
      </c>
      <c r="I135">
        <v>972431446.22411859</v>
      </c>
      <c r="J135">
        <v>712799146.73077559</v>
      </c>
      <c r="K135">
        <v>892867673.99714184</v>
      </c>
      <c r="L135">
        <v>1332096733.5872447</v>
      </c>
      <c r="M135">
        <v>1026327576.6116618</v>
      </c>
      <c r="N135">
        <f t="shared" si="3"/>
        <v>0.16975009978168451</v>
      </c>
    </row>
    <row r="136" spans="1:14" x14ac:dyDescent="0.45">
      <c r="A136" t="s">
        <v>217</v>
      </c>
      <c r="B136">
        <v>75277378.81024836</v>
      </c>
      <c r="C136">
        <v>292613021.89059412</v>
      </c>
      <c r="D136">
        <v>136751691.85312065</v>
      </c>
      <c r="E136">
        <v>191892772.8075445</v>
      </c>
      <c r="F136">
        <v>203829969.40499464</v>
      </c>
      <c r="G136">
        <v>162315144.34365156</v>
      </c>
      <c r="H136">
        <v>149703630.63905364</v>
      </c>
      <c r="I136">
        <v>130549188.8971251</v>
      </c>
      <c r="J136">
        <v>86835817.109573901</v>
      </c>
      <c r="K136">
        <v>121169801.99836129</v>
      </c>
      <c r="L136">
        <v>174287317.17181063</v>
      </c>
      <c r="M136">
        <v>116427975.06250882</v>
      </c>
      <c r="N136">
        <f t="shared" si="3"/>
        <v>0.17184491007797917</v>
      </c>
    </row>
    <row r="137" spans="1:14" x14ac:dyDescent="0.45">
      <c r="A137" t="s">
        <v>363</v>
      </c>
      <c r="B137">
        <v>164440409.12437811</v>
      </c>
      <c r="C137">
        <v>255506666.04692975</v>
      </c>
      <c r="D137">
        <v>77749862.348064885</v>
      </c>
      <c r="E137">
        <v>117706944.31454968</v>
      </c>
      <c r="F137">
        <v>93420190.751996502</v>
      </c>
      <c r="G137">
        <v>88870863.727985367</v>
      </c>
      <c r="H137">
        <v>58843992.13652759</v>
      </c>
      <c r="I137">
        <v>48046701.456587471</v>
      </c>
      <c r="J137">
        <v>84052854.054520994</v>
      </c>
      <c r="K137">
        <v>97385039.744987458</v>
      </c>
      <c r="L137">
        <v>106006593.81703244</v>
      </c>
      <c r="M137">
        <v>134445533.56711373</v>
      </c>
      <c r="N137">
        <f t="shared" si="3"/>
        <v>0.17189329812928092</v>
      </c>
    </row>
    <row r="138" spans="1:14" x14ac:dyDescent="0.45">
      <c r="A138" t="s">
        <v>343</v>
      </c>
      <c r="B138">
        <v>40696077.012824893</v>
      </c>
      <c r="C138">
        <v>39675260.557459049</v>
      </c>
      <c r="D138">
        <v>62379556.968504705</v>
      </c>
      <c r="E138">
        <v>29845568.176081873</v>
      </c>
      <c r="F138">
        <v>126372630.44432826</v>
      </c>
      <c r="G138">
        <v>184393326.330861</v>
      </c>
      <c r="H138">
        <v>38997475.876122996</v>
      </c>
      <c r="I138">
        <v>85795435.969069362</v>
      </c>
      <c r="J138">
        <v>27802007.857580718</v>
      </c>
      <c r="K138">
        <v>20127315.057387769</v>
      </c>
      <c r="L138">
        <v>28092233.913362145</v>
      </c>
      <c r="M138">
        <v>46636245.311654262</v>
      </c>
      <c r="N138">
        <f t="shared" si="3"/>
        <v>0.1759197954527732</v>
      </c>
    </row>
    <row r="139" spans="1:14" x14ac:dyDescent="0.45">
      <c r="A139" t="s">
        <v>193</v>
      </c>
      <c r="B139">
        <v>3982526.6591931172</v>
      </c>
      <c r="C139">
        <v>20034626.773702048</v>
      </c>
      <c r="D139">
        <v>6512998.784343333</v>
      </c>
      <c r="E139">
        <v>12051486.293246556</v>
      </c>
      <c r="F139">
        <v>14769776.129041165</v>
      </c>
      <c r="G139">
        <v>11317928.402112434</v>
      </c>
      <c r="H139">
        <v>7506286.5823307848</v>
      </c>
      <c r="I139">
        <v>5961350.50216108</v>
      </c>
      <c r="J139">
        <v>4950149.2593809767</v>
      </c>
      <c r="K139">
        <v>8600158.6311113797</v>
      </c>
      <c r="L139">
        <v>11928325.463704823</v>
      </c>
      <c r="M139">
        <v>7614277.3336768625</v>
      </c>
      <c r="N139">
        <f t="shared" si="3"/>
        <v>0.17849475315625893</v>
      </c>
    </row>
    <row r="140" spans="1:14" x14ac:dyDescent="0.45">
      <c r="A140" t="s">
        <v>225</v>
      </c>
      <c r="B140">
        <v>1575733.2900824654</v>
      </c>
      <c r="C140">
        <v>3184234.7297333828</v>
      </c>
      <c r="D140">
        <v>1364593.1609129065</v>
      </c>
      <c r="E140">
        <v>536963.84246135724</v>
      </c>
      <c r="F140">
        <v>987037.86498859944</v>
      </c>
      <c r="G140">
        <v>799556.61878987856</v>
      </c>
      <c r="H140">
        <v>524722.24161304394</v>
      </c>
      <c r="I140">
        <v>1665960.1091391381</v>
      </c>
      <c r="J140">
        <v>768358.06247098651</v>
      </c>
      <c r="K140">
        <v>537635.83991862508</v>
      </c>
      <c r="L140">
        <v>507546.7584138508</v>
      </c>
      <c r="M140">
        <v>766000.59445388243</v>
      </c>
      <c r="N140">
        <f t="shared" si="3"/>
        <v>0.18178096999303558</v>
      </c>
    </row>
    <row r="141" spans="1:14" x14ac:dyDescent="0.45">
      <c r="A141" t="s">
        <v>289</v>
      </c>
      <c r="B141">
        <v>4085524.927021387</v>
      </c>
      <c r="C141">
        <v>39000852.266944282</v>
      </c>
      <c r="D141">
        <v>21233662.7156852</v>
      </c>
      <c r="E141">
        <v>23920611.412824277</v>
      </c>
      <c r="F141">
        <v>61880935.772550769</v>
      </c>
      <c r="G141">
        <v>34830821.169567823</v>
      </c>
      <c r="H141">
        <v>18501712.735943072</v>
      </c>
      <c r="I141">
        <v>26852249.708890915</v>
      </c>
      <c r="J141">
        <v>9662281.8976799548</v>
      </c>
      <c r="K141">
        <v>16713021.837091109</v>
      </c>
      <c r="L141">
        <v>25519699.110662937</v>
      </c>
      <c r="M141">
        <v>15732700.390956715</v>
      </c>
      <c r="N141">
        <f t="shared" si="3"/>
        <v>0.1830674273345998</v>
      </c>
    </row>
    <row r="142" spans="1:14" x14ac:dyDescent="0.45">
      <c r="A142" t="s">
        <v>177</v>
      </c>
      <c r="B142">
        <v>2191172.7001893306</v>
      </c>
      <c r="C142">
        <v>6618788.4370907545</v>
      </c>
      <c r="D142">
        <v>4007508.7333242199</v>
      </c>
      <c r="E142">
        <v>5520298.7567327889</v>
      </c>
      <c r="F142">
        <v>5923970.5952904001</v>
      </c>
      <c r="G142">
        <v>4377617.5655010678</v>
      </c>
      <c r="H142">
        <v>2979343.067920709</v>
      </c>
      <c r="I142">
        <v>2619225.4789989581</v>
      </c>
      <c r="J142">
        <v>2511895.8418691889</v>
      </c>
      <c r="K142">
        <v>4266552.6878996659</v>
      </c>
      <c r="L142">
        <v>5648052.2225758862</v>
      </c>
      <c r="M142">
        <v>3659561.5875098775</v>
      </c>
      <c r="N142">
        <f t="shared" si="3"/>
        <v>0.18482449605414264</v>
      </c>
    </row>
    <row r="143" spans="1:14" x14ac:dyDescent="0.45">
      <c r="A143" t="s">
        <v>379</v>
      </c>
      <c r="B143">
        <v>21809369.369018428</v>
      </c>
      <c r="C143">
        <v>36346902.967421092</v>
      </c>
      <c r="D143">
        <v>25068523.780417413</v>
      </c>
      <c r="E143">
        <v>13735101.092621852</v>
      </c>
      <c r="F143">
        <v>16477227.876243643</v>
      </c>
      <c r="G143">
        <v>15391748.764662666</v>
      </c>
      <c r="H143">
        <v>13665095.403028078</v>
      </c>
      <c r="I143">
        <v>27042921.59404308</v>
      </c>
      <c r="J143">
        <v>16464703.094931427</v>
      </c>
      <c r="K143">
        <v>10179509.761732934</v>
      </c>
      <c r="L143">
        <v>13434948.430781806</v>
      </c>
      <c r="M143">
        <v>11794549.61108348</v>
      </c>
      <c r="N143">
        <f t="shared" si="3"/>
        <v>0.18487756600560107</v>
      </c>
    </row>
    <row r="144" spans="1:14" x14ac:dyDescent="0.45">
      <c r="A144" t="s">
        <v>359</v>
      </c>
      <c r="B144">
        <v>24350768.619688541</v>
      </c>
      <c r="C144">
        <v>74055156.077778116</v>
      </c>
      <c r="D144">
        <v>34864912.820403919</v>
      </c>
      <c r="E144">
        <v>53182470.130734108</v>
      </c>
      <c r="F144">
        <v>71755689.478524193</v>
      </c>
      <c r="G144">
        <v>69180857.971013695</v>
      </c>
      <c r="H144">
        <v>20564168.915329095</v>
      </c>
      <c r="I144">
        <v>50301418.991076693</v>
      </c>
      <c r="J144">
        <v>27807150.430487689</v>
      </c>
      <c r="K144">
        <v>31296715.582052927</v>
      </c>
      <c r="L144">
        <v>62729873.18760135</v>
      </c>
      <c r="M144">
        <v>43506030.391996957</v>
      </c>
      <c r="N144">
        <f t="shared" si="3"/>
        <v>0.18546692549533422</v>
      </c>
    </row>
    <row r="145" spans="1:14" x14ac:dyDescent="0.45">
      <c r="A145" t="s">
        <v>337</v>
      </c>
      <c r="B145">
        <v>94557426.570735127</v>
      </c>
      <c r="C145">
        <v>264198004.99335206</v>
      </c>
      <c r="D145">
        <v>159277921.35167849</v>
      </c>
      <c r="E145">
        <v>122446635.04418257</v>
      </c>
      <c r="F145">
        <v>412930946.58852446</v>
      </c>
      <c r="G145">
        <v>229346928.02968657</v>
      </c>
      <c r="H145">
        <v>122992345.67071123</v>
      </c>
      <c r="I145">
        <v>272125188.45936066</v>
      </c>
      <c r="J145">
        <v>76347817.337532923</v>
      </c>
      <c r="K145">
        <v>102387532.33278249</v>
      </c>
      <c r="L145">
        <v>142338807.43771097</v>
      </c>
      <c r="M145">
        <v>92197820.389658824</v>
      </c>
      <c r="N145">
        <f t="shared" si="3"/>
        <v>0.18669471877494068</v>
      </c>
    </row>
    <row r="146" spans="1:14" x14ac:dyDescent="0.45">
      <c r="A146" t="s">
        <v>242</v>
      </c>
      <c r="B146">
        <v>6303026.6167069944</v>
      </c>
      <c r="C146">
        <v>569779.05404208892</v>
      </c>
      <c r="D146">
        <v>6310691.779233532</v>
      </c>
      <c r="E146">
        <v>2197763.9734767387</v>
      </c>
      <c r="F146">
        <v>14250960.00393712</v>
      </c>
      <c r="G146">
        <v>19695729.320279054</v>
      </c>
      <c r="H146">
        <v>937721.9372781628</v>
      </c>
      <c r="I146">
        <v>12222589.513105379</v>
      </c>
      <c r="J146">
        <v>534292.61908712471</v>
      </c>
      <c r="K146">
        <v>580023.51288685272</v>
      </c>
      <c r="L146">
        <v>857430.44347592478</v>
      </c>
      <c r="M146">
        <v>4172654.286838593</v>
      </c>
      <c r="N146">
        <f t="shared" si="3"/>
        <v>0.18848820059543736</v>
      </c>
    </row>
    <row r="147" spans="1:14" x14ac:dyDescent="0.45">
      <c r="A147" t="s">
        <v>236</v>
      </c>
      <c r="B147">
        <v>2030068.1371105607</v>
      </c>
      <c r="C147">
        <v>11438378.5686695</v>
      </c>
      <c r="D147">
        <v>4531204.1460028766</v>
      </c>
      <c r="E147">
        <v>417217873.04128349</v>
      </c>
      <c r="F147">
        <v>489034581.57582599</v>
      </c>
      <c r="G147">
        <v>433049482.83713406</v>
      </c>
      <c r="H147">
        <v>410735019.68923247</v>
      </c>
      <c r="I147">
        <v>339624605.11208868</v>
      </c>
      <c r="J147">
        <v>243541618.35635898</v>
      </c>
      <c r="K147">
        <v>374300526.32104611</v>
      </c>
      <c r="L147">
        <v>538804567.25815749</v>
      </c>
      <c r="M147">
        <v>353059121.23866665</v>
      </c>
      <c r="N147">
        <f t="shared" si="3"/>
        <v>0.18850051324192463</v>
      </c>
    </row>
    <row r="148" spans="1:14" x14ac:dyDescent="0.45">
      <c r="A148" t="s">
        <v>231</v>
      </c>
      <c r="B148">
        <v>32391832.350904234</v>
      </c>
      <c r="C148">
        <v>90585051.14853549</v>
      </c>
      <c r="D148">
        <v>61862427.161512457</v>
      </c>
      <c r="E148">
        <v>81282133.14731966</v>
      </c>
      <c r="F148">
        <v>88022556.362642318</v>
      </c>
      <c r="G148">
        <v>81062092.120497316</v>
      </c>
      <c r="H148">
        <v>64668310.454522938</v>
      </c>
      <c r="I148">
        <v>52054895.1752121</v>
      </c>
      <c r="J148">
        <v>30437360.198838003</v>
      </c>
      <c r="K148">
        <v>68407289.95482403</v>
      </c>
      <c r="L148">
        <v>66090914.38222035</v>
      </c>
      <c r="M148">
        <v>62956279.083908826</v>
      </c>
      <c r="N148">
        <f t="shared" si="3"/>
        <v>0.19100323261245628</v>
      </c>
    </row>
    <row r="149" spans="1:14" x14ac:dyDescent="0.45">
      <c r="A149" t="s">
        <v>94</v>
      </c>
      <c r="B149">
        <v>123496002.1074847</v>
      </c>
      <c r="C149">
        <v>299221439.63087291</v>
      </c>
      <c r="D149">
        <v>278805268.84592855</v>
      </c>
      <c r="E149">
        <v>207525399.75324467</v>
      </c>
      <c r="F149">
        <v>299034300.13461781</v>
      </c>
      <c r="G149">
        <v>228176429.74342418</v>
      </c>
      <c r="H149">
        <v>191010062.20030975</v>
      </c>
      <c r="I149">
        <v>253816261.98282856</v>
      </c>
      <c r="J149">
        <v>204941517.40802553</v>
      </c>
      <c r="K149">
        <v>222670580.2760168</v>
      </c>
      <c r="L149">
        <v>123177468.98042001</v>
      </c>
      <c r="M149">
        <v>157658101.39652106</v>
      </c>
      <c r="N149">
        <f t="shared" si="3"/>
        <v>0.19213316295354813</v>
      </c>
    </row>
    <row r="150" spans="1:14" x14ac:dyDescent="0.45">
      <c r="A150" t="s">
        <v>433</v>
      </c>
      <c r="B150">
        <v>160581.60588963324</v>
      </c>
      <c r="C150">
        <v>1711270.5750292805</v>
      </c>
      <c r="D150">
        <v>252135.63110947734</v>
      </c>
      <c r="E150">
        <v>163907.4573527833</v>
      </c>
      <c r="F150">
        <v>297806.36507894931</v>
      </c>
      <c r="G150">
        <v>487070.0797821898</v>
      </c>
      <c r="H150">
        <v>149320.0525006103</v>
      </c>
      <c r="I150">
        <v>182027.91546009845</v>
      </c>
      <c r="J150">
        <v>141370.85774408357</v>
      </c>
      <c r="K150">
        <v>148338.24500967719</v>
      </c>
      <c r="L150">
        <v>199430.95828607032</v>
      </c>
      <c r="M150">
        <v>222549.85689670392</v>
      </c>
      <c r="N150">
        <f t="shared" si="3"/>
        <v>0.19760846145510552</v>
      </c>
    </row>
    <row r="151" spans="1:14" x14ac:dyDescent="0.45">
      <c r="A151" t="s">
        <v>213</v>
      </c>
      <c r="B151">
        <v>12942966.013789287</v>
      </c>
      <c r="C151">
        <v>48275680.446740381</v>
      </c>
      <c r="D151">
        <v>17905980.930414878</v>
      </c>
      <c r="E151">
        <v>21200839.926877476</v>
      </c>
      <c r="F151">
        <v>19633459.86761919</v>
      </c>
      <c r="G151">
        <v>18892257.134605877</v>
      </c>
      <c r="H151">
        <v>18785552.641848821</v>
      </c>
      <c r="I151">
        <v>15051388.548510943</v>
      </c>
      <c r="J151">
        <v>14871403.164085796</v>
      </c>
      <c r="K151">
        <v>19348520.713990796</v>
      </c>
      <c r="L151">
        <v>7868715.2899565706</v>
      </c>
      <c r="M151">
        <v>18105015.063938774</v>
      </c>
      <c r="N151">
        <f t="shared" si="3"/>
        <v>0.19982016135647132</v>
      </c>
    </row>
    <row r="152" spans="1:14" x14ac:dyDescent="0.45">
      <c r="A152" t="s">
        <v>282</v>
      </c>
      <c r="B152">
        <v>3416708.403466743</v>
      </c>
      <c r="C152">
        <v>44911948.229483061</v>
      </c>
      <c r="D152">
        <v>43194627.26728119</v>
      </c>
      <c r="E152">
        <v>12381134.452574482</v>
      </c>
      <c r="F152">
        <v>51804085.432225555</v>
      </c>
      <c r="G152">
        <v>44382510.999831468</v>
      </c>
      <c r="H152">
        <v>30700282.923755925</v>
      </c>
      <c r="I152">
        <v>18691012.336171791</v>
      </c>
      <c r="J152">
        <v>21453302.925873827</v>
      </c>
      <c r="K152">
        <v>24751808.023319658</v>
      </c>
      <c r="L152">
        <v>15079006.674140759</v>
      </c>
      <c r="M152">
        <v>19290693.567469705</v>
      </c>
      <c r="N152">
        <f t="shared" si="3"/>
        <v>0.20011643223742384</v>
      </c>
    </row>
    <row r="153" spans="1:14" x14ac:dyDescent="0.45">
      <c r="A153" t="s">
        <v>301</v>
      </c>
      <c r="B153">
        <v>476798520.66718829</v>
      </c>
      <c r="C153">
        <v>1754513224.0987279</v>
      </c>
      <c r="D153">
        <v>1010727160.0136167</v>
      </c>
      <c r="E153">
        <v>1317487482.8642647</v>
      </c>
      <c r="F153">
        <v>1946314532.2270844</v>
      </c>
      <c r="G153">
        <v>1116813894.6334934</v>
      </c>
      <c r="H153">
        <v>1141219037.6501389</v>
      </c>
      <c r="I153">
        <v>1069377529.5663137</v>
      </c>
      <c r="J153">
        <v>657673623.96376145</v>
      </c>
      <c r="K153">
        <v>746536826.11587703</v>
      </c>
      <c r="L153">
        <v>1216633347.7591326</v>
      </c>
      <c r="M153">
        <v>865133426.43364704</v>
      </c>
      <c r="N153">
        <f t="shared" si="3"/>
        <v>0.2035489579482288</v>
      </c>
    </row>
    <row r="154" spans="1:14" x14ac:dyDescent="0.45">
      <c r="A154" t="s">
        <v>425</v>
      </c>
      <c r="B154">
        <v>64856017.420523942</v>
      </c>
      <c r="C154">
        <v>38090300.585061528</v>
      </c>
      <c r="D154">
        <v>73036206.003076494</v>
      </c>
      <c r="E154">
        <v>28790690.193315428</v>
      </c>
      <c r="F154">
        <v>201793857.33924949</v>
      </c>
      <c r="G154">
        <v>237915266.92266017</v>
      </c>
      <c r="H154">
        <v>22469570.950737622</v>
      </c>
      <c r="I154">
        <v>125776815.96464138</v>
      </c>
      <c r="J154">
        <v>23029908.491917837</v>
      </c>
      <c r="K154">
        <v>25360770.511345614</v>
      </c>
      <c r="L154">
        <v>25941313.980084587</v>
      </c>
      <c r="M154">
        <v>89688662.727292165</v>
      </c>
      <c r="N154">
        <f t="shared" si="3"/>
        <v>0.20435347648823615</v>
      </c>
    </row>
    <row r="155" spans="1:14" x14ac:dyDescent="0.45">
      <c r="A155" t="s">
        <v>108</v>
      </c>
      <c r="B155">
        <v>2649911.8804749735</v>
      </c>
      <c r="C155">
        <v>18886256.759465523</v>
      </c>
      <c r="D155">
        <v>14154876.443962542</v>
      </c>
      <c r="E155">
        <v>15638023.654724384</v>
      </c>
      <c r="F155">
        <v>20439031.274806362</v>
      </c>
      <c r="G155">
        <v>17120409.237614147</v>
      </c>
      <c r="H155">
        <v>11908334.654155532</v>
      </c>
      <c r="I155">
        <v>11695796.137507154</v>
      </c>
      <c r="J155">
        <v>8744667.377965115</v>
      </c>
      <c r="K155">
        <v>9374299.4375048038</v>
      </c>
      <c r="L155">
        <v>14180124.453147424</v>
      </c>
      <c r="M155">
        <v>11079777.827887744</v>
      </c>
      <c r="N155">
        <f t="shared" si="3"/>
        <v>0.20887779240854323</v>
      </c>
    </row>
    <row r="156" spans="1:14" x14ac:dyDescent="0.45">
      <c r="A156" t="s">
        <v>64</v>
      </c>
      <c r="B156">
        <v>9107209.0653089751</v>
      </c>
      <c r="C156">
        <v>64198767.808554098</v>
      </c>
      <c r="D156">
        <v>35530356.296356224</v>
      </c>
      <c r="E156">
        <v>39339013.06488125</v>
      </c>
      <c r="F156">
        <v>46650437.959684022</v>
      </c>
      <c r="G156">
        <v>39905351.323221803</v>
      </c>
      <c r="H156">
        <v>26771608.721795559</v>
      </c>
      <c r="I156">
        <v>30040823.315044221</v>
      </c>
      <c r="J156">
        <v>21542903.965363484</v>
      </c>
      <c r="K156">
        <v>27428801.084027108</v>
      </c>
      <c r="L156">
        <v>37489028.820391893</v>
      </c>
      <c r="M156">
        <v>30141082.456296716</v>
      </c>
      <c r="N156">
        <f t="shared" si="3"/>
        <v>0.20899362635647686</v>
      </c>
    </row>
    <row r="157" spans="1:14" x14ac:dyDescent="0.45">
      <c r="A157" t="s">
        <v>146</v>
      </c>
      <c r="B157">
        <v>1798626.3168936423</v>
      </c>
      <c r="C157">
        <v>5206718.4423884163</v>
      </c>
      <c r="D157">
        <v>4122163.6938762176</v>
      </c>
      <c r="E157">
        <v>3498070.0044470299</v>
      </c>
      <c r="F157">
        <v>4934072.4161577364</v>
      </c>
      <c r="G157">
        <v>4531466.545985912</v>
      </c>
      <c r="H157">
        <v>3021314.2489320883</v>
      </c>
      <c r="I157">
        <v>3163308.4549830244</v>
      </c>
      <c r="J157">
        <v>2373760.1802142826</v>
      </c>
      <c r="K157">
        <v>2374227.5944265863</v>
      </c>
      <c r="L157">
        <v>1434444.3982993758</v>
      </c>
      <c r="M157">
        <v>5598857.9485009806</v>
      </c>
      <c r="N157">
        <f t="shared" si="3"/>
        <v>0.21381288769576581</v>
      </c>
    </row>
    <row r="158" spans="1:14" x14ac:dyDescent="0.45">
      <c r="A158" t="s">
        <v>372</v>
      </c>
      <c r="B158">
        <v>932193.0330056625</v>
      </c>
      <c r="C158">
        <v>2412977.8154418999</v>
      </c>
      <c r="D158">
        <v>1460136.7577681062</v>
      </c>
      <c r="E158">
        <v>1036983.9340537665</v>
      </c>
      <c r="F158">
        <v>1315487.2861368794</v>
      </c>
      <c r="G158">
        <v>1261390.3445367063</v>
      </c>
      <c r="H158">
        <v>1038643.5434539947</v>
      </c>
      <c r="I158">
        <v>1012342.6194739518</v>
      </c>
      <c r="J158">
        <v>869927.74349526351</v>
      </c>
      <c r="K158">
        <v>908092.94534040731</v>
      </c>
      <c r="L158">
        <v>1340006.4388985133</v>
      </c>
      <c r="M158">
        <v>1395595.9281687499</v>
      </c>
      <c r="N158">
        <f t="shared" si="3"/>
        <v>0.2172430313229399</v>
      </c>
    </row>
    <row r="159" spans="1:14" x14ac:dyDescent="0.45">
      <c r="A159" t="s">
        <v>228</v>
      </c>
      <c r="B159">
        <v>13703150.650411693</v>
      </c>
      <c r="C159">
        <v>66566151.564450055</v>
      </c>
      <c r="D159">
        <v>24436647.028407764</v>
      </c>
      <c r="E159">
        <v>53751424.137216903</v>
      </c>
      <c r="F159">
        <v>60487851.262521148</v>
      </c>
      <c r="G159">
        <v>49073950.242554024</v>
      </c>
      <c r="H159">
        <v>34900202.647119455</v>
      </c>
      <c r="I159">
        <v>24537279.542594507</v>
      </c>
      <c r="J159">
        <v>22405465.987360924</v>
      </c>
      <c r="K159">
        <v>36569093.222321205</v>
      </c>
      <c r="L159">
        <v>46794876.049064003</v>
      </c>
      <c r="M159">
        <v>29849481.606764801</v>
      </c>
      <c r="N159">
        <f t="shared" si="3"/>
        <v>0.22061978509356778</v>
      </c>
    </row>
    <row r="160" spans="1:14" x14ac:dyDescent="0.45">
      <c r="A160" t="s">
        <v>143</v>
      </c>
      <c r="B160">
        <v>123366398.29550099</v>
      </c>
      <c r="C160">
        <v>850404996.36908269</v>
      </c>
      <c r="D160">
        <v>256052829.18275875</v>
      </c>
      <c r="E160">
        <v>350707022.90135777</v>
      </c>
      <c r="F160">
        <v>396859845.82535231</v>
      </c>
      <c r="G160">
        <v>225741868.67345166</v>
      </c>
      <c r="H160">
        <v>262487328.50318497</v>
      </c>
      <c r="I160">
        <v>155105512.42818314</v>
      </c>
      <c r="J160">
        <v>142241431.24491173</v>
      </c>
      <c r="K160">
        <v>231259373.43653718</v>
      </c>
      <c r="L160">
        <v>367232204.52099639</v>
      </c>
      <c r="M160">
        <v>188185698.91551766</v>
      </c>
      <c r="N160">
        <f t="shared" si="3"/>
        <v>0.2224014906905071</v>
      </c>
    </row>
    <row r="161" spans="1:14" x14ac:dyDescent="0.45">
      <c r="A161" t="s">
        <v>430</v>
      </c>
      <c r="B161">
        <v>701241787.61679316</v>
      </c>
      <c r="C161">
        <v>2564751656.3432622</v>
      </c>
      <c r="D161">
        <v>1221096393.6209977</v>
      </c>
      <c r="E161">
        <v>1696367130.6307435</v>
      </c>
      <c r="F161">
        <v>1887470437.9110847</v>
      </c>
      <c r="G161">
        <v>1305672105.1829517</v>
      </c>
      <c r="H161">
        <v>1294759889.7821968</v>
      </c>
      <c r="I161">
        <v>1141515314.3162379</v>
      </c>
      <c r="J161">
        <v>828306348.10341585</v>
      </c>
      <c r="K161">
        <v>1071291003.5674556</v>
      </c>
      <c r="L161">
        <v>1645975878.6889393</v>
      </c>
      <c r="M161">
        <v>1180263523.3938284</v>
      </c>
      <c r="N161">
        <f t="shared" si="3"/>
        <v>0.22279770757078876</v>
      </c>
    </row>
    <row r="162" spans="1:14" x14ac:dyDescent="0.45">
      <c r="A162" t="s">
        <v>92</v>
      </c>
      <c r="B162">
        <v>5154343.7710132487</v>
      </c>
      <c r="C162">
        <v>5122082.9296311243</v>
      </c>
      <c r="D162">
        <v>5776266.7504231259</v>
      </c>
      <c r="E162">
        <v>8596880.0643285122</v>
      </c>
      <c r="F162">
        <v>10538176.887200309</v>
      </c>
      <c r="G162">
        <v>9591388.596832389</v>
      </c>
      <c r="H162">
        <v>6238567.258059389</v>
      </c>
      <c r="I162">
        <v>7860354.0847038068</v>
      </c>
      <c r="J162">
        <v>2747736.1755544245</v>
      </c>
      <c r="K162">
        <v>2962028.1225497229</v>
      </c>
      <c r="L162">
        <v>9284456.2858370021</v>
      </c>
      <c r="M162">
        <v>4268424.7315694308</v>
      </c>
      <c r="N162">
        <f t="shared" si="3"/>
        <v>0.22474916023405972</v>
      </c>
    </row>
    <row r="163" spans="1:14" x14ac:dyDescent="0.45">
      <c r="A163" t="s">
        <v>111</v>
      </c>
      <c r="B163">
        <v>24095184.570249598</v>
      </c>
      <c r="C163">
        <v>19906312.971313573</v>
      </c>
      <c r="D163">
        <v>23753459.517721411</v>
      </c>
      <c r="E163">
        <v>19063762.25022598</v>
      </c>
      <c r="F163">
        <v>50792184.144885331</v>
      </c>
      <c r="G163">
        <v>72706236.984612137</v>
      </c>
      <c r="H163">
        <v>18828427.758020803</v>
      </c>
      <c r="I163">
        <v>48366757.485238552</v>
      </c>
      <c r="J163">
        <v>16875606.253216259</v>
      </c>
      <c r="K163">
        <v>11282387.092213949</v>
      </c>
      <c r="L163">
        <v>14562787.074892862</v>
      </c>
      <c r="M163">
        <v>19232560.857040145</v>
      </c>
      <c r="N163">
        <f t="shared" si="3"/>
        <v>0.22654422725522402</v>
      </c>
    </row>
    <row r="164" spans="1:14" x14ac:dyDescent="0.45">
      <c r="A164" t="s">
        <v>284</v>
      </c>
      <c r="B164">
        <v>11502504.36841145</v>
      </c>
      <c r="C164">
        <v>35480577.974528193</v>
      </c>
      <c r="D164">
        <v>21399712.532589052</v>
      </c>
      <c r="E164">
        <v>30837469.380293835</v>
      </c>
      <c r="F164">
        <v>31244825.986058801</v>
      </c>
      <c r="G164">
        <v>26306931.242629983</v>
      </c>
      <c r="H164">
        <v>22995053.331606425</v>
      </c>
      <c r="I164">
        <v>20949306.037244629</v>
      </c>
      <c r="J164">
        <v>14370085.41063752</v>
      </c>
      <c r="K164">
        <v>18530736.516099997</v>
      </c>
      <c r="L164">
        <v>27507327.541319415</v>
      </c>
      <c r="M164">
        <v>21859028.822169263</v>
      </c>
      <c r="N164">
        <f t="shared" si="3"/>
        <v>0.22679349197096785</v>
      </c>
    </row>
    <row r="165" spans="1:14" x14ac:dyDescent="0.45">
      <c r="A165" t="s">
        <v>215</v>
      </c>
      <c r="B165">
        <v>7261527.7120373053</v>
      </c>
      <c r="C165">
        <v>15586577.636601487</v>
      </c>
      <c r="D165">
        <v>6651820.9371167729</v>
      </c>
      <c r="E165">
        <v>8694372.2522444502</v>
      </c>
      <c r="F165">
        <v>24344752.792541619</v>
      </c>
      <c r="G165">
        <v>10771017.670811027</v>
      </c>
      <c r="H165">
        <v>5990403.8521562768</v>
      </c>
      <c r="I165">
        <v>4328912.28693341</v>
      </c>
      <c r="J165">
        <v>7483060.1232300252</v>
      </c>
      <c r="K165">
        <v>10532756.572404953</v>
      </c>
      <c r="L165">
        <v>14281784.816855347</v>
      </c>
      <c r="M165">
        <v>6709183.1706443625</v>
      </c>
      <c r="N165">
        <f t="shared" si="3"/>
        <v>0.23011849237815524</v>
      </c>
    </row>
    <row r="166" spans="1:14" x14ac:dyDescent="0.45">
      <c r="A166" t="s">
        <v>382</v>
      </c>
      <c r="B166">
        <v>2694858.9686397999</v>
      </c>
      <c r="C166">
        <v>7914859.3021844337</v>
      </c>
      <c r="D166">
        <v>4376362.6647436908</v>
      </c>
      <c r="E166">
        <v>12953683.820045419</v>
      </c>
      <c r="F166">
        <v>33945845.056180961</v>
      </c>
      <c r="G166">
        <v>13301914.773956407</v>
      </c>
      <c r="H166">
        <v>10185241.249523943</v>
      </c>
      <c r="I166">
        <v>6148519.0923540331</v>
      </c>
      <c r="J166">
        <v>3639074.8709837827</v>
      </c>
      <c r="K166">
        <v>5159950.5542197404</v>
      </c>
      <c r="L166">
        <v>8872262.6923198644</v>
      </c>
      <c r="M166">
        <v>4848384.646763254</v>
      </c>
      <c r="N166">
        <f t="shared" si="3"/>
        <v>0.23088338012574172</v>
      </c>
    </row>
    <row r="167" spans="1:14" x14ac:dyDescent="0.45">
      <c r="A167" t="s">
        <v>62</v>
      </c>
      <c r="B167">
        <v>19080795.154267382</v>
      </c>
      <c r="C167">
        <v>7547927.9414803805</v>
      </c>
      <c r="D167">
        <v>16107822.272625988</v>
      </c>
      <c r="E167">
        <v>20373232.098510962</v>
      </c>
      <c r="F167">
        <v>15311275.485298915</v>
      </c>
      <c r="G167">
        <v>19859238.955938991</v>
      </c>
      <c r="H167">
        <v>14967203.595964096</v>
      </c>
      <c r="I167">
        <v>17138819.57275058</v>
      </c>
      <c r="J167">
        <v>10606619.916496694</v>
      </c>
      <c r="K167">
        <v>13053665.287382811</v>
      </c>
      <c r="L167">
        <v>16989118.520953462</v>
      </c>
      <c r="M167">
        <v>4088288.9503227598</v>
      </c>
      <c r="N167">
        <f t="shared" si="3"/>
        <v>0.23190906388411114</v>
      </c>
    </row>
    <row r="168" spans="1:14" x14ac:dyDescent="0.45">
      <c r="A168" t="s">
        <v>345</v>
      </c>
      <c r="B168">
        <v>5508324.4766488345</v>
      </c>
      <c r="C168">
        <v>107609894.82599317</v>
      </c>
      <c r="D168">
        <v>4693359.3035738189</v>
      </c>
      <c r="E168">
        <v>9608106.8039600588</v>
      </c>
      <c r="F168">
        <v>27515985.707832258</v>
      </c>
      <c r="G168">
        <v>6274206.4995432142</v>
      </c>
      <c r="H168">
        <v>3147448.4513276317</v>
      </c>
      <c r="I168">
        <v>12737055.958003944</v>
      </c>
      <c r="J168">
        <v>4872624.3636465026</v>
      </c>
      <c r="K168">
        <v>3662515.5510599413</v>
      </c>
      <c r="L168">
        <v>5908417.5095132999</v>
      </c>
      <c r="M168">
        <v>4500244.4543321421</v>
      </c>
      <c r="N168">
        <f t="shared" si="3"/>
        <v>0.23282768380379074</v>
      </c>
    </row>
    <row r="169" spans="1:14" x14ac:dyDescent="0.45">
      <c r="A169" t="s">
        <v>129</v>
      </c>
      <c r="B169">
        <v>98545063.479930699</v>
      </c>
      <c r="C169">
        <v>1057213386.5567108</v>
      </c>
      <c r="D169">
        <v>118208257.30162136</v>
      </c>
      <c r="E169">
        <v>174535082.59586763</v>
      </c>
      <c r="F169">
        <v>171210617.4550496</v>
      </c>
      <c r="G169">
        <v>149306835.49677905</v>
      </c>
      <c r="H169">
        <v>119371127.53851855</v>
      </c>
      <c r="I169">
        <v>104463594.57134323</v>
      </c>
      <c r="J169">
        <v>70623499.979298204</v>
      </c>
      <c r="K169">
        <v>99153848.640219629</v>
      </c>
      <c r="L169">
        <v>110712019.92582871</v>
      </c>
      <c r="M169">
        <v>123688360.91755293</v>
      </c>
      <c r="N169">
        <f t="shared" si="3"/>
        <v>0.24268995641262398</v>
      </c>
    </row>
    <row r="170" spans="1:14" x14ac:dyDescent="0.45">
      <c r="A170" t="s">
        <v>237</v>
      </c>
      <c r="B170">
        <v>23076583.529049203</v>
      </c>
      <c r="C170">
        <v>64451016.432927802</v>
      </c>
      <c r="D170">
        <v>47737350.155053213</v>
      </c>
      <c r="E170">
        <v>1528420245.3697591</v>
      </c>
      <c r="F170">
        <v>1746407514.7985518</v>
      </c>
      <c r="G170">
        <v>1425197240.6870527</v>
      </c>
      <c r="H170">
        <v>1309678286.507947</v>
      </c>
      <c r="I170">
        <v>1188641565.0133669</v>
      </c>
      <c r="J170">
        <v>847201424.19273102</v>
      </c>
      <c r="K170">
        <v>1244268821.2006969</v>
      </c>
      <c r="L170">
        <v>1758936997.927428</v>
      </c>
      <c r="M170">
        <v>1190092656.0107942</v>
      </c>
      <c r="N170">
        <f t="shared" si="3"/>
        <v>0.24318081200475</v>
      </c>
    </row>
    <row r="171" spans="1:14" x14ac:dyDescent="0.45">
      <c r="A171" t="s">
        <v>166</v>
      </c>
      <c r="B171">
        <v>1835741.4898505032</v>
      </c>
      <c r="C171">
        <v>4604848.3207420101</v>
      </c>
      <c r="D171">
        <v>2078667.6336684402</v>
      </c>
      <c r="E171">
        <v>2907710.2866935385</v>
      </c>
      <c r="F171">
        <v>2711504.1865848806</v>
      </c>
      <c r="G171">
        <v>3429477.4756929683</v>
      </c>
      <c r="H171">
        <v>1013444.0056986829</v>
      </c>
      <c r="I171">
        <v>2279225.3933565123</v>
      </c>
      <c r="J171">
        <v>1882543.8058972917</v>
      </c>
      <c r="K171">
        <v>2012044.3918230981</v>
      </c>
      <c r="L171">
        <v>4111873.2121914881</v>
      </c>
      <c r="M171">
        <v>1947566.4190781126</v>
      </c>
      <c r="N171">
        <f t="shared" si="3"/>
        <v>0.24702691669618726</v>
      </c>
    </row>
    <row r="172" spans="1:14" x14ac:dyDescent="0.45">
      <c r="A172" t="s">
        <v>116</v>
      </c>
      <c r="B172">
        <v>2558524.1646764046</v>
      </c>
      <c r="C172">
        <v>9213029.0966099016</v>
      </c>
      <c r="D172">
        <v>5893943.2983938893</v>
      </c>
      <c r="E172">
        <v>5731437.2847545445</v>
      </c>
      <c r="F172">
        <v>9339231.9579586536</v>
      </c>
      <c r="G172">
        <v>6667525.2266959902</v>
      </c>
      <c r="H172">
        <v>6564066.248510126</v>
      </c>
      <c r="I172">
        <v>5159562.6474050749</v>
      </c>
      <c r="J172">
        <v>4363735.5866354359</v>
      </c>
      <c r="K172">
        <v>4124903.6148810959</v>
      </c>
      <c r="L172">
        <v>7776936.9693955742</v>
      </c>
      <c r="M172">
        <v>1414729.2721438627</v>
      </c>
      <c r="N172">
        <f t="shared" si="3"/>
        <v>0.25076646642621842</v>
      </c>
    </row>
    <row r="173" spans="1:14" x14ac:dyDescent="0.45">
      <c r="A173" t="s">
        <v>240</v>
      </c>
      <c r="B173">
        <v>34593156.110233426</v>
      </c>
      <c r="C173">
        <v>113532479.4349089</v>
      </c>
      <c r="D173">
        <v>60765438.151151776</v>
      </c>
      <c r="E173">
        <v>74241267.809547871</v>
      </c>
      <c r="F173">
        <v>91953800.454657167</v>
      </c>
      <c r="G173">
        <v>73827218.496565461</v>
      </c>
      <c r="H173">
        <v>69497213.225271612</v>
      </c>
      <c r="I173">
        <v>55409417.828991264</v>
      </c>
      <c r="J173">
        <v>46018531.964970894</v>
      </c>
      <c r="K173">
        <v>69008388.913981065</v>
      </c>
      <c r="L173">
        <v>73406878.787314102</v>
      </c>
      <c r="M173">
        <v>48516408.223987453</v>
      </c>
      <c r="N173">
        <f t="shared" si="3"/>
        <v>0.25382175170410687</v>
      </c>
    </row>
    <row r="174" spans="1:14" x14ac:dyDescent="0.45">
      <c r="A174" t="s">
        <v>106</v>
      </c>
      <c r="B174">
        <v>3532245.5285639544</v>
      </c>
      <c r="C174">
        <v>2487965.6638017232</v>
      </c>
      <c r="D174">
        <v>4773576.3379361695</v>
      </c>
      <c r="E174">
        <v>1669753.6355362074</v>
      </c>
      <c r="F174">
        <v>9491272.649989251</v>
      </c>
      <c r="G174">
        <v>10131480.598734833</v>
      </c>
      <c r="H174">
        <v>1763354.0440760851</v>
      </c>
      <c r="I174">
        <v>4767894.4731377978</v>
      </c>
      <c r="J174">
        <v>2871687.1706849001</v>
      </c>
      <c r="K174">
        <v>1124883.6619190844</v>
      </c>
      <c r="L174">
        <v>856593.81168947881</v>
      </c>
      <c r="M174">
        <v>7542120.0731330393</v>
      </c>
      <c r="N174">
        <f t="shared" si="3"/>
        <v>0.25429362332817756</v>
      </c>
    </row>
    <row r="175" spans="1:14" x14ac:dyDescent="0.45">
      <c r="A175" t="s">
        <v>168</v>
      </c>
      <c r="B175">
        <v>5339694.8134154743</v>
      </c>
      <c r="C175">
        <v>40863481.473412327</v>
      </c>
      <c r="D175">
        <v>8357285.3094050279</v>
      </c>
      <c r="E175">
        <v>28562193.270692065</v>
      </c>
      <c r="F175">
        <v>21483469.836986303</v>
      </c>
      <c r="G175">
        <v>6589359.8698833231</v>
      </c>
      <c r="H175">
        <v>14360167.619113052</v>
      </c>
      <c r="I175">
        <v>11633061.711196709</v>
      </c>
      <c r="J175">
        <v>17007496.808539964</v>
      </c>
      <c r="K175">
        <v>5813058.2148418818</v>
      </c>
      <c r="L175">
        <v>13543710.082072128</v>
      </c>
      <c r="M175">
        <v>4471796.0250638183</v>
      </c>
      <c r="N175">
        <f t="shared" si="3"/>
        <v>0.26028114426434296</v>
      </c>
    </row>
    <row r="176" spans="1:14" x14ac:dyDescent="0.45">
      <c r="A176" t="s">
        <v>57</v>
      </c>
      <c r="B176">
        <v>14845242.853392124</v>
      </c>
      <c r="C176">
        <v>8154676.0614592331</v>
      </c>
      <c r="D176">
        <v>20504672.24137729</v>
      </c>
      <c r="E176">
        <v>24380550.240942426</v>
      </c>
      <c r="F176">
        <v>16578528.632929044</v>
      </c>
      <c r="G176">
        <v>20326138.445000045</v>
      </c>
      <c r="H176">
        <v>9967118.5382931121</v>
      </c>
      <c r="I176">
        <v>14351150.167418355</v>
      </c>
      <c r="J176">
        <v>14518130.826573718</v>
      </c>
      <c r="K176">
        <v>12323627.640939223</v>
      </c>
      <c r="L176">
        <v>21466950.548643757</v>
      </c>
      <c r="M176">
        <v>12058540.277673528</v>
      </c>
      <c r="N176">
        <f t="shared" si="3"/>
        <v>0.26213598871241717</v>
      </c>
    </row>
    <row r="177" spans="1:14" x14ac:dyDescent="0.45">
      <c r="A177" t="s">
        <v>211</v>
      </c>
      <c r="B177">
        <v>6627138.6553256009</v>
      </c>
      <c r="C177">
        <v>25991458.688776255</v>
      </c>
      <c r="D177">
        <v>13479530.677891772</v>
      </c>
      <c r="E177">
        <v>22415957.114742763</v>
      </c>
      <c r="F177">
        <v>24941931.503960673</v>
      </c>
      <c r="G177">
        <v>18832031.907405563</v>
      </c>
      <c r="H177">
        <v>16261054.069389062</v>
      </c>
      <c r="I177">
        <v>14134470.667057211</v>
      </c>
      <c r="J177">
        <v>11401261.755575551</v>
      </c>
      <c r="K177">
        <v>11095746.682579178</v>
      </c>
      <c r="L177">
        <v>23152412.460274883</v>
      </c>
      <c r="M177">
        <v>10460713.134432059</v>
      </c>
      <c r="N177">
        <f t="shared" si="3"/>
        <v>0.26343788736780727</v>
      </c>
    </row>
    <row r="178" spans="1:14" x14ac:dyDescent="0.45">
      <c r="A178" t="s">
        <v>44</v>
      </c>
      <c r="B178">
        <v>1211016.6160526192</v>
      </c>
      <c r="C178">
        <v>7177949.6619753139</v>
      </c>
      <c r="D178">
        <v>1832078.6922090461</v>
      </c>
      <c r="E178">
        <v>2481833.5671570748</v>
      </c>
      <c r="F178">
        <v>3460320.7938704649</v>
      </c>
      <c r="G178">
        <v>2248047.472849247</v>
      </c>
      <c r="H178">
        <v>1404961.4212657281</v>
      </c>
      <c r="I178">
        <v>1819076.2694772615</v>
      </c>
      <c r="J178">
        <v>1413732.1480822866</v>
      </c>
      <c r="K178">
        <v>2464471.0214571673</v>
      </c>
      <c r="L178">
        <v>2988666.1142947688</v>
      </c>
      <c r="M178">
        <v>1878029.0318979754</v>
      </c>
      <c r="N178">
        <f t="shared" si="3"/>
        <v>0.2665388059032428</v>
      </c>
    </row>
    <row r="179" spans="1:14" x14ac:dyDescent="0.45">
      <c r="A179" t="s">
        <v>348</v>
      </c>
      <c r="B179">
        <v>33100702.116336774</v>
      </c>
      <c r="C179">
        <v>90603736.318125725</v>
      </c>
      <c r="D179">
        <v>52175094.484795019</v>
      </c>
      <c r="E179">
        <v>54990355.28788738</v>
      </c>
      <c r="F179">
        <v>83194657.767549992</v>
      </c>
      <c r="G179">
        <v>76411736.938792497</v>
      </c>
      <c r="H179">
        <v>47598840.985346414</v>
      </c>
      <c r="I179">
        <v>64255367.944611296</v>
      </c>
      <c r="J179">
        <v>41208179.354502358</v>
      </c>
      <c r="K179">
        <v>49191639.8430859</v>
      </c>
      <c r="L179">
        <v>56240501.266545549</v>
      </c>
      <c r="M179">
        <v>63463937.537219606</v>
      </c>
      <c r="N179">
        <f t="shared" si="3"/>
        <v>0.2665904009214986</v>
      </c>
    </row>
    <row r="180" spans="1:14" x14ac:dyDescent="0.45">
      <c r="A180" t="s">
        <v>355</v>
      </c>
      <c r="B180">
        <v>201983442.27077767</v>
      </c>
      <c r="C180">
        <v>704135041.89705288</v>
      </c>
      <c r="D180">
        <v>249821531.12722138</v>
      </c>
      <c r="E180">
        <v>335692474.56866753</v>
      </c>
      <c r="F180">
        <v>253119505.79297489</v>
      </c>
      <c r="G180">
        <v>308425008.94167668</v>
      </c>
      <c r="H180">
        <v>141481059.88839328</v>
      </c>
      <c r="I180">
        <v>327867951.87606871</v>
      </c>
      <c r="J180">
        <v>248031529.13700771</v>
      </c>
      <c r="K180">
        <v>210371433.17201397</v>
      </c>
      <c r="L180">
        <v>396634384.6766839</v>
      </c>
      <c r="M180">
        <v>120140031.84053089</v>
      </c>
      <c r="N180">
        <f t="shared" si="3"/>
        <v>0.26918705885445748</v>
      </c>
    </row>
    <row r="181" spans="1:14" x14ac:dyDescent="0.45">
      <c r="A181" t="s">
        <v>350</v>
      </c>
      <c r="B181">
        <v>8980356.3132415451</v>
      </c>
      <c r="C181">
        <v>1243240.9154549574</v>
      </c>
      <c r="D181">
        <v>6566568.8252539886</v>
      </c>
      <c r="E181">
        <v>13237695.252677368</v>
      </c>
      <c r="F181">
        <v>20891402.612496302</v>
      </c>
      <c r="G181">
        <v>16527277.344677618</v>
      </c>
      <c r="H181">
        <v>2226008.8791094753</v>
      </c>
      <c r="I181">
        <v>9956420.9584143963</v>
      </c>
      <c r="J181">
        <v>5483548.905092109</v>
      </c>
      <c r="K181">
        <v>5994411.8993351869</v>
      </c>
      <c r="L181">
        <v>16150959.204519821</v>
      </c>
      <c r="M181">
        <v>2272144.1398688331</v>
      </c>
      <c r="N181">
        <f t="shared" si="3"/>
        <v>0.26987807398833807</v>
      </c>
    </row>
    <row r="182" spans="1:14" x14ac:dyDescent="0.45">
      <c r="A182" t="s">
        <v>234</v>
      </c>
      <c r="B182">
        <v>39422089.570591189</v>
      </c>
      <c r="C182">
        <v>24466126.970583782</v>
      </c>
      <c r="D182">
        <v>18815344.123653967</v>
      </c>
      <c r="E182">
        <v>8850857.4282607734</v>
      </c>
      <c r="F182">
        <v>14973991.941652089</v>
      </c>
      <c r="G182">
        <v>18601664.931225765</v>
      </c>
      <c r="H182">
        <v>5760223.6313672811</v>
      </c>
      <c r="I182">
        <v>33164999.65956467</v>
      </c>
      <c r="J182">
        <v>7185143.5036361823</v>
      </c>
      <c r="K182">
        <v>7770211.0643377416</v>
      </c>
      <c r="L182">
        <v>10068514.784688784</v>
      </c>
      <c r="M182">
        <v>18763442.109287057</v>
      </c>
      <c r="N182">
        <f t="shared" si="3"/>
        <v>0.27091012965468414</v>
      </c>
    </row>
    <row r="183" spans="1:14" x14ac:dyDescent="0.45">
      <c r="A183" t="s">
        <v>271</v>
      </c>
      <c r="B183">
        <v>13009621.871739144</v>
      </c>
      <c r="C183">
        <v>41993213.14600829</v>
      </c>
      <c r="D183">
        <v>32679223.53748076</v>
      </c>
      <c r="E183">
        <v>52933896.220432959</v>
      </c>
      <c r="F183">
        <v>120764885.57297219</v>
      </c>
      <c r="G183">
        <v>179888991.64687887</v>
      </c>
      <c r="H183">
        <v>55298968.736580253</v>
      </c>
      <c r="I183">
        <v>43618503.77528587</v>
      </c>
      <c r="J183">
        <v>25029464.653807167</v>
      </c>
      <c r="K183">
        <v>33127435.92696619</v>
      </c>
      <c r="L183">
        <v>62290547.766901262</v>
      </c>
      <c r="M183">
        <v>38352593.597119555</v>
      </c>
      <c r="N183">
        <f t="shared" si="3"/>
        <v>0.27721939308341081</v>
      </c>
    </row>
    <row r="184" spans="1:14" x14ac:dyDescent="0.45">
      <c r="A184" t="s">
        <v>334</v>
      </c>
      <c r="B184">
        <v>9113587.7048100252</v>
      </c>
      <c r="C184">
        <v>7980941.8359896792</v>
      </c>
      <c r="D184">
        <v>16270006.403844537</v>
      </c>
      <c r="E184">
        <v>4533096.3789429693</v>
      </c>
      <c r="F184">
        <v>10774769.971311374</v>
      </c>
      <c r="G184">
        <v>16769772.778704103</v>
      </c>
      <c r="H184">
        <v>6886299.6058387365</v>
      </c>
      <c r="I184">
        <v>14691215.509839749</v>
      </c>
      <c r="J184">
        <v>5654818.1530778408</v>
      </c>
      <c r="K184">
        <v>6191977.5917912507</v>
      </c>
      <c r="L184">
        <v>3144515.673403326</v>
      </c>
      <c r="M184">
        <v>11084702.554839315</v>
      </c>
      <c r="N184">
        <f t="shared" si="3"/>
        <v>0.28141588343678042</v>
      </c>
    </row>
    <row r="185" spans="1:14" x14ac:dyDescent="0.45">
      <c r="A185" t="s">
        <v>115</v>
      </c>
      <c r="B185">
        <v>17305391.058390468</v>
      </c>
      <c r="C185">
        <v>41976566.36018949</v>
      </c>
      <c r="D185">
        <v>19342846.543241914</v>
      </c>
      <c r="E185">
        <v>48816840.150013901</v>
      </c>
      <c r="F185">
        <v>69632395.98870036</v>
      </c>
      <c r="G185">
        <v>49133485.007677451</v>
      </c>
      <c r="H185">
        <v>14039794.921260657</v>
      </c>
      <c r="I185">
        <v>27653057.173318107</v>
      </c>
      <c r="J185">
        <v>22509754.664404623</v>
      </c>
      <c r="K185">
        <v>24639205.388080355</v>
      </c>
      <c r="L185">
        <v>57773788.349502578</v>
      </c>
      <c r="M185">
        <v>30746182.527255636</v>
      </c>
      <c r="N185">
        <f t="shared" si="3"/>
        <v>0.28493100772306768</v>
      </c>
    </row>
    <row r="186" spans="1:14" x14ac:dyDescent="0.45">
      <c r="A186" t="s">
        <v>429</v>
      </c>
      <c r="B186">
        <v>11089485.312326513</v>
      </c>
      <c r="C186">
        <v>118785627.05664952</v>
      </c>
      <c r="D186">
        <v>41938450.323574901</v>
      </c>
      <c r="E186">
        <v>80386975.678225487</v>
      </c>
      <c r="F186">
        <v>96444384.328512147</v>
      </c>
      <c r="G186">
        <v>68005746.860053331</v>
      </c>
      <c r="H186">
        <v>49814178.830145344</v>
      </c>
      <c r="I186">
        <v>33544881.84183839</v>
      </c>
      <c r="J186">
        <v>33185609.02490294</v>
      </c>
      <c r="K186">
        <v>60205260.860850006</v>
      </c>
      <c r="L186">
        <v>79253287.839942321</v>
      </c>
      <c r="M186">
        <v>43454886.030621715</v>
      </c>
      <c r="N186">
        <f t="shared" si="3"/>
        <v>0.28586975084260086</v>
      </c>
    </row>
    <row r="187" spans="1:14" x14ac:dyDescent="0.45">
      <c r="A187" t="s">
        <v>248</v>
      </c>
      <c r="B187">
        <v>10683948.511848176</v>
      </c>
      <c r="C187">
        <v>26582886.783960842</v>
      </c>
      <c r="D187">
        <v>15320620.955119288</v>
      </c>
      <c r="E187">
        <v>27087838.072036013</v>
      </c>
      <c r="F187">
        <v>19706804.737723533</v>
      </c>
      <c r="G187">
        <v>16054089.465533193</v>
      </c>
      <c r="H187">
        <v>24960139.724249538</v>
      </c>
      <c r="I187">
        <v>14468237.501630275</v>
      </c>
      <c r="J187">
        <v>12680902.880158989</v>
      </c>
      <c r="K187">
        <v>20730592.717240695</v>
      </c>
      <c r="L187">
        <v>34800474.478402436</v>
      </c>
      <c r="M187">
        <v>55279558.706029899</v>
      </c>
      <c r="N187">
        <f t="shared" si="3"/>
        <v>0.2862302456275464</v>
      </c>
    </row>
    <row r="188" spans="1:14" x14ac:dyDescent="0.45">
      <c r="A188" t="s">
        <v>324</v>
      </c>
      <c r="B188">
        <v>2068650.1641306777</v>
      </c>
      <c r="C188">
        <v>6048872.824749846</v>
      </c>
      <c r="D188">
        <v>2887780.2492720941</v>
      </c>
      <c r="E188">
        <v>4055973.9685710235</v>
      </c>
      <c r="F188">
        <v>5207638.6292868098</v>
      </c>
      <c r="G188">
        <v>50527034.810222507</v>
      </c>
      <c r="H188">
        <v>3044221.8384044408</v>
      </c>
      <c r="I188">
        <v>3614327.0077280481</v>
      </c>
      <c r="J188">
        <v>2261756.5963488924</v>
      </c>
      <c r="K188">
        <v>3181399.83520489</v>
      </c>
      <c r="L188">
        <v>3968487.9129125928</v>
      </c>
      <c r="M188">
        <v>3098174.6242981912</v>
      </c>
      <c r="N188">
        <f t="shared" si="3"/>
        <v>0.29415519792139111</v>
      </c>
    </row>
    <row r="189" spans="1:14" x14ac:dyDescent="0.45">
      <c r="A189" t="s">
        <v>381</v>
      </c>
      <c r="B189">
        <v>594985077.91502428</v>
      </c>
      <c r="C189">
        <v>1486973023.9756341</v>
      </c>
      <c r="D189">
        <v>640669123.78964245</v>
      </c>
      <c r="E189">
        <v>350891360.68366176</v>
      </c>
      <c r="F189">
        <v>344079896.07684988</v>
      </c>
      <c r="G189">
        <v>220353913.48470044</v>
      </c>
      <c r="H189">
        <v>191185798.52478379</v>
      </c>
      <c r="I189">
        <v>607659349.1073283</v>
      </c>
      <c r="J189">
        <v>473905460.0936268</v>
      </c>
      <c r="K189">
        <v>315795964.89072949</v>
      </c>
      <c r="L189">
        <v>385581064.07058024</v>
      </c>
      <c r="M189">
        <v>370224266.61228776</v>
      </c>
      <c r="N189">
        <f t="shared" si="3"/>
        <v>0.29853287603326611</v>
      </c>
    </row>
    <row r="190" spans="1:14" x14ac:dyDescent="0.45">
      <c r="A190" t="s">
        <v>85</v>
      </c>
      <c r="B190">
        <v>13112949.699361958</v>
      </c>
      <c r="C190">
        <v>20795947.031206012</v>
      </c>
      <c r="D190">
        <v>16544209.342510669</v>
      </c>
      <c r="E190">
        <v>34233863.663578331</v>
      </c>
      <c r="F190">
        <v>18843650.933665369</v>
      </c>
      <c r="G190">
        <v>21255946.020343028</v>
      </c>
      <c r="H190">
        <v>7942104.524006662</v>
      </c>
      <c r="I190">
        <v>27280289.223034639</v>
      </c>
      <c r="J190">
        <v>21046696.103514981</v>
      </c>
      <c r="K190">
        <v>13583576.519167013</v>
      </c>
      <c r="L190">
        <v>14685426.90617761</v>
      </c>
      <c r="M190">
        <v>13908642.791916078</v>
      </c>
      <c r="N190">
        <f t="shared" si="3"/>
        <v>0.30300116481536177</v>
      </c>
    </row>
    <row r="191" spans="1:14" x14ac:dyDescent="0.45">
      <c r="A191" t="s">
        <v>43</v>
      </c>
      <c r="B191">
        <v>1229006.2552566256</v>
      </c>
      <c r="C191">
        <v>4138330.4170832452</v>
      </c>
      <c r="D191">
        <v>2136289.8903363589</v>
      </c>
      <c r="E191">
        <v>4938814.7384166252</v>
      </c>
      <c r="F191">
        <v>4209290.6581937103</v>
      </c>
      <c r="G191">
        <v>3190800.1627819785</v>
      </c>
      <c r="H191">
        <v>3216516.4646943263</v>
      </c>
      <c r="I191">
        <v>3136197.4894054225</v>
      </c>
      <c r="J191">
        <v>540157.10311309574</v>
      </c>
      <c r="K191">
        <v>1312042.1839873011</v>
      </c>
      <c r="L191">
        <v>4244502.6917987168</v>
      </c>
      <c r="M191">
        <v>2273780.0766168381</v>
      </c>
      <c r="N191">
        <f t="shared" si="3"/>
        <v>0.31032567224943775</v>
      </c>
    </row>
    <row r="192" spans="1:14" x14ac:dyDescent="0.45">
      <c r="A192" t="s">
        <v>169</v>
      </c>
      <c r="B192">
        <v>3274400.2277475717</v>
      </c>
      <c r="C192">
        <v>5835715.7050315179</v>
      </c>
      <c r="D192">
        <v>3733642.8169198642</v>
      </c>
      <c r="E192">
        <v>3322867.4120690147</v>
      </c>
      <c r="F192">
        <v>10175597.641940178</v>
      </c>
      <c r="G192">
        <v>7561149.7884236481</v>
      </c>
      <c r="H192">
        <v>9624666.8450134452</v>
      </c>
      <c r="I192">
        <v>18535306.502643567</v>
      </c>
      <c r="J192">
        <v>8757310.885325266</v>
      </c>
      <c r="K192">
        <v>4727307.4828282865</v>
      </c>
      <c r="L192">
        <v>3201566.9868344795</v>
      </c>
      <c r="M192">
        <v>5216492.5851533338</v>
      </c>
      <c r="N192">
        <f t="shared" si="3"/>
        <v>0.31432984039812883</v>
      </c>
    </row>
    <row r="193" spans="1:14" x14ac:dyDescent="0.45">
      <c r="A193" t="s">
        <v>110</v>
      </c>
      <c r="B193">
        <v>16700992.938399252</v>
      </c>
      <c r="C193">
        <v>5901944.0946749672</v>
      </c>
      <c r="D193">
        <v>22306117.087946881</v>
      </c>
      <c r="E193">
        <v>11078155.514156085</v>
      </c>
      <c r="F193">
        <v>24934922.795991704</v>
      </c>
      <c r="G193">
        <v>24896955.044253573</v>
      </c>
      <c r="H193">
        <v>11033080.965453798</v>
      </c>
      <c r="I193">
        <v>16390887.450922985</v>
      </c>
      <c r="J193">
        <v>6824976.5410667229</v>
      </c>
      <c r="K193">
        <v>16449820.961863521</v>
      </c>
      <c r="L193">
        <v>22458447.943093691</v>
      </c>
      <c r="M193">
        <v>6647729.9706129413</v>
      </c>
      <c r="N193">
        <f t="shared" si="3"/>
        <v>0.31504931348835502</v>
      </c>
    </row>
    <row r="194" spans="1:14" x14ac:dyDescent="0.45">
      <c r="A194" t="s">
        <v>192</v>
      </c>
      <c r="B194">
        <v>39287567.136562869</v>
      </c>
      <c r="C194">
        <v>191697001.09701791</v>
      </c>
      <c r="D194">
        <v>70188032.39892748</v>
      </c>
      <c r="E194">
        <v>115778021.37325789</v>
      </c>
      <c r="F194">
        <v>135046984.70037201</v>
      </c>
      <c r="G194">
        <v>109240711.84094898</v>
      </c>
      <c r="H194">
        <v>90948759.020885244</v>
      </c>
      <c r="I194">
        <v>61881794.699660644</v>
      </c>
      <c r="J194">
        <v>58054715.177938931</v>
      </c>
      <c r="K194">
        <v>99074551.109936461</v>
      </c>
      <c r="L194">
        <v>123989240.57230599</v>
      </c>
      <c r="M194">
        <v>78213902.056744605</v>
      </c>
      <c r="N194">
        <f t="shared" ref="N194:N257" si="4">TTEST(B194:G194,H194:M194,2,2)</f>
        <v>0.32091294399102399</v>
      </c>
    </row>
    <row r="195" spans="1:14" x14ac:dyDescent="0.45">
      <c r="A195" t="s">
        <v>229</v>
      </c>
      <c r="B195">
        <v>10899929.971115191</v>
      </c>
      <c r="C195">
        <v>44818529.42623879</v>
      </c>
      <c r="D195">
        <v>16615177.742928384</v>
      </c>
      <c r="E195">
        <v>22627757.095900297</v>
      </c>
      <c r="F195">
        <v>23831740.34073237</v>
      </c>
      <c r="G195">
        <v>21011852.276000056</v>
      </c>
      <c r="H195">
        <v>17309943.939750697</v>
      </c>
      <c r="I195">
        <v>16442121.234856145</v>
      </c>
      <c r="J195">
        <v>12088973.974284699</v>
      </c>
      <c r="K195">
        <v>16243315.498257658</v>
      </c>
      <c r="L195">
        <v>27279402.702196889</v>
      </c>
      <c r="M195">
        <v>18201581.818801228</v>
      </c>
      <c r="N195">
        <f t="shared" si="4"/>
        <v>0.32101403990829031</v>
      </c>
    </row>
    <row r="196" spans="1:14" x14ac:dyDescent="0.45">
      <c r="A196" t="s">
        <v>246</v>
      </c>
      <c r="B196">
        <v>5258596.6057606172</v>
      </c>
      <c r="C196">
        <v>15267737.468887107</v>
      </c>
      <c r="D196">
        <v>10855758.211029088</v>
      </c>
      <c r="E196">
        <v>3202495.4039153848</v>
      </c>
      <c r="F196">
        <v>5259740.472840962</v>
      </c>
      <c r="G196">
        <v>5623995.7309192549</v>
      </c>
      <c r="H196">
        <v>17575725.978490222</v>
      </c>
      <c r="I196">
        <v>16475536.622638373</v>
      </c>
      <c r="J196">
        <v>18736948.037399698</v>
      </c>
      <c r="K196">
        <v>6478180.1558308052</v>
      </c>
      <c r="L196">
        <v>2942722.4279203825</v>
      </c>
      <c r="M196">
        <v>4525101.9811678827</v>
      </c>
      <c r="N196">
        <f t="shared" si="4"/>
        <v>0.33281411293971686</v>
      </c>
    </row>
    <row r="197" spans="1:14" x14ac:dyDescent="0.45">
      <c r="A197" t="s">
        <v>361</v>
      </c>
      <c r="B197">
        <v>6172363.7882641563</v>
      </c>
      <c r="C197">
        <v>5584410.8963490613</v>
      </c>
      <c r="D197">
        <v>6090522.185702051</v>
      </c>
      <c r="E197">
        <v>3045047.3285874114</v>
      </c>
      <c r="F197">
        <v>1966671.6439878268</v>
      </c>
      <c r="G197">
        <v>1594522.6593303129</v>
      </c>
      <c r="H197">
        <v>2375101.8185338862</v>
      </c>
      <c r="I197">
        <v>7559617.9190655965</v>
      </c>
      <c r="J197">
        <v>3800594.4749663426</v>
      </c>
      <c r="K197">
        <v>2956023.5647757375</v>
      </c>
      <c r="L197">
        <v>6819062.4984872891</v>
      </c>
      <c r="M197">
        <v>10181963.149935883</v>
      </c>
      <c r="N197">
        <f t="shared" si="4"/>
        <v>0.33504177760340603</v>
      </c>
    </row>
    <row r="198" spans="1:14" x14ac:dyDescent="0.45">
      <c r="A198" t="s">
        <v>362</v>
      </c>
      <c r="B198">
        <v>19793423.436656319</v>
      </c>
      <c r="C198">
        <v>50250823.035907097</v>
      </c>
      <c r="D198">
        <v>21559815.202328246</v>
      </c>
      <c r="E198">
        <v>25817204.200359747</v>
      </c>
      <c r="F198">
        <v>17011653.105955586</v>
      </c>
      <c r="G198">
        <v>21920840.279098637</v>
      </c>
      <c r="H198">
        <v>11154162.028146682</v>
      </c>
      <c r="I198">
        <v>23702809.057882898</v>
      </c>
      <c r="J198">
        <v>22532134.634099614</v>
      </c>
      <c r="K198">
        <v>20622536.768612817</v>
      </c>
      <c r="L198">
        <v>27620379.285067365</v>
      </c>
      <c r="M198">
        <v>17582014.035534315</v>
      </c>
      <c r="N198">
        <f t="shared" si="4"/>
        <v>0.33824380942163268</v>
      </c>
    </row>
    <row r="199" spans="1:14" x14ac:dyDescent="0.45">
      <c r="A199" t="s">
        <v>176</v>
      </c>
      <c r="B199">
        <v>2592807.6785779358</v>
      </c>
      <c r="C199">
        <v>5786316.9537827065</v>
      </c>
      <c r="D199">
        <v>3787447.6880284823</v>
      </c>
      <c r="E199">
        <v>3803541.0039095287</v>
      </c>
      <c r="F199">
        <v>2193174.6891803094</v>
      </c>
      <c r="G199">
        <v>2472233.258760313</v>
      </c>
      <c r="H199">
        <v>2196819.7336163097</v>
      </c>
      <c r="I199">
        <v>2030349.2364284841</v>
      </c>
      <c r="J199">
        <v>3937862.3512507561</v>
      </c>
      <c r="K199">
        <v>1749373.5147136927</v>
      </c>
      <c r="L199">
        <v>4763245.3332012966</v>
      </c>
      <c r="M199">
        <v>1247352.6521979116</v>
      </c>
      <c r="N199">
        <f t="shared" si="4"/>
        <v>0.3404981262654293</v>
      </c>
    </row>
    <row r="200" spans="1:14" x14ac:dyDescent="0.45">
      <c r="A200" t="s">
        <v>327</v>
      </c>
      <c r="B200">
        <v>44771020.294697046</v>
      </c>
      <c r="C200">
        <v>2735715.3297238983</v>
      </c>
      <c r="D200">
        <v>28599874.064069107</v>
      </c>
      <c r="E200">
        <v>6236940.8177319001</v>
      </c>
      <c r="F200">
        <v>35607583.067726977</v>
      </c>
      <c r="G200">
        <v>50295021.725665309</v>
      </c>
      <c r="H200">
        <v>3629781.650287346</v>
      </c>
      <c r="I200">
        <v>53893929.212888151</v>
      </c>
      <c r="J200">
        <v>10442091.236404259</v>
      </c>
      <c r="K200">
        <v>5860425.1792080076</v>
      </c>
      <c r="L200">
        <v>3597067.290116101</v>
      </c>
      <c r="M200">
        <v>23488822.82814838</v>
      </c>
      <c r="N200">
        <f t="shared" si="4"/>
        <v>0.34684023719811063</v>
      </c>
    </row>
    <row r="201" spans="1:14" x14ac:dyDescent="0.45">
      <c r="A201" t="s">
        <v>373</v>
      </c>
      <c r="B201">
        <v>34668594.365928337</v>
      </c>
      <c r="C201">
        <v>31978112.39701084</v>
      </c>
      <c r="D201">
        <v>46884704.81719774</v>
      </c>
      <c r="E201">
        <v>28300567.931113202</v>
      </c>
      <c r="F201">
        <v>34899884.946277305</v>
      </c>
      <c r="G201">
        <v>33491434.15621208</v>
      </c>
      <c r="H201">
        <v>17294767.062502228</v>
      </c>
      <c r="I201">
        <v>55291454.394111365</v>
      </c>
      <c r="J201">
        <v>17267414.530667119</v>
      </c>
      <c r="K201">
        <v>19144240.826297551</v>
      </c>
      <c r="L201">
        <v>29064023.823559791</v>
      </c>
      <c r="M201">
        <v>33724857.939737447</v>
      </c>
      <c r="N201">
        <f t="shared" si="4"/>
        <v>0.35025361415310108</v>
      </c>
    </row>
    <row r="202" spans="1:14" x14ac:dyDescent="0.45">
      <c r="A202" t="s">
        <v>68</v>
      </c>
      <c r="B202">
        <v>39277706.622125156</v>
      </c>
      <c r="C202">
        <v>280135802.21648854</v>
      </c>
      <c r="D202">
        <v>164539205.57608235</v>
      </c>
      <c r="E202">
        <v>181305217.96919909</v>
      </c>
      <c r="F202">
        <v>212948614.67364341</v>
      </c>
      <c r="G202">
        <v>183638732.47200897</v>
      </c>
      <c r="H202">
        <v>136529031.24814683</v>
      </c>
      <c r="I202">
        <v>149631235.13777873</v>
      </c>
      <c r="J202">
        <v>109464574.75433692</v>
      </c>
      <c r="K202">
        <v>135934254.99679595</v>
      </c>
      <c r="L202">
        <v>182215245.3416549</v>
      </c>
      <c r="M202">
        <v>150435047.59818333</v>
      </c>
      <c r="N202">
        <f t="shared" si="4"/>
        <v>0.35067230565614649</v>
      </c>
    </row>
    <row r="203" spans="1:14" x14ac:dyDescent="0.45">
      <c r="A203" t="s">
        <v>142</v>
      </c>
      <c r="B203">
        <v>206616.24440975295</v>
      </c>
      <c r="C203">
        <v>369071.33630722121</v>
      </c>
      <c r="D203">
        <v>381402.76913401723</v>
      </c>
      <c r="E203">
        <v>664382.26481701399</v>
      </c>
      <c r="F203">
        <v>456536.6331009352</v>
      </c>
      <c r="G203">
        <v>394006.55077836954</v>
      </c>
      <c r="H203">
        <v>382966.6646493178</v>
      </c>
      <c r="I203">
        <v>524033.61454814213</v>
      </c>
      <c r="J203">
        <v>382107.68133442733</v>
      </c>
      <c r="K203">
        <v>334882.59457594593</v>
      </c>
      <c r="L203">
        <v>376653.7548381231</v>
      </c>
      <c r="M203">
        <v>4400801.8516490394</v>
      </c>
      <c r="N203">
        <f t="shared" si="4"/>
        <v>0.35143407742346233</v>
      </c>
    </row>
    <row r="204" spans="1:14" x14ac:dyDescent="0.45">
      <c r="A204" t="s">
        <v>96</v>
      </c>
      <c r="B204">
        <v>25225284.341502454</v>
      </c>
      <c r="C204">
        <v>39242929.272965379</v>
      </c>
      <c r="D204">
        <v>56891835.111959115</v>
      </c>
      <c r="E204">
        <v>75800218.957813323</v>
      </c>
      <c r="F204">
        <v>67915457.15585722</v>
      </c>
      <c r="G204">
        <v>54997659.341688775</v>
      </c>
      <c r="H204">
        <v>40006128.660131119</v>
      </c>
      <c r="I204">
        <v>56435338.037312955</v>
      </c>
      <c r="J204">
        <v>45662616.208127454</v>
      </c>
      <c r="K204">
        <v>28782097.956735387</v>
      </c>
      <c r="L204">
        <v>61294348.965466894</v>
      </c>
      <c r="M204">
        <v>35235550.434296615</v>
      </c>
      <c r="N204">
        <f t="shared" si="4"/>
        <v>0.35905841746118738</v>
      </c>
    </row>
    <row r="205" spans="1:14" x14ac:dyDescent="0.45">
      <c r="A205" t="s">
        <v>67</v>
      </c>
      <c r="B205">
        <v>137469.70821368491</v>
      </c>
      <c r="C205">
        <v>900270.7955324403</v>
      </c>
      <c r="D205">
        <v>666829.24783617584</v>
      </c>
      <c r="E205">
        <v>700427.08422039065</v>
      </c>
      <c r="F205">
        <v>339777.1601306668</v>
      </c>
      <c r="G205">
        <v>165639.63834173128</v>
      </c>
      <c r="H205">
        <v>950179.74747846741</v>
      </c>
      <c r="I205">
        <v>185129.27410540386</v>
      </c>
      <c r="J205">
        <v>1012867.4066820011</v>
      </c>
      <c r="K205">
        <v>534043.29705933307</v>
      </c>
      <c r="L205">
        <v>991784.89456833189</v>
      </c>
      <c r="M205">
        <v>359669.0423684186</v>
      </c>
      <c r="N205">
        <f t="shared" si="4"/>
        <v>0.36057056477429295</v>
      </c>
    </row>
    <row r="206" spans="1:14" x14ac:dyDescent="0.45">
      <c r="A206" t="s">
        <v>73</v>
      </c>
      <c r="B206">
        <v>15208537.77859319</v>
      </c>
      <c r="C206">
        <v>75481321.833751962</v>
      </c>
      <c r="D206">
        <v>14358649.509037135</v>
      </c>
      <c r="E206">
        <v>10584586.273026142</v>
      </c>
      <c r="F206">
        <v>23450602.120655805</v>
      </c>
      <c r="G206">
        <v>22574132.249034528</v>
      </c>
      <c r="H206">
        <v>14343659.288551949</v>
      </c>
      <c r="I206">
        <v>20485139.524513096</v>
      </c>
      <c r="J206">
        <v>11655206.781599514</v>
      </c>
      <c r="K206">
        <v>13539670.749550249</v>
      </c>
      <c r="L206">
        <v>26139581.941732626</v>
      </c>
      <c r="M206">
        <v>18856211.711854462</v>
      </c>
      <c r="N206">
        <f t="shared" si="4"/>
        <v>0.37466865635098889</v>
      </c>
    </row>
    <row r="207" spans="1:14" x14ac:dyDescent="0.45">
      <c r="A207" t="s">
        <v>351</v>
      </c>
      <c r="B207">
        <v>38049351.400352105</v>
      </c>
      <c r="C207">
        <v>127308331.42450842</v>
      </c>
      <c r="D207">
        <v>73370264.251425847</v>
      </c>
      <c r="E207">
        <v>34677046.042727411</v>
      </c>
      <c r="F207">
        <v>36188124.200266235</v>
      </c>
      <c r="G207">
        <v>18767410.889656916</v>
      </c>
      <c r="H207">
        <v>104671984.45277493</v>
      </c>
      <c r="I207">
        <v>110916951.67682105</v>
      </c>
      <c r="J207">
        <v>74845782.00632374</v>
      </c>
      <c r="K207">
        <v>33417642.670117423</v>
      </c>
      <c r="L207">
        <v>71834942.818781078</v>
      </c>
      <c r="M207">
        <v>46309491.976696223</v>
      </c>
      <c r="N207">
        <f t="shared" si="4"/>
        <v>0.37816132876116104</v>
      </c>
    </row>
    <row r="208" spans="1:14" x14ac:dyDescent="0.45">
      <c r="A208" t="s">
        <v>262</v>
      </c>
      <c r="B208">
        <v>5447197.6232606545</v>
      </c>
      <c r="C208">
        <v>2255521.7804540196</v>
      </c>
      <c r="D208">
        <v>5141385.2407097863</v>
      </c>
      <c r="E208">
        <v>4606891.864083901</v>
      </c>
      <c r="F208">
        <v>10812113.477003386</v>
      </c>
      <c r="G208">
        <v>14395116.309590463</v>
      </c>
      <c r="H208">
        <v>4062739.2986553637</v>
      </c>
      <c r="I208">
        <v>12293751.033006653</v>
      </c>
      <c r="J208">
        <v>2955375.7493817718</v>
      </c>
      <c r="K208">
        <v>1846117.6000798692</v>
      </c>
      <c r="L208">
        <v>3085221.3216843149</v>
      </c>
      <c r="M208">
        <v>5203499.2077882355</v>
      </c>
      <c r="N208">
        <f t="shared" si="4"/>
        <v>0.38353384903329601</v>
      </c>
    </row>
    <row r="209" spans="1:14" x14ac:dyDescent="0.45">
      <c r="A209" t="s">
        <v>307</v>
      </c>
      <c r="B209">
        <v>984296.83724653267</v>
      </c>
      <c r="C209">
        <v>4951563.2929125307</v>
      </c>
      <c r="D209">
        <v>1341241.6702571623</v>
      </c>
      <c r="E209">
        <v>3905927.3979692394</v>
      </c>
      <c r="F209">
        <v>4009652.7196159433</v>
      </c>
      <c r="G209">
        <v>3551505.5048425165</v>
      </c>
      <c r="H209">
        <v>1752827.0128290399</v>
      </c>
      <c r="I209">
        <v>2784272.5699497713</v>
      </c>
      <c r="J209">
        <v>1873005.1310180037</v>
      </c>
      <c r="K209">
        <v>2467294.9417450763</v>
      </c>
      <c r="L209">
        <v>3351415.5671103825</v>
      </c>
      <c r="M209">
        <v>2757764.9280685144</v>
      </c>
      <c r="N209">
        <f t="shared" si="4"/>
        <v>0.3888600448352757</v>
      </c>
    </row>
    <row r="210" spans="1:14" x14ac:dyDescent="0.45">
      <c r="A210" t="s">
        <v>163</v>
      </c>
      <c r="B210">
        <v>4066093.124241218</v>
      </c>
      <c r="C210">
        <v>5459739.6106191278</v>
      </c>
      <c r="D210">
        <v>6142106.6832750207</v>
      </c>
      <c r="E210">
        <v>8437982.3068115544</v>
      </c>
      <c r="F210">
        <v>5196261.4800962899</v>
      </c>
      <c r="G210">
        <v>6015322.2779377382</v>
      </c>
      <c r="H210">
        <v>3895051.2104296293</v>
      </c>
      <c r="I210">
        <v>5697783.5390517665</v>
      </c>
      <c r="J210">
        <v>1896331.6540031775</v>
      </c>
      <c r="K210">
        <v>4743592.542682711</v>
      </c>
      <c r="L210">
        <v>7354257.3682819586</v>
      </c>
      <c r="M210">
        <v>6505639.4630362745</v>
      </c>
      <c r="N210">
        <f t="shared" si="4"/>
        <v>0.40260067440153946</v>
      </c>
    </row>
    <row r="211" spans="1:14" x14ac:dyDescent="0.45">
      <c r="A211" t="s">
        <v>352</v>
      </c>
      <c r="B211">
        <v>42047727.907211654</v>
      </c>
      <c r="C211">
        <v>136789752.53276607</v>
      </c>
      <c r="D211">
        <v>84920233.440433756</v>
      </c>
      <c r="E211">
        <v>73487346.695712671</v>
      </c>
      <c r="F211">
        <v>77617961.589580774</v>
      </c>
      <c r="G211">
        <v>63575159.278957345</v>
      </c>
      <c r="H211">
        <v>45464042.145297088</v>
      </c>
      <c r="I211">
        <v>81469847.177059188</v>
      </c>
      <c r="J211">
        <v>36471758.765944988</v>
      </c>
      <c r="K211">
        <v>55806071.789210774</v>
      </c>
      <c r="L211">
        <v>95662918.092523217</v>
      </c>
      <c r="M211">
        <v>79652377.175167635</v>
      </c>
      <c r="N211">
        <f t="shared" si="4"/>
        <v>0.40346248845608879</v>
      </c>
    </row>
    <row r="212" spans="1:14" x14ac:dyDescent="0.45">
      <c r="A212" t="s">
        <v>38</v>
      </c>
      <c r="B212">
        <v>6142194.9076534649</v>
      </c>
      <c r="C212">
        <v>19776209.03904723</v>
      </c>
      <c r="D212">
        <v>10194521.535167307</v>
      </c>
      <c r="E212">
        <v>8600961.7430881169</v>
      </c>
      <c r="F212">
        <v>11811470.439944571</v>
      </c>
      <c r="G212">
        <v>8427606.0390608329</v>
      </c>
      <c r="H212">
        <v>10351111.93534236</v>
      </c>
      <c r="I212">
        <v>8113021.1097345408</v>
      </c>
      <c r="J212">
        <v>5594905.3978496743</v>
      </c>
      <c r="K212">
        <v>8801998.8850571048</v>
      </c>
      <c r="L212">
        <v>14307276.17338971</v>
      </c>
      <c r="M212">
        <v>5549510.4934294112</v>
      </c>
      <c r="N212">
        <f t="shared" si="4"/>
        <v>0.40925067073008425</v>
      </c>
    </row>
    <row r="213" spans="1:14" x14ac:dyDescent="0.45">
      <c r="A213" t="s">
        <v>261</v>
      </c>
      <c r="B213">
        <v>18423346.590352893</v>
      </c>
      <c r="C213">
        <v>10112310.59164183</v>
      </c>
      <c r="D213">
        <v>19558874.260658305</v>
      </c>
      <c r="E213">
        <v>17241320.414801531</v>
      </c>
      <c r="F213">
        <v>14206097.095578207</v>
      </c>
      <c r="G213">
        <v>44149839.746968791</v>
      </c>
      <c r="H213">
        <v>17733554.750042103</v>
      </c>
      <c r="I213">
        <v>32180378.100267649</v>
      </c>
      <c r="J213">
        <v>14401798.294700647</v>
      </c>
      <c r="K213">
        <v>11402138.9163594</v>
      </c>
      <c r="L213">
        <v>9123822.8876166884</v>
      </c>
      <c r="M213">
        <v>7365709.0817829901</v>
      </c>
      <c r="N213">
        <f t="shared" si="4"/>
        <v>0.41266925268824028</v>
      </c>
    </row>
    <row r="214" spans="1:14" x14ac:dyDescent="0.45">
      <c r="A214" t="s">
        <v>376</v>
      </c>
      <c r="B214">
        <v>194216254.82792336</v>
      </c>
      <c r="C214">
        <v>1591818158.7594061</v>
      </c>
      <c r="D214">
        <v>401723908.95567179</v>
      </c>
      <c r="E214">
        <v>604906898.74825585</v>
      </c>
      <c r="F214">
        <v>524609692.3928048</v>
      </c>
      <c r="G214">
        <v>471666575.32493591</v>
      </c>
      <c r="H214">
        <v>309483766.56086767</v>
      </c>
      <c r="I214">
        <v>229100605.32978329</v>
      </c>
      <c r="J214">
        <v>431553799.51722747</v>
      </c>
      <c r="K214">
        <v>487430733.266958</v>
      </c>
      <c r="L214">
        <v>848006098.70045686</v>
      </c>
      <c r="M214">
        <v>360914142.22802693</v>
      </c>
      <c r="N214">
        <f t="shared" si="4"/>
        <v>0.41321323034199831</v>
      </c>
    </row>
    <row r="215" spans="1:14" x14ac:dyDescent="0.45">
      <c r="A215" t="s">
        <v>247</v>
      </c>
      <c r="B215">
        <v>508221439.34247679</v>
      </c>
      <c r="C215">
        <v>857932718.56808293</v>
      </c>
      <c r="D215">
        <v>595136087.24298584</v>
      </c>
      <c r="E215">
        <v>242473717.74363974</v>
      </c>
      <c r="F215">
        <v>363564156.74378777</v>
      </c>
      <c r="G215">
        <v>668363896.91274905</v>
      </c>
      <c r="H215">
        <v>596966648.96296668</v>
      </c>
      <c r="I215">
        <v>748727570.29478717</v>
      </c>
      <c r="J215">
        <v>344383509.11074674</v>
      </c>
      <c r="K215">
        <v>455718346.22991347</v>
      </c>
      <c r="L215">
        <v>133584452.7068087</v>
      </c>
      <c r="M215">
        <v>309578252.83827257</v>
      </c>
      <c r="N215">
        <f t="shared" si="4"/>
        <v>0.41457450936730911</v>
      </c>
    </row>
    <row r="216" spans="1:14" x14ac:dyDescent="0.45">
      <c r="A216" t="s">
        <v>114</v>
      </c>
      <c r="B216">
        <v>50991613.512783803</v>
      </c>
      <c r="C216">
        <v>156307066.94043937</v>
      </c>
      <c r="D216">
        <v>53445374.385921933</v>
      </c>
      <c r="E216">
        <v>54291628.995768398</v>
      </c>
      <c r="F216">
        <v>53577255.33447627</v>
      </c>
      <c r="G216">
        <v>56378071.144595988</v>
      </c>
      <c r="H216">
        <v>62458349.583587363</v>
      </c>
      <c r="I216">
        <v>46872104.727017783</v>
      </c>
      <c r="J216">
        <v>50689421.750388972</v>
      </c>
      <c r="K216">
        <v>52402458.205017149</v>
      </c>
      <c r="L216">
        <v>65148711.595639184</v>
      </c>
      <c r="M216">
        <v>60711849.309272543</v>
      </c>
      <c r="N216">
        <f t="shared" si="4"/>
        <v>0.42489214473868053</v>
      </c>
    </row>
    <row r="217" spans="1:14" x14ac:dyDescent="0.45">
      <c r="A217" t="s">
        <v>101</v>
      </c>
      <c r="B217">
        <v>128767184.65197062</v>
      </c>
      <c r="C217">
        <v>218644153.21728683</v>
      </c>
      <c r="D217">
        <v>49704750.730125003</v>
      </c>
      <c r="E217">
        <v>58376240.274289392</v>
      </c>
      <c r="F217">
        <v>656791855.57571137</v>
      </c>
      <c r="G217">
        <v>16039387.27849824</v>
      </c>
      <c r="H217">
        <v>6969688.7298955191</v>
      </c>
      <c r="I217">
        <v>28840800.455323387</v>
      </c>
      <c r="J217">
        <v>14442135.534873201</v>
      </c>
      <c r="K217">
        <v>41211761.59580978</v>
      </c>
      <c r="L217">
        <v>401259822.51532185</v>
      </c>
      <c r="M217">
        <v>55130474.686773039</v>
      </c>
      <c r="N217">
        <f t="shared" si="4"/>
        <v>0.42532437828729674</v>
      </c>
    </row>
    <row r="218" spans="1:14" x14ac:dyDescent="0.45">
      <c r="A218" t="s">
        <v>331</v>
      </c>
      <c r="B218">
        <v>43702169.356724948</v>
      </c>
      <c r="C218">
        <v>35150798.29153242</v>
      </c>
      <c r="D218">
        <v>18388778.389249373</v>
      </c>
      <c r="E218">
        <v>9224255.8532108385</v>
      </c>
      <c r="F218">
        <v>70757664.179427579</v>
      </c>
      <c r="G218">
        <v>73292892.205563337</v>
      </c>
      <c r="H218">
        <v>53414942.800563566</v>
      </c>
      <c r="I218">
        <v>22115122.9491456</v>
      </c>
      <c r="J218">
        <v>24505065.896520514</v>
      </c>
      <c r="K218">
        <v>21962149.350356773</v>
      </c>
      <c r="L218">
        <v>40719360.464927986</v>
      </c>
      <c r="M218">
        <v>29086497.824687108</v>
      </c>
      <c r="N218">
        <f t="shared" si="4"/>
        <v>0.43199645544242482</v>
      </c>
    </row>
    <row r="219" spans="1:14" x14ac:dyDescent="0.45">
      <c r="A219" t="s">
        <v>258</v>
      </c>
      <c r="B219">
        <v>126783.80886410025</v>
      </c>
      <c r="C219">
        <v>44731493.851509154</v>
      </c>
      <c r="D219">
        <v>834481.26196908054</v>
      </c>
      <c r="E219">
        <v>759655.20956166124</v>
      </c>
      <c r="F219">
        <v>750998.72990583861</v>
      </c>
      <c r="G219">
        <v>799077.43828803324</v>
      </c>
      <c r="H219">
        <v>50891520.902032644</v>
      </c>
      <c r="I219">
        <v>44954235.993931144</v>
      </c>
      <c r="J219">
        <v>10023088.263921443</v>
      </c>
      <c r="K219">
        <v>98014.16411800489</v>
      </c>
      <c r="L219">
        <v>1032690.1906275109</v>
      </c>
      <c r="M219">
        <v>507116.21954576962</v>
      </c>
      <c r="N219">
        <f t="shared" si="4"/>
        <v>0.43221509299268102</v>
      </c>
    </row>
    <row r="220" spans="1:14" x14ac:dyDescent="0.45">
      <c r="A220" t="s">
        <v>417</v>
      </c>
      <c r="B220">
        <v>42986728.633516088</v>
      </c>
      <c r="C220">
        <v>44425526.9792355</v>
      </c>
      <c r="D220">
        <v>65202440.5715198</v>
      </c>
      <c r="E220">
        <v>50316070.48926644</v>
      </c>
      <c r="F220">
        <v>146412221.66222659</v>
      </c>
      <c r="G220">
        <v>172094484.76578686</v>
      </c>
      <c r="H220">
        <v>46122755.713682905</v>
      </c>
      <c r="I220">
        <v>79244533.635026291</v>
      </c>
      <c r="J220">
        <v>38979754.092740834</v>
      </c>
      <c r="K220">
        <v>56585444.25046894</v>
      </c>
      <c r="L220">
        <v>60186946.714911312</v>
      </c>
      <c r="M220">
        <v>114303037.81306715</v>
      </c>
      <c r="N220">
        <f t="shared" si="4"/>
        <v>0.43599800322248305</v>
      </c>
    </row>
    <row r="221" spans="1:14" x14ac:dyDescent="0.45">
      <c r="A221" t="s">
        <v>336</v>
      </c>
      <c r="B221">
        <v>2270828.6992070987</v>
      </c>
      <c r="C221">
        <v>9780939.7857804745</v>
      </c>
      <c r="D221">
        <v>3398708.8866446749</v>
      </c>
      <c r="E221">
        <v>2644070.4994700593</v>
      </c>
      <c r="F221">
        <v>3818404.3883293234</v>
      </c>
      <c r="G221">
        <v>2366982.1853949251</v>
      </c>
      <c r="H221">
        <v>2160355.9864072902</v>
      </c>
      <c r="I221">
        <v>2119427.7267332864</v>
      </c>
      <c r="J221">
        <v>1688913.2556773908</v>
      </c>
      <c r="K221">
        <v>4225994.1593901543</v>
      </c>
      <c r="L221">
        <v>4569546.7371476563</v>
      </c>
      <c r="M221">
        <v>3413577.6554229707</v>
      </c>
      <c r="N221">
        <f t="shared" si="4"/>
        <v>0.44295447793921661</v>
      </c>
    </row>
    <row r="222" spans="1:14" x14ac:dyDescent="0.45">
      <c r="A222" t="s">
        <v>256</v>
      </c>
      <c r="B222">
        <v>20786508.804655638</v>
      </c>
      <c r="C222">
        <v>29722961.205623254</v>
      </c>
      <c r="D222">
        <v>7901848.7867311174</v>
      </c>
      <c r="E222">
        <v>10151901.414993716</v>
      </c>
      <c r="F222">
        <v>101486577.90394251</v>
      </c>
      <c r="G222">
        <v>2760041.0699670669</v>
      </c>
      <c r="H222">
        <v>1305107.1698745517</v>
      </c>
      <c r="I222">
        <v>4347668.9501080103</v>
      </c>
      <c r="J222">
        <v>3109681.304074897</v>
      </c>
      <c r="K222">
        <v>6593224.0999893146</v>
      </c>
      <c r="L222">
        <v>64493693.394226007</v>
      </c>
      <c r="M222">
        <v>10203653.014793236</v>
      </c>
      <c r="N222">
        <f t="shared" si="4"/>
        <v>0.46293329052917742</v>
      </c>
    </row>
    <row r="223" spans="1:14" x14ac:dyDescent="0.45">
      <c r="A223" t="s">
        <v>172</v>
      </c>
      <c r="B223">
        <v>5139882.1982255746</v>
      </c>
      <c r="C223">
        <v>39759755.60925439</v>
      </c>
      <c r="D223">
        <v>13755258.310243333</v>
      </c>
      <c r="E223">
        <v>19812370.044563904</v>
      </c>
      <c r="F223">
        <v>19326870.986733843</v>
      </c>
      <c r="G223">
        <v>13331029.839243472</v>
      </c>
      <c r="H223">
        <v>12100957.602876617</v>
      </c>
      <c r="I223">
        <v>16857636.723082129</v>
      </c>
      <c r="J223">
        <v>10514407.830586342</v>
      </c>
      <c r="K223">
        <v>9833765.5176741648</v>
      </c>
      <c r="L223">
        <v>21439029.152777947</v>
      </c>
      <c r="M223">
        <v>17117911.674134314</v>
      </c>
      <c r="N223">
        <f t="shared" si="4"/>
        <v>0.46626043572778808</v>
      </c>
    </row>
    <row r="224" spans="1:14" x14ac:dyDescent="0.45">
      <c r="A224" t="s">
        <v>245</v>
      </c>
      <c r="B224">
        <v>10162893.156049725</v>
      </c>
      <c r="C224">
        <v>12962265.286180256</v>
      </c>
      <c r="D224">
        <v>13990891.809928505</v>
      </c>
      <c r="E224">
        <v>16327683.607632261</v>
      </c>
      <c r="F224">
        <v>24179421.00203174</v>
      </c>
      <c r="G224">
        <v>28495252.649438359</v>
      </c>
      <c r="H224">
        <v>12545113.165897999</v>
      </c>
      <c r="I224">
        <v>22170827.444065943</v>
      </c>
      <c r="J224">
        <v>10695589.208268397</v>
      </c>
      <c r="K224">
        <v>10792291.022905521</v>
      </c>
      <c r="L224">
        <v>19269688.678081259</v>
      </c>
      <c r="M224">
        <v>14905606.816907842</v>
      </c>
      <c r="N224">
        <f t="shared" si="4"/>
        <v>0.4695339948517695</v>
      </c>
    </row>
    <row r="225" spans="1:14" x14ac:dyDescent="0.45">
      <c r="A225" t="s">
        <v>65</v>
      </c>
      <c r="B225">
        <v>732048.33643311867</v>
      </c>
      <c r="C225">
        <v>4242670.0276470566</v>
      </c>
      <c r="D225">
        <v>1395632.6127182862</v>
      </c>
      <c r="E225">
        <v>2434296.8326413198</v>
      </c>
      <c r="F225">
        <v>2214892.0364152659</v>
      </c>
      <c r="G225">
        <v>1294295.5680604768</v>
      </c>
      <c r="H225">
        <v>1350297.4862124582</v>
      </c>
      <c r="I225">
        <v>3238071.7801368213</v>
      </c>
      <c r="J225">
        <v>1317068.4617986567</v>
      </c>
      <c r="K225">
        <v>950421.20463643386</v>
      </c>
      <c r="L225">
        <v>1680200.2805138817</v>
      </c>
      <c r="M225">
        <v>1032857.1768836371</v>
      </c>
      <c r="N225">
        <f t="shared" si="4"/>
        <v>0.4730706490218749</v>
      </c>
    </row>
    <row r="226" spans="1:14" x14ac:dyDescent="0.45">
      <c r="A226" t="s">
        <v>280</v>
      </c>
      <c r="B226">
        <v>8467672.9181545246</v>
      </c>
      <c r="C226">
        <v>22611890.159304034</v>
      </c>
      <c r="D226">
        <v>12428629.051419858</v>
      </c>
      <c r="E226">
        <v>13979361.795558676</v>
      </c>
      <c r="F226">
        <v>15573650.758765897</v>
      </c>
      <c r="G226">
        <v>15586295.474694518</v>
      </c>
      <c r="H226">
        <v>13468201.789531516</v>
      </c>
      <c r="I226">
        <v>17305372.088322897</v>
      </c>
      <c r="J226">
        <v>9245014.4325890783</v>
      </c>
      <c r="K226">
        <v>10512215.583411146</v>
      </c>
      <c r="L226">
        <v>14805131.617887363</v>
      </c>
      <c r="M226">
        <v>13395845.110590098</v>
      </c>
      <c r="N226">
        <f t="shared" si="4"/>
        <v>0.4782826354273253</v>
      </c>
    </row>
    <row r="227" spans="1:14" x14ac:dyDescent="0.45">
      <c r="A227" t="s">
        <v>357</v>
      </c>
      <c r="B227">
        <v>45167282.040159337</v>
      </c>
      <c r="C227">
        <v>746768561.54803336</v>
      </c>
      <c r="D227">
        <v>110145326.12365912</v>
      </c>
      <c r="E227">
        <v>58124405.050672531</v>
      </c>
      <c r="F227">
        <v>75533480.230130076</v>
      </c>
      <c r="G227">
        <v>16019060.905337127</v>
      </c>
      <c r="H227">
        <v>17378693.326677486</v>
      </c>
      <c r="I227">
        <v>14952572.666203968</v>
      </c>
      <c r="J227">
        <v>12759819.022698184</v>
      </c>
      <c r="K227">
        <v>79252159.15126802</v>
      </c>
      <c r="L227">
        <v>297643902.65003055</v>
      </c>
      <c r="M227">
        <v>100676650.24001862</v>
      </c>
      <c r="N227">
        <f t="shared" si="4"/>
        <v>0.49126705276709137</v>
      </c>
    </row>
    <row r="228" spans="1:14" x14ac:dyDescent="0.45">
      <c r="A228" t="s">
        <v>434</v>
      </c>
      <c r="B228">
        <v>15080491.665619044</v>
      </c>
      <c r="C228">
        <v>19232373.156891573</v>
      </c>
      <c r="D228">
        <v>9720856.0415517166</v>
      </c>
      <c r="E228">
        <v>23495245.574471217</v>
      </c>
      <c r="F228">
        <v>16565083.899708992</v>
      </c>
      <c r="G228">
        <v>22774741.691915497</v>
      </c>
      <c r="H228">
        <v>5223364.4416202856</v>
      </c>
      <c r="I228">
        <v>31613396.962051261</v>
      </c>
      <c r="J228">
        <v>15797509.54053295</v>
      </c>
      <c r="K228">
        <v>11857421.38595468</v>
      </c>
      <c r="L228">
        <v>11017286.000303175</v>
      </c>
      <c r="M228">
        <v>13558268.270884559</v>
      </c>
      <c r="N228">
        <f t="shared" si="4"/>
        <v>0.49769242415351123</v>
      </c>
    </row>
    <row r="229" spans="1:14" x14ac:dyDescent="0.45">
      <c r="A229" t="s">
        <v>439</v>
      </c>
      <c r="B229">
        <v>16421507.093415106</v>
      </c>
      <c r="C229">
        <v>69230.546663861547</v>
      </c>
      <c r="D229">
        <v>3343500.899988472</v>
      </c>
      <c r="E229">
        <v>202416.05677812334</v>
      </c>
      <c r="F229">
        <v>4305720.6553965816</v>
      </c>
      <c r="G229">
        <v>6976899.1117073232</v>
      </c>
      <c r="H229">
        <v>53207.008510399864</v>
      </c>
      <c r="I229">
        <v>12915709.219840283</v>
      </c>
      <c r="J229">
        <v>581892.40428865282</v>
      </c>
      <c r="K229">
        <v>119220.64187486166</v>
      </c>
      <c r="L229">
        <v>43626.243529812964</v>
      </c>
      <c r="M229">
        <v>4023170.1320424117</v>
      </c>
      <c r="N229">
        <f t="shared" si="4"/>
        <v>0.50108725388701725</v>
      </c>
    </row>
    <row r="230" spans="1:14" x14ac:dyDescent="0.45">
      <c r="A230" t="s">
        <v>125</v>
      </c>
      <c r="B230">
        <v>3741465.0842356961</v>
      </c>
      <c r="C230">
        <v>19758333.552661352</v>
      </c>
      <c r="D230">
        <v>6695344.2557763951</v>
      </c>
      <c r="E230">
        <v>9601934.2479834948</v>
      </c>
      <c r="F230">
        <v>7525646.7339833062</v>
      </c>
      <c r="G230">
        <v>5747168.2309856238</v>
      </c>
      <c r="H230">
        <v>6589148.386347048</v>
      </c>
      <c r="I230">
        <v>6830049.712523032</v>
      </c>
      <c r="J230">
        <v>6924159.214224169</v>
      </c>
      <c r="K230">
        <v>6678714.7389427423</v>
      </c>
      <c r="L230">
        <v>10338093.362632863</v>
      </c>
      <c r="M230">
        <v>5696905.8474255884</v>
      </c>
      <c r="N230">
        <f t="shared" si="4"/>
        <v>0.50488982160859497</v>
      </c>
    </row>
    <row r="231" spans="1:14" x14ac:dyDescent="0.45">
      <c r="A231" t="s">
        <v>272</v>
      </c>
      <c r="B231">
        <v>12699784.223934736</v>
      </c>
      <c r="C231">
        <v>45671774.811866514</v>
      </c>
      <c r="D231">
        <v>32679223.53748076</v>
      </c>
      <c r="E231">
        <v>52916359.677209221</v>
      </c>
      <c r="F231">
        <v>120764885.57297219</v>
      </c>
      <c r="G231">
        <v>58642225.574988805</v>
      </c>
      <c r="H231">
        <v>55272441.209475003</v>
      </c>
      <c r="I231">
        <v>43618503.77528587</v>
      </c>
      <c r="J231">
        <v>25029464.653807167</v>
      </c>
      <c r="K231">
        <v>33127435.92696619</v>
      </c>
      <c r="L231">
        <v>62290547.766901262</v>
      </c>
      <c r="M231">
        <v>38352593.597119555</v>
      </c>
      <c r="N231">
        <f t="shared" si="4"/>
        <v>0.50925728299540196</v>
      </c>
    </row>
    <row r="232" spans="1:14" x14ac:dyDescent="0.45">
      <c r="A232" t="s">
        <v>55</v>
      </c>
      <c r="B232">
        <v>77579926.256488085</v>
      </c>
      <c r="C232">
        <v>80539697.991359457</v>
      </c>
      <c r="D232">
        <v>89729489.468444154</v>
      </c>
      <c r="E232">
        <v>282261874.35353905</v>
      </c>
      <c r="F232">
        <v>130892631.64188506</v>
      </c>
      <c r="G232">
        <v>59306946.955451995</v>
      </c>
      <c r="H232">
        <v>124863800.27562074</v>
      </c>
      <c r="I232">
        <v>227646580.43898696</v>
      </c>
      <c r="J232">
        <v>164022425.25639674</v>
      </c>
      <c r="K232">
        <v>113944071.64613715</v>
      </c>
      <c r="L232">
        <v>137383985.09168446</v>
      </c>
      <c r="M232">
        <v>110109219.01612058</v>
      </c>
      <c r="N232">
        <f t="shared" si="4"/>
        <v>0.50931480370058002</v>
      </c>
    </row>
    <row r="233" spans="1:14" x14ac:dyDescent="0.45">
      <c r="A233" t="s">
        <v>251</v>
      </c>
      <c r="B233">
        <v>8000992.1711901054</v>
      </c>
      <c r="C233">
        <v>8836338.9048470613</v>
      </c>
      <c r="D233">
        <v>7732737.3556716805</v>
      </c>
      <c r="E233">
        <v>9616722.9348755758</v>
      </c>
      <c r="F233">
        <v>17126261.908279091</v>
      </c>
      <c r="G233">
        <v>20398749.009510145</v>
      </c>
      <c r="H233">
        <v>9430057.8567367494</v>
      </c>
      <c r="I233">
        <v>17883022.293246817</v>
      </c>
      <c r="J233">
        <v>8347069.6335652256</v>
      </c>
      <c r="K233">
        <v>6467816.1802487252</v>
      </c>
      <c r="L233">
        <v>9811905.6913784966</v>
      </c>
      <c r="M233">
        <v>8547012.0058556851</v>
      </c>
      <c r="N233">
        <f t="shared" si="4"/>
        <v>0.51139489359873935</v>
      </c>
    </row>
    <row r="234" spans="1:14" x14ac:dyDescent="0.45">
      <c r="A234" t="s">
        <v>365</v>
      </c>
      <c r="B234">
        <v>60160990.019927688</v>
      </c>
      <c r="C234">
        <v>109597723.49194439</v>
      </c>
      <c r="D234">
        <v>44842702.190521613</v>
      </c>
      <c r="E234">
        <v>46128965.245864086</v>
      </c>
      <c r="F234">
        <v>46154984.233633004</v>
      </c>
      <c r="G234">
        <v>44368668.899536982</v>
      </c>
      <c r="H234">
        <v>43870213.655796327</v>
      </c>
      <c r="I234">
        <v>56440206.402042866</v>
      </c>
      <c r="J234">
        <v>52517881.885803461</v>
      </c>
      <c r="K234">
        <v>36441170.308451071</v>
      </c>
      <c r="L234">
        <v>302890523.06590945</v>
      </c>
      <c r="M234">
        <v>37882693.652122945</v>
      </c>
      <c r="N234">
        <f t="shared" si="4"/>
        <v>0.51634696819934289</v>
      </c>
    </row>
    <row r="235" spans="1:14" x14ac:dyDescent="0.45">
      <c r="A235" t="s">
        <v>232</v>
      </c>
      <c r="B235">
        <v>19082627.046396777</v>
      </c>
      <c r="C235">
        <v>37764140.039171077</v>
      </c>
      <c r="D235">
        <v>15147067.376813326</v>
      </c>
      <c r="E235">
        <v>32518963.690963175</v>
      </c>
      <c r="F235">
        <v>29378039.549345862</v>
      </c>
      <c r="G235">
        <v>29965462.706427045</v>
      </c>
      <c r="H235">
        <v>26004150.755334713</v>
      </c>
      <c r="I235">
        <v>36677966.179785565</v>
      </c>
      <c r="J235">
        <v>20920657.147513587</v>
      </c>
      <c r="K235">
        <v>19155257.02290687</v>
      </c>
      <c r="L235">
        <v>23699545.981650531</v>
      </c>
      <c r="M235">
        <v>19954163.341289021</v>
      </c>
      <c r="N235">
        <f t="shared" si="4"/>
        <v>0.52219637808777264</v>
      </c>
    </row>
    <row r="236" spans="1:14" x14ac:dyDescent="0.45">
      <c r="A236" t="s">
        <v>321</v>
      </c>
      <c r="B236">
        <v>2090826.3788189534</v>
      </c>
      <c r="C236">
        <v>22615749.75714216</v>
      </c>
      <c r="D236">
        <v>4492849.3799547581</v>
      </c>
      <c r="E236">
        <v>7926361.4674418019</v>
      </c>
      <c r="F236">
        <v>6109306.1956237843</v>
      </c>
      <c r="G236">
        <v>4750836.5359329777</v>
      </c>
      <c r="H236">
        <v>3270100.6103345756</v>
      </c>
      <c r="I236">
        <v>2755490.5409839218</v>
      </c>
      <c r="J236">
        <v>4158647.6688439278</v>
      </c>
      <c r="K236">
        <v>6122617.131990972</v>
      </c>
      <c r="L236">
        <v>10860339.646374915</v>
      </c>
      <c r="M236">
        <v>7878743.3418826954</v>
      </c>
      <c r="N236">
        <f t="shared" si="4"/>
        <v>0.52607372194379998</v>
      </c>
    </row>
    <row r="237" spans="1:14" x14ac:dyDescent="0.45">
      <c r="A237" t="s">
        <v>126</v>
      </c>
      <c r="B237">
        <v>5386608137.384161</v>
      </c>
      <c r="C237">
        <v>2566927889.0925465</v>
      </c>
      <c r="D237">
        <v>7838306177.8862038</v>
      </c>
      <c r="E237">
        <v>337471346.86110324</v>
      </c>
      <c r="F237">
        <v>194166929.84921324</v>
      </c>
      <c r="G237">
        <v>60506999.385106161</v>
      </c>
      <c r="H237">
        <v>2438246620.3859973</v>
      </c>
      <c r="I237">
        <v>4554122264.1340494</v>
      </c>
      <c r="J237">
        <v>2461899724.9631262</v>
      </c>
      <c r="K237">
        <v>258005127.00386959</v>
      </c>
      <c r="L237">
        <v>537047105.55698955</v>
      </c>
      <c r="M237">
        <v>234057893.63791862</v>
      </c>
      <c r="N237">
        <f t="shared" si="4"/>
        <v>0.52625695206982126</v>
      </c>
    </row>
    <row r="238" spans="1:14" x14ac:dyDescent="0.45">
      <c r="A238" t="s">
        <v>422</v>
      </c>
      <c r="B238">
        <v>5599222.9671897152</v>
      </c>
      <c r="C238">
        <v>7069224.1920944937</v>
      </c>
      <c r="D238">
        <v>6956891.2940897718</v>
      </c>
      <c r="E238">
        <v>2799132.5319469245</v>
      </c>
      <c r="F238">
        <v>5400871.3861943781</v>
      </c>
      <c r="G238">
        <v>7435023.3070750646</v>
      </c>
      <c r="H238">
        <v>1906165.5257630665</v>
      </c>
      <c r="I238">
        <v>10729494.85925879</v>
      </c>
      <c r="J238">
        <v>4307933.4630229259</v>
      </c>
      <c r="K238">
        <v>3794551.3938561692</v>
      </c>
      <c r="L238">
        <v>3290388.7977262111</v>
      </c>
      <c r="M238">
        <v>5660241.1012717653</v>
      </c>
      <c r="N238">
        <f t="shared" si="4"/>
        <v>0.53436005272123599</v>
      </c>
    </row>
    <row r="239" spans="1:14" x14ac:dyDescent="0.45">
      <c r="A239" t="s">
        <v>274</v>
      </c>
      <c r="B239">
        <v>12631780.904760117</v>
      </c>
      <c r="C239">
        <v>19506299.853624243</v>
      </c>
      <c r="D239">
        <v>19120599.705125563</v>
      </c>
      <c r="E239">
        <v>23760716.899882581</v>
      </c>
      <c r="F239">
        <v>29947389.878877018</v>
      </c>
      <c r="G239">
        <v>23264330.075949471</v>
      </c>
      <c r="H239">
        <v>16787701.623204976</v>
      </c>
      <c r="I239">
        <v>25496559.175202895</v>
      </c>
      <c r="J239">
        <v>17573557.061702169</v>
      </c>
      <c r="K239">
        <v>19066303.431713864</v>
      </c>
      <c r="L239">
        <v>24067226.854685236</v>
      </c>
      <c r="M239">
        <v>13795581.588238627</v>
      </c>
      <c r="N239">
        <f t="shared" si="4"/>
        <v>0.53798747440392736</v>
      </c>
    </row>
    <row r="240" spans="1:14" x14ac:dyDescent="0.45">
      <c r="A240" t="s">
        <v>347</v>
      </c>
      <c r="B240">
        <v>248755539.42842299</v>
      </c>
      <c r="C240">
        <v>213169496.61782548</v>
      </c>
      <c r="D240">
        <v>235987289.00221381</v>
      </c>
      <c r="E240">
        <v>333651681.11323816</v>
      </c>
      <c r="F240">
        <v>946995244.38250089</v>
      </c>
      <c r="G240">
        <v>958656586.92101014</v>
      </c>
      <c r="H240">
        <v>945787450.21886241</v>
      </c>
      <c r="I240">
        <v>516457963.54318649</v>
      </c>
      <c r="J240">
        <v>179590071.44892734</v>
      </c>
      <c r="K240">
        <v>240937041.99519128</v>
      </c>
      <c r="L240">
        <v>200930274.18855929</v>
      </c>
      <c r="M240">
        <v>108918997.48016225</v>
      </c>
      <c r="N240">
        <f t="shared" si="4"/>
        <v>0.5412380618663204</v>
      </c>
    </row>
    <row r="241" spans="1:14" x14ac:dyDescent="0.45">
      <c r="A241" t="s">
        <v>164</v>
      </c>
      <c r="B241">
        <v>14509278.936104424</v>
      </c>
      <c r="C241">
        <v>12083947.898916889</v>
      </c>
      <c r="D241">
        <v>14035571.922786195</v>
      </c>
      <c r="E241">
        <v>14248923.168323651</v>
      </c>
      <c r="F241">
        <v>26882159.025045328</v>
      </c>
      <c r="G241">
        <v>33707287.739361309</v>
      </c>
      <c r="H241">
        <v>14152325.686601311</v>
      </c>
      <c r="I241">
        <v>31452604.366642859</v>
      </c>
      <c r="J241">
        <v>12491421.061752465</v>
      </c>
      <c r="K241">
        <v>10190086.102660323</v>
      </c>
      <c r="L241">
        <v>13164648.250037812</v>
      </c>
      <c r="M241">
        <v>15880308.723189754</v>
      </c>
      <c r="N241">
        <f t="shared" si="4"/>
        <v>0.54245867768202638</v>
      </c>
    </row>
    <row r="242" spans="1:14" x14ac:dyDescent="0.45">
      <c r="A242" t="s">
        <v>45</v>
      </c>
      <c r="B242">
        <v>7323253.9727713177</v>
      </c>
      <c r="C242">
        <v>27022239.152799387</v>
      </c>
      <c r="D242">
        <v>13053995.575115185</v>
      </c>
      <c r="E242">
        <v>7441257.1850311346</v>
      </c>
      <c r="F242">
        <v>37403243.118861012</v>
      </c>
      <c r="G242">
        <v>12399187.806800213</v>
      </c>
      <c r="H242">
        <v>25168911.961881753</v>
      </c>
      <c r="I242">
        <v>9204339.8504189439</v>
      </c>
      <c r="J242">
        <v>6527168.976238206</v>
      </c>
      <c r="K242">
        <v>8554801.2912012637</v>
      </c>
      <c r="L242">
        <v>24557975.004643664</v>
      </c>
      <c r="M242">
        <v>7597056.4413498035</v>
      </c>
      <c r="N242">
        <f t="shared" si="4"/>
        <v>0.5442709804216469</v>
      </c>
    </row>
    <row r="243" spans="1:14" x14ac:dyDescent="0.45">
      <c r="A243" t="s">
        <v>46</v>
      </c>
      <c r="B243">
        <v>2303999.0530518321</v>
      </c>
      <c r="C243">
        <v>8883658.6614438277</v>
      </c>
      <c r="D243">
        <v>3234149.6727605113</v>
      </c>
      <c r="E243">
        <v>2197753.2187565938</v>
      </c>
      <c r="F243">
        <v>4807709.4715127647</v>
      </c>
      <c r="G243">
        <v>3345578.6116257166</v>
      </c>
      <c r="H243">
        <v>3554960.8485607742</v>
      </c>
      <c r="I243">
        <v>3809803.1517319181</v>
      </c>
      <c r="J243">
        <v>2415813.9710805584</v>
      </c>
      <c r="K243">
        <v>2761026.205431228</v>
      </c>
      <c r="L243">
        <v>4463829.2075987412</v>
      </c>
      <c r="M243">
        <v>3764819.4989000051</v>
      </c>
      <c r="N243">
        <f t="shared" si="4"/>
        <v>0.54697530886250612</v>
      </c>
    </row>
    <row r="244" spans="1:14" x14ac:dyDescent="0.45">
      <c r="A244" t="s">
        <v>315</v>
      </c>
      <c r="B244">
        <v>155730776.39131507</v>
      </c>
      <c r="C244">
        <v>83224279.983749807</v>
      </c>
      <c r="D244">
        <v>125576155.86057599</v>
      </c>
      <c r="E244">
        <v>245544658.07879567</v>
      </c>
      <c r="F244">
        <v>330859802.18902993</v>
      </c>
      <c r="G244">
        <v>177950787.33874038</v>
      </c>
      <c r="H244">
        <v>57764909.426359311</v>
      </c>
      <c r="I244">
        <v>323852972.39887685</v>
      </c>
      <c r="J244">
        <v>148524712.10203448</v>
      </c>
      <c r="K244">
        <v>104890141.19066703</v>
      </c>
      <c r="L244">
        <v>127024765.12101781</v>
      </c>
      <c r="M244">
        <v>805482981.82811761</v>
      </c>
      <c r="N244">
        <f t="shared" si="4"/>
        <v>0.54914064957300046</v>
      </c>
    </row>
    <row r="245" spans="1:14" x14ac:dyDescent="0.45">
      <c r="A245" t="s">
        <v>335</v>
      </c>
      <c r="B245">
        <v>47007723.704257227</v>
      </c>
      <c r="C245">
        <v>25167220.641863655</v>
      </c>
      <c r="D245">
        <v>59396680.061076999</v>
      </c>
      <c r="E245">
        <v>39345327.154555164</v>
      </c>
      <c r="F245">
        <v>25882305.929862279</v>
      </c>
      <c r="G245">
        <v>46925105.830545962</v>
      </c>
      <c r="H245">
        <v>41152509.117514327</v>
      </c>
      <c r="I245">
        <v>128825654.35288444</v>
      </c>
      <c r="J245">
        <v>49991387.045573689</v>
      </c>
      <c r="K245">
        <v>36644030.499750324</v>
      </c>
      <c r="L245">
        <v>10977090.118613131</v>
      </c>
      <c r="M245">
        <v>39857965.270801857</v>
      </c>
      <c r="N245">
        <f t="shared" si="4"/>
        <v>0.55294998278650542</v>
      </c>
    </row>
    <row r="246" spans="1:14" x14ac:dyDescent="0.45">
      <c r="A246" t="s">
        <v>435</v>
      </c>
      <c r="B246">
        <v>14747290.435725028</v>
      </c>
      <c r="C246">
        <v>36134955.840512954</v>
      </c>
      <c r="D246">
        <v>19311558.415981732</v>
      </c>
      <c r="E246">
        <v>133174938.04001004</v>
      </c>
      <c r="F246">
        <v>36201051.726105839</v>
      </c>
      <c r="G246">
        <v>36479348.807293586</v>
      </c>
      <c r="H246">
        <v>36818534.0450368</v>
      </c>
      <c r="I246">
        <v>65115540.397194117</v>
      </c>
      <c r="J246">
        <v>73804605.492944837</v>
      </c>
      <c r="K246">
        <v>41154640.661674894</v>
      </c>
      <c r="L246">
        <v>85108280.051931918</v>
      </c>
      <c r="M246">
        <v>45101799.33354985</v>
      </c>
      <c r="N246">
        <f t="shared" si="4"/>
        <v>0.55885740832483455</v>
      </c>
    </row>
    <row r="247" spans="1:14" x14ac:dyDescent="0.45">
      <c r="A247" t="s">
        <v>253</v>
      </c>
      <c r="B247">
        <v>16451819.495491059</v>
      </c>
      <c r="C247">
        <v>105971870.10562378</v>
      </c>
      <c r="D247">
        <v>24118874.37271098</v>
      </c>
      <c r="E247">
        <v>51042763.421436772</v>
      </c>
      <c r="F247">
        <v>32197936.957710426</v>
      </c>
      <c r="G247">
        <v>36225587.914315462</v>
      </c>
      <c r="H247">
        <v>20850255.662091196</v>
      </c>
      <c r="I247">
        <v>23654532.949729443</v>
      </c>
      <c r="J247">
        <v>28048244.407503843</v>
      </c>
      <c r="K247">
        <v>27619944.018654544</v>
      </c>
      <c r="L247">
        <v>83019427.018959373</v>
      </c>
      <c r="M247">
        <v>23149316.990435001</v>
      </c>
      <c r="N247">
        <f t="shared" si="4"/>
        <v>0.55898224962317955</v>
      </c>
    </row>
    <row r="248" spans="1:14" x14ac:dyDescent="0.45">
      <c r="A248" t="s">
        <v>298</v>
      </c>
      <c r="B248">
        <v>4965645.0840968508</v>
      </c>
      <c r="C248">
        <v>31850300.673654448</v>
      </c>
      <c r="D248">
        <v>10483239.454792321</v>
      </c>
      <c r="E248">
        <v>33264395.792097565</v>
      </c>
      <c r="F248">
        <v>55281767.835740924</v>
      </c>
      <c r="G248">
        <v>15014611.946804943</v>
      </c>
      <c r="H248">
        <v>32750605.6901282</v>
      </c>
      <c r="I248">
        <v>7552576.0770494444</v>
      </c>
      <c r="J248">
        <v>11214179.184842581</v>
      </c>
      <c r="K248">
        <v>14279095.242436277</v>
      </c>
      <c r="L248">
        <v>40656378.841555133</v>
      </c>
      <c r="M248">
        <v>10089892.718008187</v>
      </c>
      <c r="N248">
        <f t="shared" si="4"/>
        <v>0.55959271939548638</v>
      </c>
    </row>
    <row r="249" spans="1:14" x14ac:dyDescent="0.45">
      <c r="A249" t="s">
        <v>328</v>
      </c>
      <c r="B249">
        <v>721849189.51580429</v>
      </c>
      <c r="C249">
        <v>2632753288.215673</v>
      </c>
      <c r="D249">
        <v>1479430588.6595676</v>
      </c>
      <c r="E249">
        <v>2345108392.7910051</v>
      </c>
      <c r="F249">
        <v>3401585576.6771011</v>
      </c>
      <c r="G249">
        <v>2273564773.1616426</v>
      </c>
      <c r="H249">
        <v>2618852136.9755378</v>
      </c>
      <c r="I249">
        <v>1956464154.6784475</v>
      </c>
      <c r="J249">
        <v>1251047831.9065235</v>
      </c>
      <c r="K249">
        <v>1616932204.2507751</v>
      </c>
      <c r="L249">
        <v>2177414585.0460463</v>
      </c>
      <c r="M249">
        <v>1748101837.5374706</v>
      </c>
      <c r="N249">
        <f t="shared" si="4"/>
        <v>0.57462970217872655</v>
      </c>
    </row>
    <row r="250" spans="1:14" x14ac:dyDescent="0.45">
      <c r="A250" t="s">
        <v>103</v>
      </c>
      <c r="B250">
        <v>92328875.243763611</v>
      </c>
      <c r="C250">
        <v>657816101.9836179</v>
      </c>
      <c r="D250">
        <v>182091750.86683717</v>
      </c>
      <c r="E250">
        <v>29998786.209496964</v>
      </c>
      <c r="F250">
        <v>34570811.347607985</v>
      </c>
      <c r="G250">
        <v>26611084.963684924</v>
      </c>
      <c r="H250">
        <v>13510511.645328697</v>
      </c>
      <c r="I250">
        <v>17446066.834539283</v>
      </c>
      <c r="J250">
        <v>6539976.5941376807</v>
      </c>
      <c r="K250">
        <v>172935392.15746838</v>
      </c>
      <c r="L250">
        <v>278660186.04656893</v>
      </c>
      <c r="M250">
        <v>155143664.36679313</v>
      </c>
      <c r="N250">
        <f t="shared" si="4"/>
        <v>0.57965897676049583</v>
      </c>
    </row>
    <row r="251" spans="1:14" x14ac:dyDescent="0.45">
      <c r="A251" t="s">
        <v>159</v>
      </c>
      <c r="B251">
        <v>28333291.38810743</v>
      </c>
      <c r="C251">
        <v>25504258.774315316</v>
      </c>
      <c r="D251">
        <v>30750362.47995998</v>
      </c>
      <c r="E251">
        <v>8378544.1133527709</v>
      </c>
      <c r="F251">
        <v>13395691.019412162</v>
      </c>
      <c r="G251">
        <v>18085297.916883297</v>
      </c>
      <c r="H251">
        <v>13576183.896408902</v>
      </c>
      <c r="I251">
        <v>17035742.441108663</v>
      </c>
      <c r="J251">
        <v>13218869.35410274</v>
      </c>
      <c r="K251">
        <v>27646754.627779342</v>
      </c>
      <c r="L251">
        <v>27360003.991539106</v>
      </c>
      <c r="M251">
        <v>46300570.865987204</v>
      </c>
      <c r="N251">
        <f t="shared" si="4"/>
        <v>0.59593403818804447</v>
      </c>
    </row>
    <row r="252" spans="1:14" x14ac:dyDescent="0.45">
      <c r="A252" t="s">
        <v>78</v>
      </c>
      <c r="B252">
        <v>9581816.9789083283</v>
      </c>
      <c r="C252">
        <v>17097552.964942645</v>
      </c>
      <c r="D252">
        <v>15689402.299354708</v>
      </c>
      <c r="E252">
        <v>12522247.721144162</v>
      </c>
      <c r="F252">
        <v>16728408.306692339</v>
      </c>
      <c r="G252">
        <v>20961708.750679664</v>
      </c>
      <c r="H252">
        <v>17006992.786650293</v>
      </c>
      <c r="I252">
        <v>29641911.715250991</v>
      </c>
      <c r="J252">
        <v>8372473.7232400402</v>
      </c>
      <c r="K252">
        <v>14191245.123211289</v>
      </c>
      <c r="L252">
        <v>16424222.416569104</v>
      </c>
      <c r="M252">
        <v>17354371.527232941</v>
      </c>
      <c r="N252">
        <f t="shared" si="4"/>
        <v>0.60697613690969576</v>
      </c>
    </row>
    <row r="253" spans="1:14" x14ac:dyDescent="0.45">
      <c r="A253" t="s">
        <v>117</v>
      </c>
      <c r="B253">
        <v>397267760.6205222</v>
      </c>
      <c r="C253">
        <v>244656401.70701644</v>
      </c>
      <c r="D253">
        <v>366628022.90584266</v>
      </c>
      <c r="E253">
        <v>256994196.98574883</v>
      </c>
      <c r="F253">
        <v>144146220.52414611</v>
      </c>
      <c r="G253">
        <v>404755936.02446204</v>
      </c>
      <c r="H253">
        <v>294022320.03261906</v>
      </c>
      <c r="I253">
        <v>918132926.9054985</v>
      </c>
      <c r="J253">
        <v>513350174.78842288</v>
      </c>
      <c r="K253">
        <v>218122480.89871779</v>
      </c>
      <c r="L253">
        <v>78722896.194524318</v>
      </c>
      <c r="M253">
        <v>205082553.39885196</v>
      </c>
      <c r="N253">
        <f t="shared" si="4"/>
        <v>0.61110781257048896</v>
      </c>
    </row>
    <row r="254" spans="1:14" x14ac:dyDescent="0.45">
      <c r="A254" t="s">
        <v>420</v>
      </c>
      <c r="B254">
        <v>4035775.4243710656</v>
      </c>
      <c r="C254">
        <v>4690877.6334230136</v>
      </c>
      <c r="D254">
        <v>3970665.442545108</v>
      </c>
      <c r="E254">
        <v>5614560.3573365705</v>
      </c>
      <c r="F254">
        <v>2361084.6110956413</v>
      </c>
      <c r="G254">
        <v>9162980.1918988787</v>
      </c>
      <c r="H254">
        <v>3084719.4370625098</v>
      </c>
      <c r="I254">
        <v>7448995.0615300173</v>
      </c>
      <c r="J254">
        <v>3395404.7009056383</v>
      </c>
      <c r="K254">
        <v>3754285.4696819345</v>
      </c>
      <c r="L254">
        <v>3942625.8924624156</v>
      </c>
      <c r="M254">
        <v>4606177.1512468876</v>
      </c>
      <c r="N254">
        <f t="shared" si="4"/>
        <v>0.61185801008833141</v>
      </c>
    </row>
    <row r="255" spans="1:14" x14ac:dyDescent="0.45">
      <c r="A255" t="s">
        <v>122</v>
      </c>
      <c r="B255">
        <v>1891500.8098298756</v>
      </c>
      <c r="C255">
        <v>2724570.0515889814</v>
      </c>
      <c r="D255">
        <v>3866650.8329763561</v>
      </c>
      <c r="E255">
        <v>4575508.8095308365</v>
      </c>
      <c r="F255">
        <v>2704664.4047081047</v>
      </c>
      <c r="G255">
        <v>4086165.7407950684</v>
      </c>
      <c r="H255">
        <v>3709439.0747241196</v>
      </c>
      <c r="I255">
        <v>5282328.2790144328</v>
      </c>
      <c r="J255">
        <v>2712615.5244662976</v>
      </c>
      <c r="K255">
        <v>2029001.4757221502</v>
      </c>
      <c r="L255">
        <v>3638186.8141192864</v>
      </c>
      <c r="M255">
        <v>4459723.156248034</v>
      </c>
      <c r="N255">
        <f t="shared" si="4"/>
        <v>0.61372943241116595</v>
      </c>
    </row>
    <row r="256" spans="1:14" x14ac:dyDescent="0.45">
      <c r="A256" t="s">
        <v>276</v>
      </c>
      <c r="B256">
        <v>219032653.90108052</v>
      </c>
      <c r="C256">
        <v>368914077.57328373</v>
      </c>
      <c r="D256">
        <v>279356213.24342608</v>
      </c>
      <c r="E256">
        <v>309948180.56961089</v>
      </c>
      <c r="F256">
        <v>203930723.14925605</v>
      </c>
      <c r="G256">
        <v>268323450.54783916</v>
      </c>
      <c r="H256">
        <v>378886254.86743724</v>
      </c>
      <c r="I256">
        <v>405424721.08540672</v>
      </c>
      <c r="J256">
        <v>359846382.39580858</v>
      </c>
      <c r="K256">
        <v>205025678.91720331</v>
      </c>
      <c r="L256">
        <v>220264794.58947</v>
      </c>
      <c r="M256">
        <v>220454126.34713626</v>
      </c>
      <c r="N256">
        <f t="shared" si="4"/>
        <v>0.6148049043994952</v>
      </c>
    </row>
    <row r="257" spans="1:14" x14ac:dyDescent="0.45">
      <c r="A257" t="s">
        <v>304</v>
      </c>
      <c r="B257">
        <v>861662424.76016462</v>
      </c>
      <c r="C257">
        <v>448981147.66504312</v>
      </c>
      <c r="D257">
        <v>940663145.95803344</v>
      </c>
      <c r="E257">
        <v>405401434.94423878</v>
      </c>
      <c r="F257">
        <v>787853777.56185246</v>
      </c>
      <c r="G257">
        <v>1054940782.1462221</v>
      </c>
      <c r="H257">
        <v>951724242.59819746</v>
      </c>
      <c r="I257">
        <v>792247733.3803122</v>
      </c>
      <c r="J257">
        <v>386683586.81826806</v>
      </c>
      <c r="K257">
        <v>959386560.08044875</v>
      </c>
      <c r="L257">
        <v>178186357.77232617</v>
      </c>
      <c r="M257">
        <v>705912434.39931858</v>
      </c>
      <c r="N257">
        <f t="shared" si="4"/>
        <v>0.6150230812161317</v>
      </c>
    </row>
    <row r="258" spans="1:14" x14ac:dyDescent="0.45">
      <c r="A258" t="s">
        <v>367</v>
      </c>
      <c r="B258">
        <v>40293288.414032646</v>
      </c>
      <c r="C258">
        <v>159940116.18939695</v>
      </c>
      <c r="D258">
        <v>40942143.389801458</v>
      </c>
      <c r="E258">
        <v>110670100.8142297</v>
      </c>
      <c r="F258">
        <v>114083071.04465787</v>
      </c>
      <c r="G258">
        <v>115316099.58386257</v>
      </c>
      <c r="H258">
        <v>81925736.938486025</v>
      </c>
      <c r="I258">
        <v>65634213.433772177</v>
      </c>
      <c r="J258">
        <v>105977291.72270933</v>
      </c>
      <c r="K258">
        <v>67840999.579226255</v>
      </c>
      <c r="L258">
        <v>141563854.97281209</v>
      </c>
      <c r="M258">
        <v>44524180.852975875</v>
      </c>
      <c r="N258">
        <f t="shared" ref="N258:N320" si="5">TTEST(B258:G258,H258:M258,2,2)</f>
        <v>0.61760846448785167</v>
      </c>
    </row>
    <row r="259" spans="1:14" x14ac:dyDescent="0.45">
      <c r="A259" t="s">
        <v>290</v>
      </c>
      <c r="B259">
        <v>3966288.0054121097</v>
      </c>
      <c r="C259">
        <v>8420354.7180292532</v>
      </c>
      <c r="D259">
        <v>13123271.546180934</v>
      </c>
      <c r="E259">
        <v>19633434.72705194</v>
      </c>
      <c r="F259">
        <v>21879634.605175029</v>
      </c>
      <c r="G259">
        <v>14188483.645885436</v>
      </c>
      <c r="H259">
        <v>17843815.201433986</v>
      </c>
      <c r="I259">
        <v>11618059.139066089</v>
      </c>
      <c r="J259">
        <v>14182601.570570411</v>
      </c>
      <c r="K259">
        <v>10116163.679665033</v>
      </c>
      <c r="L259">
        <v>23060540.690213285</v>
      </c>
      <c r="M259">
        <v>14698189.156176079</v>
      </c>
      <c r="N259">
        <f t="shared" si="5"/>
        <v>0.61775376356736589</v>
      </c>
    </row>
    <row r="260" spans="1:14" x14ac:dyDescent="0.45">
      <c r="A260" t="s">
        <v>296</v>
      </c>
      <c r="B260">
        <v>86723364.856047571</v>
      </c>
      <c r="C260">
        <v>887084.91176336585</v>
      </c>
      <c r="D260">
        <v>18040953.21054868</v>
      </c>
      <c r="E260">
        <v>2036851.3434502648</v>
      </c>
      <c r="F260">
        <v>17075100.113436185</v>
      </c>
      <c r="G260">
        <v>30505461.702032398</v>
      </c>
      <c r="H260">
        <v>780992.05152032711</v>
      </c>
      <c r="I260">
        <v>73260289.7229525</v>
      </c>
      <c r="J260">
        <v>4084383.4273944888</v>
      </c>
      <c r="K260">
        <v>1157854.2742626672</v>
      </c>
      <c r="L260">
        <v>500205.2623027995</v>
      </c>
      <c r="M260">
        <v>22844522.629063629</v>
      </c>
      <c r="N260">
        <f t="shared" si="5"/>
        <v>0.6273603555200955</v>
      </c>
    </row>
    <row r="261" spans="1:14" x14ac:dyDescent="0.45">
      <c r="A261" t="s">
        <v>218</v>
      </c>
      <c r="B261">
        <v>12798246.271291951</v>
      </c>
      <c r="C261">
        <v>73611873.12159577</v>
      </c>
      <c r="D261">
        <v>31325675.875061594</v>
      </c>
      <c r="E261">
        <v>21614906.259225897</v>
      </c>
      <c r="F261">
        <v>22132571.825157568</v>
      </c>
      <c r="G261">
        <v>14705383.034532554</v>
      </c>
      <c r="H261">
        <v>17985998.848185506</v>
      </c>
      <c r="I261">
        <v>15252940.275773574</v>
      </c>
      <c r="J261">
        <v>31922060.3072013</v>
      </c>
      <c r="K261">
        <v>23420031.082861446</v>
      </c>
      <c r="L261">
        <v>38203647.28310895</v>
      </c>
      <c r="M261">
        <v>20066551.882745046</v>
      </c>
      <c r="N261">
        <f t="shared" si="5"/>
        <v>0.63288592506368602</v>
      </c>
    </row>
    <row r="262" spans="1:14" x14ac:dyDescent="0.45">
      <c r="A262" t="s">
        <v>252</v>
      </c>
      <c r="B262">
        <v>11204832.329039373</v>
      </c>
      <c r="C262">
        <v>4604565.8306359034</v>
      </c>
      <c r="D262">
        <v>8208574.0159409754</v>
      </c>
      <c r="E262">
        <v>19674352.205456574</v>
      </c>
      <c r="F262">
        <v>17080295.16939678</v>
      </c>
      <c r="G262">
        <v>17233313.192003675</v>
      </c>
      <c r="H262">
        <v>5597977.6804900132</v>
      </c>
      <c r="I262">
        <v>20345553.618410885</v>
      </c>
      <c r="J262">
        <v>11359516.326196808</v>
      </c>
      <c r="K262">
        <v>10396593.925579241</v>
      </c>
      <c r="L262">
        <v>12893493.353696765</v>
      </c>
      <c r="M262">
        <v>8224490.0647495575</v>
      </c>
      <c r="N262">
        <f t="shared" si="5"/>
        <v>0.64014451017772067</v>
      </c>
    </row>
    <row r="263" spans="1:14" x14ac:dyDescent="0.45">
      <c r="A263" t="s">
        <v>66</v>
      </c>
      <c r="B263">
        <v>420908.95498638129</v>
      </c>
      <c r="C263">
        <v>695289.14591061731</v>
      </c>
      <c r="D263">
        <v>613592.44872072572</v>
      </c>
      <c r="E263">
        <v>634650.35629266943</v>
      </c>
      <c r="F263">
        <v>487710.50211760396</v>
      </c>
      <c r="G263">
        <v>689427.58902008703</v>
      </c>
      <c r="H263">
        <v>337609.92873550125</v>
      </c>
      <c r="I263">
        <v>962389.37925946293</v>
      </c>
      <c r="J263">
        <v>355102.67881624697</v>
      </c>
      <c r="K263">
        <v>267309.68115635868</v>
      </c>
      <c r="L263">
        <v>426659.64601311967</v>
      </c>
      <c r="M263">
        <v>829262.75845690677</v>
      </c>
      <c r="N263">
        <f t="shared" si="5"/>
        <v>0.6446700903879804</v>
      </c>
    </row>
    <row r="264" spans="1:14" x14ac:dyDescent="0.45">
      <c r="A264" t="s">
        <v>206</v>
      </c>
      <c r="B264">
        <v>4548052.4859820725</v>
      </c>
      <c r="C264">
        <v>34013793.217533067</v>
      </c>
      <c r="D264">
        <v>8654451.2258193586</v>
      </c>
      <c r="E264">
        <v>2268971.8293558983</v>
      </c>
      <c r="F264">
        <v>7023124.0224415231</v>
      </c>
      <c r="G264">
        <v>4880881.6823887164</v>
      </c>
      <c r="H264">
        <v>2542042.5138966171</v>
      </c>
      <c r="I264">
        <v>1298811.4054976967</v>
      </c>
      <c r="J264">
        <v>4828922.806153913</v>
      </c>
      <c r="K264">
        <v>12517111.316621635</v>
      </c>
      <c r="L264">
        <v>15575524.531802576</v>
      </c>
      <c r="M264">
        <v>9926221.5625530872</v>
      </c>
      <c r="N264">
        <f t="shared" si="5"/>
        <v>0.65860546655458863</v>
      </c>
    </row>
    <row r="265" spans="1:14" x14ac:dyDescent="0.45">
      <c r="A265" t="s">
        <v>113</v>
      </c>
      <c r="B265">
        <v>1351436.753716764</v>
      </c>
      <c r="C265">
        <v>2490532.4524265495</v>
      </c>
      <c r="D265">
        <v>2739157.4035925106</v>
      </c>
      <c r="E265">
        <v>3316808.1321021719</v>
      </c>
      <c r="F265">
        <v>3280689.3985213949</v>
      </c>
      <c r="G265">
        <v>6554929.3715835083</v>
      </c>
      <c r="H265">
        <v>2987455.9500389122</v>
      </c>
      <c r="I265">
        <v>6838049.1351638632</v>
      </c>
      <c r="J265">
        <v>2313827.1481652698</v>
      </c>
      <c r="K265">
        <v>1938605.905227328</v>
      </c>
      <c r="L265">
        <v>3746745.1927788691</v>
      </c>
      <c r="M265">
        <v>4704144.6667356966</v>
      </c>
      <c r="N265">
        <f t="shared" si="5"/>
        <v>0.66023166940052391</v>
      </c>
    </row>
    <row r="266" spans="1:14" x14ac:dyDescent="0.45">
      <c r="A266" t="s">
        <v>377</v>
      </c>
      <c r="B266">
        <v>18218624.605017118</v>
      </c>
      <c r="C266">
        <v>34401942.064669348</v>
      </c>
      <c r="D266">
        <v>24053089.372608781</v>
      </c>
      <c r="E266">
        <v>23907778.184339106</v>
      </c>
      <c r="F266">
        <v>13666520.798924152</v>
      </c>
      <c r="G266">
        <v>15873242.070077518</v>
      </c>
      <c r="H266">
        <v>16614326.279402472</v>
      </c>
      <c r="I266">
        <v>15390047.947914386</v>
      </c>
      <c r="J266">
        <v>29462277.592104692</v>
      </c>
      <c r="K266">
        <v>12632445.282432241</v>
      </c>
      <c r="L266">
        <v>33241369.015253022</v>
      </c>
      <c r="M266">
        <v>9321057.4328999016</v>
      </c>
      <c r="N266">
        <f t="shared" si="5"/>
        <v>0.66249257012595986</v>
      </c>
    </row>
    <row r="267" spans="1:14" x14ac:dyDescent="0.45">
      <c r="A267" t="s">
        <v>346</v>
      </c>
      <c r="B267">
        <v>15707904.624148704</v>
      </c>
      <c r="C267">
        <v>16113258.239035912</v>
      </c>
      <c r="D267">
        <v>23208121.926398292</v>
      </c>
      <c r="E267">
        <v>9223577.3914769329</v>
      </c>
      <c r="F267">
        <v>13056785.437679112</v>
      </c>
      <c r="G267">
        <v>14833452.020704268</v>
      </c>
      <c r="H267">
        <v>5426658.361697739</v>
      </c>
      <c r="I267">
        <v>23116085.3956073</v>
      </c>
      <c r="J267">
        <v>8888252.7596111577</v>
      </c>
      <c r="K267">
        <v>11364612.465749767</v>
      </c>
      <c r="L267">
        <v>11491411.811413294</v>
      </c>
      <c r="M267">
        <v>22517008.457781862</v>
      </c>
      <c r="N267">
        <f t="shared" si="5"/>
        <v>0.6686239818487465</v>
      </c>
    </row>
    <row r="268" spans="1:14" x14ac:dyDescent="0.45">
      <c r="A268" t="s">
        <v>198</v>
      </c>
      <c r="B268">
        <v>5310317.418381677</v>
      </c>
      <c r="C268">
        <v>19606802.089502551</v>
      </c>
      <c r="D268">
        <v>27227393.342083495</v>
      </c>
      <c r="E268">
        <v>35821863.284472115</v>
      </c>
      <c r="F268">
        <v>61880454.472952984</v>
      </c>
      <c r="G268">
        <v>25741396.788064025</v>
      </c>
      <c r="H268">
        <v>28989819.220792312</v>
      </c>
      <c r="I268">
        <v>7489342.3261309043</v>
      </c>
      <c r="J268">
        <v>18110557.540071599</v>
      </c>
      <c r="K268">
        <v>18992166.045277003</v>
      </c>
      <c r="L268">
        <v>49244804.967417262</v>
      </c>
      <c r="M268">
        <v>27436930.590520881</v>
      </c>
      <c r="N268">
        <f t="shared" si="5"/>
        <v>0.67094006362015191</v>
      </c>
    </row>
    <row r="269" spans="1:14" x14ac:dyDescent="0.45">
      <c r="A269" t="s">
        <v>317</v>
      </c>
      <c r="B269">
        <v>47307792.454301476</v>
      </c>
      <c r="C269">
        <v>135227061.69121647</v>
      </c>
      <c r="D269">
        <v>74254732.427189097</v>
      </c>
      <c r="E269">
        <v>91382556.153363809</v>
      </c>
      <c r="F269">
        <v>109907218.31480359</v>
      </c>
      <c r="G269">
        <v>106293850.41218416</v>
      </c>
      <c r="H269">
        <v>81255153.087551668</v>
      </c>
      <c r="I269">
        <v>79759913.159724683</v>
      </c>
      <c r="J269">
        <v>50495804.687231615</v>
      </c>
      <c r="K269">
        <v>130262499.58817533</v>
      </c>
      <c r="L269">
        <v>105955506.13606165</v>
      </c>
      <c r="M269">
        <v>72908672.561315194</v>
      </c>
      <c r="N269">
        <f t="shared" si="5"/>
        <v>0.67466987287726699</v>
      </c>
    </row>
    <row r="270" spans="1:14" x14ac:dyDescent="0.45">
      <c r="A270" t="s">
        <v>287</v>
      </c>
      <c r="B270">
        <v>18930260.319821406</v>
      </c>
      <c r="C270">
        <v>167525331.6369406</v>
      </c>
      <c r="D270">
        <v>17154958.618221067</v>
      </c>
      <c r="E270">
        <v>20491234.857039385</v>
      </c>
      <c r="F270">
        <v>199167291.87526652</v>
      </c>
      <c r="G270">
        <v>16886140.379888434</v>
      </c>
      <c r="H270">
        <v>17931747.148432706</v>
      </c>
      <c r="I270">
        <v>26694506.569287628</v>
      </c>
      <c r="J270">
        <v>25365713.105664738</v>
      </c>
      <c r="K270">
        <v>60612751.374602981</v>
      </c>
      <c r="L270">
        <v>117934714.24302347</v>
      </c>
      <c r="M270">
        <v>91945606.97582598</v>
      </c>
      <c r="N270">
        <f t="shared" si="5"/>
        <v>0.67772550508344676</v>
      </c>
    </row>
    <row r="271" spans="1:14" x14ac:dyDescent="0.45">
      <c r="A271" t="s">
        <v>421</v>
      </c>
      <c r="B271">
        <v>75959.341698675576</v>
      </c>
      <c r="C271">
        <v>165555.02485440989</v>
      </c>
      <c r="D271">
        <v>1176338.9046336417</v>
      </c>
      <c r="E271">
        <v>3959359.4866712894</v>
      </c>
      <c r="F271">
        <v>786768.45580003387</v>
      </c>
      <c r="G271">
        <v>4190917.467215396</v>
      </c>
      <c r="H271">
        <v>3220441.6917278618</v>
      </c>
      <c r="I271">
        <v>2064394.4309520565</v>
      </c>
      <c r="J271">
        <v>2257360.6313905101</v>
      </c>
      <c r="K271">
        <v>96238.971451434903</v>
      </c>
      <c r="L271">
        <v>209592.20421391638</v>
      </c>
      <c r="M271">
        <v>187548.27388240246</v>
      </c>
      <c r="N271">
        <f t="shared" si="5"/>
        <v>0.68932044102106205</v>
      </c>
    </row>
    <row r="272" spans="1:14" x14ac:dyDescent="0.45">
      <c r="A272" t="s">
        <v>212</v>
      </c>
      <c r="B272">
        <v>104686330.70548555</v>
      </c>
      <c r="C272">
        <v>101531367.5973006</v>
      </c>
      <c r="D272">
        <v>114002111.75029145</v>
      </c>
      <c r="E272">
        <v>491928527.44225198</v>
      </c>
      <c r="F272">
        <v>516889791.12053198</v>
      </c>
      <c r="G272">
        <v>934905246.13132489</v>
      </c>
      <c r="H272">
        <v>462430996.12142181</v>
      </c>
      <c r="I272">
        <v>406328962.37485158</v>
      </c>
      <c r="J272">
        <v>313508443.03733963</v>
      </c>
      <c r="K272">
        <v>339395687.19173747</v>
      </c>
      <c r="L272">
        <v>186829142.63540801</v>
      </c>
      <c r="M272">
        <v>210485085.48396423</v>
      </c>
      <c r="N272">
        <f t="shared" si="5"/>
        <v>0.697873029933886</v>
      </c>
    </row>
    <row r="273" spans="1:14" x14ac:dyDescent="0.45">
      <c r="A273" t="s">
        <v>275</v>
      </c>
      <c r="B273">
        <v>10633144.632207025</v>
      </c>
      <c r="C273">
        <v>35749926.620370097</v>
      </c>
      <c r="D273">
        <v>22317703.123120688</v>
      </c>
      <c r="E273">
        <v>22492827.664437234</v>
      </c>
      <c r="F273">
        <v>30267900.669885237</v>
      </c>
      <c r="G273">
        <v>27997685.636806149</v>
      </c>
      <c r="H273">
        <v>24172934.629383471</v>
      </c>
      <c r="I273">
        <v>20684048.765938532</v>
      </c>
      <c r="J273">
        <v>13127804.868722627</v>
      </c>
      <c r="K273">
        <v>34723952.004717506</v>
      </c>
      <c r="L273">
        <v>43033374.154486194</v>
      </c>
      <c r="M273">
        <v>26976576.866287302</v>
      </c>
      <c r="N273">
        <f t="shared" si="5"/>
        <v>0.69963335266507187</v>
      </c>
    </row>
    <row r="274" spans="1:14" x14ac:dyDescent="0.45">
      <c r="A274" t="s">
        <v>281</v>
      </c>
      <c r="B274">
        <v>2446077.6706047202</v>
      </c>
      <c r="C274">
        <v>9072579.921466805</v>
      </c>
      <c r="D274">
        <v>4184156.4163731262</v>
      </c>
      <c r="E274">
        <v>3955261.0610718084</v>
      </c>
      <c r="F274">
        <v>2717926.5269030835</v>
      </c>
      <c r="G274">
        <v>4622262.1739295488</v>
      </c>
      <c r="H274">
        <v>3656681.3630142612</v>
      </c>
      <c r="I274">
        <v>5681302.0399260316</v>
      </c>
      <c r="J274">
        <v>3444512.7729620757</v>
      </c>
      <c r="K274">
        <v>2894760.5415404812</v>
      </c>
      <c r="L274">
        <v>5240111.1033756258</v>
      </c>
      <c r="M274">
        <v>3573745.1104686814</v>
      </c>
      <c r="N274">
        <f t="shared" si="5"/>
        <v>0.70644066250703608</v>
      </c>
    </row>
    <row r="275" spans="1:14" x14ac:dyDescent="0.45">
      <c r="A275" t="s">
        <v>310</v>
      </c>
      <c r="B275">
        <v>5236793.2141462239</v>
      </c>
      <c r="C275">
        <v>52413248.15308246</v>
      </c>
      <c r="D275">
        <v>15304720.533962073</v>
      </c>
      <c r="E275">
        <v>26547237.052944712</v>
      </c>
      <c r="F275">
        <v>13836081.227183534</v>
      </c>
      <c r="G275">
        <v>10875908.582764165</v>
      </c>
      <c r="H275">
        <v>26598060.426966686</v>
      </c>
      <c r="I275">
        <v>19587277.624391019</v>
      </c>
      <c r="J275">
        <v>27716467.977015026</v>
      </c>
      <c r="K275">
        <v>19927186.900575832</v>
      </c>
      <c r="L275">
        <v>28789563.698817473</v>
      </c>
      <c r="M275">
        <v>18139170.19087946</v>
      </c>
      <c r="N275">
        <f t="shared" si="5"/>
        <v>0.71053478984694785</v>
      </c>
    </row>
    <row r="276" spans="1:14" x14ac:dyDescent="0.45">
      <c r="A276" t="s">
        <v>98</v>
      </c>
      <c r="B276">
        <v>694520.85876844404</v>
      </c>
      <c r="C276">
        <v>914157.89373844629</v>
      </c>
      <c r="D276">
        <v>814151.52244294505</v>
      </c>
      <c r="E276">
        <v>505899.35632959782</v>
      </c>
      <c r="F276">
        <v>794057.72959407466</v>
      </c>
      <c r="G276">
        <v>1066124.00421566</v>
      </c>
      <c r="H276">
        <v>709270.99565792154</v>
      </c>
      <c r="I276">
        <v>1849859.8174406961</v>
      </c>
      <c r="J276">
        <v>656992.41533250455</v>
      </c>
      <c r="K276">
        <v>656299.77874749631</v>
      </c>
      <c r="L276">
        <v>457464.99564906576</v>
      </c>
      <c r="M276">
        <v>959230.65060604911</v>
      </c>
      <c r="N276">
        <f t="shared" si="5"/>
        <v>0.71114019461153699</v>
      </c>
    </row>
    <row r="277" spans="1:14" x14ac:dyDescent="0.45">
      <c r="A277" t="s">
        <v>121</v>
      </c>
      <c r="B277">
        <v>2729502.32278874</v>
      </c>
      <c r="C277">
        <v>7380833.8993288865</v>
      </c>
      <c r="D277">
        <v>2279256.5975694489</v>
      </c>
      <c r="E277">
        <v>2251149.9562874795</v>
      </c>
      <c r="F277">
        <v>2611324.7906069481</v>
      </c>
      <c r="G277">
        <v>2615467.1990586286</v>
      </c>
      <c r="H277">
        <v>1527107.8171728982</v>
      </c>
      <c r="I277">
        <v>286264.74320500903</v>
      </c>
      <c r="J277">
        <v>1790344.3923937238</v>
      </c>
      <c r="K277">
        <v>1873379.0730597954</v>
      </c>
      <c r="L277">
        <v>7763598.8115984369</v>
      </c>
      <c r="M277">
        <v>3606361.500471157</v>
      </c>
      <c r="N277">
        <f t="shared" si="5"/>
        <v>0.71820904332308078</v>
      </c>
    </row>
    <row r="278" spans="1:14" x14ac:dyDescent="0.45">
      <c r="A278" t="s">
        <v>278</v>
      </c>
      <c r="B278">
        <v>9233638.1507489383</v>
      </c>
      <c r="C278">
        <v>11732746.986708572</v>
      </c>
      <c r="D278">
        <v>9944350.8138477914</v>
      </c>
      <c r="E278">
        <v>8341855.1787008885</v>
      </c>
      <c r="F278">
        <v>7860643.5332023399</v>
      </c>
      <c r="G278">
        <v>7754556.5761724543</v>
      </c>
      <c r="H278">
        <v>6335336.1813655784</v>
      </c>
      <c r="I278">
        <v>14533152.486886645</v>
      </c>
      <c r="J278">
        <v>5758724.5638704365</v>
      </c>
      <c r="K278">
        <v>4938658.6335099572</v>
      </c>
      <c r="L278">
        <v>5965418.7492801854</v>
      </c>
      <c r="M278">
        <v>13268152.620254999</v>
      </c>
      <c r="N278">
        <f t="shared" si="5"/>
        <v>0.72074756617178171</v>
      </c>
    </row>
    <row r="279" spans="1:14" x14ac:dyDescent="0.45">
      <c r="A279" t="s">
        <v>259</v>
      </c>
      <c r="B279">
        <v>31788010.931128979</v>
      </c>
      <c r="C279">
        <v>13710315.870053206</v>
      </c>
      <c r="D279">
        <v>41901060.573199622</v>
      </c>
      <c r="E279">
        <v>52264796.01608108</v>
      </c>
      <c r="F279">
        <v>44668366.761681348</v>
      </c>
      <c r="G279">
        <v>49311033.314860329</v>
      </c>
      <c r="H279">
        <v>18086544.804630127</v>
      </c>
      <c r="I279">
        <v>67340763.846568719</v>
      </c>
      <c r="J279">
        <v>38333856.212397195</v>
      </c>
      <c r="K279">
        <v>27645393.323530227</v>
      </c>
      <c r="L279">
        <v>32745937.376009081</v>
      </c>
      <c r="M279">
        <v>30290210.474649511</v>
      </c>
      <c r="N279">
        <f t="shared" si="5"/>
        <v>0.72984159244773195</v>
      </c>
    </row>
    <row r="280" spans="1:14" x14ac:dyDescent="0.45">
      <c r="A280" t="s">
        <v>227</v>
      </c>
      <c r="B280">
        <v>2235082.4103829726</v>
      </c>
      <c r="C280">
        <v>675915.03769120388</v>
      </c>
      <c r="D280">
        <v>2278587.4934858517</v>
      </c>
      <c r="E280">
        <v>748357.94574290537</v>
      </c>
      <c r="F280">
        <v>1716842.2412384872</v>
      </c>
      <c r="G280">
        <v>3038962.639648308</v>
      </c>
      <c r="H280">
        <v>631784.35923122603</v>
      </c>
      <c r="I280">
        <v>4906072.0728831841</v>
      </c>
      <c r="J280">
        <v>897085.24400225095</v>
      </c>
      <c r="K280">
        <v>533718.16066542268</v>
      </c>
      <c r="L280">
        <v>507668.66730800876</v>
      </c>
      <c r="M280">
        <v>1528889.6143383775</v>
      </c>
      <c r="N280">
        <f t="shared" si="5"/>
        <v>0.73073119826328448</v>
      </c>
    </row>
    <row r="281" spans="1:14" x14ac:dyDescent="0.45">
      <c r="A281" t="s">
        <v>162</v>
      </c>
      <c r="B281">
        <v>25390936.859407421</v>
      </c>
      <c r="C281">
        <v>93840641.051773161</v>
      </c>
      <c r="D281">
        <v>168137979.23768312</v>
      </c>
      <c r="E281">
        <v>16397549.840930667</v>
      </c>
      <c r="F281">
        <v>20503848.68929508</v>
      </c>
      <c r="G281">
        <v>4921838.2617404973</v>
      </c>
      <c r="H281">
        <v>45467613.027274236</v>
      </c>
      <c r="I281">
        <v>42998347.917123355</v>
      </c>
      <c r="J281">
        <v>56268596.10276027</v>
      </c>
      <c r="K281">
        <v>38669118.952143498</v>
      </c>
      <c r="L281">
        <v>42709830.150491633</v>
      </c>
      <c r="M281">
        <v>47896387.954000585</v>
      </c>
      <c r="N281">
        <f t="shared" si="5"/>
        <v>0.73261063591267095</v>
      </c>
    </row>
    <row r="282" spans="1:14" x14ac:dyDescent="0.45">
      <c r="A282" t="s">
        <v>63</v>
      </c>
      <c r="B282">
        <v>2742234.9683422744</v>
      </c>
      <c r="C282">
        <v>156024.73750123536</v>
      </c>
      <c r="D282">
        <v>4252079.0956822895</v>
      </c>
      <c r="E282">
        <v>112498.71028255321</v>
      </c>
      <c r="F282">
        <v>209348.17890762814</v>
      </c>
      <c r="G282">
        <v>188816.20181590185</v>
      </c>
      <c r="H282">
        <v>889042.22882262303</v>
      </c>
      <c r="I282">
        <v>2962681.0712161702</v>
      </c>
      <c r="J282">
        <v>1722077.0103850083</v>
      </c>
      <c r="K282">
        <v>1246476.1532735466</v>
      </c>
      <c r="L282">
        <v>992711.08157908276</v>
      </c>
      <c r="M282">
        <v>1515891.1726615785</v>
      </c>
      <c r="N282">
        <f t="shared" si="5"/>
        <v>0.73276414146388424</v>
      </c>
    </row>
    <row r="283" spans="1:14" x14ac:dyDescent="0.45">
      <c r="A283" t="s">
        <v>319</v>
      </c>
      <c r="B283">
        <v>11373872.721663533</v>
      </c>
      <c r="C283">
        <v>15359423.619688451</v>
      </c>
      <c r="D283">
        <v>17064723.239406709</v>
      </c>
      <c r="E283">
        <v>20845632.613939852</v>
      </c>
      <c r="F283">
        <v>20965871.409094121</v>
      </c>
      <c r="G283">
        <v>23184863.827246983</v>
      </c>
      <c r="H283">
        <v>15640706.588481847</v>
      </c>
      <c r="I283">
        <v>24055308.750524033</v>
      </c>
      <c r="J283">
        <v>13556316.922526324</v>
      </c>
      <c r="K283">
        <v>11678906.441290213</v>
      </c>
      <c r="L283">
        <v>17932193.863994375</v>
      </c>
      <c r="M283">
        <v>20537146.280633919</v>
      </c>
      <c r="N283">
        <f t="shared" si="5"/>
        <v>0.73510630667233512</v>
      </c>
    </row>
    <row r="284" spans="1:14" x14ac:dyDescent="0.45">
      <c r="A284" t="s">
        <v>158</v>
      </c>
      <c r="B284">
        <v>185015544.28559262</v>
      </c>
      <c r="C284">
        <v>769107805.21813941</v>
      </c>
      <c r="D284">
        <v>399708284.70916539</v>
      </c>
      <c r="E284">
        <v>86300905.036079198</v>
      </c>
      <c r="F284">
        <v>205753915.21873805</v>
      </c>
      <c r="G284">
        <v>201187349.76019293</v>
      </c>
      <c r="H284">
        <v>66859981.362954855</v>
      </c>
      <c r="I284">
        <v>211511431.66095081</v>
      </c>
      <c r="J284">
        <v>40977758.331756264</v>
      </c>
      <c r="K284">
        <v>53633565.690718696</v>
      </c>
      <c r="L284">
        <v>655189610.25124156</v>
      </c>
      <c r="M284">
        <v>530596603.96812254</v>
      </c>
      <c r="N284">
        <f t="shared" si="5"/>
        <v>0.7538568417401692</v>
      </c>
    </row>
    <row r="285" spans="1:14" x14ac:dyDescent="0.45">
      <c r="A285" t="s">
        <v>302</v>
      </c>
      <c r="B285">
        <v>24183331.110288464</v>
      </c>
      <c r="C285">
        <v>202908999.91325635</v>
      </c>
      <c r="D285">
        <v>86217937.311428562</v>
      </c>
      <c r="E285">
        <v>31878761.594053511</v>
      </c>
      <c r="F285">
        <v>37852335.584931053</v>
      </c>
      <c r="G285">
        <v>11445112.257581331</v>
      </c>
      <c r="H285">
        <v>44019289.785888381</v>
      </c>
      <c r="I285">
        <v>30372619.932466056</v>
      </c>
      <c r="J285">
        <v>30031225.950003948</v>
      </c>
      <c r="K285">
        <v>74467357.036463439</v>
      </c>
      <c r="L285">
        <v>94510165.203972206</v>
      </c>
      <c r="M285">
        <v>61743189.205631375</v>
      </c>
      <c r="N285">
        <f t="shared" si="5"/>
        <v>0.75761085634418923</v>
      </c>
    </row>
    <row r="286" spans="1:14" x14ac:dyDescent="0.45">
      <c r="A286" t="s">
        <v>260</v>
      </c>
      <c r="B286">
        <v>20686009.156252392</v>
      </c>
      <c r="C286">
        <v>57726862.561674207</v>
      </c>
      <c r="D286">
        <v>31736251.093747355</v>
      </c>
      <c r="E286">
        <v>31965191.936046366</v>
      </c>
      <c r="F286">
        <v>36924162.512786791</v>
      </c>
      <c r="G286">
        <v>34548312.506492488</v>
      </c>
      <c r="H286">
        <v>30045304.876598198</v>
      </c>
      <c r="I286">
        <v>26672139.728561532</v>
      </c>
      <c r="J286">
        <v>21656008.544320732</v>
      </c>
      <c r="K286">
        <v>38304546.232258141</v>
      </c>
      <c r="L286">
        <v>55446249.143351093</v>
      </c>
      <c r="M286">
        <v>28527681.871637255</v>
      </c>
      <c r="N286">
        <f t="shared" si="5"/>
        <v>0.76452150019854193</v>
      </c>
    </row>
    <row r="287" spans="1:14" x14ac:dyDescent="0.45">
      <c r="A287" t="s">
        <v>255</v>
      </c>
      <c r="B287">
        <v>2716350.2491881377</v>
      </c>
      <c r="C287">
        <v>308472.16950475815</v>
      </c>
      <c r="D287">
        <v>4085992.5116605498</v>
      </c>
      <c r="E287">
        <v>399009.29440812982</v>
      </c>
      <c r="F287">
        <v>178293.04621341373</v>
      </c>
      <c r="G287">
        <v>3320946.3520133379</v>
      </c>
      <c r="H287">
        <v>193548.98725467021</v>
      </c>
      <c r="I287">
        <v>2383442.6064785342</v>
      </c>
      <c r="J287">
        <v>3092359.7070022249</v>
      </c>
      <c r="K287">
        <v>175714.08380050393</v>
      </c>
      <c r="L287">
        <v>3208297.6370357028</v>
      </c>
      <c r="M287">
        <v>234641.4807778853</v>
      </c>
      <c r="N287">
        <f t="shared" si="5"/>
        <v>0.76634949504070815</v>
      </c>
    </row>
    <row r="288" spans="1:14" x14ac:dyDescent="0.45">
      <c r="A288" t="s">
        <v>338</v>
      </c>
      <c r="B288">
        <v>75763382.795386866</v>
      </c>
      <c r="C288">
        <v>74296705.822969154</v>
      </c>
      <c r="D288">
        <v>103970092.72191311</v>
      </c>
      <c r="E288">
        <v>100511631.17686883</v>
      </c>
      <c r="F288">
        <v>51238990.437568203</v>
      </c>
      <c r="G288">
        <v>86416743.889692217</v>
      </c>
      <c r="H288">
        <v>82349251.673467427</v>
      </c>
      <c r="I288">
        <v>221195188.39972693</v>
      </c>
      <c r="J288">
        <v>114441949.90730576</v>
      </c>
      <c r="K288">
        <v>32778018.720214713</v>
      </c>
      <c r="L288">
        <v>36815468.033917904</v>
      </c>
      <c r="M288">
        <v>58018009.529794119</v>
      </c>
      <c r="N288">
        <f t="shared" si="5"/>
        <v>0.77229133202918843</v>
      </c>
    </row>
    <row r="289" spans="1:14" x14ac:dyDescent="0.45">
      <c r="A289" t="s">
        <v>84</v>
      </c>
      <c r="B289">
        <v>36237192.91336187</v>
      </c>
      <c r="C289">
        <v>53402607.292395435</v>
      </c>
      <c r="D289">
        <v>34829467.455975369</v>
      </c>
      <c r="E289">
        <v>2206607.8884830489</v>
      </c>
      <c r="F289">
        <v>13749817.386962121</v>
      </c>
      <c r="G289">
        <v>22975032.752837278</v>
      </c>
      <c r="H289">
        <v>17677125.183419865</v>
      </c>
      <c r="I289">
        <v>50387653.926020198</v>
      </c>
      <c r="J289">
        <v>28231342.585913002</v>
      </c>
      <c r="K289">
        <v>26513838.443707205</v>
      </c>
      <c r="L289">
        <v>4384621.6914234487</v>
      </c>
      <c r="M289">
        <v>18967658.488845047</v>
      </c>
      <c r="N289">
        <f t="shared" si="5"/>
        <v>0.77302490430856552</v>
      </c>
    </row>
    <row r="290" spans="1:14" x14ac:dyDescent="0.45">
      <c r="A290" t="s">
        <v>371</v>
      </c>
      <c r="B290">
        <v>1494630.9366027748</v>
      </c>
      <c r="C290">
        <v>14023791.808618695</v>
      </c>
      <c r="D290">
        <v>9400101.2409837525</v>
      </c>
      <c r="E290">
        <v>15997166.281080296</v>
      </c>
      <c r="F290">
        <v>12694602.25955759</v>
      </c>
      <c r="G290">
        <v>9183424.9293363895</v>
      </c>
      <c r="H290">
        <v>12225120.686910167</v>
      </c>
      <c r="I290">
        <v>6862688.0478752023</v>
      </c>
      <c r="J290">
        <v>2381429.203852586</v>
      </c>
      <c r="K290">
        <v>12114956.566028319</v>
      </c>
      <c r="L290">
        <v>27399885.173892446</v>
      </c>
      <c r="M290">
        <v>9017684.5225666668</v>
      </c>
      <c r="N290">
        <f t="shared" si="5"/>
        <v>0.77365793042816355</v>
      </c>
    </row>
    <row r="291" spans="1:14" x14ac:dyDescent="0.45">
      <c r="A291" t="s">
        <v>83</v>
      </c>
      <c r="B291">
        <v>13507258.741254641</v>
      </c>
      <c r="C291">
        <v>7596768.8150186082</v>
      </c>
      <c r="D291">
        <v>15532255.154743155</v>
      </c>
      <c r="E291">
        <v>24147950.599448424</v>
      </c>
      <c r="F291">
        <v>5773705.0125716655</v>
      </c>
      <c r="G291">
        <v>21057133.551349066</v>
      </c>
      <c r="H291">
        <v>8017938.7716045808</v>
      </c>
      <c r="I291">
        <v>21890043.264747225</v>
      </c>
      <c r="J291">
        <v>12908706.120681148</v>
      </c>
      <c r="K291">
        <v>11028731.453672385</v>
      </c>
      <c r="L291">
        <v>16173445.467188234</v>
      </c>
      <c r="M291">
        <v>11318599.655317795</v>
      </c>
      <c r="N291">
        <f t="shared" si="5"/>
        <v>0.7749766624889739</v>
      </c>
    </row>
    <row r="292" spans="1:14" x14ac:dyDescent="0.45">
      <c r="A292" t="s">
        <v>438</v>
      </c>
      <c r="B292">
        <v>706230238.34256804</v>
      </c>
      <c r="C292">
        <v>386620534.7251603</v>
      </c>
      <c r="D292">
        <v>1633547956.5761282</v>
      </c>
      <c r="E292">
        <v>199317984.53935099</v>
      </c>
      <c r="F292">
        <v>153358366.50248703</v>
      </c>
      <c r="G292">
        <v>171657592.94215778</v>
      </c>
      <c r="H292">
        <v>87058571.304662839</v>
      </c>
      <c r="I292">
        <v>855392593.78291547</v>
      </c>
      <c r="J292">
        <v>944000986.07071447</v>
      </c>
      <c r="K292">
        <v>593539322.90194011</v>
      </c>
      <c r="L292">
        <v>499638814.97235161</v>
      </c>
      <c r="M292">
        <v>723874196.2658236</v>
      </c>
      <c r="N292">
        <f t="shared" si="5"/>
        <v>0.78222831625054834</v>
      </c>
    </row>
    <row r="293" spans="1:14" x14ac:dyDescent="0.45">
      <c r="A293" t="s">
        <v>109</v>
      </c>
      <c r="B293">
        <v>58384.982803649793</v>
      </c>
      <c r="C293">
        <v>1179485.7401375147</v>
      </c>
      <c r="D293">
        <v>252470.8099784395</v>
      </c>
      <c r="E293">
        <v>212972.03774164003</v>
      </c>
      <c r="F293">
        <v>424633.43181397195</v>
      </c>
      <c r="G293">
        <v>93145.565970625641</v>
      </c>
      <c r="H293">
        <v>561166.7075476317</v>
      </c>
      <c r="I293">
        <v>222500.30005752726</v>
      </c>
      <c r="J293">
        <v>118317.42760703246</v>
      </c>
      <c r="K293">
        <v>212361.90101931573</v>
      </c>
      <c r="L293">
        <v>555253.25152233895</v>
      </c>
      <c r="M293">
        <v>242667.76736758137</v>
      </c>
      <c r="N293">
        <f t="shared" si="5"/>
        <v>0.78899017925524473</v>
      </c>
    </row>
    <row r="294" spans="1:14" x14ac:dyDescent="0.45">
      <c r="A294" t="s">
        <v>207</v>
      </c>
      <c r="B294">
        <v>11436676.822196456</v>
      </c>
      <c r="C294">
        <v>54694452.158731423</v>
      </c>
      <c r="D294">
        <v>33014257.757975377</v>
      </c>
      <c r="E294">
        <v>14761723.621317394</v>
      </c>
      <c r="F294">
        <v>15819642.210493008</v>
      </c>
      <c r="G294">
        <v>13437436.161548324</v>
      </c>
      <c r="H294">
        <v>16097790.897003943</v>
      </c>
      <c r="I294">
        <v>17944238.441717621</v>
      </c>
      <c r="J294">
        <v>8671467.3237431254</v>
      </c>
      <c r="K294">
        <v>25065351.374478437</v>
      </c>
      <c r="L294">
        <v>34228317.965757191</v>
      </c>
      <c r="M294">
        <v>28330899.306700196</v>
      </c>
      <c r="N294">
        <f t="shared" si="5"/>
        <v>0.79221434871346064</v>
      </c>
    </row>
    <row r="295" spans="1:14" x14ac:dyDescent="0.45">
      <c r="A295" t="s">
        <v>77</v>
      </c>
      <c r="B295">
        <v>44889672.715243876</v>
      </c>
      <c r="C295">
        <v>37043371.224550039</v>
      </c>
      <c r="D295">
        <v>77375901.31634751</v>
      </c>
      <c r="E295">
        <v>137084090.61784005</v>
      </c>
      <c r="F295">
        <v>34231566.971000135</v>
      </c>
      <c r="G295">
        <v>44753190.104375012</v>
      </c>
      <c r="H295">
        <v>45362683.797092669</v>
      </c>
      <c r="I295">
        <v>42672304.554335415</v>
      </c>
      <c r="J295">
        <v>21767141.625579905</v>
      </c>
      <c r="K295">
        <v>67957151.269215286</v>
      </c>
      <c r="L295">
        <v>113392296.17209138</v>
      </c>
      <c r="M295">
        <v>51214992.929886766</v>
      </c>
      <c r="N295">
        <f t="shared" si="5"/>
        <v>0.79515594734497252</v>
      </c>
    </row>
    <row r="296" spans="1:14" x14ac:dyDescent="0.45">
      <c r="A296" t="s">
        <v>74</v>
      </c>
      <c r="B296">
        <v>6726058.9083633488</v>
      </c>
      <c r="C296">
        <v>30911304.893108841</v>
      </c>
      <c r="D296">
        <v>11453171.852061551</v>
      </c>
      <c r="E296">
        <v>16703757.446379177</v>
      </c>
      <c r="F296">
        <v>21600862.555655297</v>
      </c>
      <c r="G296">
        <v>6088004.9077788228</v>
      </c>
      <c r="H296">
        <v>14281238.665589474</v>
      </c>
      <c r="I296">
        <v>11348944.405745201</v>
      </c>
      <c r="J296">
        <v>9189426.81426505</v>
      </c>
      <c r="K296">
        <v>15496922.698556511</v>
      </c>
      <c r="L296">
        <v>21886129.064192049</v>
      </c>
      <c r="M296">
        <v>14700558.027435441</v>
      </c>
      <c r="N296">
        <f t="shared" si="5"/>
        <v>0.80336954936178895</v>
      </c>
    </row>
    <row r="297" spans="1:14" x14ac:dyDescent="0.45">
      <c r="A297" t="s">
        <v>349</v>
      </c>
      <c r="B297">
        <v>1522638.7082180544</v>
      </c>
      <c r="C297">
        <v>2699136.9447677038</v>
      </c>
      <c r="D297">
        <v>5523416.1374216378</v>
      </c>
      <c r="E297">
        <v>2370527.2072443916</v>
      </c>
      <c r="F297">
        <v>13977937.447273424</v>
      </c>
      <c r="G297">
        <v>3736979.3488974399</v>
      </c>
      <c r="H297">
        <v>9368711.6228865497</v>
      </c>
      <c r="I297">
        <v>5312407.9612095822</v>
      </c>
      <c r="J297">
        <v>1837733.8882428978</v>
      </c>
      <c r="K297">
        <v>1589732.3580573925</v>
      </c>
      <c r="L297">
        <v>4227179.5693351459</v>
      </c>
      <c r="M297">
        <v>4173068.7506415835</v>
      </c>
      <c r="N297">
        <f t="shared" si="5"/>
        <v>0.80745996722274027</v>
      </c>
    </row>
    <row r="298" spans="1:14" x14ac:dyDescent="0.45">
      <c r="A298" t="s">
        <v>364</v>
      </c>
      <c r="B298">
        <v>5796696.5486943042</v>
      </c>
      <c r="C298">
        <v>34397788.984906778</v>
      </c>
      <c r="D298">
        <v>8480929.4009552263</v>
      </c>
      <c r="E298">
        <v>17389995.997009654</v>
      </c>
      <c r="F298">
        <v>12288307.818478733</v>
      </c>
      <c r="G298">
        <v>13091282.880573852</v>
      </c>
      <c r="H298">
        <v>9913286.6665390488</v>
      </c>
      <c r="I298">
        <v>10448212.315847026</v>
      </c>
      <c r="J298">
        <v>10984187.757954638</v>
      </c>
      <c r="K298">
        <v>11302492.833912451</v>
      </c>
      <c r="L298">
        <v>31487461.13260385</v>
      </c>
      <c r="M298">
        <v>9549624.7913678922</v>
      </c>
      <c r="N298">
        <f t="shared" si="5"/>
        <v>0.81721910337699943</v>
      </c>
    </row>
    <row r="299" spans="1:14" x14ac:dyDescent="0.45">
      <c r="A299" t="s">
        <v>173</v>
      </c>
      <c r="B299">
        <v>4042228.7517500366</v>
      </c>
      <c r="C299">
        <v>23216427.278083526</v>
      </c>
      <c r="D299">
        <v>1208832.2800500363</v>
      </c>
      <c r="E299">
        <v>3098008.6341744363</v>
      </c>
      <c r="F299">
        <v>1646518.8857567299</v>
      </c>
      <c r="G299">
        <v>1859082.7117402749</v>
      </c>
      <c r="H299">
        <v>6187511.7006791821</v>
      </c>
      <c r="I299">
        <v>9434655.0602202509</v>
      </c>
      <c r="J299">
        <v>3891478.9586879755</v>
      </c>
      <c r="K299">
        <v>8150946.6078750752</v>
      </c>
      <c r="L299">
        <v>902098.44322732929</v>
      </c>
      <c r="M299">
        <v>11813232.730770342</v>
      </c>
      <c r="N299">
        <f t="shared" si="5"/>
        <v>0.82294024212458616</v>
      </c>
    </row>
    <row r="300" spans="1:14" x14ac:dyDescent="0.45">
      <c r="A300" t="s">
        <v>119</v>
      </c>
      <c r="B300">
        <v>5579885.1227844348</v>
      </c>
      <c r="C300">
        <v>4781788.343518055</v>
      </c>
      <c r="D300">
        <v>5747414.1903077206</v>
      </c>
      <c r="E300">
        <v>13056642.456652584</v>
      </c>
      <c r="F300">
        <v>8861158.6039407756</v>
      </c>
      <c r="G300">
        <v>13754797.914668739</v>
      </c>
      <c r="H300">
        <v>9780728.8354911562</v>
      </c>
      <c r="I300">
        <v>9405647.5861094184</v>
      </c>
      <c r="J300">
        <v>6561792.9956113929</v>
      </c>
      <c r="K300">
        <v>9274862.6586411949</v>
      </c>
      <c r="L300">
        <v>10397187.216555219</v>
      </c>
      <c r="M300">
        <v>3816342.1660881862</v>
      </c>
      <c r="N300">
        <f t="shared" si="5"/>
        <v>0.82927048613581089</v>
      </c>
    </row>
    <row r="301" spans="1:14" x14ac:dyDescent="0.45">
      <c r="A301" t="s">
        <v>305</v>
      </c>
      <c r="B301">
        <v>9219423.133768972</v>
      </c>
      <c r="C301">
        <v>18417599.475878622</v>
      </c>
      <c r="D301">
        <v>10947770.03321017</v>
      </c>
      <c r="E301">
        <v>12494633.680845486</v>
      </c>
      <c r="F301">
        <v>16781230.534259968</v>
      </c>
      <c r="G301">
        <v>18747900.425593954</v>
      </c>
      <c r="H301">
        <v>13451803.595278682</v>
      </c>
      <c r="I301">
        <v>28573316.058939073</v>
      </c>
      <c r="J301">
        <v>7974334.149378988</v>
      </c>
      <c r="K301">
        <v>10145338.966078881</v>
      </c>
      <c r="L301">
        <v>11271326.613041073</v>
      </c>
      <c r="M301">
        <v>10940529.42108348</v>
      </c>
      <c r="N301">
        <f t="shared" si="5"/>
        <v>0.84272002126222145</v>
      </c>
    </row>
    <row r="302" spans="1:14" x14ac:dyDescent="0.45">
      <c r="A302" t="s">
        <v>131</v>
      </c>
      <c r="B302">
        <v>135049838.44092837</v>
      </c>
      <c r="C302">
        <v>232157453.30373791</v>
      </c>
      <c r="D302">
        <v>279443272.36373383</v>
      </c>
      <c r="E302">
        <v>346996596.7472744</v>
      </c>
      <c r="F302">
        <v>393116515.17895132</v>
      </c>
      <c r="G302">
        <v>358475257.89661509</v>
      </c>
      <c r="H302">
        <v>266642542.3528246</v>
      </c>
      <c r="I302">
        <v>338426313.4617756</v>
      </c>
      <c r="J302">
        <v>180565775.60821694</v>
      </c>
      <c r="K302">
        <v>235173838.07845691</v>
      </c>
      <c r="L302">
        <v>383146156.02025712</v>
      </c>
      <c r="M302">
        <v>402377463.87300342</v>
      </c>
      <c r="N302">
        <f t="shared" si="5"/>
        <v>0.85167523052341143</v>
      </c>
    </row>
    <row r="303" spans="1:14" x14ac:dyDescent="0.45">
      <c r="A303" t="s">
        <v>375</v>
      </c>
      <c r="B303">
        <v>10349750.693334257</v>
      </c>
      <c r="C303">
        <v>22267972.470376246</v>
      </c>
      <c r="D303">
        <v>15205883.118760385</v>
      </c>
      <c r="E303">
        <v>19694482.814569924</v>
      </c>
      <c r="F303">
        <v>11650519.408806631</v>
      </c>
      <c r="G303">
        <v>18841336.544918675</v>
      </c>
      <c r="H303">
        <v>22034354.833857745</v>
      </c>
      <c r="I303">
        <v>14303830.011460047</v>
      </c>
      <c r="J303">
        <v>6896170.380390496</v>
      </c>
      <c r="K303">
        <v>18697603.98856191</v>
      </c>
      <c r="L303">
        <v>17924705.333625574</v>
      </c>
      <c r="M303">
        <v>14869751.551519657</v>
      </c>
      <c r="N303">
        <f t="shared" si="5"/>
        <v>0.85225494770093624</v>
      </c>
    </row>
    <row r="304" spans="1:14" x14ac:dyDescent="0.45">
      <c r="A304" t="s">
        <v>53</v>
      </c>
      <c r="B304">
        <v>135058478.04948369</v>
      </c>
      <c r="C304">
        <v>185532986.93917108</v>
      </c>
      <c r="D304">
        <v>157980284.86421931</v>
      </c>
      <c r="E304">
        <v>238418555.88257599</v>
      </c>
      <c r="F304">
        <v>160014358.92235178</v>
      </c>
      <c r="G304">
        <v>226281778.101551</v>
      </c>
      <c r="H304">
        <v>97260834.700677395</v>
      </c>
      <c r="I304">
        <v>323640370.24235171</v>
      </c>
      <c r="J304">
        <v>213964264.50500205</v>
      </c>
      <c r="K304">
        <v>146933840.37736428</v>
      </c>
      <c r="L304">
        <v>171347897.25349635</v>
      </c>
      <c r="M304">
        <v>106512420.91927843</v>
      </c>
      <c r="N304">
        <f t="shared" si="5"/>
        <v>0.85243751078925978</v>
      </c>
    </row>
    <row r="305" spans="1:14" x14ac:dyDescent="0.45">
      <c r="A305" t="s">
        <v>41</v>
      </c>
      <c r="B305">
        <v>665812.19771699375</v>
      </c>
      <c r="C305">
        <v>1855399.3192306801</v>
      </c>
      <c r="D305">
        <v>1855536.2464071629</v>
      </c>
      <c r="E305">
        <v>4027936.6777957748</v>
      </c>
      <c r="F305">
        <v>1637504.4237296931</v>
      </c>
      <c r="G305">
        <v>1155781.553879011</v>
      </c>
      <c r="H305">
        <v>2717663.6144145816</v>
      </c>
      <c r="I305">
        <v>2135155.1593973096</v>
      </c>
      <c r="J305">
        <v>1983032.1296426607</v>
      </c>
      <c r="K305">
        <v>1113939.9830375891</v>
      </c>
      <c r="L305">
        <v>1597788.1576104602</v>
      </c>
      <c r="M305">
        <v>1051125.9336557549</v>
      </c>
      <c r="N305">
        <f t="shared" si="5"/>
        <v>0.85677150562762727</v>
      </c>
    </row>
    <row r="306" spans="1:14" x14ac:dyDescent="0.45">
      <c r="A306" t="s">
        <v>130</v>
      </c>
      <c r="B306">
        <v>277766688.96086615</v>
      </c>
      <c r="C306">
        <v>526473085.62482435</v>
      </c>
      <c r="D306">
        <v>387220575.76270235</v>
      </c>
      <c r="E306">
        <v>707391849.4802146</v>
      </c>
      <c r="F306">
        <v>268410419.34449002</v>
      </c>
      <c r="G306">
        <v>310850635.40444791</v>
      </c>
      <c r="H306">
        <v>320577218.60442144</v>
      </c>
      <c r="I306">
        <v>239081515.70982847</v>
      </c>
      <c r="J306">
        <v>162453429.11462539</v>
      </c>
      <c r="K306">
        <v>514382077.55840224</v>
      </c>
      <c r="L306">
        <v>747965692.46539772</v>
      </c>
      <c r="M306">
        <v>374285485.17955345</v>
      </c>
      <c r="N306">
        <f t="shared" si="5"/>
        <v>0.86195777652597427</v>
      </c>
    </row>
    <row r="307" spans="1:14" x14ac:dyDescent="0.45">
      <c r="A307" t="s">
        <v>303</v>
      </c>
      <c r="B307">
        <v>69884814.404383063</v>
      </c>
      <c r="C307">
        <v>61364510.341931403</v>
      </c>
      <c r="D307">
        <v>64368899.445415884</v>
      </c>
      <c r="E307">
        <v>28602980.481835846</v>
      </c>
      <c r="F307">
        <v>24224520.980675895</v>
      </c>
      <c r="G307">
        <v>14505923.431232914</v>
      </c>
      <c r="H307">
        <v>15306077.265810765</v>
      </c>
      <c r="I307">
        <v>79555870.852892339</v>
      </c>
      <c r="J307">
        <v>17815869.500005942</v>
      </c>
      <c r="K307">
        <v>49328310.888139181</v>
      </c>
      <c r="L307">
        <v>18480096.438715093</v>
      </c>
      <c r="M307">
        <v>101147608.95630538</v>
      </c>
      <c r="N307">
        <f t="shared" si="5"/>
        <v>0.86495054354183432</v>
      </c>
    </row>
    <row r="308" spans="1:14" x14ac:dyDescent="0.45">
      <c r="A308" t="s">
        <v>268</v>
      </c>
      <c r="B308">
        <v>19585723.416060105</v>
      </c>
      <c r="C308">
        <v>43098089.935182475</v>
      </c>
      <c r="D308">
        <v>27946062.862961125</v>
      </c>
      <c r="E308">
        <v>48422102.623526171</v>
      </c>
      <c r="F308">
        <v>34967417.587212339</v>
      </c>
      <c r="G308">
        <v>38826776.016610615</v>
      </c>
      <c r="H308">
        <v>35067882.653993487</v>
      </c>
      <c r="I308">
        <v>54174138.212015443</v>
      </c>
      <c r="J308">
        <v>39490909.935116984</v>
      </c>
      <c r="K308">
        <v>26819883.620394941</v>
      </c>
      <c r="L308">
        <v>25622844.712123629</v>
      </c>
      <c r="M308">
        <v>25253847.03596108</v>
      </c>
      <c r="N308">
        <f t="shared" si="5"/>
        <v>0.86810690678101399</v>
      </c>
    </row>
    <row r="309" spans="1:14" x14ac:dyDescent="0.45">
      <c r="A309" t="s">
        <v>167</v>
      </c>
      <c r="B309">
        <v>286583.46758482419</v>
      </c>
      <c r="C309">
        <v>1717340.6611806012</v>
      </c>
      <c r="D309">
        <v>677933.28548452852</v>
      </c>
      <c r="E309">
        <v>1932406.4267021606</v>
      </c>
      <c r="F309">
        <v>1543526.4702701783</v>
      </c>
      <c r="G309">
        <v>1107831.6906488675</v>
      </c>
      <c r="H309">
        <v>991065.40603388636</v>
      </c>
      <c r="I309">
        <v>657626.68342654838</v>
      </c>
      <c r="J309">
        <v>505938.29687074403</v>
      </c>
      <c r="K309">
        <v>914689.28969300271</v>
      </c>
      <c r="L309">
        <v>2772766.5526861977</v>
      </c>
      <c r="M309">
        <v>1014730.9633467793</v>
      </c>
      <c r="N309">
        <f t="shared" si="5"/>
        <v>0.87590647323548221</v>
      </c>
    </row>
    <row r="310" spans="1:14" x14ac:dyDescent="0.45">
      <c r="A310" t="s">
        <v>233</v>
      </c>
      <c r="B310">
        <v>24520391.37720412</v>
      </c>
      <c r="C310">
        <v>5725523.9326264514</v>
      </c>
      <c r="D310">
        <v>7410693.706193924</v>
      </c>
      <c r="E310">
        <v>27803806.695906375</v>
      </c>
      <c r="F310">
        <v>10267085.475278774</v>
      </c>
      <c r="G310">
        <v>24456008.940563604</v>
      </c>
      <c r="H310">
        <v>19296459.218700152</v>
      </c>
      <c r="I310">
        <v>20368126.301351219</v>
      </c>
      <c r="J310">
        <v>13483403.98239213</v>
      </c>
      <c r="K310">
        <v>18484300.184792701</v>
      </c>
      <c r="L310">
        <v>7437609.5003419751</v>
      </c>
      <c r="M310">
        <v>16891657.365072548</v>
      </c>
      <c r="N310">
        <f t="shared" si="5"/>
        <v>0.87903000179936908</v>
      </c>
    </row>
    <row r="311" spans="1:14" x14ac:dyDescent="0.45">
      <c r="A311" t="s">
        <v>37</v>
      </c>
      <c r="B311">
        <v>11043219.914306609</v>
      </c>
      <c r="C311">
        <v>10131328.767764449</v>
      </c>
      <c r="D311">
        <v>10994957.864426067</v>
      </c>
      <c r="E311">
        <v>18137200.603741694</v>
      </c>
      <c r="F311">
        <v>14466045.215328725</v>
      </c>
      <c r="G311">
        <v>15641536.522783758</v>
      </c>
      <c r="H311">
        <v>16445613.59407131</v>
      </c>
      <c r="I311">
        <v>20504119.13590318</v>
      </c>
      <c r="J311">
        <v>12746188.115345655</v>
      </c>
      <c r="K311">
        <v>12257542.993052064</v>
      </c>
      <c r="L311">
        <v>11217557.735170109</v>
      </c>
      <c r="M311">
        <v>8764915.9162008334</v>
      </c>
      <c r="N311">
        <f t="shared" si="5"/>
        <v>0.9082000206862102</v>
      </c>
    </row>
    <row r="312" spans="1:14" x14ac:dyDescent="0.45">
      <c r="A312" t="s">
        <v>436</v>
      </c>
      <c r="B312">
        <v>6185173.8350619618</v>
      </c>
      <c r="C312">
        <v>6303208.2529700268</v>
      </c>
      <c r="D312">
        <v>5103624.913411011</v>
      </c>
      <c r="E312">
        <v>3796489.2480886988</v>
      </c>
      <c r="F312">
        <v>7661216.6532223988</v>
      </c>
      <c r="G312">
        <v>9658855.2652771026</v>
      </c>
      <c r="H312">
        <v>6613717.165039734</v>
      </c>
      <c r="I312">
        <v>5960766.9751707343</v>
      </c>
      <c r="J312">
        <v>4524125.9305941388</v>
      </c>
      <c r="K312">
        <v>8229464.2302512946</v>
      </c>
      <c r="L312">
        <v>7274360.1879972713</v>
      </c>
      <c r="M312">
        <v>6640118.1964052944</v>
      </c>
      <c r="N312">
        <f t="shared" si="5"/>
        <v>0.92907174481848975</v>
      </c>
    </row>
    <row r="313" spans="1:14" x14ac:dyDescent="0.45">
      <c r="A313" t="s">
        <v>311</v>
      </c>
      <c r="B313">
        <v>809915763.14203107</v>
      </c>
      <c r="C313">
        <v>6045107464.4460917</v>
      </c>
      <c r="D313">
        <v>3441147674.8614407</v>
      </c>
      <c r="E313">
        <v>6711455744.5895891</v>
      </c>
      <c r="F313">
        <v>6031088606.8568697</v>
      </c>
      <c r="G313">
        <v>4076895815.3509378</v>
      </c>
      <c r="H313">
        <v>6138286262.8759708</v>
      </c>
      <c r="I313">
        <v>2825270277.7404962</v>
      </c>
      <c r="J313">
        <v>2120866903.3424041</v>
      </c>
      <c r="K313">
        <v>4363936319.6259842</v>
      </c>
      <c r="L313">
        <v>7185506380.1395359</v>
      </c>
      <c r="M313">
        <v>5111156138.7937737</v>
      </c>
      <c r="N313">
        <f t="shared" si="5"/>
        <v>0.93206267914078156</v>
      </c>
    </row>
    <row r="314" spans="1:14" x14ac:dyDescent="0.45">
      <c r="A314" t="s">
        <v>279</v>
      </c>
      <c r="B314">
        <v>73902395.480801046</v>
      </c>
      <c r="C314">
        <v>323400830.37212402</v>
      </c>
      <c r="D314">
        <v>130076130.60464565</v>
      </c>
      <c r="E314">
        <v>166687116.46043658</v>
      </c>
      <c r="F314">
        <v>224127538.40320379</v>
      </c>
      <c r="G314">
        <v>168478886.80720416</v>
      </c>
      <c r="H314">
        <v>180570553.78008911</v>
      </c>
      <c r="I314">
        <v>170254522.93072945</v>
      </c>
      <c r="J314">
        <v>146929702.96989813</v>
      </c>
      <c r="K314">
        <v>172578905.85067511</v>
      </c>
      <c r="L314">
        <v>212343449.42032474</v>
      </c>
      <c r="M314">
        <v>187330649.41351813</v>
      </c>
      <c r="N314">
        <f t="shared" si="5"/>
        <v>0.94003106624634991</v>
      </c>
    </row>
    <row r="315" spans="1:14" x14ac:dyDescent="0.45">
      <c r="A315" t="s">
        <v>266</v>
      </c>
      <c r="B315">
        <v>771328.98616531165</v>
      </c>
      <c r="C315">
        <v>4086811.6131969253</v>
      </c>
      <c r="D315">
        <v>1953153.7325756894</v>
      </c>
      <c r="E315">
        <v>2393574.4064790355</v>
      </c>
      <c r="F315">
        <v>3325585.6350713554</v>
      </c>
      <c r="G315">
        <v>1928823.1313162195</v>
      </c>
      <c r="H315">
        <v>1545126.6078057426</v>
      </c>
      <c r="I315">
        <v>1791645.813886713</v>
      </c>
      <c r="J315">
        <v>1424085.0730616278</v>
      </c>
      <c r="K315">
        <v>3539393.8515431415</v>
      </c>
      <c r="L315">
        <v>2498064.2863178053</v>
      </c>
      <c r="M315">
        <v>3430444.6665287348</v>
      </c>
      <c r="N315">
        <f t="shared" si="5"/>
        <v>0.95108869682124886</v>
      </c>
    </row>
    <row r="316" spans="1:14" x14ac:dyDescent="0.45">
      <c r="A316" t="s">
        <v>81</v>
      </c>
      <c r="B316">
        <v>12819856.903073728</v>
      </c>
      <c r="C316">
        <v>5761340.7258613324</v>
      </c>
      <c r="D316">
        <v>5666973.906570876</v>
      </c>
      <c r="E316">
        <v>3643689.6030336339</v>
      </c>
      <c r="F316">
        <v>17649135.288891394</v>
      </c>
      <c r="G316">
        <v>23771576.821145155</v>
      </c>
      <c r="H316">
        <v>9234526.2644184381</v>
      </c>
      <c r="I316">
        <v>18785490.067204114</v>
      </c>
      <c r="J316">
        <v>7283297.3126536319</v>
      </c>
      <c r="K316">
        <v>8370674.3088986017</v>
      </c>
      <c r="L316">
        <v>11371380.490443749</v>
      </c>
      <c r="M316">
        <v>15662365.434516324</v>
      </c>
      <c r="N316">
        <f t="shared" si="5"/>
        <v>0.95175454836205686</v>
      </c>
    </row>
    <row r="317" spans="1:14" x14ac:dyDescent="0.45">
      <c r="A317" t="s">
        <v>370</v>
      </c>
      <c r="B317">
        <v>9358500.4538880438</v>
      </c>
      <c r="C317">
        <v>7951339.7398799164</v>
      </c>
      <c r="D317">
        <v>8984110.9252515864</v>
      </c>
      <c r="E317">
        <v>5896265.7280052798</v>
      </c>
      <c r="F317">
        <v>8171822.4746087743</v>
      </c>
      <c r="G317">
        <v>10317050.250311518</v>
      </c>
      <c r="H317">
        <v>3775387.7834838713</v>
      </c>
      <c r="I317">
        <v>11943753.628718596</v>
      </c>
      <c r="J317">
        <v>5427858.4678335879</v>
      </c>
      <c r="K317">
        <v>7760001.4086408056</v>
      </c>
      <c r="L317">
        <v>10536897.029850328</v>
      </c>
      <c r="M317">
        <v>10726976.458266864</v>
      </c>
      <c r="N317">
        <f t="shared" si="5"/>
        <v>0.95510899279398687</v>
      </c>
    </row>
    <row r="318" spans="1:14" x14ac:dyDescent="0.45">
      <c r="A318" t="s">
        <v>353</v>
      </c>
      <c r="B318">
        <v>845034.962832866</v>
      </c>
      <c r="C318">
        <v>629843.98840826866</v>
      </c>
      <c r="D318">
        <v>827911.26113370364</v>
      </c>
      <c r="E318">
        <v>169267.50924940937</v>
      </c>
      <c r="F318">
        <v>262260.19744435279</v>
      </c>
      <c r="G318">
        <v>596233.65723585675</v>
      </c>
      <c r="H318">
        <v>143201.75767644736</v>
      </c>
      <c r="I318">
        <v>173565.55499928244</v>
      </c>
      <c r="J318">
        <v>177043.49541385556</v>
      </c>
      <c r="K318">
        <v>620424.44274334225</v>
      </c>
      <c r="L318">
        <v>1157369.2695487433</v>
      </c>
      <c r="M318">
        <v>1105314.1451612548</v>
      </c>
      <c r="N318">
        <f t="shared" si="5"/>
        <v>0.97335740928226966</v>
      </c>
    </row>
    <row r="319" spans="1:14" x14ac:dyDescent="0.45">
      <c r="A319" t="s">
        <v>244</v>
      </c>
      <c r="B319">
        <v>35507996.701768689</v>
      </c>
      <c r="C319">
        <v>56716928.813317493</v>
      </c>
      <c r="D319">
        <v>57514571.97183504</v>
      </c>
      <c r="E319">
        <v>32687544.977246944</v>
      </c>
      <c r="F319">
        <v>50323462.367455371</v>
      </c>
      <c r="G319">
        <v>42207170.474888936</v>
      </c>
      <c r="H319">
        <v>21569534.229829501</v>
      </c>
      <c r="I319">
        <v>87529303.238567576</v>
      </c>
      <c r="J319">
        <v>36573089.583027057</v>
      </c>
      <c r="K319">
        <v>42297616.076452173</v>
      </c>
      <c r="L319">
        <v>39889075.539511725</v>
      </c>
      <c r="M319">
        <v>45266202.629153721</v>
      </c>
      <c r="N319">
        <f t="shared" si="5"/>
        <v>0.97634251564924313</v>
      </c>
    </row>
    <row r="320" spans="1:14" x14ac:dyDescent="0.45">
      <c r="A320" t="s">
        <v>118</v>
      </c>
      <c r="B320">
        <v>3244340.2469973559</v>
      </c>
      <c r="C320">
        <v>7635825.2446587402</v>
      </c>
      <c r="D320">
        <v>5291864.5903191017</v>
      </c>
      <c r="E320">
        <v>4408240.3796153655</v>
      </c>
      <c r="F320">
        <v>5330261.3893161165</v>
      </c>
      <c r="G320">
        <v>7627353.2561058523</v>
      </c>
      <c r="H320">
        <v>5351674.6558361109</v>
      </c>
      <c r="I320">
        <v>10197281.586929217</v>
      </c>
      <c r="J320">
        <v>4647342.4024386266</v>
      </c>
      <c r="K320">
        <v>3329905.8473980939</v>
      </c>
      <c r="L320">
        <v>4824240.860796378</v>
      </c>
      <c r="M320">
        <v>5083037.8082033824</v>
      </c>
      <c r="N320">
        <f t="shared" si="5"/>
        <v>0.98875676299324555</v>
      </c>
    </row>
    <row r="321" spans="1:14" x14ac:dyDescent="0.45">
      <c r="A321" t="s">
        <v>384</v>
      </c>
      <c r="B321" s="9" t="s">
        <v>443</v>
      </c>
      <c r="C321" s="9" t="s">
        <v>443</v>
      </c>
      <c r="D321" s="9" t="s">
        <v>443</v>
      </c>
      <c r="E321" s="9" t="s">
        <v>443</v>
      </c>
      <c r="F321" s="9" t="s">
        <v>443</v>
      </c>
      <c r="G321" s="9" t="s">
        <v>443</v>
      </c>
      <c r="H321" s="8" t="s">
        <v>440</v>
      </c>
      <c r="I321" s="8" t="s">
        <v>440</v>
      </c>
      <c r="J321" s="8" t="s">
        <v>440</v>
      </c>
      <c r="K321" s="8" t="s">
        <v>440</v>
      </c>
      <c r="L321" s="8" t="s">
        <v>440</v>
      </c>
      <c r="M321" s="8" t="s">
        <v>440</v>
      </c>
      <c r="N321" s="8" t="s">
        <v>444</v>
      </c>
    </row>
  </sheetData>
  <sortState xmlns:xlrd2="http://schemas.microsoft.com/office/spreadsheetml/2017/richdata2" ref="A2:N321">
    <sortCondition ref="N1:N32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6426-072B-4EFD-9A63-E199F55A1F71}">
  <dimension ref="A1:P58"/>
  <sheetViews>
    <sheetView tabSelected="1" workbookViewId="0">
      <selection activeCell="A3" sqref="A3"/>
    </sheetView>
  </sheetViews>
  <sheetFormatPr defaultRowHeight="14.25" x14ac:dyDescent="0.45"/>
  <cols>
    <col min="2" max="13" width="9.1328125" bestFit="1" customWidth="1"/>
    <col min="14" max="14" width="11.59765625" bestFit="1" customWidth="1"/>
    <col min="15" max="16" width="9.1328125" bestFit="1" customWidth="1"/>
  </cols>
  <sheetData>
    <row r="1" spans="1:16" x14ac:dyDescent="0.45">
      <c r="A1" t="s">
        <v>0</v>
      </c>
      <c r="B1" t="s">
        <v>390</v>
      </c>
      <c r="C1" t="s">
        <v>398</v>
      </c>
      <c r="D1" t="s">
        <v>406</v>
      </c>
      <c r="E1" t="s">
        <v>391</v>
      </c>
      <c r="F1" t="s">
        <v>399</v>
      </c>
      <c r="G1" t="s">
        <v>407</v>
      </c>
      <c r="H1" t="s">
        <v>385</v>
      </c>
      <c r="I1" t="s">
        <v>393</v>
      </c>
      <c r="J1" t="s">
        <v>401</v>
      </c>
      <c r="K1" t="s">
        <v>386</v>
      </c>
      <c r="L1" t="s">
        <v>394</v>
      </c>
      <c r="M1" t="s">
        <v>402</v>
      </c>
      <c r="N1" t="s">
        <v>445</v>
      </c>
    </row>
    <row r="2" spans="1:16" x14ac:dyDescent="0.45">
      <c r="A2" t="s">
        <v>384</v>
      </c>
      <c r="B2" s="9" t="s">
        <v>443</v>
      </c>
      <c r="C2" s="9" t="s">
        <v>443</v>
      </c>
      <c r="D2" s="9" t="s">
        <v>443</v>
      </c>
      <c r="E2" s="9" t="s">
        <v>443</v>
      </c>
      <c r="F2" s="9" t="s">
        <v>443</v>
      </c>
      <c r="G2" s="9" t="s">
        <v>443</v>
      </c>
      <c r="H2" s="8" t="s">
        <v>440</v>
      </c>
      <c r="I2" s="8" t="s">
        <v>440</v>
      </c>
      <c r="J2" s="8" t="s">
        <v>440</v>
      </c>
      <c r="K2" s="8" t="s">
        <v>440</v>
      </c>
      <c r="L2" s="8" t="s">
        <v>440</v>
      </c>
      <c r="M2" s="8" t="s">
        <v>440</v>
      </c>
      <c r="N2" s="8" t="s">
        <v>444</v>
      </c>
      <c r="O2" s="8" t="s">
        <v>447</v>
      </c>
      <c r="P2" s="8" t="s">
        <v>448</v>
      </c>
    </row>
    <row r="3" spans="1:16" s="11" customFormat="1" x14ac:dyDescent="0.45">
      <c r="A3" s="11" t="s">
        <v>194</v>
      </c>
      <c r="B3" s="11">
        <v>294181.75439624448</v>
      </c>
      <c r="C3" s="11">
        <v>1056234.0165405939</v>
      </c>
      <c r="D3" s="11">
        <v>328881.30598242552</v>
      </c>
      <c r="E3" s="11">
        <v>484144.31074650044</v>
      </c>
      <c r="F3" s="11">
        <v>535494.70043409592</v>
      </c>
      <c r="G3" s="11">
        <v>248006.90439140063</v>
      </c>
      <c r="H3" s="11">
        <v>2846841.3951717662</v>
      </c>
      <c r="I3" s="11">
        <v>3399789.9639820801</v>
      </c>
      <c r="J3" s="11">
        <v>2572053.3101059827</v>
      </c>
      <c r="K3" s="11">
        <v>2124290.0143076754</v>
      </c>
      <c r="L3" s="11">
        <v>1539206.4546592787</v>
      </c>
      <c r="M3" s="11">
        <v>2619676.5582445785</v>
      </c>
      <c r="N3" s="11">
        <f t="shared" ref="N3:N28" si="0">TTEST(B3:G3,H3:M3,2,2)</f>
        <v>3.3833499406770495E-5</v>
      </c>
      <c r="O3" s="11">
        <v>1.7255084697452951E-3</v>
      </c>
      <c r="P3" s="11">
        <f>AVERAGE(H3:M3)/AVERAGE((B3:G3))</f>
        <v>5.1245842674766795</v>
      </c>
    </row>
    <row r="4" spans="1:16" x14ac:dyDescent="0.45">
      <c r="A4" t="s">
        <v>265</v>
      </c>
      <c r="B4">
        <v>7956444.5015911385</v>
      </c>
      <c r="C4">
        <v>12129880.526055377</v>
      </c>
      <c r="D4">
        <v>11142366.699191786</v>
      </c>
      <c r="E4">
        <v>16448254.988543438</v>
      </c>
      <c r="F4">
        <v>7669272.4382941034</v>
      </c>
      <c r="G4">
        <v>8443478.9147417583</v>
      </c>
      <c r="H4">
        <v>4333357.1945308885</v>
      </c>
      <c r="I4">
        <v>3457939.6033281581</v>
      </c>
      <c r="J4">
        <v>3421250.5755470982</v>
      </c>
      <c r="K4">
        <v>2600447.329669754</v>
      </c>
      <c r="L4">
        <v>2579343.5841025631</v>
      </c>
      <c r="M4">
        <v>1857156.7646494019</v>
      </c>
      <c r="N4">
        <f t="shared" si="0"/>
        <v>3.3340055152966073E-4</v>
      </c>
      <c r="O4">
        <v>8.5017140640063493E-3</v>
      </c>
      <c r="P4">
        <f t="shared" ref="P4:P28" si="1">AVERAGE(H4:M4)/AVERAGE((B4:G4))</f>
        <v>0.28608843754448215</v>
      </c>
    </row>
    <row r="5" spans="1:16" x14ac:dyDescent="0.45">
      <c r="A5" t="s">
        <v>170</v>
      </c>
      <c r="B5">
        <v>4069796.7476220094</v>
      </c>
      <c r="C5">
        <v>5495368.9766148292</v>
      </c>
      <c r="D5">
        <v>5492102.7317058621</v>
      </c>
      <c r="E5">
        <v>4505561.1160088712</v>
      </c>
      <c r="F5">
        <v>6039806.3435410336</v>
      </c>
      <c r="G5">
        <v>5970076.4243287668</v>
      </c>
      <c r="H5">
        <v>2686327.2347404994</v>
      </c>
      <c r="I5">
        <v>4135999.0951197259</v>
      </c>
      <c r="J5">
        <v>2739380.410379447</v>
      </c>
      <c r="K5">
        <v>2526821.3429473029</v>
      </c>
      <c r="L5">
        <v>2966204.6280879453</v>
      </c>
      <c r="M5">
        <v>3724920.409495044</v>
      </c>
      <c r="N5">
        <f t="shared" si="0"/>
        <v>4.873925967704285E-4</v>
      </c>
      <c r="O5">
        <v>8.2856741450972847E-3</v>
      </c>
      <c r="P5">
        <f t="shared" si="1"/>
        <v>0.59480645560767853</v>
      </c>
    </row>
    <row r="6" spans="1:16" x14ac:dyDescent="0.45">
      <c r="A6" t="s">
        <v>210</v>
      </c>
      <c r="B6">
        <v>125716371.34275237</v>
      </c>
      <c r="C6">
        <v>221858478.7871533</v>
      </c>
      <c r="D6">
        <v>182154331.80543846</v>
      </c>
      <c r="E6">
        <v>136273620.13495493</v>
      </c>
      <c r="F6">
        <v>175377650.41982847</v>
      </c>
      <c r="G6">
        <v>187952576.53934807</v>
      </c>
      <c r="H6">
        <v>87243714.707664564</v>
      </c>
      <c r="I6">
        <v>145886125.83677095</v>
      </c>
      <c r="J6">
        <v>82204507.744864523</v>
      </c>
      <c r="K6">
        <v>57416214.493164368</v>
      </c>
      <c r="L6">
        <v>76736158.678925425</v>
      </c>
      <c r="M6">
        <v>82963445.342684314</v>
      </c>
      <c r="N6">
        <f t="shared" si="0"/>
        <v>1.3848683185981019E-3</v>
      </c>
      <c r="O6">
        <v>1.7657071062125801E-2</v>
      </c>
      <c r="P6">
        <f t="shared" si="1"/>
        <v>0.5172768693783234</v>
      </c>
    </row>
    <row r="7" spans="1:16" x14ac:dyDescent="0.45">
      <c r="A7" t="s">
        <v>380</v>
      </c>
      <c r="B7">
        <v>84949628.397257596</v>
      </c>
      <c r="C7">
        <v>392190351.1331417</v>
      </c>
      <c r="D7">
        <v>235761124.4529478</v>
      </c>
      <c r="E7">
        <v>298664680.01492101</v>
      </c>
      <c r="F7">
        <v>266478346.03398991</v>
      </c>
      <c r="G7">
        <v>339344932.56300259</v>
      </c>
      <c r="H7">
        <v>153727814.85440406</v>
      </c>
      <c r="I7">
        <v>139744728.38326114</v>
      </c>
      <c r="J7">
        <v>166072153.10850102</v>
      </c>
      <c r="K7">
        <v>132796796.94255495</v>
      </c>
      <c r="L7">
        <v>194218157.09254482</v>
      </c>
      <c r="M7">
        <v>119975691.34792696</v>
      </c>
      <c r="N7">
        <f t="shared" si="0"/>
        <v>2.3896926138025965E-2</v>
      </c>
      <c r="O7">
        <v>4.8749729321572968E-2</v>
      </c>
      <c r="P7">
        <f t="shared" si="1"/>
        <v>0.56049305803673932</v>
      </c>
    </row>
    <row r="8" spans="1:16" x14ac:dyDescent="0.45">
      <c r="A8" t="s">
        <v>97</v>
      </c>
      <c r="B8">
        <v>8772861.603723539</v>
      </c>
      <c r="C8">
        <v>20817548.335204888</v>
      </c>
      <c r="D8">
        <v>12842762.104220243</v>
      </c>
      <c r="E8">
        <v>15473324.398331292</v>
      </c>
      <c r="F8">
        <v>18539543.415424332</v>
      </c>
      <c r="G8">
        <v>17500275.513024434</v>
      </c>
      <c r="H8">
        <v>8719199.5288210642</v>
      </c>
      <c r="I8">
        <v>11844177.9958985</v>
      </c>
      <c r="J8">
        <v>9538801.7448672187</v>
      </c>
      <c r="K8">
        <v>11024619.871692929</v>
      </c>
      <c r="L8">
        <v>13139622.873283859</v>
      </c>
      <c r="M8">
        <v>9741838.813371323</v>
      </c>
      <c r="N8">
        <f t="shared" si="0"/>
        <v>2.4768980546911123E-2</v>
      </c>
      <c r="O8">
        <v>4.8585307995864128E-2</v>
      </c>
      <c r="P8">
        <f t="shared" si="1"/>
        <v>0.6813280603490629</v>
      </c>
    </row>
    <row r="9" spans="1:16" x14ac:dyDescent="0.45">
      <c r="A9" t="s">
        <v>160</v>
      </c>
      <c r="B9">
        <v>15110190.352451768</v>
      </c>
      <c r="C9">
        <v>12811805.35063578</v>
      </c>
      <c r="D9">
        <v>8136755.2849347787</v>
      </c>
      <c r="E9">
        <v>4216070.3434546404</v>
      </c>
      <c r="F9">
        <v>6501007.2614708329</v>
      </c>
      <c r="G9">
        <v>7951508.2092228606</v>
      </c>
      <c r="H9">
        <v>1941907.5352783611</v>
      </c>
      <c r="I9">
        <v>8506598.6923962831</v>
      </c>
      <c r="J9">
        <v>4820920.6533839181</v>
      </c>
      <c r="K9">
        <v>1111801.151278801</v>
      </c>
      <c r="L9">
        <v>5496888.0008739196</v>
      </c>
      <c r="M9">
        <v>1508776.0090666814</v>
      </c>
      <c r="N9">
        <f t="shared" si="0"/>
        <v>2.8273690734441848E-2</v>
      </c>
      <c r="O9">
        <v>4.9722697498501181E-2</v>
      </c>
      <c r="P9">
        <f t="shared" si="1"/>
        <v>0.42733473632779378</v>
      </c>
    </row>
    <row r="10" spans="1:16" x14ac:dyDescent="0.45">
      <c r="A10" t="s">
        <v>437</v>
      </c>
      <c r="B10">
        <v>7760243.8386174161</v>
      </c>
      <c r="C10">
        <v>21129681.754524425</v>
      </c>
      <c r="D10">
        <v>14114878.90380007</v>
      </c>
      <c r="E10">
        <v>8055296.8581489222</v>
      </c>
      <c r="F10">
        <v>20948093.718828764</v>
      </c>
      <c r="G10">
        <v>16982130.827806469</v>
      </c>
      <c r="H10">
        <v>3791108.9843100538</v>
      </c>
      <c r="I10">
        <v>14566928.587912977</v>
      </c>
      <c r="J10">
        <v>9101188.024146473</v>
      </c>
      <c r="K10">
        <v>3716893.7166186878</v>
      </c>
      <c r="L10">
        <v>8620980.012397103</v>
      </c>
      <c r="M10">
        <v>3733928.6806520149</v>
      </c>
      <c r="N10">
        <f t="shared" si="0"/>
        <v>3.102038002371986E-2</v>
      </c>
      <c r="O10">
        <v>4.9438730662803528E-2</v>
      </c>
      <c r="P10">
        <f t="shared" si="1"/>
        <v>0.48916584544380209</v>
      </c>
    </row>
    <row r="11" spans="1:16" x14ac:dyDescent="0.45">
      <c r="A11" t="s">
        <v>79</v>
      </c>
      <c r="B11">
        <v>2657925.5033091619</v>
      </c>
      <c r="C11">
        <v>7523267.4330990622</v>
      </c>
      <c r="D11">
        <v>4850903.1404555598</v>
      </c>
      <c r="E11">
        <v>4666604.4637772143</v>
      </c>
      <c r="F11">
        <v>4853029.0725705437</v>
      </c>
      <c r="G11">
        <v>4422085.7770703966</v>
      </c>
      <c r="H11">
        <v>3671251.0481991121</v>
      </c>
      <c r="I11">
        <v>3107737.97000953</v>
      </c>
      <c r="J11">
        <v>2759045.5309997317</v>
      </c>
      <c r="K11">
        <v>3614034.9606073215</v>
      </c>
      <c r="L11">
        <v>2541123.9133893326</v>
      </c>
      <c r="M11">
        <v>3403498.2151238136</v>
      </c>
      <c r="N11">
        <f t="shared" si="0"/>
        <v>3.2634521097653378E-2</v>
      </c>
      <c r="O11">
        <v>4.8951781646480071E-2</v>
      </c>
      <c r="P11">
        <f t="shared" si="1"/>
        <v>0.65910172274839696</v>
      </c>
    </row>
    <row r="12" spans="1:16" s="11" customFormat="1" x14ac:dyDescent="0.45">
      <c r="A12" s="11" t="s">
        <v>239</v>
      </c>
      <c r="B12" s="11">
        <v>1166872.0846741302</v>
      </c>
      <c r="C12" s="11">
        <v>1294540.6297014647</v>
      </c>
      <c r="D12" s="11">
        <v>1694027.1588679692</v>
      </c>
      <c r="E12" s="11">
        <v>2647405.6152457525</v>
      </c>
      <c r="F12" s="11">
        <v>1794816.8527810597</v>
      </c>
      <c r="G12" s="11">
        <v>2332906.4361493397</v>
      </c>
      <c r="H12" s="11">
        <v>3111927.0278177811</v>
      </c>
      <c r="I12" s="11">
        <v>5137735.5993346935</v>
      </c>
      <c r="J12" s="11">
        <v>2768616.6063519008</v>
      </c>
      <c r="K12" s="11">
        <v>1712236.5336347434</v>
      </c>
      <c r="L12" s="11">
        <v>2626547.4483248554</v>
      </c>
      <c r="M12" s="11">
        <v>3230840.1545873629</v>
      </c>
      <c r="N12" s="11">
        <f t="shared" si="0"/>
        <v>3.3870016225844235E-2</v>
      </c>
      <c r="O12" s="11">
        <v>4.9353452214801599E-2</v>
      </c>
      <c r="P12" s="11">
        <f t="shared" si="1"/>
        <v>1.7005431051721738</v>
      </c>
    </row>
    <row r="13" spans="1:16" x14ac:dyDescent="0.45">
      <c r="A13" t="s">
        <v>123</v>
      </c>
      <c r="B13">
        <v>4082971.6291372892</v>
      </c>
      <c r="C13">
        <v>4511333.7613614602</v>
      </c>
      <c r="D13">
        <v>3501851.6193595128</v>
      </c>
      <c r="E13">
        <v>10981850.261522541</v>
      </c>
      <c r="F13">
        <v>7154590.7747843126</v>
      </c>
      <c r="G13">
        <v>6257202.6366362786</v>
      </c>
      <c r="H13">
        <v>3302253.5111498642</v>
      </c>
      <c r="I13">
        <v>3447688.7920870446</v>
      </c>
      <c r="J13">
        <v>2286306.1013713973</v>
      </c>
      <c r="K13">
        <v>3688988.6887779795</v>
      </c>
      <c r="L13">
        <v>3471843.8770744912</v>
      </c>
      <c r="M13">
        <v>3434129.0110155297</v>
      </c>
      <c r="N13">
        <f t="shared" si="0"/>
        <v>3.4432564860683676E-2</v>
      </c>
      <c r="O13">
        <v>4.8779466885968542E-2</v>
      </c>
      <c r="P13">
        <f t="shared" si="1"/>
        <v>0.53799170217800107</v>
      </c>
    </row>
    <row r="14" spans="1:16" x14ac:dyDescent="0.45">
      <c r="A14" t="s">
        <v>59</v>
      </c>
      <c r="B14">
        <v>99404.089096711337</v>
      </c>
      <c r="C14">
        <v>1878299.447935357</v>
      </c>
      <c r="D14">
        <v>308445.22384208225</v>
      </c>
      <c r="E14">
        <v>840151.05444215541</v>
      </c>
      <c r="F14">
        <v>1172721.2443729651</v>
      </c>
      <c r="G14">
        <v>1019621.2478604639</v>
      </c>
      <c r="H14">
        <v>155860.99122601922</v>
      </c>
      <c r="I14">
        <v>127678.35958916444</v>
      </c>
      <c r="J14">
        <v>472668.21961831913</v>
      </c>
      <c r="K14">
        <v>245616.31916932651</v>
      </c>
      <c r="L14">
        <v>182796.89818625242</v>
      </c>
      <c r="M14">
        <v>264128.20178356371</v>
      </c>
      <c r="N14">
        <f t="shared" si="0"/>
        <v>3.5565932611423608E-2</v>
      </c>
      <c r="O14">
        <v>4.9023312518448756E-2</v>
      </c>
      <c r="P14">
        <f t="shared" si="1"/>
        <v>0.27239075421864101</v>
      </c>
    </row>
    <row r="15" spans="1:16" x14ac:dyDescent="0.45">
      <c r="A15" t="s">
        <v>141</v>
      </c>
      <c r="B15">
        <v>8883353.9032174628</v>
      </c>
      <c r="C15">
        <v>14317829.177344427</v>
      </c>
      <c r="D15">
        <v>9731053.0163658112</v>
      </c>
      <c r="E15">
        <v>12741571.548967879</v>
      </c>
      <c r="F15">
        <v>19715115.649075139</v>
      </c>
      <c r="G15">
        <v>22134590.324062284</v>
      </c>
      <c r="H15">
        <v>10582028.289964827</v>
      </c>
      <c r="I15">
        <v>13864644.459893951</v>
      </c>
      <c r="J15">
        <v>5047949.990717019</v>
      </c>
      <c r="K15">
        <v>5747309.4218108486</v>
      </c>
      <c r="L15">
        <v>8182382.3893885054</v>
      </c>
      <c r="M15">
        <v>6615031.3639296563</v>
      </c>
      <c r="N15">
        <f t="shared" si="0"/>
        <v>3.5699850480146289E-2</v>
      </c>
      <c r="O15">
        <v>4.791295722335423E-2</v>
      </c>
      <c r="P15">
        <f t="shared" si="1"/>
        <v>0.57172460115704471</v>
      </c>
    </row>
    <row r="16" spans="1:16" x14ac:dyDescent="0.45">
      <c r="A16" t="s">
        <v>222</v>
      </c>
      <c r="B16">
        <v>9348189.299718434</v>
      </c>
      <c r="C16">
        <v>20469749.164390706</v>
      </c>
      <c r="D16">
        <v>12365294.595572593</v>
      </c>
      <c r="E16">
        <v>15952563.575769845</v>
      </c>
      <c r="F16">
        <v>17358432.78918007</v>
      </c>
      <c r="G16">
        <v>15737984.390037842</v>
      </c>
      <c r="H16">
        <v>10958881.646948524</v>
      </c>
      <c r="I16">
        <v>14595664.999750428</v>
      </c>
      <c r="J16">
        <v>8644756.2557281405</v>
      </c>
      <c r="K16">
        <v>7143910.2777945613</v>
      </c>
      <c r="L16">
        <v>12945923.973126706</v>
      </c>
      <c r="M16">
        <v>7960876.0609632349</v>
      </c>
      <c r="N16">
        <f t="shared" si="0"/>
        <v>3.610368388590094E-2</v>
      </c>
      <c r="O16">
        <v>4.7212509696947381E-2</v>
      </c>
      <c r="P16">
        <f t="shared" si="1"/>
        <v>0.68232492243109677</v>
      </c>
    </row>
    <row r="17" spans="1:16" x14ac:dyDescent="0.45">
      <c r="A17" t="s">
        <v>285</v>
      </c>
      <c r="B17">
        <v>30142835.418445762</v>
      </c>
      <c r="C17">
        <v>80724415.856649026</v>
      </c>
      <c r="D17">
        <v>45052790.077461571</v>
      </c>
      <c r="E17">
        <v>30171718.934471924</v>
      </c>
      <c r="F17">
        <v>44987090.192748263</v>
      </c>
      <c r="G17">
        <v>51566251.995499566</v>
      </c>
      <c r="H17">
        <v>28707016.727079641</v>
      </c>
      <c r="I17">
        <v>34972928.558612823</v>
      </c>
      <c r="J17">
        <v>20688007.250664357</v>
      </c>
      <c r="K17">
        <v>33883038.491594404</v>
      </c>
      <c r="L17">
        <v>26143753.997330543</v>
      </c>
      <c r="M17">
        <v>24126801.001952942</v>
      </c>
      <c r="N17">
        <f t="shared" si="0"/>
        <v>3.7503713442485778E-2</v>
      </c>
      <c r="O17">
        <v>4.7817234639169363E-2</v>
      </c>
      <c r="P17">
        <f t="shared" si="1"/>
        <v>0.59623020017470785</v>
      </c>
    </row>
    <row r="18" spans="1:16" x14ac:dyDescent="0.45">
      <c r="A18" t="s">
        <v>306</v>
      </c>
      <c r="B18">
        <v>27246849.504753534</v>
      </c>
      <c r="C18">
        <v>72642697.061731994</v>
      </c>
      <c r="D18">
        <v>42718252.680717058</v>
      </c>
      <c r="E18">
        <v>60694101.423508555</v>
      </c>
      <c r="F18">
        <v>73630291.879322007</v>
      </c>
      <c r="G18">
        <v>61283892.481505163</v>
      </c>
      <c r="H18">
        <v>36665996.979104348</v>
      </c>
      <c r="I18">
        <v>31017506.207281325</v>
      </c>
      <c r="J18">
        <v>24448610.40935811</v>
      </c>
      <c r="K18">
        <v>47054755.463447839</v>
      </c>
      <c r="L18">
        <v>50108146.590341814</v>
      </c>
      <c r="M18">
        <v>4594392.2441612156</v>
      </c>
      <c r="N18">
        <f t="shared" si="0"/>
        <v>3.7601457488021246E-2</v>
      </c>
      <c r="O18">
        <v>4.6772544680221552E-2</v>
      </c>
      <c r="P18">
        <f t="shared" si="1"/>
        <v>0.57327080666673402</v>
      </c>
    </row>
    <row r="19" spans="1:16" x14ac:dyDescent="0.45">
      <c r="A19" t="s">
        <v>295</v>
      </c>
      <c r="B19">
        <v>4282549.818352595</v>
      </c>
      <c r="C19">
        <v>7634428.1097000688</v>
      </c>
      <c r="D19">
        <v>5323339.4879026916</v>
      </c>
      <c r="E19">
        <v>9262350.95885255</v>
      </c>
      <c r="F19">
        <v>10027489.400330387</v>
      </c>
      <c r="G19">
        <v>8870481.7635062207</v>
      </c>
      <c r="H19">
        <v>4982458.7322115228</v>
      </c>
      <c r="I19">
        <v>7798714.6225702344</v>
      </c>
      <c r="J19">
        <v>5440344.4152912721</v>
      </c>
      <c r="K19">
        <v>2234153.1777697336</v>
      </c>
      <c r="L19">
        <v>4179085.9670026954</v>
      </c>
      <c r="M19">
        <v>3168182.4831215884</v>
      </c>
      <c r="N19">
        <f t="shared" si="0"/>
        <v>3.8261610444466521E-2</v>
      </c>
      <c r="O19">
        <v>4.6460526968280777E-2</v>
      </c>
      <c r="P19">
        <f t="shared" si="1"/>
        <v>0.61239091961031733</v>
      </c>
    </row>
    <row r="20" spans="1:16" x14ac:dyDescent="0.45">
      <c r="A20" t="s">
        <v>91</v>
      </c>
      <c r="B20">
        <v>7041195.3918783125</v>
      </c>
      <c r="C20">
        <v>20795573.329238281</v>
      </c>
      <c r="D20">
        <v>11781069.248318063</v>
      </c>
      <c r="E20">
        <v>18208277.292743873</v>
      </c>
      <c r="F20">
        <v>32352656.986263879</v>
      </c>
      <c r="G20">
        <v>22762749.840062298</v>
      </c>
      <c r="H20">
        <v>10781663.666608782</v>
      </c>
      <c r="I20">
        <v>14234942.485896379</v>
      </c>
      <c r="J20">
        <v>8419144.3012735024</v>
      </c>
      <c r="K20">
        <v>7135872.8490417153</v>
      </c>
      <c r="L20">
        <v>11775723.488368377</v>
      </c>
      <c r="M20">
        <v>7431320.5629459796</v>
      </c>
      <c r="N20">
        <f t="shared" si="0"/>
        <v>4.135858661829437E-2</v>
      </c>
      <c r="O20">
        <v>4.9053207384488672E-2</v>
      </c>
      <c r="P20">
        <f t="shared" si="1"/>
        <v>0.52928866415745845</v>
      </c>
    </row>
    <row r="21" spans="1:16" x14ac:dyDescent="0.45">
      <c r="A21" t="s">
        <v>216</v>
      </c>
      <c r="B21">
        <v>9778969.2297526579</v>
      </c>
      <c r="C21">
        <v>6682778.7602085229</v>
      </c>
      <c r="D21">
        <v>2541034.7044679276</v>
      </c>
      <c r="E21">
        <v>2397019.2011397476</v>
      </c>
      <c r="F21">
        <v>3775388.3864391171</v>
      </c>
      <c r="G21">
        <v>5487709.0059785768</v>
      </c>
      <c r="H21">
        <v>2048643.2142507886</v>
      </c>
      <c r="I21">
        <v>3670561.4300965015</v>
      </c>
      <c r="J21">
        <v>1734773.2967074791</v>
      </c>
      <c r="K21">
        <v>1887763.721610921</v>
      </c>
      <c r="L21">
        <v>2452446.7807912244</v>
      </c>
      <c r="M21">
        <v>2167843.5970403678</v>
      </c>
      <c r="N21">
        <f t="shared" si="0"/>
        <v>4.1680210469602984E-2</v>
      </c>
      <c r="O21">
        <v>4.8311153044312549E-2</v>
      </c>
      <c r="P21">
        <f t="shared" si="1"/>
        <v>0.4553395916467522</v>
      </c>
    </row>
    <row r="22" spans="1:16" x14ac:dyDescent="0.45">
      <c r="A22" t="s">
        <v>300</v>
      </c>
      <c r="B22">
        <v>33123858.816975228</v>
      </c>
      <c r="C22">
        <v>149060528.12559059</v>
      </c>
      <c r="D22">
        <v>80026732.509715378</v>
      </c>
      <c r="E22">
        <v>92912064.627495304</v>
      </c>
      <c r="F22">
        <v>113365130.46925946</v>
      </c>
      <c r="G22">
        <v>34482353.606199786</v>
      </c>
      <c r="H22">
        <v>1773002.7846758908</v>
      </c>
      <c r="I22">
        <v>1569611.627247774</v>
      </c>
      <c r="J22">
        <v>1125957.0643928912</v>
      </c>
      <c r="K22">
        <v>82429347.657501861</v>
      </c>
      <c r="L22">
        <v>72767203.423637837</v>
      </c>
      <c r="M22">
        <v>1572722.3704439069</v>
      </c>
      <c r="N22">
        <f t="shared" si="0"/>
        <v>4.2380188683114696E-2</v>
      </c>
      <c r="O22">
        <v>4.8030880507529988E-2</v>
      </c>
      <c r="P22">
        <f t="shared" si="1"/>
        <v>0.32057106932155355</v>
      </c>
    </row>
    <row r="23" spans="1:16" x14ac:dyDescent="0.45">
      <c r="A23" t="s">
        <v>312</v>
      </c>
      <c r="B23">
        <v>6245916.298188501</v>
      </c>
      <c r="C23">
        <v>3711310.015828595</v>
      </c>
      <c r="D23">
        <v>14000143.430586923</v>
      </c>
      <c r="E23">
        <v>11223063.751465263</v>
      </c>
      <c r="F23">
        <v>38304726.760374106</v>
      </c>
      <c r="G23">
        <v>32200723.044434063</v>
      </c>
      <c r="H23">
        <v>646960.83112298464</v>
      </c>
      <c r="I23">
        <v>524435.24568560498</v>
      </c>
      <c r="J23">
        <v>349728.99915846786</v>
      </c>
      <c r="K23">
        <v>12886319.141211685</v>
      </c>
      <c r="L23">
        <v>2696623.4406888732</v>
      </c>
      <c r="M23">
        <v>3501466.041182314</v>
      </c>
      <c r="N23">
        <f t="shared" si="0"/>
        <v>4.369564700897767E-2</v>
      </c>
      <c r="O23">
        <v>4.8445173857779585E-2</v>
      </c>
      <c r="P23">
        <f t="shared" si="1"/>
        <v>0.1949695934355582</v>
      </c>
    </row>
    <row r="24" spans="1:16" x14ac:dyDescent="0.45">
      <c r="A24" t="s">
        <v>52</v>
      </c>
      <c r="B24">
        <v>12865007.428708456</v>
      </c>
      <c r="C24">
        <v>28726640.118452583</v>
      </c>
      <c r="D24">
        <v>18091884.352458965</v>
      </c>
      <c r="E24">
        <v>20373529.695630953</v>
      </c>
      <c r="F24">
        <v>24336298.994679779</v>
      </c>
      <c r="G24">
        <v>22387685.086360611</v>
      </c>
      <c r="H24">
        <v>13633035.068571383</v>
      </c>
      <c r="I24">
        <v>19415380.888258308</v>
      </c>
      <c r="J24">
        <v>12413211.713013083</v>
      </c>
      <c r="K24">
        <v>14850981.193357613</v>
      </c>
      <c r="L24">
        <v>17718499.823142432</v>
      </c>
      <c r="M24">
        <v>14837803.641419852</v>
      </c>
      <c r="N24">
        <f t="shared" si="0"/>
        <v>4.4561260851777473E-2</v>
      </c>
      <c r="O24">
        <v>4.8353708583843642E-2</v>
      </c>
      <c r="P24">
        <f t="shared" si="1"/>
        <v>0.73251416907290579</v>
      </c>
    </row>
    <row r="25" spans="1:16" x14ac:dyDescent="0.45">
      <c r="A25" t="s">
        <v>226</v>
      </c>
      <c r="B25">
        <v>220085049.26651284</v>
      </c>
      <c r="C25">
        <v>220085537.12487829</v>
      </c>
      <c r="D25">
        <v>193968666.00266945</v>
      </c>
      <c r="E25">
        <v>49459834.853587352</v>
      </c>
      <c r="F25">
        <v>102489861.64262399</v>
      </c>
      <c r="G25">
        <v>160276109.83770102</v>
      </c>
      <c r="H25">
        <v>58780732.977122612</v>
      </c>
      <c r="I25">
        <v>150124739.84623671</v>
      </c>
      <c r="J25">
        <v>80255586.601128563</v>
      </c>
      <c r="K25">
        <v>106440614.99520813</v>
      </c>
      <c r="L25">
        <v>21257871.701467246</v>
      </c>
      <c r="M25">
        <v>69589796.651768625</v>
      </c>
      <c r="N25">
        <f t="shared" si="0"/>
        <v>4.4691043637958151E-2</v>
      </c>
      <c r="O25">
        <v>4.7484233865330537E-2</v>
      </c>
      <c r="P25">
        <f t="shared" si="1"/>
        <v>0.51401870587527565</v>
      </c>
    </row>
    <row r="26" spans="1:16" x14ac:dyDescent="0.45">
      <c r="A26" t="s">
        <v>197</v>
      </c>
      <c r="B26">
        <v>86458.975295883865</v>
      </c>
      <c r="C26">
        <v>207267.85229184487</v>
      </c>
      <c r="D26">
        <v>147199.73349020514</v>
      </c>
      <c r="E26">
        <v>229180.48531271942</v>
      </c>
      <c r="F26">
        <v>181450.15471989711</v>
      </c>
      <c r="G26">
        <v>229505.07820368075</v>
      </c>
      <c r="H26">
        <v>109940.12685409734</v>
      </c>
      <c r="I26">
        <v>130505.82584447652</v>
      </c>
      <c r="J26">
        <v>75042.967620417636</v>
      </c>
      <c r="K26">
        <v>123085.4178335601</v>
      </c>
      <c r="L26">
        <v>169951.00800577752</v>
      </c>
      <c r="M26">
        <v>115815.14784651715</v>
      </c>
      <c r="N26">
        <f t="shared" si="0"/>
        <v>4.4888870652403538E-2</v>
      </c>
      <c r="O26">
        <v>4.6721069454542463E-2</v>
      </c>
      <c r="P26">
        <f t="shared" si="1"/>
        <v>0.67002660981227624</v>
      </c>
    </row>
    <row r="27" spans="1:16" s="11" customFormat="1" x14ac:dyDescent="0.45">
      <c r="A27" s="11" t="s">
        <v>95</v>
      </c>
      <c r="B27" s="11">
        <v>296992.92535238608</v>
      </c>
      <c r="C27" s="11">
        <v>1231140.6705738085</v>
      </c>
      <c r="D27" s="11">
        <v>714705.10894523363</v>
      </c>
      <c r="E27" s="11">
        <v>648977.77715832891</v>
      </c>
      <c r="F27" s="11">
        <v>695608.627236448</v>
      </c>
      <c r="G27" s="11">
        <v>639679.75591251731</v>
      </c>
      <c r="H27" s="11">
        <v>2544504.4164557452</v>
      </c>
      <c r="I27" s="11">
        <v>5986721.6393085727</v>
      </c>
      <c r="J27" s="11">
        <v>3811202.6072304607</v>
      </c>
      <c r="K27" s="11">
        <v>680857.68785439047</v>
      </c>
      <c r="L27" s="11">
        <v>771235.03049484699</v>
      </c>
      <c r="M27" s="11">
        <v>9642120.2006241176</v>
      </c>
      <c r="N27" s="11">
        <f t="shared" si="0"/>
        <v>4.6718365607411369E-2</v>
      </c>
      <c r="O27" s="11">
        <v>4.7652732919559598E-2</v>
      </c>
      <c r="P27" s="11">
        <f t="shared" si="1"/>
        <v>5.5443719352766125</v>
      </c>
    </row>
    <row r="28" spans="1:16" x14ac:dyDescent="0.45">
      <c r="A28" t="s">
        <v>105</v>
      </c>
      <c r="B28">
        <v>12908028.79397692</v>
      </c>
      <c r="C28">
        <v>64348953.600703306</v>
      </c>
      <c r="D28">
        <v>24039697.127017964</v>
      </c>
      <c r="E28">
        <v>18580356.031063348</v>
      </c>
      <c r="F28">
        <v>40296453.5675238</v>
      </c>
      <c r="G28">
        <v>31446341.186916444</v>
      </c>
      <c r="H28">
        <v>12279209.92334252</v>
      </c>
      <c r="I28">
        <v>23398984.292996008</v>
      </c>
      <c r="J28">
        <v>9464934.5330578517</v>
      </c>
      <c r="K28">
        <v>13088861.301294228</v>
      </c>
      <c r="L28">
        <v>15138237.221181115</v>
      </c>
      <c r="M28">
        <v>13461763.264555098</v>
      </c>
      <c r="N28">
        <f t="shared" si="0"/>
        <v>4.9659073235258915E-2</v>
      </c>
      <c r="O28">
        <v>4.9659073235258921E-2</v>
      </c>
      <c r="P28">
        <f t="shared" si="1"/>
        <v>0.45314720505293843</v>
      </c>
    </row>
    <row r="31" spans="1:16" x14ac:dyDescent="0.45">
      <c r="A31" t="s">
        <v>0</v>
      </c>
      <c r="B31" t="s">
        <v>390</v>
      </c>
      <c r="C31" t="s">
        <v>398</v>
      </c>
      <c r="D31" t="s">
        <v>406</v>
      </c>
      <c r="E31" t="s">
        <v>391</v>
      </c>
      <c r="F31" t="s">
        <v>399</v>
      </c>
      <c r="G31" t="s">
        <v>407</v>
      </c>
      <c r="H31" t="s">
        <v>385</v>
      </c>
      <c r="I31" t="s">
        <v>393</v>
      </c>
      <c r="J31" t="s">
        <v>401</v>
      </c>
      <c r="K31" t="s">
        <v>386</v>
      </c>
      <c r="L31" t="s">
        <v>394</v>
      </c>
      <c r="M31" t="s">
        <v>402</v>
      </c>
    </row>
    <row r="32" spans="1:16" x14ac:dyDescent="0.45">
      <c r="A32" t="s">
        <v>384</v>
      </c>
      <c r="B32" s="9" t="s">
        <v>443</v>
      </c>
      <c r="C32" s="9" t="s">
        <v>443</v>
      </c>
      <c r="D32" s="9" t="s">
        <v>443</v>
      </c>
      <c r="E32" s="9" t="s">
        <v>443</v>
      </c>
      <c r="F32" s="9" t="s">
        <v>443</v>
      </c>
      <c r="G32" s="9" t="s">
        <v>443</v>
      </c>
      <c r="H32" s="8" t="s">
        <v>440</v>
      </c>
      <c r="I32" s="8" t="s">
        <v>440</v>
      </c>
      <c r="J32" s="8" t="s">
        <v>440</v>
      </c>
      <c r="K32" s="8" t="s">
        <v>440</v>
      </c>
      <c r="L32" s="8" t="s">
        <v>440</v>
      </c>
      <c r="M32" s="8" t="s">
        <v>440</v>
      </c>
    </row>
    <row r="33" spans="1:14" x14ac:dyDescent="0.45">
      <c r="A33" s="11" t="s">
        <v>194</v>
      </c>
      <c r="B33">
        <f>LOG10(B3)</f>
        <v>5.4686157336166872</v>
      </c>
      <c r="C33">
        <f t="shared" ref="C33:L33" si="2">LOG10(C3)</f>
        <v>6.0237601500469866</v>
      </c>
      <c r="D33">
        <f t="shared" si="2"/>
        <v>5.517039188352185</v>
      </c>
      <c r="E33">
        <f t="shared" si="2"/>
        <v>5.6849748327586935</v>
      </c>
      <c r="F33">
        <f t="shared" si="2"/>
        <v>5.7287551771592522</v>
      </c>
      <c r="G33">
        <f t="shared" si="2"/>
        <v>5.3944637715413251</v>
      </c>
      <c r="H33">
        <f t="shared" si="2"/>
        <v>6.4543632721626052</v>
      </c>
      <c r="I33">
        <f t="shared" si="2"/>
        <v>6.5314520875419042</v>
      </c>
      <c r="J33">
        <f t="shared" si="2"/>
        <v>6.4102799658248601</v>
      </c>
      <c r="K33">
        <f t="shared" si="2"/>
        <v>6.3272138076144522</v>
      </c>
      <c r="L33">
        <f t="shared" si="2"/>
        <v>6.1872968759106231</v>
      </c>
      <c r="M33">
        <f>LOG10(M3)</f>
        <v>6.4182476738995806</v>
      </c>
      <c r="N33">
        <f>TTEST(B33:G33,H33:M33,2,2)</f>
        <v>3.1246558975841483E-5</v>
      </c>
    </row>
    <row r="34" spans="1:14" x14ac:dyDescent="0.45">
      <c r="A34" t="s">
        <v>265</v>
      </c>
      <c r="B34">
        <f t="shared" ref="B34:L58" si="3">LOG10(B4)</f>
        <v>6.9007190378002772</v>
      </c>
      <c r="C34">
        <f t="shared" si="3"/>
        <v>7.0838565232795645</v>
      </c>
      <c r="D34">
        <f t="shared" si="3"/>
        <v>7.0469774471421731</v>
      </c>
      <c r="E34">
        <f t="shared" si="3"/>
        <v>7.2161198300035929</v>
      </c>
      <c r="F34">
        <f t="shared" si="3"/>
        <v>6.884754165641092</v>
      </c>
      <c r="G34">
        <f t="shared" si="3"/>
        <v>6.9265214231866317</v>
      </c>
      <c r="H34">
        <f t="shared" si="3"/>
        <v>6.6368244889928434</v>
      </c>
      <c r="I34">
        <f t="shared" si="3"/>
        <v>6.5388174035792073</v>
      </c>
      <c r="J34">
        <f t="shared" si="3"/>
        <v>6.5341848834782921</v>
      </c>
      <c r="K34">
        <f t="shared" si="3"/>
        <v>6.4150480618541934</v>
      </c>
      <c r="L34">
        <f t="shared" si="3"/>
        <v>6.411509196632351</v>
      </c>
      <c r="M34">
        <f t="shared" ref="M34:M58" si="4">LOG10(M4)</f>
        <v>6.2688485645629752</v>
      </c>
      <c r="N34">
        <f t="shared" ref="N34:N58" si="5">TTEST(B34:G34,H34:M34,2,2)</f>
        <v>2.7316155813412927E-5</v>
      </c>
    </row>
    <row r="35" spans="1:14" x14ac:dyDescent="0.45">
      <c r="A35" t="s">
        <v>170</v>
      </c>
      <c r="B35">
        <f t="shared" si="3"/>
        <v>6.6095727203823778</v>
      </c>
      <c r="C35">
        <f t="shared" si="3"/>
        <v>6.7399968576563225</v>
      </c>
      <c r="D35">
        <f t="shared" si="3"/>
        <v>6.7397386522711438</v>
      </c>
      <c r="E35">
        <f t="shared" si="3"/>
        <v>6.6537488850845286</v>
      </c>
      <c r="F35">
        <f t="shared" si="3"/>
        <v>6.7810230139059291</v>
      </c>
      <c r="G35">
        <f t="shared" si="3"/>
        <v>6.7759798906690385</v>
      </c>
      <c r="H35">
        <f t="shared" si="3"/>
        <v>6.4291589151032831</v>
      </c>
      <c r="I35">
        <f t="shared" si="3"/>
        <v>6.6165804350702784</v>
      </c>
      <c r="J35">
        <f t="shared" si="3"/>
        <v>6.4376523457468346</v>
      </c>
      <c r="K35">
        <f t="shared" si="3"/>
        <v>6.4025745365320876</v>
      </c>
      <c r="L35">
        <f t="shared" si="3"/>
        <v>6.4722011081839312</v>
      </c>
      <c r="M35">
        <f t="shared" si="4"/>
        <v>6.5711169975980308</v>
      </c>
      <c r="N35">
        <f t="shared" si="5"/>
        <v>4.9174058309786898E-4</v>
      </c>
    </row>
    <row r="36" spans="1:14" x14ac:dyDescent="0.45">
      <c r="A36" t="s">
        <v>210</v>
      </c>
      <c r="B36">
        <f t="shared" si="3"/>
        <v>8.099391837119942</v>
      </c>
      <c r="C36">
        <f t="shared" si="3"/>
        <v>8.3460760308443689</v>
      </c>
      <c r="D36">
        <f t="shared" si="3"/>
        <v>8.2604395036417788</v>
      </c>
      <c r="E36">
        <f t="shared" si="3"/>
        <v>8.1344117931887538</v>
      </c>
      <c r="F36">
        <f t="shared" si="3"/>
        <v>8.2439742474234912</v>
      </c>
      <c r="G36">
        <f t="shared" si="3"/>
        <v>8.2740482835967928</v>
      </c>
      <c r="H36">
        <f t="shared" si="3"/>
        <v>7.940734148913708</v>
      </c>
      <c r="I36">
        <f t="shared" si="3"/>
        <v>8.1640139912831593</v>
      </c>
      <c r="J36">
        <f t="shared" si="3"/>
        <v>7.9148956330515325</v>
      </c>
      <c r="K36">
        <f t="shared" si="3"/>
        <v>7.759034555646994</v>
      </c>
      <c r="L36">
        <f t="shared" si="3"/>
        <v>7.8850000551398463</v>
      </c>
      <c r="M36">
        <f t="shared" si="4"/>
        <v>7.9188867793289868</v>
      </c>
      <c r="N36">
        <f t="shared" si="5"/>
        <v>1.1238154199573764E-3</v>
      </c>
    </row>
    <row r="37" spans="1:14" x14ac:dyDescent="0.45">
      <c r="A37" t="s">
        <v>380</v>
      </c>
      <c r="B37">
        <f t="shared" si="3"/>
        <v>7.9291614834361006</v>
      </c>
      <c r="C37">
        <f t="shared" si="3"/>
        <v>8.5934969047290615</v>
      </c>
      <c r="D37">
        <f t="shared" si="3"/>
        <v>8.3724721941964066</v>
      </c>
      <c r="E37">
        <f t="shared" si="3"/>
        <v>8.4751838661207213</v>
      </c>
      <c r="F37">
        <f t="shared" si="3"/>
        <v>8.4256619241317079</v>
      </c>
      <c r="G37">
        <f t="shared" si="3"/>
        <v>8.5306413682575357</v>
      </c>
      <c r="H37">
        <f t="shared" si="3"/>
        <v>8.1867524539986363</v>
      </c>
      <c r="I37">
        <f t="shared" si="3"/>
        <v>8.1453354338948305</v>
      </c>
      <c r="J37">
        <f t="shared" si="3"/>
        <v>8.2202968162852503</v>
      </c>
      <c r="K37">
        <f t="shared" si="3"/>
        <v>8.1231875999796657</v>
      </c>
      <c r="L37">
        <f t="shared" si="3"/>
        <v>8.2882898288494662</v>
      </c>
      <c r="M37">
        <f t="shared" si="4"/>
        <v>8.079093261190204</v>
      </c>
      <c r="N37">
        <f t="shared" si="5"/>
        <v>6.1645973534642212E-2</v>
      </c>
    </row>
    <row r="38" spans="1:14" x14ac:dyDescent="0.45">
      <c r="A38" t="s">
        <v>97</v>
      </c>
      <c r="B38">
        <f t="shared" si="3"/>
        <v>6.9431412782000912</v>
      </c>
      <c r="C38">
        <f t="shared" si="3"/>
        <v>7.3184295816977372</v>
      </c>
      <c r="D38">
        <f t="shared" si="3"/>
        <v>7.1086584378773923</v>
      </c>
      <c r="E38">
        <f t="shared" si="3"/>
        <v>7.1895836306189009</v>
      </c>
      <c r="F38">
        <f t="shared" si="3"/>
        <v>7.2680990343066743</v>
      </c>
      <c r="G38">
        <f t="shared" si="3"/>
        <v>7.2430448859916847</v>
      </c>
      <c r="H38">
        <f t="shared" si="3"/>
        <v>6.9404766161053768</v>
      </c>
      <c r="I38">
        <f t="shared" si="3"/>
        <v>7.0735049254021369</v>
      </c>
      <c r="J38">
        <f t="shared" si="3"/>
        <v>6.9794938224738532</v>
      </c>
      <c r="K38">
        <f t="shared" si="3"/>
        <v>7.0423636239473817</v>
      </c>
      <c r="L38">
        <f t="shared" si="3"/>
        <v>7.1185829005051779</v>
      </c>
      <c r="M38">
        <f t="shared" si="4"/>
        <v>6.9886409395405638</v>
      </c>
      <c r="N38">
        <f t="shared" si="5"/>
        <v>3.1043614984871043E-2</v>
      </c>
    </row>
    <row r="39" spans="1:14" x14ac:dyDescent="0.45">
      <c r="A39" t="s">
        <v>160</v>
      </c>
      <c r="B39">
        <f t="shared" si="3"/>
        <v>7.1792699354507858</v>
      </c>
      <c r="C39">
        <f t="shared" si="3"/>
        <v>7.107610331819215</v>
      </c>
      <c r="D39">
        <f t="shared" si="3"/>
        <v>6.9104512546707246</v>
      </c>
      <c r="E39">
        <f t="shared" si="3"/>
        <v>6.6249078482954129</v>
      </c>
      <c r="F39">
        <f t="shared" si="3"/>
        <v>6.8129806511363808</v>
      </c>
      <c r="G39">
        <f t="shared" si="3"/>
        <v>6.9004495116526474</v>
      </c>
      <c r="H39">
        <f t="shared" si="3"/>
        <v>6.2882285469548869</v>
      </c>
      <c r="I39">
        <f t="shared" si="3"/>
        <v>6.9297559449961765</v>
      </c>
      <c r="J39">
        <f t="shared" si="3"/>
        <v>6.6831299835715559</v>
      </c>
      <c r="K39">
        <f t="shared" si="3"/>
        <v>6.0460271194181123</v>
      </c>
      <c r="L39">
        <f t="shared" si="3"/>
        <v>6.740116888303195</v>
      </c>
      <c r="M39">
        <f t="shared" si="4"/>
        <v>6.1786247697644141</v>
      </c>
      <c r="N39">
        <f t="shared" si="5"/>
        <v>2.3188847117321897E-2</v>
      </c>
    </row>
    <row r="40" spans="1:14" x14ac:dyDescent="0.45">
      <c r="A40" t="s">
        <v>437</v>
      </c>
      <c r="B40">
        <f t="shared" si="3"/>
        <v>6.8898753676631195</v>
      </c>
      <c r="C40">
        <f t="shared" si="3"/>
        <v>7.3248929559593288</v>
      </c>
      <c r="D40">
        <f t="shared" si="3"/>
        <v>7.1496771565433699</v>
      </c>
      <c r="E40">
        <f t="shared" si="3"/>
        <v>6.9060815499048793</v>
      </c>
      <c r="F40">
        <f t="shared" si="3"/>
        <v>7.3211445082063022</v>
      </c>
      <c r="G40">
        <f t="shared" si="3"/>
        <v>7.2299921822977007</v>
      </c>
      <c r="H40">
        <f t="shared" si="3"/>
        <v>6.5787662694182938</v>
      </c>
      <c r="I40">
        <f t="shared" si="3"/>
        <v>7.1633679911703911</v>
      </c>
      <c r="J40">
        <f t="shared" si="3"/>
        <v>6.959098086678762</v>
      </c>
      <c r="K40">
        <f t="shared" si="3"/>
        <v>6.5701801427621351</v>
      </c>
      <c r="L40">
        <f t="shared" si="3"/>
        <v>6.93555663818944</v>
      </c>
      <c r="M40">
        <f t="shared" si="4"/>
        <v>6.5721660185152864</v>
      </c>
      <c r="N40">
        <f t="shared" si="5"/>
        <v>2.7351487148302264E-2</v>
      </c>
    </row>
    <row r="41" spans="1:14" x14ac:dyDescent="0.45">
      <c r="A41" t="s">
        <v>79</v>
      </c>
      <c r="B41">
        <f t="shared" si="3"/>
        <v>6.424542804313579</v>
      </c>
      <c r="C41">
        <f t="shared" si="3"/>
        <v>6.8764065001622487</v>
      </c>
      <c r="D41">
        <f t="shared" si="3"/>
        <v>6.6858226030149241</v>
      </c>
      <c r="E41">
        <f t="shared" si="3"/>
        <v>6.6690009921260707</v>
      </c>
      <c r="F41">
        <f t="shared" si="3"/>
        <v>6.6860128930089067</v>
      </c>
      <c r="G41">
        <f t="shared" si="3"/>
        <v>6.6456271625183723</v>
      </c>
      <c r="H41">
        <f t="shared" si="3"/>
        <v>6.5648140835286846</v>
      </c>
      <c r="I41">
        <f t="shared" si="3"/>
        <v>6.4924443939846403</v>
      </c>
      <c r="J41">
        <f t="shared" si="3"/>
        <v>6.4407588674595333</v>
      </c>
      <c r="K41">
        <f t="shared" si="3"/>
        <v>6.5579923494217605</v>
      </c>
      <c r="L41">
        <f t="shared" si="3"/>
        <v>6.4050258431649327</v>
      </c>
      <c r="M41">
        <f t="shared" si="4"/>
        <v>6.5319255271862229</v>
      </c>
      <c r="N41">
        <f t="shared" si="5"/>
        <v>2.7972739592943309E-2</v>
      </c>
    </row>
    <row r="42" spans="1:14" x14ac:dyDescent="0.45">
      <c r="A42" s="11" t="s">
        <v>239</v>
      </c>
      <c r="B42">
        <f t="shared" si="3"/>
        <v>6.0670232502484662</v>
      </c>
      <c r="C42">
        <f t="shared" si="3"/>
        <v>6.1121156854995453</v>
      </c>
      <c r="D42">
        <f t="shared" si="3"/>
        <v>6.2289203687172057</v>
      </c>
      <c r="E42">
        <f t="shared" si="3"/>
        <v>6.4228204856789999</v>
      </c>
      <c r="F42">
        <f t="shared" si="3"/>
        <v>6.2540201387724794</v>
      </c>
      <c r="G42">
        <f t="shared" si="3"/>
        <v>6.3678973212717302</v>
      </c>
      <c r="H42">
        <f t="shared" si="3"/>
        <v>6.4930294045812644</v>
      </c>
      <c r="I42">
        <f t="shared" si="3"/>
        <v>6.7107717506301006</v>
      </c>
      <c r="J42">
        <f t="shared" si="3"/>
        <v>6.4422628194964018</v>
      </c>
      <c r="K42">
        <f t="shared" si="3"/>
        <v>6.2335637592644026</v>
      </c>
      <c r="L42">
        <f t="shared" si="3"/>
        <v>6.419385250697677</v>
      </c>
      <c r="M42">
        <f t="shared" si="4"/>
        <v>6.5093154718839674</v>
      </c>
      <c r="N42">
        <f t="shared" si="5"/>
        <v>2.369725852458128E-2</v>
      </c>
    </row>
    <row r="43" spans="1:14" x14ac:dyDescent="0.45">
      <c r="A43" t="s">
        <v>123</v>
      </c>
      <c r="B43">
        <f t="shared" si="3"/>
        <v>6.6109763622027105</v>
      </c>
      <c r="C43">
        <f t="shared" si="3"/>
        <v>6.654304958632955</v>
      </c>
      <c r="D43">
        <f t="shared" si="3"/>
        <v>6.544297740188715</v>
      </c>
      <c r="E43">
        <f t="shared" si="3"/>
        <v>7.040675517770933</v>
      </c>
      <c r="F43">
        <f t="shared" si="3"/>
        <v>6.8545847982166013</v>
      </c>
      <c r="G43">
        <f t="shared" si="3"/>
        <v>6.7963802196327823</v>
      </c>
      <c r="H43">
        <f t="shared" si="3"/>
        <v>6.5188104106188689</v>
      </c>
      <c r="I43">
        <f t="shared" si="3"/>
        <v>6.5375280570427261</v>
      </c>
      <c r="J43">
        <f t="shared" si="3"/>
        <v>6.3591343753317533</v>
      </c>
      <c r="K43">
        <f t="shared" si="3"/>
        <v>6.5669073235898185</v>
      </c>
      <c r="L43">
        <f t="shared" si="3"/>
        <v>6.540560187457932</v>
      </c>
      <c r="M43">
        <f t="shared" si="4"/>
        <v>6.5358166064101368</v>
      </c>
      <c r="N43">
        <f t="shared" si="5"/>
        <v>1.4090329445131137E-2</v>
      </c>
    </row>
    <row r="44" spans="1:14" x14ac:dyDescent="0.45">
      <c r="A44" t="s">
        <v>59</v>
      </c>
      <c r="B44">
        <f t="shared" si="3"/>
        <v>4.9974042499467197</v>
      </c>
      <c r="C44">
        <f t="shared" si="3"/>
        <v>6.2737648308581502</v>
      </c>
      <c r="D44">
        <f t="shared" si="3"/>
        <v>5.4891780497458669</v>
      </c>
      <c r="E44">
        <f t="shared" si="3"/>
        <v>5.9243573767915194</v>
      </c>
      <c r="F44">
        <f t="shared" si="3"/>
        <v>6.0691947926631062</v>
      </c>
      <c r="G44">
        <f t="shared" si="3"/>
        <v>6.0084388771428578</v>
      </c>
      <c r="H44">
        <f t="shared" si="3"/>
        <v>5.192737433885851</v>
      </c>
      <c r="I44">
        <f t="shared" si="3"/>
        <v>5.106117294229473</v>
      </c>
      <c r="J44">
        <f t="shared" si="3"/>
        <v>5.6745564030044493</v>
      </c>
      <c r="K44">
        <f t="shared" si="3"/>
        <v>5.3902572186976947</v>
      </c>
      <c r="L44">
        <f t="shared" si="3"/>
        <v>5.2619688220760201</v>
      </c>
      <c r="M44">
        <f t="shared" si="4"/>
        <v>5.4218147746453429</v>
      </c>
      <c r="N44">
        <f t="shared" si="5"/>
        <v>5.4829262613666691E-2</v>
      </c>
    </row>
    <row r="45" spans="1:14" x14ac:dyDescent="0.45">
      <c r="A45" t="s">
        <v>141</v>
      </c>
      <c r="B45">
        <f t="shared" si="3"/>
        <v>6.9485769642763424</v>
      </c>
      <c r="C45">
        <f t="shared" si="3"/>
        <v>7.1558771766473095</v>
      </c>
      <c r="D45">
        <f t="shared" si="3"/>
        <v>6.9881598386704518</v>
      </c>
      <c r="E45">
        <f t="shared" si="3"/>
        <v>7.1052229973048471</v>
      </c>
      <c r="F45">
        <f t="shared" si="3"/>
        <v>7.2947993289926991</v>
      </c>
      <c r="G45">
        <f t="shared" si="3"/>
        <v>7.3450714882915724</v>
      </c>
      <c r="H45">
        <f t="shared" si="3"/>
        <v>7.0245689182392432</v>
      </c>
      <c r="I45">
        <f t="shared" si="3"/>
        <v>7.1419087371604766</v>
      </c>
      <c r="J45">
        <f t="shared" si="3"/>
        <v>6.7031150437671352</v>
      </c>
      <c r="K45">
        <f t="shared" si="3"/>
        <v>6.7594645791708663</v>
      </c>
      <c r="L45">
        <f t="shared" si="3"/>
        <v>6.9128797716327561</v>
      </c>
      <c r="M45">
        <f t="shared" si="4"/>
        <v>6.8205319076541757</v>
      </c>
      <c r="N45">
        <f t="shared" si="5"/>
        <v>2.5983890832369998E-2</v>
      </c>
    </row>
    <row r="46" spans="1:14" x14ac:dyDescent="0.45">
      <c r="A46" t="s">
        <v>222</v>
      </c>
      <c r="B46">
        <f t="shared" si="3"/>
        <v>6.9707274982206968</v>
      </c>
      <c r="C46">
        <f t="shared" si="3"/>
        <v>7.3111125208653176</v>
      </c>
      <c r="D46">
        <f t="shared" si="3"/>
        <v>7.0922044676206886</v>
      </c>
      <c r="E46">
        <f t="shared" si="3"/>
        <v>7.2028304840921731</v>
      </c>
      <c r="F46">
        <f t="shared" si="3"/>
        <v>7.2395105122151486</v>
      </c>
      <c r="G46">
        <f t="shared" si="3"/>
        <v>7.1969491102125414</v>
      </c>
      <c r="H46">
        <f t="shared" si="3"/>
        <v>7.0397662366902498</v>
      </c>
      <c r="I46">
        <f t="shared" si="3"/>
        <v>7.1642238868637911</v>
      </c>
      <c r="J46">
        <f t="shared" si="3"/>
        <v>6.9367527525799124</v>
      </c>
      <c r="K46">
        <f t="shared" si="3"/>
        <v>6.8539359914987132</v>
      </c>
      <c r="L46">
        <f t="shared" si="3"/>
        <v>7.11213305223015</v>
      </c>
      <c r="M46">
        <f t="shared" si="4"/>
        <v>6.9009608626505958</v>
      </c>
      <c r="N46">
        <f t="shared" si="5"/>
        <v>3.8508213558628671E-2</v>
      </c>
    </row>
    <row r="47" spans="1:14" x14ac:dyDescent="0.45">
      <c r="A47" t="s">
        <v>285</v>
      </c>
      <c r="B47">
        <f t="shared" si="3"/>
        <v>7.4791841022807457</v>
      </c>
      <c r="C47">
        <f t="shared" si="3"/>
        <v>7.9070049110301488</v>
      </c>
      <c r="D47">
        <f t="shared" si="3"/>
        <v>7.6537216916019775</v>
      </c>
      <c r="E47">
        <f t="shared" si="3"/>
        <v>7.4796000533798326</v>
      </c>
      <c r="F47">
        <f t="shared" si="3"/>
        <v>7.6530879034989514</v>
      </c>
      <c r="G47">
        <f t="shared" si="3"/>
        <v>7.7123655666049711</v>
      </c>
      <c r="H47">
        <f t="shared" si="3"/>
        <v>7.4579880623576607</v>
      </c>
      <c r="I47">
        <f t="shared" si="3"/>
        <v>7.5437320007276805</v>
      </c>
      <c r="J47">
        <f t="shared" si="3"/>
        <v>7.3157186597464392</v>
      </c>
      <c r="K47">
        <f t="shared" si="3"/>
        <v>7.5299823491487174</v>
      </c>
      <c r="L47">
        <f t="shared" si="3"/>
        <v>7.4173679483275157</v>
      </c>
      <c r="M47">
        <f t="shared" si="4"/>
        <v>7.3824997421615732</v>
      </c>
      <c r="N47">
        <f t="shared" si="5"/>
        <v>1.9846120762398532E-2</v>
      </c>
    </row>
    <row r="48" spans="1:14" x14ac:dyDescent="0.45">
      <c r="A48" t="s">
        <v>306</v>
      </c>
      <c r="B48">
        <f t="shared" si="3"/>
        <v>7.4353162929685785</v>
      </c>
      <c r="C48">
        <f t="shared" si="3"/>
        <v>7.8611919602002951</v>
      </c>
      <c r="D48">
        <f t="shared" si="3"/>
        <v>7.630613480288237</v>
      </c>
      <c r="E48">
        <f t="shared" si="3"/>
        <v>7.7831464860719946</v>
      </c>
      <c r="F48">
        <f t="shared" si="3"/>
        <v>7.867056522075611</v>
      </c>
      <c r="G48">
        <f t="shared" si="3"/>
        <v>7.7873463419631808</v>
      </c>
      <c r="H48">
        <f t="shared" si="3"/>
        <v>7.5642634983221368</v>
      </c>
      <c r="I48">
        <f t="shared" si="3"/>
        <v>7.4916068778117726</v>
      </c>
      <c r="J48">
        <f t="shared" si="3"/>
        <v>7.3882541800773103</v>
      </c>
      <c r="K48">
        <f t="shared" si="3"/>
        <v>7.6726035207955858</v>
      </c>
      <c r="L48">
        <f t="shared" si="3"/>
        <v>7.6999083392726417</v>
      </c>
      <c r="M48">
        <f t="shared" si="4"/>
        <v>6.6622280701369379</v>
      </c>
      <c r="N48">
        <f t="shared" si="5"/>
        <v>9.6665127818163263E-2</v>
      </c>
    </row>
    <row r="49" spans="1:14" x14ac:dyDescent="0.45">
      <c r="A49" t="s">
        <v>295</v>
      </c>
      <c r="B49">
        <f t="shared" si="3"/>
        <v>6.6317024237589228</v>
      </c>
      <c r="C49">
        <f t="shared" si="3"/>
        <v>6.8827765098791645</v>
      </c>
      <c r="D49">
        <f t="shared" si="3"/>
        <v>6.7261841635278934</v>
      </c>
      <c r="E49">
        <f t="shared" si="3"/>
        <v>6.9667212327802392</v>
      </c>
      <c r="F49">
        <f t="shared" si="3"/>
        <v>7.0011922115780969</v>
      </c>
      <c r="G49">
        <f t="shared" si="3"/>
        <v>6.9479472073797055</v>
      </c>
      <c r="H49">
        <f t="shared" si="3"/>
        <v>6.6974437102933404</v>
      </c>
      <c r="I49">
        <f t="shared" si="3"/>
        <v>6.892023028546113</v>
      </c>
      <c r="J49">
        <f t="shared" si="3"/>
        <v>6.7356263947212831</v>
      </c>
      <c r="K49">
        <f t="shared" si="3"/>
        <v>6.3491129458519175</v>
      </c>
      <c r="L49">
        <f t="shared" si="3"/>
        <v>6.6210813050060064</v>
      </c>
      <c r="M49">
        <f t="shared" si="4"/>
        <v>6.5008101884257625</v>
      </c>
      <c r="N49">
        <f t="shared" si="5"/>
        <v>4.3672322334303244E-2</v>
      </c>
    </row>
    <row r="50" spans="1:14" x14ac:dyDescent="0.45">
      <c r="A50" t="s">
        <v>91</v>
      </c>
      <c r="B50">
        <f t="shared" si="3"/>
        <v>6.8476463960775442</v>
      </c>
      <c r="C50">
        <f t="shared" si="3"/>
        <v>7.3179708982663341</v>
      </c>
      <c r="D50">
        <f t="shared" si="3"/>
        <v>7.0711847087508</v>
      </c>
      <c r="E50">
        <f t="shared" si="3"/>
        <v>7.2602688586095043</v>
      </c>
      <c r="F50">
        <f t="shared" si="3"/>
        <v>7.5099099532300224</v>
      </c>
      <c r="G50">
        <f t="shared" si="3"/>
        <v>7.357224725571343</v>
      </c>
      <c r="H50">
        <f t="shared" si="3"/>
        <v>7.0326857799120059</v>
      </c>
      <c r="I50">
        <f t="shared" si="3"/>
        <v>7.1533557167862201</v>
      </c>
      <c r="J50">
        <f t="shared" si="3"/>
        <v>6.9252679532431252</v>
      </c>
      <c r="K50">
        <f t="shared" si="3"/>
        <v>6.8534471029359576</v>
      </c>
      <c r="L50">
        <f t="shared" si="3"/>
        <v>7.070987599227994</v>
      </c>
      <c r="M50">
        <f t="shared" si="4"/>
        <v>6.8710659957578981</v>
      </c>
      <c r="N50">
        <f t="shared" si="5"/>
        <v>4.7339109395326089E-2</v>
      </c>
    </row>
    <row r="51" spans="1:14" x14ac:dyDescent="0.45">
      <c r="A51" t="s">
        <v>216</v>
      </c>
      <c r="B51">
        <f t="shared" si="3"/>
        <v>6.9902930795909963</v>
      </c>
      <c r="C51">
        <f t="shared" si="3"/>
        <v>6.8249570836269013</v>
      </c>
      <c r="D51">
        <f t="shared" si="3"/>
        <v>6.4050105965167186</v>
      </c>
      <c r="E51">
        <f t="shared" si="3"/>
        <v>6.3796715129304582</v>
      </c>
      <c r="F51">
        <f t="shared" si="3"/>
        <v>6.5769616355442881</v>
      </c>
      <c r="G51">
        <f t="shared" si="3"/>
        <v>6.7393910741913379</v>
      </c>
      <c r="H51">
        <f t="shared" si="3"/>
        <v>6.3114663295216689</v>
      </c>
      <c r="I51">
        <f t="shared" si="3"/>
        <v>6.5647324967710956</v>
      </c>
      <c r="J51">
        <f t="shared" si="3"/>
        <v>6.2392427284514493</v>
      </c>
      <c r="K51">
        <f t="shared" si="3"/>
        <v>6.2759476357130719</v>
      </c>
      <c r="L51">
        <f t="shared" si="3"/>
        <v>6.3895995917667747</v>
      </c>
      <c r="M51">
        <f t="shared" si="4"/>
        <v>6.3360279460432194</v>
      </c>
      <c r="N51">
        <f t="shared" si="5"/>
        <v>2.0901701950904048E-2</v>
      </c>
    </row>
    <row r="52" spans="1:14" x14ac:dyDescent="0.45">
      <c r="A52" t="s">
        <v>300</v>
      </c>
      <c r="B52">
        <f t="shared" si="3"/>
        <v>7.5201409248911961</v>
      </c>
      <c r="C52">
        <f t="shared" si="3"/>
        <v>8.1733626556143673</v>
      </c>
      <c r="D52">
        <f t="shared" si="3"/>
        <v>7.9032350850187889</v>
      </c>
      <c r="E52">
        <f t="shared" si="3"/>
        <v>7.9680721107746075</v>
      </c>
      <c r="F52">
        <f t="shared" si="3"/>
        <v>8.0544794921800342</v>
      </c>
      <c r="G52">
        <f t="shared" si="3"/>
        <v>7.5375969010999038</v>
      </c>
      <c r="H52">
        <f t="shared" si="3"/>
        <v>6.2487094177038074</v>
      </c>
      <c r="I52">
        <f t="shared" si="3"/>
        <v>6.1957922071809071</v>
      </c>
      <c r="J52">
        <f t="shared" si="3"/>
        <v>6.0515218300777045</v>
      </c>
      <c r="K52">
        <f t="shared" si="3"/>
        <v>7.9160818628684719</v>
      </c>
      <c r="L52">
        <f t="shared" si="3"/>
        <v>7.8619356845130355</v>
      </c>
      <c r="M52">
        <f t="shared" si="4"/>
        <v>6.1966520642470293</v>
      </c>
      <c r="N52">
        <f t="shared" si="5"/>
        <v>1.4850087041403099E-2</v>
      </c>
    </row>
    <row r="53" spans="1:14" x14ac:dyDescent="0.45">
      <c r="A53" t="s">
        <v>312</v>
      </c>
      <c r="B53">
        <f t="shared" si="3"/>
        <v>6.795596159932856</v>
      </c>
      <c r="C53">
        <f t="shared" si="3"/>
        <v>6.569527233664374</v>
      </c>
      <c r="D53">
        <f t="shared" si="3"/>
        <v>7.1461324850206207</v>
      </c>
      <c r="E53">
        <f t="shared" si="3"/>
        <v>7.0501114298902401</v>
      </c>
      <c r="F53">
        <f t="shared" si="3"/>
        <v>7.5832523687280373</v>
      </c>
      <c r="G53">
        <f t="shared" si="3"/>
        <v>7.5078656235803765</v>
      </c>
      <c r="H53">
        <f t="shared" si="3"/>
        <v>5.810877988022515</v>
      </c>
      <c r="I53">
        <f t="shared" si="3"/>
        <v>5.7196918716000242</v>
      </c>
      <c r="J53">
        <f t="shared" si="3"/>
        <v>5.54373164504113</v>
      </c>
      <c r="K53">
        <f t="shared" si="3"/>
        <v>7.1101288828345455</v>
      </c>
      <c r="L53">
        <f t="shared" si="3"/>
        <v>6.4308203053521558</v>
      </c>
      <c r="M53">
        <f t="shared" si="4"/>
        <v>6.544249918718096</v>
      </c>
      <c r="N53">
        <f t="shared" si="5"/>
        <v>1.0960696105445884E-2</v>
      </c>
    </row>
    <row r="54" spans="1:14" x14ac:dyDescent="0.45">
      <c r="A54" t="s">
        <v>52</v>
      </c>
      <c r="B54">
        <f t="shared" si="3"/>
        <v>7.1094100413233692</v>
      </c>
      <c r="C54">
        <f t="shared" si="3"/>
        <v>7.4582848336722245</v>
      </c>
      <c r="D54">
        <f t="shared" si="3"/>
        <v>7.2574838029712145</v>
      </c>
      <c r="E54">
        <f t="shared" si="3"/>
        <v>7.3090662766456482</v>
      </c>
      <c r="F54">
        <f t="shared" si="3"/>
        <v>7.3862545324642594</v>
      </c>
      <c r="G54">
        <f t="shared" si="3"/>
        <v>7.3500091893273423</v>
      </c>
      <c r="H54">
        <f t="shared" si="3"/>
        <v>7.1345925518580531</v>
      </c>
      <c r="I54">
        <f t="shared" si="3"/>
        <v>7.2881459148947485</v>
      </c>
      <c r="J54">
        <f t="shared" si="3"/>
        <v>7.0938841625445788</v>
      </c>
      <c r="K54">
        <f t="shared" si="3"/>
        <v>7.1717551481167758</v>
      </c>
      <c r="L54">
        <f t="shared" si="3"/>
        <v>7.2484269485831154</v>
      </c>
      <c r="M54">
        <f t="shared" si="4"/>
        <v>7.1713696194736043</v>
      </c>
      <c r="N54">
        <f t="shared" si="5"/>
        <v>5.0675375353323844E-2</v>
      </c>
    </row>
    <row r="55" spans="1:14" x14ac:dyDescent="0.45">
      <c r="A55" t="s">
        <v>226</v>
      </c>
      <c r="B55">
        <f t="shared" si="3"/>
        <v>8.3425905412285424</v>
      </c>
      <c r="C55">
        <f t="shared" si="3"/>
        <v>8.3425915039198379</v>
      </c>
      <c r="D55">
        <f t="shared" si="3"/>
        <v>8.2877315789960981</v>
      </c>
      <c r="E55">
        <f t="shared" si="3"/>
        <v>7.6942526619182132</v>
      </c>
      <c r="F55">
        <f t="shared" si="3"/>
        <v>8.0106809068509719</v>
      </c>
      <c r="G55">
        <f t="shared" si="3"/>
        <v>8.2048687928539792</v>
      </c>
      <c r="H55">
        <f t="shared" si="3"/>
        <v>7.7692349972849941</v>
      </c>
      <c r="I55">
        <f t="shared" si="3"/>
        <v>8.176452267815181</v>
      </c>
      <c r="J55">
        <f t="shared" si="3"/>
        <v>7.9044752734207808</v>
      </c>
      <c r="K55">
        <f t="shared" si="3"/>
        <v>8.0271073751639594</v>
      </c>
      <c r="L55">
        <f t="shared" si="3"/>
        <v>7.3275197816088635</v>
      </c>
      <c r="M55">
        <f t="shared" si="4"/>
        <v>7.8425455674456712</v>
      </c>
      <c r="N55">
        <f t="shared" si="5"/>
        <v>8.0619632280614181E-2</v>
      </c>
    </row>
    <row r="56" spans="1:14" x14ac:dyDescent="0.45">
      <c r="A56" t="s">
        <v>197</v>
      </c>
      <c r="B56">
        <f t="shared" si="3"/>
        <v>4.9368100840084077</v>
      </c>
      <c r="C56">
        <f t="shared" si="3"/>
        <v>5.3165319472702368</v>
      </c>
      <c r="D56">
        <f t="shared" si="3"/>
        <v>5.1679070236982323</v>
      </c>
      <c r="E56">
        <f t="shared" si="3"/>
        <v>5.3601776347533825</v>
      </c>
      <c r="F56">
        <f t="shared" si="3"/>
        <v>5.2587573428532952</v>
      </c>
      <c r="G56">
        <f t="shared" si="3"/>
        <v>5.3607922995091704</v>
      </c>
      <c r="H56">
        <f t="shared" si="3"/>
        <v>5.0411562337394322</v>
      </c>
      <c r="I56">
        <f t="shared" si="3"/>
        <v>5.1156298992270548</v>
      </c>
      <c r="J56">
        <f t="shared" si="3"/>
        <v>4.875310000153628</v>
      </c>
      <c r="K56">
        <f t="shared" si="3"/>
        <v>5.0902066042754033</v>
      </c>
      <c r="L56">
        <f t="shared" si="3"/>
        <v>5.2303237447946218</v>
      </c>
      <c r="M56">
        <f t="shared" si="4"/>
        <v>5.063765365919191</v>
      </c>
      <c r="N56">
        <f t="shared" si="5"/>
        <v>7.1643500776170488E-2</v>
      </c>
    </row>
    <row r="57" spans="1:14" x14ac:dyDescent="0.45">
      <c r="A57" s="11" t="s">
        <v>95</v>
      </c>
      <c r="B57">
        <f t="shared" si="3"/>
        <v>5.4727461041420797</v>
      </c>
      <c r="C57">
        <f t="shared" ref="C57:L58" si="6">LOG10(C27)</f>
        <v>6.0903076784094763</v>
      </c>
      <c r="D57">
        <f t="shared" si="6"/>
        <v>5.8541268865908735</v>
      </c>
      <c r="E57">
        <f t="shared" si="6"/>
        <v>5.8122298255788722</v>
      </c>
      <c r="F57">
        <f t="shared" si="6"/>
        <v>5.8423649596704514</v>
      </c>
      <c r="G57">
        <f t="shared" si="6"/>
        <v>5.8059626067209971</v>
      </c>
      <c r="H57">
        <f t="shared" si="6"/>
        <v>6.4056032090079755</v>
      </c>
      <c r="I57">
        <f t="shared" si="6"/>
        <v>6.7771890655078515</v>
      </c>
      <c r="J57">
        <f t="shared" si="6"/>
        <v>6.5810620369021313</v>
      </c>
      <c r="K57">
        <f t="shared" si="6"/>
        <v>5.833056345630343</v>
      </c>
      <c r="L57">
        <f t="shared" si="6"/>
        <v>5.8871867475611328</v>
      </c>
      <c r="M57">
        <f t="shared" si="4"/>
        <v>6.9841725411837432</v>
      </c>
      <c r="N57">
        <f t="shared" si="5"/>
        <v>1.6385603740232662E-2</v>
      </c>
    </row>
    <row r="58" spans="1:14" x14ac:dyDescent="0.45">
      <c r="A58" t="s">
        <v>105</v>
      </c>
      <c r="B58">
        <f t="shared" si="3"/>
        <v>7.1108599255148963</v>
      </c>
      <c r="C58">
        <f t="shared" si="6"/>
        <v>7.8085414890937797</v>
      </c>
      <c r="D58">
        <f t="shared" si="6"/>
        <v>7.3809289917461172</v>
      </c>
      <c r="E58">
        <f t="shared" si="6"/>
        <v>7.2690540315545427</v>
      </c>
      <c r="F58">
        <f t="shared" si="6"/>
        <v>7.6052668261950034</v>
      </c>
      <c r="G58">
        <f t="shared" si="6"/>
        <v>7.4975701221256461</v>
      </c>
      <c r="H58">
        <f t="shared" si="6"/>
        <v>7.0891704240550508</v>
      </c>
      <c r="I58">
        <f t="shared" si="6"/>
        <v>7.3691970058921541</v>
      </c>
      <c r="J58">
        <f t="shared" si="6"/>
        <v>6.9761176143875021</v>
      </c>
      <c r="K58">
        <f t="shared" si="6"/>
        <v>7.116901865643551</v>
      </c>
      <c r="L58">
        <f t="shared" si="6"/>
        <v>7.1800753064926264</v>
      </c>
      <c r="M58">
        <f t="shared" si="4"/>
        <v>7.1291019488859027</v>
      </c>
      <c r="N58">
        <f t="shared" si="5"/>
        <v>2.4598701751730737E-2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Full</vt:lpstr>
      <vt:lpstr>redundancy</vt:lpstr>
      <vt:lpstr>QC Check</vt:lpstr>
      <vt:lpstr>Normalization</vt:lpstr>
      <vt:lpstr>Normalized</vt:lpstr>
      <vt:lpstr>Correlation significance</vt:lpstr>
      <vt:lpstr>PBS vs Blautia mass</vt:lpstr>
      <vt:lpstr>FDR-adjusted</vt:lpstr>
      <vt:lpstr>PBS vs Blautia obeum</vt:lpstr>
      <vt:lpstr>SIgnificant FDR-adjusted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 Zhang</dc:creator>
  <cp:lastModifiedBy>Zhang, Shiqi</cp:lastModifiedBy>
  <dcterms:created xsi:type="dcterms:W3CDTF">2015-06-05T18:17:20Z</dcterms:created>
  <dcterms:modified xsi:type="dcterms:W3CDTF">2024-08-07T02:39:13Z</dcterms:modified>
</cp:coreProperties>
</file>