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osumc-my.sharepoint.com/personal/spak01_osumc_edu/Documents/BuckeyeBox Data/osu/projects/dmm21/metabolomics-data/"/>
    </mc:Choice>
  </mc:AlternateContent>
  <xr:revisionPtr revIDLastSave="578" documentId="11_F25DC773A252ABDACC104820091F743E5BDE58E8" xr6:coauthVersionLast="47" xr6:coauthVersionMax="47" xr10:uidLastSave="{8B7AA1BF-B87C-4C20-B339-C0ED51C5C378}"/>
  <bookViews>
    <workbookView xWindow="-110" yWindow="-110" windowWidth="19420" windowHeight="11500" activeTab="1" xr2:uid="{00000000-000D-0000-FFFF-FFFF00000000}"/>
  </bookViews>
  <sheets>
    <sheet name="Sample Sum" sheetId="2" r:id="rId1"/>
    <sheet name="Normalization" sheetId="13" r:id="rId2"/>
    <sheet name="Normalized" sheetId="14" r:id="rId3"/>
    <sheet name="Sheet1" sheetId="15" r:id="rId4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0" i="13" l="1" a="1"/>
  <c r="D30" i="13" s="1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K31" i="13"/>
  <c r="K32" i="13"/>
  <c r="K33" i="13"/>
  <c r="K34" i="13"/>
  <c r="K35" i="13"/>
  <c r="K36" i="13"/>
  <c r="K37" i="13"/>
  <c r="K38" i="13"/>
  <c r="K39" i="13"/>
  <c r="K40" i="13"/>
  <c r="K41" i="13"/>
  <c r="K42" i="13"/>
  <c r="K43" i="13"/>
  <c r="K44" i="13"/>
  <c r="K45" i="13"/>
  <c r="K46" i="13"/>
  <c r="K47" i="13"/>
  <c r="K48" i="13"/>
  <c r="K49" i="13"/>
  <c r="K50" i="13"/>
  <c r="K51" i="13"/>
  <c r="K52" i="13"/>
  <c r="K53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M30" i="13"/>
  <c r="L30" i="13"/>
  <c r="K30" i="13"/>
  <c r="J30" i="13"/>
  <c r="I30" i="13"/>
  <c r="H30" i="13"/>
  <c r="G30" i="13"/>
  <c r="F30" i="13"/>
  <c r="E30" i="1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<sst xmlns="http://schemas.openxmlformats.org/spreadsheetml/2006/main" count="451" uniqueCount="68">
  <si>
    <t>acetic acid</t>
  </si>
  <si>
    <t>propionic acid</t>
  </si>
  <si>
    <t>isobutyric acid</t>
  </si>
  <si>
    <t>butyric acid</t>
  </si>
  <si>
    <t>2-methylbutyric acid</t>
  </si>
  <si>
    <t>isovaleric acid</t>
  </si>
  <si>
    <t>valeric acid</t>
  </si>
  <si>
    <t>isocaproic acid</t>
  </si>
  <si>
    <t>caproic acid</t>
  </si>
  <si>
    <t>heptanoic acid</t>
  </si>
  <si>
    <t>neg-m1c1</t>
  </si>
  <si>
    <t>neg-m1c2</t>
  </si>
  <si>
    <t>neg-m1c3</t>
  </si>
  <si>
    <t>neg-m1c4</t>
  </si>
  <si>
    <t>neg-m1c5</t>
  </si>
  <si>
    <t>neg-m1c6</t>
  </si>
  <si>
    <t>neg-m1c7</t>
  </si>
  <si>
    <t>neg-m1c8</t>
  </si>
  <si>
    <t>neg-m2c1</t>
  </si>
  <si>
    <t>neg-m2c2</t>
  </si>
  <si>
    <t>neg-m2c3</t>
  </si>
  <si>
    <t>neg-m2c4</t>
  </si>
  <si>
    <t>neg-m2c5</t>
  </si>
  <si>
    <t>neg-m2c6</t>
  </si>
  <si>
    <t>neg-m2c7</t>
  </si>
  <si>
    <t>neg-m2c8</t>
  </si>
  <si>
    <t>neg-m3c1</t>
  </si>
  <si>
    <t>neg-m3c2</t>
  </si>
  <si>
    <t>neg-m3c3</t>
  </si>
  <si>
    <t>neg-m3c4</t>
  </si>
  <si>
    <t>neg-m3c5</t>
  </si>
  <si>
    <t>neg-m3c6</t>
  </si>
  <si>
    <t>neg-m3c7</t>
  </si>
  <si>
    <t>neg-m3c8</t>
  </si>
  <si>
    <t>Sample</t>
  </si>
  <si>
    <t>Anti-PD1</t>
  </si>
  <si>
    <t>Blautia obeum</t>
  </si>
  <si>
    <t>Blautia massiliensis</t>
  </si>
  <si>
    <t>Agathobacter rectalis</t>
  </si>
  <si>
    <t>PBS</t>
  </si>
  <si>
    <t>Treatment</t>
  </si>
  <si>
    <t>microbiome.sample</t>
  </si>
  <si>
    <t>stool pellet</t>
  </si>
  <si>
    <t>m1c1</t>
  </si>
  <si>
    <t>m2c1</t>
  </si>
  <si>
    <t>m3c1</t>
  </si>
  <si>
    <t>m1c2</t>
  </si>
  <si>
    <t>m2c2</t>
  </si>
  <si>
    <t>m3c2</t>
  </si>
  <si>
    <t>m1c3</t>
  </si>
  <si>
    <t>m2c3</t>
  </si>
  <si>
    <t>m3c3</t>
  </si>
  <si>
    <t>m1c4</t>
  </si>
  <si>
    <t>m2c4</t>
  </si>
  <si>
    <t>m3c4</t>
  </si>
  <si>
    <t>m1c5</t>
  </si>
  <si>
    <t>m2c5</t>
  </si>
  <si>
    <t>m3c5</t>
  </si>
  <si>
    <t>m1c6</t>
  </si>
  <si>
    <t>m2c6</t>
  </si>
  <si>
    <t>m3c6</t>
  </si>
  <si>
    <t>m1c7</t>
  </si>
  <si>
    <t>m2c7</t>
  </si>
  <si>
    <t>m3c7</t>
  </si>
  <si>
    <t>m1c8</t>
  </si>
  <si>
    <t>m2c8</t>
  </si>
  <si>
    <t>m3c8</t>
  </si>
  <si>
    <t>feces weight for SCFA (mg)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</si>
</sst>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charset val="1"/>
    </font>
    <font>
      <sz val="11"/>
      <color rgb="FF242424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15</v>
    <v>8</v>
    <v>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32581-F516-4EE1-BD31-A21ED2697332}">
  <dimension ref="A1:M25"/>
  <sheetViews>
    <sheetView zoomScale="85" zoomScaleNormal="85" workbookViewId="0">
      <selection activeCell="B16" sqref="A1:M25"/>
    </sheetView>
  </sheetViews>
  <sheetFormatPr defaultRowHeight="14.5" x14ac:dyDescent="0.35"/>
  <cols>
    <col min="1" max="2" width="15.7265625" customWidth="1"/>
    <col min="3" max="3" width="17.6328125" bestFit="1" customWidth="1"/>
  </cols>
  <sheetData>
    <row r="1" spans="1:13" x14ac:dyDescent="0.35">
      <c r="A1" t="s">
        <v>34</v>
      </c>
      <c r="B1" s="6" t="s">
        <v>40</v>
      </c>
      <c r="C1" s="6" t="s">
        <v>41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5">
      <c r="A2" s="1" t="s">
        <v>10</v>
      </c>
      <c r="B2" s="3" t="s">
        <v>35</v>
      </c>
      <c r="C2" s="4" t="s">
        <v>36</v>
      </c>
      <c r="D2" s="2">
        <v>3.4436408440630153</v>
      </c>
      <c r="E2" s="2">
        <v>0.19148942408991598</v>
      </c>
      <c r="F2" s="2">
        <v>8.4365927105400154E-2</v>
      </c>
      <c r="G2" s="2">
        <v>0.23673065916522701</v>
      </c>
      <c r="H2" s="2">
        <v>5.5306651184585602E-2</v>
      </c>
      <c r="I2" s="2">
        <v>3.8523650640749335E-2</v>
      </c>
      <c r="J2" s="2">
        <v>3.9727010526420455E-4</v>
      </c>
      <c r="K2" s="2">
        <v>1.2478348768416646E-4</v>
      </c>
      <c r="L2" s="2">
        <v>7.3947030781802985E-5</v>
      </c>
      <c r="M2" s="2">
        <v>5.9679802351979554E-4</v>
      </c>
    </row>
    <row r="3" spans="1:13" x14ac:dyDescent="0.35">
      <c r="A3" s="1" t="s">
        <v>18</v>
      </c>
      <c r="B3" s="3" t="s">
        <v>35</v>
      </c>
      <c r="C3" s="4" t="s">
        <v>36</v>
      </c>
      <c r="D3" s="2">
        <v>6.9701360758492381</v>
      </c>
      <c r="E3" s="2">
        <v>0.29714232891576747</v>
      </c>
      <c r="F3" s="2">
        <v>9.9756611123180197E-2</v>
      </c>
      <c r="G3" s="2">
        <v>0.84275457744509574</v>
      </c>
      <c r="H3" s="2">
        <v>6.7239677429404135E-2</v>
      </c>
      <c r="I3" s="2">
        <v>6.8819222300185834E-2</v>
      </c>
      <c r="J3" s="2">
        <v>1.708932748697401E-3</v>
      </c>
      <c r="K3" s="2">
        <v>1.2715688063821582E-4</v>
      </c>
      <c r="L3" s="2">
        <v>4.3762322420724212E-4</v>
      </c>
      <c r="M3" s="2">
        <v>1.4921713491444903E-3</v>
      </c>
    </row>
    <row r="4" spans="1:13" ht="13.9" customHeight="1" x14ac:dyDescent="0.35">
      <c r="A4" s="1" t="s">
        <v>26</v>
      </c>
      <c r="B4" s="3" t="s">
        <v>35</v>
      </c>
      <c r="C4" s="4" t="s">
        <v>36</v>
      </c>
      <c r="D4" s="2">
        <v>2.9877711609613979</v>
      </c>
      <c r="E4" s="2">
        <v>2.2106149874207927E-2</v>
      </c>
      <c r="F4" s="2" t="e">
        <v>#VALUE!</v>
      </c>
      <c r="G4" s="2">
        <v>0.15391283986541643</v>
      </c>
      <c r="H4" s="2">
        <v>1.3404391150231118E-3</v>
      </c>
      <c r="I4" s="2" t="e">
        <v>#VALUE!</v>
      </c>
      <c r="J4" s="2">
        <v>8.1062111018732284E-5</v>
      </c>
      <c r="K4" s="2">
        <v>1.0472011083906933E-4</v>
      </c>
      <c r="L4" s="2">
        <v>3.6266521576155286E-4</v>
      </c>
      <c r="M4" s="2">
        <v>1.7525543214478082E-3</v>
      </c>
    </row>
    <row r="5" spans="1:13" x14ac:dyDescent="0.35">
      <c r="A5" s="1" t="s">
        <v>11</v>
      </c>
      <c r="B5" s="3" t="s">
        <v>35</v>
      </c>
      <c r="C5" s="4" t="s">
        <v>36</v>
      </c>
      <c r="D5" s="2">
        <v>3.0453178485884145</v>
      </c>
      <c r="E5" s="2">
        <v>0.12129799122316316</v>
      </c>
      <c r="F5" s="2">
        <v>2.7706883649265709E-2</v>
      </c>
      <c r="G5" s="2">
        <v>0.65890802835027684</v>
      </c>
      <c r="H5" s="2">
        <v>1.4191773529618167E-2</v>
      </c>
      <c r="I5" s="2">
        <v>3.1470502379408405E-2</v>
      </c>
      <c r="J5" s="2">
        <v>4.0590873454430848E-4</v>
      </c>
      <c r="K5" s="2">
        <v>8.0974263989158415E-5</v>
      </c>
      <c r="L5" s="2">
        <v>4.8752672201836226E-4</v>
      </c>
      <c r="M5" s="2">
        <v>1.2674476506695161E-4</v>
      </c>
    </row>
    <row r="6" spans="1:13" x14ac:dyDescent="0.35">
      <c r="A6" s="1" t="s">
        <v>19</v>
      </c>
      <c r="B6" s="3" t="s">
        <v>35</v>
      </c>
      <c r="C6" s="4" t="s">
        <v>36</v>
      </c>
      <c r="D6" s="2">
        <v>0.78277725351673599</v>
      </c>
      <c r="E6" s="2">
        <v>8.6350185737663985E-3</v>
      </c>
      <c r="F6" s="2">
        <v>2.5584193649073748E-4</v>
      </c>
      <c r="G6" s="2">
        <v>3.8755829687530641E-3</v>
      </c>
      <c r="H6" s="2">
        <v>1.3308923390790861E-4</v>
      </c>
      <c r="I6" s="2">
        <v>2.2663863182202122E-4</v>
      </c>
      <c r="J6" s="2">
        <v>1.8038159610971253E-4</v>
      </c>
      <c r="K6" s="2">
        <v>9.780969491232515E-5</v>
      </c>
      <c r="L6" s="2">
        <v>3.0547479245355271E-3</v>
      </c>
      <c r="M6" s="2">
        <v>5.0685247656209395E-4</v>
      </c>
    </row>
    <row r="7" spans="1:13" x14ac:dyDescent="0.35">
      <c r="A7" s="1" t="s">
        <v>27</v>
      </c>
      <c r="B7" s="3" t="s">
        <v>35</v>
      </c>
      <c r="C7" s="4" t="s">
        <v>36</v>
      </c>
      <c r="D7" s="2">
        <v>0.69196326507070782</v>
      </c>
      <c r="E7" s="2">
        <v>3.3034422727162442E-2</v>
      </c>
      <c r="F7" s="2">
        <v>2.9368848506960152E-3</v>
      </c>
      <c r="G7" s="2">
        <v>9.4516589941009463E-2</v>
      </c>
      <c r="H7" s="2">
        <v>3.011044337845097E-3</v>
      </c>
      <c r="I7" s="2">
        <v>2.5094734070087881E-3</v>
      </c>
      <c r="J7" s="2">
        <v>1.4514879670339811E-4</v>
      </c>
      <c r="K7" s="2">
        <v>7.1205211487401315E-5</v>
      </c>
      <c r="L7" s="2">
        <v>3.7247506048558717E-4</v>
      </c>
      <c r="M7" s="2">
        <v>4.5491515751574054E-4</v>
      </c>
    </row>
    <row r="8" spans="1:13" x14ac:dyDescent="0.35">
      <c r="A8" s="1" t="s">
        <v>12</v>
      </c>
      <c r="B8" s="3" t="s">
        <v>35</v>
      </c>
      <c r="C8" s="3" t="s">
        <v>37</v>
      </c>
      <c r="D8" s="2">
        <v>2.0808818460218368</v>
      </c>
      <c r="E8" s="2">
        <v>3.1130650394709112E-2</v>
      </c>
      <c r="F8" s="2" t="e">
        <v>#VALUE!</v>
      </c>
      <c r="G8" s="2">
        <v>0.25937259274461827</v>
      </c>
      <c r="H8" s="2">
        <v>1.8921819972386928E-3</v>
      </c>
      <c r="I8" s="2">
        <v>2.8850496877837531E-4</v>
      </c>
      <c r="J8" s="2">
        <v>2.2416409270681058E-4</v>
      </c>
      <c r="K8" s="2">
        <v>6.3784648363665367E-5</v>
      </c>
      <c r="L8" s="2">
        <v>8.0660607355398251E-5</v>
      </c>
      <c r="M8" s="2">
        <v>2.8066512446239746E-4</v>
      </c>
    </row>
    <row r="9" spans="1:13" x14ac:dyDescent="0.35">
      <c r="A9" s="1" t="s">
        <v>20</v>
      </c>
      <c r="B9" s="3" t="s">
        <v>35</v>
      </c>
      <c r="C9" s="3" t="s">
        <v>37</v>
      </c>
      <c r="D9" s="2">
        <v>0.52309266132146237</v>
      </c>
      <c r="E9" s="2">
        <v>9.804100924242852E-2</v>
      </c>
      <c r="F9" s="2">
        <v>3.2309481183937228E-2</v>
      </c>
      <c r="G9" s="2">
        <v>7.1511955633014976E-2</v>
      </c>
      <c r="H9" s="2">
        <v>2.2432481987289539E-2</v>
      </c>
      <c r="I9" s="2">
        <v>2.8239202599250442E-2</v>
      </c>
      <c r="J9" s="2">
        <v>1.069180243168804E-4</v>
      </c>
      <c r="K9" s="2">
        <v>7.9052133605294554E-5</v>
      </c>
      <c r="L9" s="2">
        <v>3.8207842775541805E-4</v>
      </c>
      <c r="M9" s="2">
        <v>5.1602695543487298E-4</v>
      </c>
    </row>
    <row r="10" spans="1:13" x14ac:dyDescent="0.35">
      <c r="A10" s="1" t="s">
        <v>28</v>
      </c>
      <c r="B10" s="3" t="s">
        <v>35</v>
      </c>
      <c r="C10" s="3" t="s">
        <v>37</v>
      </c>
      <c r="D10" s="2">
        <v>1.1514607233665439</v>
      </c>
      <c r="E10" s="2">
        <v>1.2035613203055542E-2</v>
      </c>
      <c r="F10" s="2">
        <v>2.4270203070575085E-3</v>
      </c>
      <c r="G10" s="2">
        <v>7.5117388337453253E-2</v>
      </c>
      <c r="H10" s="2">
        <v>2.3247608636120325E-3</v>
      </c>
      <c r="I10" s="2">
        <v>1.7154149676309109E-3</v>
      </c>
      <c r="J10" s="2">
        <v>2.3905161985925366E-4</v>
      </c>
      <c r="K10" s="2">
        <v>5.8808704863792219E-4</v>
      </c>
      <c r="L10" s="2">
        <v>2.9047029700924053E-4</v>
      </c>
      <c r="M10" s="2">
        <v>2.7078044943913525E-4</v>
      </c>
    </row>
    <row r="11" spans="1:13" x14ac:dyDescent="0.35">
      <c r="A11" s="1" t="s">
        <v>17</v>
      </c>
      <c r="B11" s="3" t="s">
        <v>35</v>
      </c>
      <c r="C11" s="3" t="s">
        <v>37</v>
      </c>
      <c r="D11" s="2">
        <v>0.78560635830696945</v>
      </c>
      <c r="E11" s="2">
        <v>5.1355504705614896E-2</v>
      </c>
      <c r="F11" s="2">
        <v>2.6516774543970975E-3</v>
      </c>
      <c r="G11" s="2">
        <v>4.3145569273507024E-2</v>
      </c>
      <c r="H11" s="2">
        <v>3.4262617783010671E-3</v>
      </c>
      <c r="I11" s="2">
        <v>1.2129398584447687E-3</v>
      </c>
      <c r="J11" s="2">
        <v>1.1324152557915035E-4</v>
      </c>
      <c r="K11" s="2">
        <v>9.0940049984566731E-5</v>
      </c>
      <c r="L11" s="2">
        <v>6.7956114675985895E-5</v>
      </c>
      <c r="M11" s="2">
        <v>4.4016622047596813E-4</v>
      </c>
    </row>
    <row r="12" spans="1:13" x14ac:dyDescent="0.35">
      <c r="A12" s="1" t="s">
        <v>25</v>
      </c>
      <c r="B12" s="3" t="s">
        <v>35</v>
      </c>
      <c r="C12" s="3" t="s">
        <v>37</v>
      </c>
      <c r="D12" s="2">
        <v>2.4788331289839713</v>
      </c>
      <c r="E12" s="2">
        <v>0.11002918786939925</v>
      </c>
      <c r="F12" s="2">
        <v>4.8830589892541491E-3</v>
      </c>
      <c r="G12" s="2">
        <v>0.12207778579293178</v>
      </c>
      <c r="H12" s="2">
        <v>6.6675532167683876E-3</v>
      </c>
      <c r="I12" s="2">
        <v>9.0503104200766946E-3</v>
      </c>
      <c r="J12" s="2">
        <v>3.6247170398739502E-4</v>
      </c>
      <c r="K12" s="2">
        <v>1.0050256192554197E-4</v>
      </c>
      <c r="L12" s="2">
        <v>9.0883024988834045E-5</v>
      </c>
      <c r="M12" s="2">
        <v>7.3212462833184663E-5</v>
      </c>
    </row>
    <row r="13" spans="1:13" x14ac:dyDescent="0.35">
      <c r="A13" s="1" t="s">
        <v>33</v>
      </c>
      <c r="B13" s="3" t="s">
        <v>35</v>
      </c>
      <c r="C13" s="3" t="s">
        <v>37</v>
      </c>
      <c r="D13" s="2">
        <v>1.3963512049792923</v>
      </c>
      <c r="E13" s="2">
        <v>5.4134197336318385E-2</v>
      </c>
      <c r="F13" s="2">
        <v>2.2899163722375827E-3</v>
      </c>
      <c r="G13" s="2">
        <v>5.5345171740736228E-2</v>
      </c>
      <c r="H13" s="2">
        <v>1.2831756843044036E-3</v>
      </c>
      <c r="I13" s="2">
        <v>1.554457036013223E-3</v>
      </c>
      <c r="J13" s="2">
        <v>2.374587998791775E-4</v>
      </c>
      <c r="K13" s="2">
        <v>8.7891056427534916E-5</v>
      </c>
      <c r="L13" s="2">
        <v>3.9709119356092545E-4</v>
      </c>
      <c r="M13" s="2">
        <v>4.5867061867292512E-4</v>
      </c>
    </row>
    <row r="14" spans="1:13" x14ac:dyDescent="0.35">
      <c r="A14" s="1" t="s">
        <v>21</v>
      </c>
      <c r="B14" s="3" t="s">
        <v>35</v>
      </c>
      <c r="C14" s="5" t="s">
        <v>38</v>
      </c>
      <c r="D14" s="2">
        <v>0.98915574106276871</v>
      </c>
      <c r="E14" s="2">
        <v>2.1177335634244555E-2</v>
      </c>
      <c r="F14" s="2">
        <v>1.5214371267391149E-4</v>
      </c>
      <c r="G14" s="2">
        <v>3.5936564484794292E-2</v>
      </c>
      <c r="H14" s="2">
        <v>1.4762454254429892E-3</v>
      </c>
      <c r="I14" s="2" t="e">
        <v>#VALUE!</v>
      </c>
      <c r="J14" s="2">
        <v>2.3121392476664504E-4</v>
      </c>
      <c r="K14" s="2">
        <v>1.1679619898250949E-4</v>
      </c>
      <c r="L14" s="2">
        <v>7.9049465234023853E-5</v>
      </c>
      <c r="M14" s="2">
        <v>5.886288744795529E-4</v>
      </c>
    </row>
    <row r="15" spans="1:13" x14ac:dyDescent="0.35">
      <c r="A15" s="1" t="s">
        <v>29</v>
      </c>
      <c r="B15" s="3" t="s">
        <v>35</v>
      </c>
      <c r="C15" s="5" t="s">
        <v>38</v>
      </c>
      <c r="D15" s="2">
        <v>1.1716079872023375</v>
      </c>
      <c r="E15" s="2">
        <v>1.7749786840194359E-2</v>
      </c>
      <c r="F15" s="2" t="e">
        <v>#VALUE!</v>
      </c>
      <c r="G15" s="2">
        <v>0.12415070164831415</v>
      </c>
      <c r="H15" s="2">
        <v>4.0986124363944039E-3</v>
      </c>
      <c r="I15" s="2" t="e">
        <v>#VALUE!</v>
      </c>
      <c r="J15" s="2">
        <v>1.918810081985131E-4</v>
      </c>
      <c r="K15" s="2">
        <v>9.4468383967702052E-5</v>
      </c>
      <c r="L15" s="2">
        <v>3.8957204065388746E-4</v>
      </c>
      <c r="M15" s="2">
        <v>5.5080646295783248E-4</v>
      </c>
    </row>
    <row r="16" spans="1:13" x14ac:dyDescent="0.35">
      <c r="A16" s="1" t="s">
        <v>13</v>
      </c>
      <c r="B16" s="3" t="s">
        <v>35</v>
      </c>
      <c r="C16" s="5" t="s">
        <v>38</v>
      </c>
      <c r="D16" s="2">
        <v>0.43568064009992818</v>
      </c>
      <c r="E16" s="2">
        <v>2.9567516703435121E-3</v>
      </c>
      <c r="F16" s="2">
        <v>1.6163597667105537E-3</v>
      </c>
      <c r="G16" s="2">
        <v>5.9537097844118865E-4</v>
      </c>
      <c r="H16" s="2">
        <v>3.9849377454106169E-3</v>
      </c>
      <c r="I16" s="2">
        <v>8.602240896158534E-4</v>
      </c>
      <c r="J16" s="2">
        <v>1.4721300729671772E-4</v>
      </c>
      <c r="K16" s="2">
        <v>8.2079320838158299E-5</v>
      </c>
      <c r="L16" s="2">
        <v>3.20869415894421E-4</v>
      </c>
      <c r="M16" s="2">
        <v>8.6443006863619887E-5</v>
      </c>
    </row>
    <row r="17" spans="1:13" x14ac:dyDescent="0.35">
      <c r="A17" s="1" t="s">
        <v>14</v>
      </c>
      <c r="B17" s="3" t="s">
        <v>35</v>
      </c>
      <c r="C17" s="5" t="s">
        <v>38</v>
      </c>
      <c r="D17" s="2">
        <v>3.4248015955832178</v>
      </c>
      <c r="E17" s="2">
        <v>6.4019864677914151E-2</v>
      </c>
      <c r="F17" s="2" t="e">
        <v>#VALUE!</v>
      </c>
      <c r="G17" s="2">
        <v>0.68353891250364884</v>
      </c>
      <c r="H17" s="2">
        <v>1.9400179076234218E-3</v>
      </c>
      <c r="I17" s="2">
        <v>3.0831188829274499E-4</v>
      </c>
      <c r="J17" s="2">
        <v>2.8270210991232222E-2</v>
      </c>
      <c r="K17" s="2">
        <v>2.6904421991386079E-3</v>
      </c>
      <c r="L17" s="2">
        <v>1.4406162662673882E-4</v>
      </c>
      <c r="M17" s="2">
        <v>1.7842126636763232E-2</v>
      </c>
    </row>
    <row r="18" spans="1:13" x14ac:dyDescent="0.35">
      <c r="A18" s="1" t="s">
        <v>22</v>
      </c>
      <c r="B18" s="3" t="s">
        <v>35</v>
      </c>
      <c r="C18" s="5" t="s">
        <v>38</v>
      </c>
      <c r="D18" s="2">
        <v>0.74348054000624586</v>
      </c>
      <c r="E18" s="2">
        <v>1.1990012403334463E-2</v>
      </c>
      <c r="F18" s="2" t="e">
        <v>#VALUE!</v>
      </c>
      <c r="G18" s="2">
        <v>9.6303877234455534E-2</v>
      </c>
      <c r="H18" s="2">
        <v>1.1595946114628612E-4</v>
      </c>
      <c r="I18" s="2">
        <v>2.5853863282251471E-4</v>
      </c>
      <c r="J18" s="2">
        <v>2.0026549653799717E-4</v>
      </c>
      <c r="K18" s="2">
        <v>1.2649511368328313E-4</v>
      </c>
      <c r="L18" s="2">
        <v>9.9788999882381143E-5</v>
      </c>
      <c r="M18" s="2">
        <v>3.3045539091669995E-4</v>
      </c>
    </row>
    <row r="19" spans="1:13" x14ac:dyDescent="0.35">
      <c r="A19" s="1" t="s">
        <v>30</v>
      </c>
      <c r="B19" s="3" t="s">
        <v>35</v>
      </c>
      <c r="C19" s="5" t="s">
        <v>38</v>
      </c>
      <c r="D19" s="2">
        <v>0.81687804088222071</v>
      </c>
      <c r="E19" s="2">
        <v>1.0281578988492164E-2</v>
      </c>
      <c r="F19" s="2" t="e">
        <v>#VALUE!</v>
      </c>
      <c r="G19" s="2">
        <v>0.10382537334678794</v>
      </c>
      <c r="H19" s="2">
        <v>1.3726922420095452E-4</v>
      </c>
      <c r="I19" s="2">
        <v>5.2689394297344928E-4</v>
      </c>
      <c r="J19" s="2">
        <v>2.5307814776520519E-4</v>
      </c>
      <c r="K19" s="2">
        <v>1.0349803518611612E-4</v>
      </c>
      <c r="L19" s="2">
        <v>9.5725079377344442E-5</v>
      </c>
      <c r="M19" s="2">
        <v>3.7925672626474909E-4</v>
      </c>
    </row>
    <row r="20" spans="1:13" x14ac:dyDescent="0.35">
      <c r="A20" s="1" t="s">
        <v>15</v>
      </c>
      <c r="B20" s="3" t="s">
        <v>35</v>
      </c>
      <c r="C20" s="3" t="s">
        <v>39</v>
      </c>
      <c r="D20" s="2">
        <v>1.5628517027146187</v>
      </c>
      <c r="E20" s="2">
        <v>3.1297864289745632E-2</v>
      </c>
      <c r="F20" s="2">
        <v>2.8028418314310468E-3</v>
      </c>
      <c r="G20" s="2">
        <v>3.0125284882718236E-3</v>
      </c>
      <c r="H20" s="2">
        <v>3.3361347041005272E-3</v>
      </c>
      <c r="I20" s="2">
        <v>4.8616002356845827E-3</v>
      </c>
      <c r="J20" s="2">
        <v>1.7813346673581812E-4</v>
      </c>
      <c r="K20" s="2">
        <v>1.0720229074653103E-4</v>
      </c>
      <c r="L20" s="2">
        <v>6.8124038079573363E-5</v>
      </c>
      <c r="M20" s="2">
        <v>4.9845884880594406E-4</v>
      </c>
    </row>
    <row r="21" spans="1:13" x14ac:dyDescent="0.35">
      <c r="A21" s="1" t="s">
        <v>23</v>
      </c>
      <c r="B21" s="3" t="s">
        <v>35</v>
      </c>
      <c r="C21" s="3" t="s">
        <v>39</v>
      </c>
      <c r="D21" s="2">
        <v>1.0485245320836503</v>
      </c>
      <c r="E21" s="2">
        <v>1.8927423174707789E-2</v>
      </c>
      <c r="F21" s="2">
        <v>2.9523520790366914E-3</v>
      </c>
      <c r="G21" s="2">
        <v>2.4333439756995087E-3</v>
      </c>
      <c r="H21" s="2">
        <v>1.2408666002343052E-3</v>
      </c>
      <c r="I21" s="2">
        <v>1.5361906487916502E-3</v>
      </c>
      <c r="J21" s="2">
        <v>1.3137127496836939E-4</v>
      </c>
      <c r="K21" s="2">
        <v>8.6032355321810229E-5</v>
      </c>
      <c r="L21" s="2">
        <v>9.3429282471766439E-5</v>
      </c>
      <c r="M21" s="2">
        <v>7.3871993421112704E-5</v>
      </c>
    </row>
    <row r="22" spans="1:13" x14ac:dyDescent="0.35">
      <c r="A22" s="1" t="s">
        <v>31</v>
      </c>
      <c r="B22" s="3" t="s">
        <v>35</v>
      </c>
      <c r="C22" s="3" t="s">
        <v>39</v>
      </c>
      <c r="D22" s="2">
        <v>1.3832883529016042</v>
      </c>
      <c r="E22" s="2">
        <v>2.5646055025188283E-2</v>
      </c>
      <c r="F22" s="2">
        <v>6.5626029256655198E-3</v>
      </c>
      <c r="G22" s="2">
        <v>1.6962177810124677E-4</v>
      </c>
      <c r="H22" s="2">
        <v>2.7361786217696585E-3</v>
      </c>
      <c r="I22" s="2">
        <v>9.8371132867558601E-3</v>
      </c>
      <c r="J22" s="2">
        <v>1.8196102758813147E-4</v>
      </c>
      <c r="K22" s="2">
        <v>1.0350840410035086E-4</v>
      </c>
      <c r="L22" s="2">
        <v>9.0867722818517696E-5</v>
      </c>
      <c r="M22" s="2">
        <v>1.293429905725745E-4</v>
      </c>
    </row>
    <row r="23" spans="1:13" x14ac:dyDescent="0.35">
      <c r="A23" s="1" t="s">
        <v>16</v>
      </c>
      <c r="B23" s="3" t="s">
        <v>35</v>
      </c>
      <c r="C23" s="3" t="s">
        <v>39</v>
      </c>
      <c r="D23" s="2">
        <v>1.8969567400181013</v>
      </c>
      <c r="E23" s="2">
        <v>0.1902526229399549</v>
      </c>
      <c r="F23" s="2">
        <v>6.9247350006864744E-2</v>
      </c>
      <c r="G23" s="2">
        <v>0.23083219459399781</v>
      </c>
      <c r="H23" s="2">
        <v>5.7810780486108868E-2</v>
      </c>
      <c r="I23" s="2">
        <v>3.8973483688190383E-2</v>
      </c>
      <c r="J23" s="2">
        <v>1.2006889648407886E-4</v>
      </c>
      <c r="K23" s="2">
        <v>9.0130710880926017E-5</v>
      </c>
      <c r="L23" s="2">
        <v>3.7852260328197852E-4</v>
      </c>
      <c r="M23" s="2">
        <v>3.2395144703002812E-4</v>
      </c>
    </row>
    <row r="24" spans="1:13" x14ac:dyDescent="0.35">
      <c r="A24" s="1" t="s">
        <v>24</v>
      </c>
      <c r="B24" s="3" t="s">
        <v>35</v>
      </c>
      <c r="C24" s="3" t="s">
        <v>39</v>
      </c>
      <c r="D24" s="2">
        <v>2.8143093947403686</v>
      </c>
      <c r="E24" s="2">
        <v>9.8859626804342085E-2</v>
      </c>
      <c r="F24" s="2">
        <v>2.3437301551788685E-2</v>
      </c>
      <c r="G24" s="2">
        <v>0.23568055255719983</v>
      </c>
      <c r="H24" s="2">
        <v>2.1170108033519087E-2</v>
      </c>
      <c r="I24" s="2">
        <v>1.4194811058522182E-2</v>
      </c>
      <c r="J24" s="2">
        <v>4.3327708258592473E-4</v>
      </c>
      <c r="K24" s="2">
        <v>7.5040287204088094E-5</v>
      </c>
      <c r="L24" s="2">
        <v>1.3363786795362207E-4</v>
      </c>
      <c r="M24" s="2">
        <v>9.383194057351899E-5</v>
      </c>
    </row>
    <row r="25" spans="1:13" x14ac:dyDescent="0.35">
      <c r="A25" s="1" t="s">
        <v>32</v>
      </c>
      <c r="B25" s="3" t="s">
        <v>35</v>
      </c>
      <c r="C25" s="3" t="s">
        <v>39</v>
      </c>
      <c r="D25" s="2">
        <v>4.718266803966042</v>
      </c>
      <c r="E25" s="2">
        <v>0.21502429260155076</v>
      </c>
      <c r="F25" s="2">
        <v>7.5675705112552394E-2</v>
      </c>
      <c r="G25" s="2">
        <v>5.3000406756063899E-2</v>
      </c>
      <c r="H25" s="2">
        <v>5.4246488427833889E-2</v>
      </c>
      <c r="I25" s="2">
        <v>5.1841242863484724E-2</v>
      </c>
      <c r="J25" s="2">
        <v>1.2582260994271094E-4</v>
      </c>
      <c r="K25" s="2">
        <v>8.2587544021325547E-5</v>
      </c>
      <c r="L25" s="2">
        <v>3.935304280111568E-4</v>
      </c>
      <c r="M25" s="2">
        <v>1.1826900279249528E-4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27AA-3C4B-4729-92F3-FDCF64E06658}">
  <dimension ref="A1:P53"/>
  <sheetViews>
    <sheetView tabSelected="1" zoomScaleNormal="100" workbookViewId="0">
      <selection activeCell="K31" sqref="K31"/>
    </sheetView>
  </sheetViews>
  <sheetFormatPr defaultRowHeight="14.5" x14ac:dyDescent="0.35"/>
  <cols>
    <col min="7" max="7" width="18.1796875" customWidth="1"/>
    <col min="10" max="11" width="11.6328125" bestFit="1" customWidth="1"/>
    <col min="12" max="12" width="10.6328125" bestFit="1" customWidth="1"/>
    <col min="13" max="13" width="11.6328125" bestFit="1" customWidth="1"/>
    <col min="15" max="15" width="16.81640625" customWidth="1"/>
    <col min="16" max="16" width="22" bestFit="1" customWidth="1"/>
  </cols>
  <sheetData>
    <row r="1" spans="1:16" x14ac:dyDescent="0.35">
      <c r="A1" t="s">
        <v>34</v>
      </c>
      <c r="B1" s="6" t="s">
        <v>40</v>
      </c>
      <c r="C1" s="6" t="s">
        <v>41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O1" s="7" t="s">
        <v>42</v>
      </c>
      <c r="P1" t="s">
        <v>67</v>
      </c>
    </row>
    <row r="2" spans="1:16" x14ac:dyDescent="0.35">
      <c r="A2" s="1" t="s">
        <v>10</v>
      </c>
      <c r="B2" s="3" t="s">
        <v>35</v>
      </c>
      <c r="C2" s="4" t="s">
        <v>36</v>
      </c>
      <c r="D2" s="2">
        <v>3.4436408440630153</v>
      </c>
      <c r="E2" s="2">
        <v>0.19148942408991598</v>
      </c>
      <c r="F2" s="2">
        <v>8.4365927105400154E-2</v>
      </c>
      <c r="G2" s="2">
        <v>0.23673065916522701</v>
      </c>
      <c r="H2" s="2">
        <v>5.5306651184585602E-2</v>
      </c>
      <c r="I2" s="2">
        <v>3.8523650640749335E-2</v>
      </c>
      <c r="J2" s="2">
        <v>3.9727010526420455E-4</v>
      </c>
      <c r="K2" s="2">
        <v>1.2478348768416646E-4</v>
      </c>
      <c r="L2" s="2">
        <v>7.3947030781802985E-5</v>
      </c>
      <c r="M2" s="2">
        <v>5.9679802351979554E-4</v>
      </c>
      <c r="O2" t="s">
        <v>43</v>
      </c>
      <c r="P2">
        <v>59.4</v>
      </c>
    </row>
    <row r="3" spans="1:16" x14ac:dyDescent="0.35">
      <c r="A3" s="1" t="s">
        <v>18</v>
      </c>
      <c r="B3" s="3" t="s">
        <v>35</v>
      </c>
      <c r="C3" s="4" t="s">
        <v>36</v>
      </c>
      <c r="D3" s="2">
        <v>6.9701360758492381</v>
      </c>
      <c r="E3" s="2">
        <v>0.29714232891576747</v>
      </c>
      <c r="F3" s="2">
        <v>9.9756611123180197E-2</v>
      </c>
      <c r="G3" s="2">
        <v>0.84275457744509574</v>
      </c>
      <c r="H3" s="2">
        <v>6.7239677429404135E-2</v>
      </c>
      <c r="I3" s="2">
        <v>6.8819222300185834E-2</v>
      </c>
      <c r="J3" s="2">
        <v>1.708932748697401E-3</v>
      </c>
      <c r="K3" s="2">
        <v>1.2715688063821582E-4</v>
      </c>
      <c r="L3" s="2">
        <v>4.3762322420724212E-4</v>
      </c>
      <c r="M3" s="2">
        <v>1.4921713491444903E-3</v>
      </c>
      <c r="O3" t="s">
        <v>44</v>
      </c>
      <c r="P3">
        <v>62</v>
      </c>
    </row>
    <row r="4" spans="1:16" x14ac:dyDescent="0.35">
      <c r="A4" s="1" t="s">
        <v>26</v>
      </c>
      <c r="B4" s="3" t="s">
        <v>35</v>
      </c>
      <c r="C4" s="4" t="s">
        <v>36</v>
      </c>
      <c r="D4" s="2">
        <v>2.9877711609613979</v>
      </c>
      <c r="E4" s="2">
        <v>2.2106149874207927E-2</v>
      </c>
      <c r="F4" s="2" t="e">
        <v>#VALUE!</v>
      </c>
      <c r="G4" s="2">
        <v>0.15391283986541643</v>
      </c>
      <c r="H4" s="2">
        <v>1.3404391150231118E-3</v>
      </c>
      <c r="I4" s="2" t="e">
        <v>#VALUE!</v>
      </c>
      <c r="J4" s="2">
        <v>8.1062111018732284E-5</v>
      </c>
      <c r="K4" s="2">
        <v>1.0472011083906933E-4</v>
      </c>
      <c r="L4" s="2">
        <v>3.6266521576155286E-4</v>
      </c>
      <c r="M4" s="2">
        <v>1.7525543214478082E-3</v>
      </c>
      <c r="O4" t="s">
        <v>45</v>
      </c>
      <c r="P4">
        <v>53.7</v>
      </c>
    </row>
    <row r="5" spans="1:16" x14ac:dyDescent="0.35">
      <c r="A5" s="1" t="s">
        <v>11</v>
      </c>
      <c r="B5" s="3" t="s">
        <v>35</v>
      </c>
      <c r="C5" s="4" t="s">
        <v>36</v>
      </c>
      <c r="D5" s="2">
        <v>3.0453178485884145</v>
      </c>
      <c r="E5" s="2">
        <v>0.12129799122316316</v>
      </c>
      <c r="F5" s="2">
        <v>2.7706883649265709E-2</v>
      </c>
      <c r="G5" s="2">
        <v>0.65890802835027684</v>
      </c>
      <c r="H5" s="2">
        <v>1.4191773529618167E-2</v>
      </c>
      <c r="I5" s="2">
        <v>3.1470502379408405E-2</v>
      </c>
      <c r="J5" s="2">
        <v>4.0590873454430848E-4</v>
      </c>
      <c r="K5" s="2">
        <v>8.0974263989158415E-5</v>
      </c>
      <c r="L5" s="2">
        <v>4.8752672201836226E-4</v>
      </c>
      <c r="M5" s="2">
        <v>1.2674476506695161E-4</v>
      </c>
      <c r="O5" t="s">
        <v>46</v>
      </c>
      <c r="P5">
        <v>45.6</v>
      </c>
    </row>
    <row r="6" spans="1:16" x14ac:dyDescent="0.35">
      <c r="A6" s="1" t="s">
        <v>19</v>
      </c>
      <c r="B6" s="3" t="s">
        <v>35</v>
      </c>
      <c r="C6" s="4" t="s">
        <v>36</v>
      </c>
      <c r="D6" s="2">
        <v>0.78277725351673599</v>
      </c>
      <c r="E6" s="2">
        <v>8.6350185737663985E-3</v>
      </c>
      <c r="F6" s="2">
        <v>2.5584193649073748E-4</v>
      </c>
      <c r="G6" s="2">
        <v>3.8755829687530641E-3</v>
      </c>
      <c r="H6" s="2">
        <v>1.3308923390790861E-4</v>
      </c>
      <c r="I6" s="2">
        <v>2.2663863182202122E-4</v>
      </c>
      <c r="J6" s="2">
        <v>1.8038159610971253E-4</v>
      </c>
      <c r="K6" s="2">
        <v>9.780969491232515E-5</v>
      </c>
      <c r="L6" s="2">
        <v>3.0547479245355271E-3</v>
      </c>
      <c r="M6" s="2">
        <v>5.0685247656209395E-4</v>
      </c>
      <c r="O6" t="s">
        <v>47</v>
      </c>
      <c r="P6">
        <v>21.4</v>
      </c>
    </row>
    <row r="7" spans="1:16" x14ac:dyDescent="0.35">
      <c r="A7" s="1" t="s">
        <v>27</v>
      </c>
      <c r="B7" s="3" t="s">
        <v>35</v>
      </c>
      <c r="C7" s="4" t="s">
        <v>36</v>
      </c>
      <c r="D7" s="2">
        <v>0.69196326507070782</v>
      </c>
      <c r="E7" s="2">
        <v>3.3034422727162442E-2</v>
      </c>
      <c r="F7" s="2">
        <v>2.9368848506960152E-3</v>
      </c>
      <c r="G7" s="2">
        <v>9.4516589941009463E-2</v>
      </c>
      <c r="H7" s="2">
        <v>3.011044337845097E-3</v>
      </c>
      <c r="I7" s="2">
        <v>2.5094734070087881E-3</v>
      </c>
      <c r="J7" s="2">
        <v>1.4514879670339811E-4</v>
      </c>
      <c r="K7" s="2">
        <v>7.1205211487401315E-5</v>
      </c>
      <c r="L7" s="2">
        <v>3.7247506048558717E-4</v>
      </c>
      <c r="M7" s="2">
        <v>4.5491515751574054E-4</v>
      </c>
      <c r="O7" t="s">
        <v>48</v>
      </c>
      <c r="P7">
        <v>30.5</v>
      </c>
    </row>
    <row r="8" spans="1:16" x14ac:dyDescent="0.35">
      <c r="A8" s="1" t="s">
        <v>12</v>
      </c>
      <c r="B8" s="3" t="s">
        <v>35</v>
      </c>
      <c r="C8" s="3" t="s">
        <v>37</v>
      </c>
      <c r="D8" s="2">
        <v>2.0808818460218368</v>
      </c>
      <c r="E8" s="2">
        <v>3.1130650394709112E-2</v>
      </c>
      <c r="F8" s="2" t="e">
        <v>#VALUE!</v>
      </c>
      <c r="G8" s="2">
        <v>0.25937259274461827</v>
      </c>
      <c r="H8" s="2">
        <v>1.8921819972386928E-3</v>
      </c>
      <c r="I8" s="2">
        <v>2.8850496877837531E-4</v>
      </c>
      <c r="J8" s="2">
        <v>2.2416409270681058E-4</v>
      </c>
      <c r="K8" s="2">
        <v>6.3784648363665367E-5</v>
      </c>
      <c r="L8" s="2">
        <v>8.0660607355398251E-5</v>
      </c>
      <c r="M8" s="2">
        <v>2.8066512446239746E-4</v>
      </c>
      <c r="O8" t="s">
        <v>49</v>
      </c>
      <c r="P8">
        <v>36.299999999999997</v>
      </c>
    </row>
    <row r="9" spans="1:16" x14ac:dyDescent="0.35">
      <c r="A9" s="1" t="s">
        <v>20</v>
      </c>
      <c r="B9" s="3" t="s">
        <v>35</v>
      </c>
      <c r="C9" s="3" t="s">
        <v>37</v>
      </c>
      <c r="D9" s="2">
        <v>0.52309266132146237</v>
      </c>
      <c r="E9" s="2">
        <v>9.804100924242852E-2</v>
      </c>
      <c r="F9" s="2">
        <v>3.2309481183937228E-2</v>
      </c>
      <c r="G9" s="2">
        <v>7.1511955633014976E-2</v>
      </c>
      <c r="H9" s="2">
        <v>2.2432481987289539E-2</v>
      </c>
      <c r="I9" s="2">
        <v>2.8239202599250442E-2</v>
      </c>
      <c r="J9" s="2">
        <v>1.069180243168804E-4</v>
      </c>
      <c r="K9" s="2">
        <v>7.9052133605294554E-5</v>
      </c>
      <c r="L9" s="2">
        <v>3.8207842775541805E-4</v>
      </c>
      <c r="M9" s="2">
        <v>5.1602695543487298E-4</v>
      </c>
      <c r="O9" t="s">
        <v>50</v>
      </c>
      <c r="P9">
        <v>32.1</v>
      </c>
    </row>
    <row r="10" spans="1:16" x14ac:dyDescent="0.35">
      <c r="A10" s="1" t="s">
        <v>28</v>
      </c>
      <c r="B10" s="3" t="s">
        <v>35</v>
      </c>
      <c r="C10" s="3" t="s">
        <v>37</v>
      </c>
      <c r="D10" s="2">
        <v>1.1514607233665439</v>
      </c>
      <c r="E10" s="2">
        <v>1.2035613203055542E-2</v>
      </c>
      <c r="F10" s="2">
        <v>2.4270203070575085E-3</v>
      </c>
      <c r="G10" s="2">
        <v>7.5117388337453253E-2</v>
      </c>
      <c r="H10" s="2">
        <v>2.3247608636120325E-3</v>
      </c>
      <c r="I10" s="2">
        <v>1.7154149676309109E-3</v>
      </c>
      <c r="J10" s="2">
        <v>2.3905161985925366E-4</v>
      </c>
      <c r="K10" s="2">
        <v>5.8808704863792219E-4</v>
      </c>
      <c r="L10" s="2">
        <v>2.9047029700924053E-4</v>
      </c>
      <c r="M10" s="2">
        <v>2.7078044943913525E-4</v>
      </c>
      <c r="O10" t="s">
        <v>51</v>
      </c>
      <c r="P10">
        <v>21</v>
      </c>
    </row>
    <row r="11" spans="1:16" x14ac:dyDescent="0.35">
      <c r="A11" s="1" t="s">
        <v>17</v>
      </c>
      <c r="B11" s="3" t="s">
        <v>35</v>
      </c>
      <c r="C11" s="3" t="s">
        <v>37</v>
      </c>
      <c r="D11" s="2">
        <v>0.78560635830696945</v>
      </c>
      <c r="E11" s="2">
        <v>5.1355504705614896E-2</v>
      </c>
      <c r="F11" s="2">
        <v>2.6516774543970975E-3</v>
      </c>
      <c r="G11" s="2">
        <v>4.3145569273507024E-2</v>
      </c>
      <c r="H11" s="2">
        <v>3.4262617783010671E-3</v>
      </c>
      <c r="I11" s="2">
        <v>1.2129398584447687E-3</v>
      </c>
      <c r="J11" s="2">
        <v>1.1324152557915035E-4</v>
      </c>
      <c r="K11" s="2">
        <v>9.0940049984566731E-5</v>
      </c>
      <c r="L11" s="2">
        <v>6.7956114675985895E-5</v>
      </c>
      <c r="M11" s="2">
        <v>4.4016622047596813E-4</v>
      </c>
      <c r="O11" t="s">
        <v>64</v>
      </c>
      <c r="P11">
        <v>22.1</v>
      </c>
    </row>
    <row r="12" spans="1:16" x14ac:dyDescent="0.35">
      <c r="A12" s="1" t="s">
        <v>25</v>
      </c>
      <c r="B12" s="3" t="s">
        <v>35</v>
      </c>
      <c r="C12" s="3" t="s">
        <v>37</v>
      </c>
      <c r="D12" s="2">
        <v>2.4788331289839713</v>
      </c>
      <c r="E12" s="2">
        <v>0.11002918786939925</v>
      </c>
      <c r="F12" s="2">
        <v>4.8830589892541491E-3</v>
      </c>
      <c r="G12" s="2">
        <v>0.12207778579293178</v>
      </c>
      <c r="H12" s="2">
        <v>6.6675532167683876E-3</v>
      </c>
      <c r="I12" s="2">
        <v>9.0503104200766946E-3</v>
      </c>
      <c r="J12" s="2">
        <v>3.6247170398739502E-4</v>
      </c>
      <c r="K12" s="2">
        <v>1.0050256192554197E-4</v>
      </c>
      <c r="L12" s="2">
        <v>9.0883024988834045E-5</v>
      </c>
      <c r="M12" s="2">
        <v>7.3212462833184663E-5</v>
      </c>
      <c r="O12" t="s">
        <v>65</v>
      </c>
      <c r="P12">
        <v>40.4</v>
      </c>
    </row>
    <row r="13" spans="1:16" x14ac:dyDescent="0.35">
      <c r="A13" s="1" t="s">
        <v>33</v>
      </c>
      <c r="B13" s="3" t="s">
        <v>35</v>
      </c>
      <c r="C13" s="3" t="s">
        <v>37</v>
      </c>
      <c r="D13" s="2">
        <v>1.3963512049792923</v>
      </c>
      <c r="E13" s="2">
        <v>5.4134197336318385E-2</v>
      </c>
      <c r="F13" s="2">
        <v>2.2899163722375827E-3</v>
      </c>
      <c r="G13" s="2">
        <v>5.5345171740736228E-2</v>
      </c>
      <c r="H13" s="2">
        <v>1.2831756843044036E-3</v>
      </c>
      <c r="I13" s="2">
        <v>1.554457036013223E-3</v>
      </c>
      <c r="J13" s="2">
        <v>2.374587998791775E-4</v>
      </c>
      <c r="K13" s="2">
        <v>8.7891056427534916E-5</v>
      </c>
      <c r="L13" s="2">
        <v>3.9709119356092545E-4</v>
      </c>
      <c r="M13" s="2">
        <v>4.5867061867292512E-4</v>
      </c>
      <c r="O13" t="s">
        <v>66</v>
      </c>
      <c r="P13">
        <v>26.9</v>
      </c>
    </row>
    <row r="14" spans="1:16" x14ac:dyDescent="0.35">
      <c r="A14" s="1" t="s">
        <v>21</v>
      </c>
      <c r="B14" s="3" t="s">
        <v>35</v>
      </c>
      <c r="C14" s="5" t="s">
        <v>38</v>
      </c>
      <c r="D14" s="2">
        <v>0.98915574106276871</v>
      </c>
      <c r="E14" s="2">
        <v>2.1177335634244555E-2</v>
      </c>
      <c r="F14" s="2">
        <v>1.5214371267391149E-4</v>
      </c>
      <c r="G14" s="2">
        <v>3.5936564484794292E-2</v>
      </c>
      <c r="H14" s="2">
        <v>1.4762454254429892E-3</v>
      </c>
      <c r="I14" s="2" t="e">
        <v>#VALUE!</v>
      </c>
      <c r="J14" s="2">
        <v>2.3121392476664504E-4</v>
      </c>
      <c r="K14" s="2">
        <v>1.1679619898250949E-4</v>
      </c>
      <c r="L14" s="2">
        <v>7.9049465234023853E-5</v>
      </c>
      <c r="M14" s="2">
        <v>5.886288744795529E-4</v>
      </c>
      <c r="O14" t="s">
        <v>52</v>
      </c>
      <c r="P14">
        <v>42.6</v>
      </c>
    </row>
    <row r="15" spans="1:16" x14ac:dyDescent="0.35">
      <c r="A15" s="1" t="s">
        <v>29</v>
      </c>
      <c r="B15" s="3" t="s">
        <v>35</v>
      </c>
      <c r="C15" s="5" t="s">
        <v>38</v>
      </c>
      <c r="D15" s="2">
        <v>1.1716079872023375</v>
      </c>
      <c r="E15" s="2">
        <v>1.7749786840194359E-2</v>
      </c>
      <c r="F15" s="2" t="e">
        <v>#VALUE!</v>
      </c>
      <c r="G15" s="2">
        <v>0.12415070164831415</v>
      </c>
      <c r="H15" s="2">
        <v>4.0986124363944039E-3</v>
      </c>
      <c r="I15" s="2" t="e">
        <v>#VALUE!</v>
      </c>
      <c r="J15" s="2">
        <v>1.918810081985131E-4</v>
      </c>
      <c r="K15" s="2">
        <v>9.4468383967702052E-5</v>
      </c>
      <c r="L15" s="2">
        <v>3.8957204065388746E-4</v>
      </c>
      <c r="M15" s="2">
        <v>5.5080646295783248E-4</v>
      </c>
      <c r="O15" t="s">
        <v>53</v>
      </c>
      <c r="P15">
        <v>37.4</v>
      </c>
    </row>
    <row r="16" spans="1:16" x14ac:dyDescent="0.35">
      <c r="A16" s="1" t="s">
        <v>13</v>
      </c>
      <c r="B16" s="3" t="s">
        <v>35</v>
      </c>
      <c r="C16" s="5" t="s">
        <v>38</v>
      </c>
      <c r="D16" s="2">
        <v>0.43568064009992818</v>
      </c>
      <c r="E16" s="2">
        <v>2.9567516703435121E-3</v>
      </c>
      <c r="F16" s="2">
        <v>1.6163597667105537E-3</v>
      </c>
      <c r="G16" s="2">
        <v>5.9537097844118865E-4</v>
      </c>
      <c r="H16" s="2">
        <v>3.9849377454106169E-3</v>
      </c>
      <c r="I16" s="2">
        <v>8.602240896158534E-4</v>
      </c>
      <c r="J16" s="2">
        <v>1.4721300729671772E-4</v>
      </c>
      <c r="K16" s="2">
        <v>8.2079320838158299E-5</v>
      </c>
      <c r="L16" s="2">
        <v>3.20869415894421E-4</v>
      </c>
      <c r="M16" s="2">
        <v>8.6443006863619887E-5</v>
      </c>
      <c r="O16" t="s">
        <v>54</v>
      </c>
      <c r="P16">
        <v>38.4</v>
      </c>
    </row>
    <row r="17" spans="1:16" x14ac:dyDescent="0.35">
      <c r="A17" s="1" t="s">
        <v>14</v>
      </c>
      <c r="B17" s="3" t="s">
        <v>35</v>
      </c>
      <c r="C17" s="5" t="s">
        <v>38</v>
      </c>
      <c r="D17" s="2">
        <v>3.4248015955832178</v>
      </c>
      <c r="E17" s="2">
        <v>6.4019864677914151E-2</v>
      </c>
      <c r="F17" s="2" t="e">
        <v>#VALUE!</v>
      </c>
      <c r="G17" s="2">
        <v>0.68353891250364884</v>
      </c>
      <c r="H17" s="2">
        <v>1.9400179076234218E-3</v>
      </c>
      <c r="I17" s="2">
        <v>3.0831188829274499E-4</v>
      </c>
      <c r="J17" s="2">
        <v>2.8270210991232222E-2</v>
      </c>
      <c r="K17" s="2">
        <v>2.6904421991386079E-3</v>
      </c>
      <c r="L17" s="2">
        <v>1.4406162662673882E-4</v>
      </c>
      <c r="M17" s="2">
        <v>1.7842126636763232E-2</v>
      </c>
      <c r="O17" t="s">
        <v>55</v>
      </c>
      <c r="P17">
        <v>68.599999999999994</v>
      </c>
    </row>
    <row r="18" spans="1:16" x14ac:dyDescent="0.35">
      <c r="A18" s="1" t="s">
        <v>22</v>
      </c>
      <c r="B18" s="3" t="s">
        <v>35</v>
      </c>
      <c r="C18" s="5" t="s">
        <v>38</v>
      </c>
      <c r="D18" s="2">
        <v>0.74348054000624586</v>
      </c>
      <c r="E18" s="2">
        <v>1.1990012403334463E-2</v>
      </c>
      <c r="F18" s="2" t="e">
        <v>#VALUE!</v>
      </c>
      <c r="G18" s="2">
        <v>9.6303877234455534E-2</v>
      </c>
      <c r="H18" s="2">
        <v>1.1595946114628612E-4</v>
      </c>
      <c r="I18" s="2">
        <v>2.5853863282251471E-4</v>
      </c>
      <c r="J18" s="2">
        <v>2.0026549653799717E-4</v>
      </c>
      <c r="K18" s="2">
        <v>1.2649511368328313E-4</v>
      </c>
      <c r="L18" s="2">
        <v>9.9788999882381143E-5</v>
      </c>
      <c r="M18" s="2">
        <v>3.3045539091669995E-4</v>
      </c>
      <c r="O18" t="s">
        <v>56</v>
      </c>
      <c r="P18">
        <v>22.2</v>
      </c>
    </row>
    <row r="19" spans="1:16" x14ac:dyDescent="0.35">
      <c r="A19" s="1" t="s">
        <v>30</v>
      </c>
      <c r="B19" s="3" t="s">
        <v>35</v>
      </c>
      <c r="C19" s="5" t="s">
        <v>38</v>
      </c>
      <c r="D19" s="2">
        <v>0.81687804088222071</v>
      </c>
      <c r="E19" s="2">
        <v>1.0281578988492164E-2</v>
      </c>
      <c r="F19" s="2" t="e">
        <v>#VALUE!</v>
      </c>
      <c r="G19" s="2">
        <v>0.10382537334678794</v>
      </c>
      <c r="H19" s="2">
        <v>1.3726922420095452E-4</v>
      </c>
      <c r="I19" s="2">
        <v>5.2689394297344928E-4</v>
      </c>
      <c r="J19" s="2">
        <v>2.5307814776520519E-4</v>
      </c>
      <c r="K19" s="2">
        <v>1.0349803518611612E-4</v>
      </c>
      <c r="L19" s="2">
        <v>9.5725079377344442E-5</v>
      </c>
      <c r="M19" s="2">
        <v>3.7925672626474909E-4</v>
      </c>
      <c r="O19" t="s">
        <v>57</v>
      </c>
      <c r="P19">
        <v>25.1</v>
      </c>
    </row>
    <row r="20" spans="1:16" x14ac:dyDescent="0.35">
      <c r="A20" s="1" t="s">
        <v>15</v>
      </c>
      <c r="B20" s="3" t="s">
        <v>35</v>
      </c>
      <c r="C20" s="3" t="s">
        <v>39</v>
      </c>
      <c r="D20" s="2">
        <v>1.5628517027146187</v>
      </c>
      <c r="E20" s="2">
        <v>3.1297864289745632E-2</v>
      </c>
      <c r="F20" s="2">
        <v>2.8028418314310468E-3</v>
      </c>
      <c r="G20" s="2">
        <v>3.0125284882718236E-3</v>
      </c>
      <c r="H20" s="2">
        <v>3.3361347041005272E-3</v>
      </c>
      <c r="I20" s="2">
        <v>4.8616002356845827E-3</v>
      </c>
      <c r="J20" s="2">
        <v>1.7813346673581812E-4</v>
      </c>
      <c r="K20" s="2">
        <v>1.0720229074653103E-4</v>
      </c>
      <c r="L20" s="2">
        <v>6.8124038079573363E-5</v>
      </c>
      <c r="M20" s="2">
        <v>4.9845884880594406E-4</v>
      </c>
      <c r="O20" t="s">
        <v>58</v>
      </c>
      <c r="P20">
        <v>40.9</v>
      </c>
    </row>
    <row r="21" spans="1:16" x14ac:dyDescent="0.35">
      <c r="A21" s="1" t="s">
        <v>23</v>
      </c>
      <c r="B21" s="3" t="s">
        <v>35</v>
      </c>
      <c r="C21" s="3" t="s">
        <v>39</v>
      </c>
      <c r="D21" s="2">
        <v>1.0485245320836503</v>
      </c>
      <c r="E21" s="2">
        <v>1.8927423174707789E-2</v>
      </c>
      <c r="F21" s="2">
        <v>2.9523520790366914E-3</v>
      </c>
      <c r="G21" s="2">
        <v>2.4333439756995087E-3</v>
      </c>
      <c r="H21" s="2">
        <v>1.2408666002343052E-3</v>
      </c>
      <c r="I21" s="2">
        <v>1.5361906487916502E-3</v>
      </c>
      <c r="J21" s="2">
        <v>1.3137127496836939E-4</v>
      </c>
      <c r="K21" s="2">
        <v>8.6032355321810229E-5</v>
      </c>
      <c r="L21" s="2">
        <v>9.3429282471766439E-5</v>
      </c>
      <c r="M21" s="2">
        <v>7.3871993421112704E-5</v>
      </c>
      <c r="O21" t="s">
        <v>59</v>
      </c>
      <c r="P21">
        <v>26.4</v>
      </c>
    </row>
    <row r="22" spans="1:16" x14ac:dyDescent="0.35">
      <c r="A22" s="1" t="s">
        <v>31</v>
      </c>
      <c r="B22" s="3" t="s">
        <v>35</v>
      </c>
      <c r="C22" s="3" t="s">
        <v>39</v>
      </c>
      <c r="D22" s="2">
        <v>1.3832883529016042</v>
      </c>
      <c r="E22" s="2">
        <v>2.5646055025188283E-2</v>
      </c>
      <c r="F22" s="2">
        <v>6.5626029256655198E-3</v>
      </c>
      <c r="G22" s="2">
        <v>1.6962177810124677E-4</v>
      </c>
      <c r="H22" s="2">
        <v>2.7361786217696585E-3</v>
      </c>
      <c r="I22" s="2">
        <v>9.8371132867558601E-3</v>
      </c>
      <c r="J22" s="2">
        <v>1.8196102758813147E-4</v>
      </c>
      <c r="K22" s="2">
        <v>1.0350840410035086E-4</v>
      </c>
      <c r="L22" s="2">
        <v>9.0867722818517696E-5</v>
      </c>
      <c r="M22" s="2">
        <v>1.293429905725745E-4</v>
      </c>
      <c r="O22" t="s">
        <v>60</v>
      </c>
      <c r="P22">
        <v>33.799999999999997</v>
      </c>
    </row>
    <row r="23" spans="1:16" x14ac:dyDescent="0.35">
      <c r="A23" s="1" t="s">
        <v>16</v>
      </c>
      <c r="B23" s="3" t="s">
        <v>35</v>
      </c>
      <c r="C23" s="3" t="s">
        <v>39</v>
      </c>
      <c r="D23" s="2">
        <v>1.8969567400181013</v>
      </c>
      <c r="E23" s="2">
        <v>0.1902526229399549</v>
      </c>
      <c r="F23" s="2">
        <v>6.9247350006864744E-2</v>
      </c>
      <c r="G23" s="2">
        <v>0.23083219459399781</v>
      </c>
      <c r="H23" s="2">
        <v>5.7810780486108868E-2</v>
      </c>
      <c r="I23" s="2">
        <v>3.8973483688190383E-2</v>
      </c>
      <c r="J23" s="2">
        <v>1.2006889648407886E-4</v>
      </c>
      <c r="K23" s="2">
        <v>9.0130710880926017E-5</v>
      </c>
      <c r="L23" s="2">
        <v>3.7852260328197852E-4</v>
      </c>
      <c r="M23" s="2">
        <v>3.2395144703002812E-4</v>
      </c>
      <c r="O23" t="s">
        <v>61</v>
      </c>
      <c r="P23">
        <v>35.5</v>
      </c>
    </row>
    <row r="24" spans="1:16" x14ac:dyDescent="0.35">
      <c r="A24" s="1" t="s">
        <v>24</v>
      </c>
      <c r="B24" s="3" t="s">
        <v>35</v>
      </c>
      <c r="C24" s="3" t="s">
        <v>39</v>
      </c>
      <c r="D24" s="2">
        <v>2.8143093947403686</v>
      </c>
      <c r="E24" s="2">
        <v>9.8859626804342085E-2</v>
      </c>
      <c r="F24" s="2">
        <v>2.3437301551788685E-2</v>
      </c>
      <c r="G24" s="2">
        <v>0.23568055255719983</v>
      </c>
      <c r="H24" s="2">
        <v>2.1170108033519087E-2</v>
      </c>
      <c r="I24" s="2">
        <v>1.4194811058522182E-2</v>
      </c>
      <c r="J24" s="2">
        <v>4.3327708258592473E-4</v>
      </c>
      <c r="K24" s="2">
        <v>7.5040287204088094E-5</v>
      </c>
      <c r="L24" s="2">
        <v>1.3363786795362207E-4</v>
      </c>
      <c r="M24" s="2">
        <v>9.383194057351899E-5</v>
      </c>
      <c r="O24" t="s">
        <v>62</v>
      </c>
      <c r="P24">
        <v>37.9</v>
      </c>
    </row>
    <row r="25" spans="1:16" x14ac:dyDescent="0.35">
      <c r="A25" s="1" t="s">
        <v>32</v>
      </c>
      <c r="B25" s="3" t="s">
        <v>35</v>
      </c>
      <c r="C25" s="3" t="s">
        <v>39</v>
      </c>
      <c r="D25" s="2">
        <v>4.718266803966042</v>
      </c>
      <c r="E25" s="2">
        <v>0.21502429260155076</v>
      </c>
      <c r="F25" s="2">
        <v>7.5675705112552394E-2</v>
      </c>
      <c r="G25" s="2">
        <v>5.3000406756063899E-2</v>
      </c>
      <c r="H25" s="2">
        <v>5.4246488427833889E-2</v>
      </c>
      <c r="I25" s="2">
        <v>5.1841242863484724E-2</v>
      </c>
      <c r="J25" s="2">
        <v>1.2582260994271094E-4</v>
      </c>
      <c r="K25" s="2">
        <v>8.2587544021325547E-5</v>
      </c>
      <c r="L25" s="2">
        <v>3.935304280111568E-4</v>
      </c>
      <c r="M25" s="2">
        <v>1.1826900279249528E-4</v>
      </c>
      <c r="O25" t="s">
        <v>63</v>
      </c>
      <c r="P25">
        <v>37.9</v>
      </c>
    </row>
    <row r="29" spans="1:16" x14ac:dyDescent="0.35">
      <c r="A29" t="s">
        <v>34</v>
      </c>
      <c r="B29" s="6" t="s">
        <v>40</v>
      </c>
      <c r="C29" s="6" t="s">
        <v>41</v>
      </c>
      <c r="D29" t="s">
        <v>0</v>
      </c>
      <c r="E29" t="s">
        <v>1</v>
      </c>
      <c r="F29" t="s">
        <v>2</v>
      </c>
      <c r="G29" t="s">
        <v>3</v>
      </c>
      <c r="H29" t="s">
        <v>4</v>
      </c>
      <c r="I29" t="s">
        <v>5</v>
      </c>
      <c r="J29" t="s">
        <v>6</v>
      </c>
      <c r="K29" t="s">
        <v>7</v>
      </c>
      <c r="L29" t="s">
        <v>8</v>
      </c>
      <c r="M29" t="s">
        <v>9</v>
      </c>
    </row>
    <row r="30" spans="1:16" x14ac:dyDescent="0.35">
      <c r="A30" s="1" t="s">
        <v>10</v>
      </c>
      <c r="B30" s="3" t="s">
        <v>35</v>
      </c>
      <c r="C30" s="4" t="s">
        <v>36</v>
      </c>
      <c r="D30" t="e" cm="1" vm="1">
        <f t="array" aca="1" ref="D30" ca="1">A1:P6</f>
        <v>#VALUE!</v>
      </c>
      <c r="E30">
        <f>E2/P2</f>
        <v>3.2237276782814141E-3</v>
      </c>
      <c r="F30">
        <f>F2/P2</f>
        <v>1.4203018031212148E-3</v>
      </c>
      <c r="G30">
        <f>G2/P2</f>
        <v>3.9853646324112292E-3</v>
      </c>
      <c r="H30">
        <f>H2/P2</f>
        <v>9.3108840378090243E-4</v>
      </c>
      <c r="I30">
        <f>I2/P2</f>
        <v>6.4854630708332216E-4</v>
      </c>
      <c r="J30">
        <f>J2/P2</f>
        <v>6.6880489101717943E-6</v>
      </c>
      <c r="K30">
        <f>K2/P2</f>
        <v>2.1007321158950582E-6</v>
      </c>
      <c r="L30">
        <f>L2/P2</f>
        <v>1.2448995081111615E-6</v>
      </c>
      <c r="M30">
        <f>M2/P2</f>
        <v>1.0047104773060532E-5</v>
      </c>
    </row>
    <row r="31" spans="1:16" x14ac:dyDescent="0.35">
      <c r="A31" s="1" t="s">
        <v>18</v>
      </c>
      <c r="B31" s="3" t="s">
        <v>35</v>
      </c>
      <c r="C31" s="4" t="s">
        <v>36</v>
      </c>
      <c r="D31">
        <f t="shared" ref="D31:D53" si="0">D3/P3</f>
        <v>0.11242154961047159</v>
      </c>
      <c r="E31">
        <f t="shared" ref="E31:E53" si="1">E3/P3</f>
        <v>4.7926182083188303E-3</v>
      </c>
      <c r="F31">
        <f t="shared" ref="F31:F53" si="2">F3/P3</f>
        <v>1.6089775987609709E-3</v>
      </c>
      <c r="G31">
        <f t="shared" ref="G31:G53" si="3">G3/P3</f>
        <v>1.3592815765243479E-2</v>
      </c>
      <c r="H31">
        <f t="shared" ref="H31:H53" si="4">H3/P3</f>
        <v>1.0845109262807118E-3</v>
      </c>
      <c r="I31">
        <f t="shared" ref="I31:I53" si="5">I3/P3</f>
        <v>1.1099874564546102E-3</v>
      </c>
      <c r="J31">
        <f t="shared" ref="J31:J53" si="6">J3/P3</f>
        <v>2.7563431430603242E-5</v>
      </c>
      <c r="K31">
        <f t="shared" ref="K31:K53" si="7">K3/P3</f>
        <v>2.0509174296486423E-6</v>
      </c>
      <c r="L31">
        <f t="shared" ref="L31:L53" si="8">L3/P3</f>
        <v>7.0584391001168084E-6</v>
      </c>
      <c r="M31">
        <f t="shared" ref="M31:M53" si="9">M3/P3</f>
        <v>2.4067279824911132E-5</v>
      </c>
    </row>
    <row r="32" spans="1:16" x14ac:dyDescent="0.35">
      <c r="A32" s="1" t="s">
        <v>26</v>
      </c>
      <c r="B32" s="3" t="s">
        <v>35</v>
      </c>
      <c r="C32" s="4" t="s">
        <v>36</v>
      </c>
      <c r="D32">
        <f t="shared" si="0"/>
        <v>5.5638196665947819E-2</v>
      </c>
      <c r="E32">
        <f t="shared" si="1"/>
        <v>4.116601466332947E-4</v>
      </c>
      <c r="F32" t="e">
        <f t="shared" si="2"/>
        <v>#VALUE!</v>
      </c>
      <c r="G32">
        <f t="shared" si="3"/>
        <v>2.8661608913485366E-3</v>
      </c>
      <c r="H32">
        <f t="shared" si="4"/>
        <v>2.4961622253689233E-5</v>
      </c>
      <c r="I32" t="e">
        <f t="shared" si="5"/>
        <v>#VALUE!</v>
      </c>
      <c r="J32">
        <f t="shared" si="6"/>
        <v>1.5095365180397072E-6</v>
      </c>
      <c r="K32">
        <f t="shared" si="7"/>
        <v>1.9500951739119054E-6</v>
      </c>
      <c r="L32">
        <f t="shared" si="8"/>
        <v>6.7535421929525669E-6</v>
      </c>
      <c r="M32">
        <f t="shared" si="9"/>
        <v>3.2636020883571847E-5</v>
      </c>
    </row>
    <row r="33" spans="1:13" x14ac:dyDescent="0.35">
      <c r="A33" s="1" t="s">
        <v>11</v>
      </c>
      <c r="B33" s="3" t="s">
        <v>35</v>
      </c>
      <c r="C33" s="4" t="s">
        <v>36</v>
      </c>
      <c r="D33">
        <f t="shared" si="0"/>
        <v>6.6783286153254698E-2</v>
      </c>
      <c r="E33">
        <f t="shared" si="1"/>
        <v>2.6600436671746306E-3</v>
      </c>
      <c r="F33">
        <f t="shared" si="2"/>
        <v>6.0760709757161639E-4</v>
      </c>
      <c r="G33">
        <f t="shared" si="3"/>
        <v>1.444973746382186E-2</v>
      </c>
      <c r="H33">
        <f t="shared" si="4"/>
        <v>3.1122310371969663E-4</v>
      </c>
      <c r="I33">
        <f t="shared" si="5"/>
        <v>6.9014259603965798E-4</v>
      </c>
      <c r="J33">
        <f t="shared" si="6"/>
        <v>8.9015073364979924E-6</v>
      </c>
      <c r="K33">
        <f t="shared" si="7"/>
        <v>1.7757514032710177E-6</v>
      </c>
      <c r="L33">
        <f t="shared" si="8"/>
        <v>1.0691375482858822E-5</v>
      </c>
      <c r="M33">
        <f t="shared" si="9"/>
        <v>2.7794904619945529E-6</v>
      </c>
    </row>
    <row r="34" spans="1:13" x14ac:dyDescent="0.35">
      <c r="A34" s="1" t="s">
        <v>19</v>
      </c>
      <c r="B34" s="3" t="s">
        <v>35</v>
      </c>
      <c r="C34" s="4" t="s">
        <v>36</v>
      </c>
      <c r="D34">
        <f t="shared" si="0"/>
        <v>3.6578376332557762E-2</v>
      </c>
      <c r="E34">
        <f t="shared" si="1"/>
        <v>4.0350554083020556E-4</v>
      </c>
      <c r="F34">
        <f t="shared" si="2"/>
        <v>1.1955230677137266E-5</v>
      </c>
      <c r="G34">
        <f t="shared" si="3"/>
        <v>1.811020078856572E-4</v>
      </c>
      <c r="H34">
        <f t="shared" si="4"/>
        <v>6.2191230798088138E-6</v>
      </c>
      <c r="I34">
        <f t="shared" si="5"/>
        <v>1.0590590272057066E-5</v>
      </c>
      <c r="J34">
        <f t="shared" si="6"/>
        <v>8.4290465471828292E-6</v>
      </c>
      <c r="K34">
        <f t="shared" si="7"/>
        <v>4.5705464912301472E-6</v>
      </c>
      <c r="L34">
        <f t="shared" si="8"/>
        <v>1.4274523011848259E-4</v>
      </c>
      <c r="M34">
        <f t="shared" si="9"/>
        <v>2.3684695166452989E-5</v>
      </c>
    </row>
    <row r="35" spans="1:13" x14ac:dyDescent="0.35">
      <c r="A35" s="1" t="s">
        <v>27</v>
      </c>
      <c r="B35" s="3" t="s">
        <v>35</v>
      </c>
      <c r="C35" s="4" t="s">
        <v>36</v>
      </c>
      <c r="D35">
        <f t="shared" si="0"/>
        <v>2.2687320166252717E-2</v>
      </c>
      <c r="E35">
        <f t="shared" si="1"/>
        <v>1.0830958271200802E-3</v>
      </c>
      <c r="F35">
        <f t="shared" si="2"/>
        <v>9.6291306580197214E-5</v>
      </c>
      <c r="G35">
        <f t="shared" si="3"/>
        <v>3.0989045882298186E-3</v>
      </c>
      <c r="H35">
        <f t="shared" si="4"/>
        <v>9.8722765175249084E-5</v>
      </c>
      <c r="I35">
        <f t="shared" si="5"/>
        <v>8.2277816623238959E-5</v>
      </c>
      <c r="J35">
        <f t="shared" si="6"/>
        <v>4.7589769410950199E-6</v>
      </c>
      <c r="K35">
        <f t="shared" si="7"/>
        <v>2.3345970979475842E-6</v>
      </c>
      <c r="L35">
        <f t="shared" si="8"/>
        <v>1.2212297065101219E-5</v>
      </c>
      <c r="M35">
        <f t="shared" si="9"/>
        <v>1.4915251066089854E-5</v>
      </c>
    </row>
    <row r="36" spans="1:13" x14ac:dyDescent="0.35">
      <c r="A36" s="1" t="s">
        <v>12</v>
      </c>
      <c r="B36" s="3" t="s">
        <v>35</v>
      </c>
      <c r="C36" s="3" t="s">
        <v>37</v>
      </c>
      <c r="D36">
        <f t="shared" si="0"/>
        <v>5.732456876093215E-2</v>
      </c>
      <c r="E36">
        <f t="shared" si="1"/>
        <v>8.5759367478537506E-4</v>
      </c>
      <c r="F36" t="e">
        <f t="shared" si="2"/>
        <v>#VALUE!</v>
      </c>
      <c r="G36">
        <f t="shared" si="3"/>
        <v>7.1452504888324594E-3</v>
      </c>
      <c r="H36">
        <f t="shared" si="4"/>
        <v>5.2126225819247743E-5</v>
      </c>
      <c r="I36">
        <f t="shared" si="5"/>
        <v>7.9477952831508357E-6</v>
      </c>
      <c r="J36">
        <f t="shared" si="6"/>
        <v>6.1753193583143417E-6</v>
      </c>
      <c r="K36">
        <f t="shared" si="7"/>
        <v>1.7571528474838945E-6</v>
      </c>
      <c r="L36">
        <f t="shared" si="8"/>
        <v>2.2220552990467838E-6</v>
      </c>
      <c r="M36">
        <f t="shared" si="9"/>
        <v>7.7318216105343656E-6</v>
      </c>
    </row>
    <row r="37" spans="1:13" x14ac:dyDescent="0.35">
      <c r="A37" s="1" t="s">
        <v>20</v>
      </c>
      <c r="B37" s="3" t="s">
        <v>35</v>
      </c>
      <c r="C37" s="3" t="s">
        <v>37</v>
      </c>
      <c r="D37">
        <f t="shared" si="0"/>
        <v>1.6295721536494154E-2</v>
      </c>
      <c r="E37">
        <f t="shared" si="1"/>
        <v>3.0542370480507327E-3</v>
      </c>
      <c r="F37">
        <f t="shared" si="2"/>
        <v>1.0065258935805989E-3</v>
      </c>
      <c r="G37">
        <f t="shared" si="3"/>
        <v>2.2277867798447034E-3</v>
      </c>
      <c r="H37">
        <f t="shared" si="4"/>
        <v>6.9883121455730651E-4</v>
      </c>
      <c r="I37">
        <f t="shared" si="5"/>
        <v>8.7972593767135325E-4</v>
      </c>
      <c r="J37">
        <f t="shared" si="6"/>
        <v>3.3307795737345917E-6</v>
      </c>
      <c r="K37">
        <f t="shared" si="7"/>
        <v>2.4626832898845654E-6</v>
      </c>
      <c r="L37">
        <f t="shared" si="8"/>
        <v>1.1902754758735764E-5</v>
      </c>
      <c r="M37">
        <f t="shared" si="9"/>
        <v>1.6075606088313799E-5</v>
      </c>
    </row>
    <row r="38" spans="1:13" x14ac:dyDescent="0.35">
      <c r="A38" s="1" t="s">
        <v>28</v>
      </c>
      <c r="B38" s="3" t="s">
        <v>35</v>
      </c>
      <c r="C38" s="3" t="s">
        <v>37</v>
      </c>
      <c r="D38">
        <f t="shared" si="0"/>
        <v>5.4831463017454472E-2</v>
      </c>
      <c r="E38">
        <f t="shared" si="1"/>
        <v>5.7312443824074008E-4</v>
      </c>
      <c r="F38">
        <f t="shared" si="2"/>
        <v>1.1557239557416707E-4</v>
      </c>
      <c r="G38">
        <f t="shared" si="3"/>
        <v>3.5770184922596787E-3</v>
      </c>
      <c r="H38">
        <f t="shared" si="4"/>
        <v>1.1070289826723964E-4</v>
      </c>
      <c r="I38">
        <f t="shared" si="5"/>
        <v>8.1686427030043383E-5</v>
      </c>
      <c r="J38">
        <f t="shared" si="6"/>
        <v>1.1383410469488269E-5</v>
      </c>
      <c r="K38">
        <f t="shared" si="7"/>
        <v>2.800414517323439E-5</v>
      </c>
      <c r="L38">
        <f t="shared" si="8"/>
        <v>1.383191890520193E-5</v>
      </c>
      <c r="M38">
        <f t="shared" si="9"/>
        <v>1.2894307116149297E-5</v>
      </c>
    </row>
    <row r="39" spans="1:13" x14ac:dyDescent="0.35">
      <c r="A39" s="1" t="s">
        <v>17</v>
      </c>
      <c r="B39" s="3" t="s">
        <v>35</v>
      </c>
      <c r="C39" s="3" t="s">
        <v>37</v>
      </c>
      <c r="D39">
        <f t="shared" si="0"/>
        <v>3.5547799018414906E-2</v>
      </c>
      <c r="E39">
        <f t="shared" si="1"/>
        <v>2.3237784934667374E-3</v>
      </c>
      <c r="F39">
        <f t="shared" si="2"/>
        <v>1.1998540517633924E-4</v>
      </c>
      <c r="G39">
        <f t="shared" si="3"/>
        <v>1.9522882024211321E-3</v>
      </c>
      <c r="H39">
        <f t="shared" si="4"/>
        <v>1.5503446960638312E-4</v>
      </c>
      <c r="I39">
        <f t="shared" si="5"/>
        <v>5.4884156490713513E-5</v>
      </c>
      <c r="J39">
        <f t="shared" si="6"/>
        <v>5.1240509311832731E-6</v>
      </c>
      <c r="K39">
        <f t="shared" si="7"/>
        <v>4.1149343884419335E-6</v>
      </c>
      <c r="L39">
        <f t="shared" si="8"/>
        <v>3.07493731565547E-6</v>
      </c>
      <c r="M39">
        <f t="shared" si="9"/>
        <v>1.9917023550948781E-5</v>
      </c>
    </row>
    <row r="40" spans="1:13" x14ac:dyDescent="0.35">
      <c r="A40" s="1" t="s">
        <v>25</v>
      </c>
      <c r="B40" s="3" t="s">
        <v>35</v>
      </c>
      <c r="C40" s="3" t="s">
        <v>37</v>
      </c>
      <c r="D40">
        <f t="shared" si="0"/>
        <v>6.1357255667920087E-2</v>
      </c>
      <c r="E40">
        <f t="shared" si="1"/>
        <v>2.7234947492425559E-3</v>
      </c>
      <c r="F40">
        <f t="shared" si="2"/>
        <v>1.2086779676371656E-4</v>
      </c>
      <c r="G40">
        <f t="shared" si="3"/>
        <v>3.0217273711121728E-3</v>
      </c>
      <c r="H40">
        <f t="shared" si="4"/>
        <v>1.6503844595961356E-4</v>
      </c>
      <c r="I40">
        <f t="shared" si="5"/>
        <v>2.2401758465536375E-4</v>
      </c>
      <c r="J40">
        <f t="shared" si="6"/>
        <v>8.9720718808761155E-6</v>
      </c>
      <c r="K40">
        <f t="shared" si="7"/>
        <v>2.4876871763748011E-6</v>
      </c>
      <c r="L40">
        <f t="shared" si="8"/>
        <v>2.2495798264562885E-6</v>
      </c>
      <c r="M40">
        <f t="shared" si="9"/>
        <v>1.8121896740887293E-6</v>
      </c>
    </row>
    <row r="41" spans="1:13" x14ac:dyDescent="0.35">
      <c r="A41" s="1" t="s">
        <v>33</v>
      </c>
      <c r="B41" s="3" t="s">
        <v>35</v>
      </c>
      <c r="C41" s="3" t="s">
        <v>37</v>
      </c>
      <c r="D41">
        <f t="shared" si="0"/>
        <v>5.1908966727854736E-2</v>
      </c>
      <c r="E41">
        <f t="shared" si="1"/>
        <v>2.01242369279994E-3</v>
      </c>
      <c r="F41">
        <f t="shared" si="2"/>
        <v>8.5127002685412006E-5</v>
      </c>
      <c r="G41">
        <f t="shared" si="3"/>
        <v>2.0574413286519044E-3</v>
      </c>
      <c r="H41">
        <f t="shared" si="4"/>
        <v>4.7701698301278946E-5</v>
      </c>
      <c r="I41">
        <f t="shared" si="5"/>
        <v>5.7786506914989706E-5</v>
      </c>
      <c r="J41">
        <f t="shared" si="6"/>
        <v>8.8274646795233284E-6</v>
      </c>
      <c r="K41">
        <f t="shared" si="7"/>
        <v>3.2673255177522277E-6</v>
      </c>
      <c r="L41">
        <f t="shared" si="8"/>
        <v>1.4761754407469349E-5</v>
      </c>
      <c r="M41">
        <f t="shared" si="9"/>
        <v>1.705095236702324E-5</v>
      </c>
    </row>
    <row r="42" spans="1:13" x14ac:dyDescent="0.35">
      <c r="A42" s="1" t="s">
        <v>21</v>
      </c>
      <c r="B42" s="3" t="s">
        <v>35</v>
      </c>
      <c r="C42" s="5" t="s">
        <v>38</v>
      </c>
      <c r="D42">
        <f t="shared" si="0"/>
        <v>2.3219618334806777E-2</v>
      </c>
      <c r="E42">
        <f t="shared" si="1"/>
        <v>4.9712055479447315E-4</v>
      </c>
      <c r="F42">
        <f t="shared" si="2"/>
        <v>3.571448654317171E-6</v>
      </c>
      <c r="G42">
        <f t="shared" si="3"/>
        <v>8.4358132593413833E-4</v>
      </c>
      <c r="H42">
        <f t="shared" si="4"/>
        <v>3.465364848457721E-5</v>
      </c>
      <c r="I42" t="e">
        <f t="shared" si="5"/>
        <v>#VALUE!</v>
      </c>
      <c r="J42">
        <f t="shared" si="6"/>
        <v>5.4275569194048127E-6</v>
      </c>
      <c r="K42">
        <f t="shared" si="7"/>
        <v>2.7416948117959974E-6</v>
      </c>
      <c r="L42">
        <f t="shared" si="8"/>
        <v>1.8556212496249731E-6</v>
      </c>
      <c r="M42">
        <f t="shared" si="9"/>
        <v>1.3817579213135044E-5</v>
      </c>
    </row>
    <row r="43" spans="1:13" x14ac:dyDescent="0.35">
      <c r="A43" s="1" t="s">
        <v>29</v>
      </c>
      <c r="B43" s="3" t="s">
        <v>35</v>
      </c>
      <c r="C43" s="5" t="s">
        <v>38</v>
      </c>
      <c r="D43">
        <f t="shared" si="0"/>
        <v>3.1326416770115974E-2</v>
      </c>
      <c r="E43">
        <f t="shared" si="1"/>
        <v>4.7459323102123956E-4</v>
      </c>
      <c r="F43" t="e">
        <f t="shared" si="2"/>
        <v>#VALUE!</v>
      </c>
      <c r="G43">
        <f t="shared" si="3"/>
        <v>3.3195374772276515E-3</v>
      </c>
      <c r="H43">
        <f t="shared" si="4"/>
        <v>1.095885678180322E-4</v>
      </c>
      <c r="I43" t="e">
        <f t="shared" si="5"/>
        <v>#VALUE!</v>
      </c>
      <c r="J43">
        <f t="shared" si="6"/>
        <v>5.1305082406019546E-6</v>
      </c>
      <c r="K43">
        <f t="shared" si="7"/>
        <v>2.5258926194572744E-6</v>
      </c>
      <c r="L43">
        <f t="shared" si="8"/>
        <v>1.0416364723365975E-5</v>
      </c>
      <c r="M43">
        <f t="shared" si="9"/>
        <v>1.4727445533631885E-5</v>
      </c>
    </row>
    <row r="44" spans="1:13" x14ac:dyDescent="0.35">
      <c r="A44" s="1" t="s">
        <v>13</v>
      </c>
      <c r="B44" s="3" t="s">
        <v>35</v>
      </c>
      <c r="C44" s="5" t="s">
        <v>38</v>
      </c>
      <c r="D44">
        <f t="shared" si="0"/>
        <v>1.1345850002602296E-2</v>
      </c>
      <c r="E44">
        <f t="shared" si="1"/>
        <v>7.6998741415195633E-5</v>
      </c>
      <c r="F44">
        <f t="shared" si="2"/>
        <v>4.2092702258087337E-5</v>
      </c>
      <c r="G44">
        <f t="shared" si="3"/>
        <v>1.5504452563572622E-5</v>
      </c>
      <c r="H44">
        <f t="shared" si="4"/>
        <v>1.0377442045340149E-4</v>
      </c>
      <c r="I44">
        <f t="shared" si="5"/>
        <v>2.2401669000412848E-5</v>
      </c>
      <c r="J44">
        <f t="shared" si="6"/>
        <v>3.8336720650186907E-6</v>
      </c>
      <c r="K44">
        <f t="shared" si="7"/>
        <v>2.1374823134937058E-6</v>
      </c>
      <c r="L44">
        <f t="shared" si="8"/>
        <v>8.355974372250548E-6</v>
      </c>
      <c r="M44">
        <f t="shared" si="9"/>
        <v>2.2511199704067678E-6</v>
      </c>
    </row>
    <row r="45" spans="1:13" x14ac:dyDescent="0.35">
      <c r="A45" s="1" t="s">
        <v>14</v>
      </c>
      <c r="B45" s="3" t="s">
        <v>35</v>
      </c>
      <c r="C45" s="5" t="s">
        <v>38</v>
      </c>
      <c r="D45">
        <f t="shared" si="0"/>
        <v>4.9924221509959447E-2</v>
      </c>
      <c r="E45">
        <f t="shared" si="1"/>
        <v>9.3323417897834052E-4</v>
      </c>
      <c r="F45" t="e">
        <f t="shared" si="2"/>
        <v>#VALUE!</v>
      </c>
      <c r="G45">
        <f t="shared" si="3"/>
        <v>9.9641240889744732E-3</v>
      </c>
      <c r="H45">
        <f t="shared" si="4"/>
        <v>2.8280144425997404E-5</v>
      </c>
      <c r="I45">
        <f t="shared" si="5"/>
        <v>4.4943423949379744E-6</v>
      </c>
      <c r="J45">
        <f t="shared" si="6"/>
        <v>4.1210220103837059E-4</v>
      </c>
      <c r="K45">
        <f t="shared" si="7"/>
        <v>3.9219274039921403E-5</v>
      </c>
      <c r="L45">
        <f t="shared" si="8"/>
        <v>2.1000237117600413E-6</v>
      </c>
      <c r="M45">
        <f t="shared" si="9"/>
        <v>2.6008930957380807E-4</v>
      </c>
    </row>
    <row r="46" spans="1:13" x14ac:dyDescent="0.35">
      <c r="A46" s="1" t="s">
        <v>22</v>
      </c>
      <c r="B46" s="3" t="s">
        <v>35</v>
      </c>
      <c r="C46" s="5" t="s">
        <v>38</v>
      </c>
      <c r="D46">
        <f t="shared" si="0"/>
        <v>3.3490114414695758E-2</v>
      </c>
      <c r="E46">
        <f t="shared" si="1"/>
        <v>5.4009064879884973E-4</v>
      </c>
      <c r="F46" t="e">
        <f t="shared" si="2"/>
        <v>#VALUE!</v>
      </c>
      <c r="G46">
        <f t="shared" si="3"/>
        <v>4.338012488038538E-3</v>
      </c>
      <c r="H46">
        <f t="shared" si="4"/>
        <v>5.2233991507336088E-6</v>
      </c>
      <c r="I46">
        <f t="shared" si="5"/>
        <v>1.1645884361374536E-5</v>
      </c>
      <c r="J46">
        <f t="shared" si="6"/>
        <v>9.0209683125223956E-6</v>
      </c>
      <c r="K46">
        <f t="shared" si="7"/>
        <v>5.6979780938415827E-6</v>
      </c>
      <c r="L46">
        <f t="shared" si="8"/>
        <v>4.4949999947018531E-6</v>
      </c>
      <c r="M46">
        <f t="shared" si="9"/>
        <v>1.488537796922072E-5</v>
      </c>
    </row>
    <row r="47" spans="1:13" x14ac:dyDescent="0.35">
      <c r="A47" s="1" t="s">
        <v>30</v>
      </c>
      <c r="B47" s="3" t="s">
        <v>35</v>
      </c>
      <c r="C47" s="5" t="s">
        <v>38</v>
      </c>
      <c r="D47">
        <f t="shared" si="0"/>
        <v>3.2544941867817555E-2</v>
      </c>
      <c r="E47">
        <f t="shared" si="1"/>
        <v>4.0962466089610215E-4</v>
      </c>
      <c r="F47" t="e">
        <f t="shared" si="2"/>
        <v>#VALUE!</v>
      </c>
      <c r="G47">
        <f t="shared" si="3"/>
        <v>4.1364690576409539E-3</v>
      </c>
      <c r="H47">
        <f t="shared" si="4"/>
        <v>5.4688933944603394E-6</v>
      </c>
      <c r="I47">
        <f t="shared" si="5"/>
        <v>2.0991790556711124E-5</v>
      </c>
      <c r="J47">
        <f t="shared" si="6"/>
        <v>1.0082794731681481E-5</v>
      </c>
      <c r="K47">
        <f t="shared" si="7"/>
        <v>4.1234276966580123E-6</v>
      </c>
      <c r="L47">
        <f t="shared" si="8"/>
        <v>3.81374818236432E-6</v>
      </c>
      <c r="M47">
        <f t="shared" si="9"/>
        <v>1.5109829731663309E-5</v>
      </c>
    </row>
    <row r="48" spans="1:13" x14ac:dyDescent="0.35">
      <c r="A48" s="1" t="s">
        <v>15</v>
      </c>
      <c r="B48" s="3" t="s">
        <v>35</v>
      </c>
      <c r="C48" s="3" t="s">
        <v>39</v>
      </c>
      <c r="D48">
        <f t="shared" si="0"/>
        <v>3.821153307370706E-2</v>
      </c>
      <c r="E48">
        <f t="shared" si="1"/>
        <v>7.6522895573950204E-4</v>
      </c>
      <c r="F48">
        <f t="shared" si="2"/>
        <v>6.8529140132788437E-5</v>
      </c>
      <c r="G48">
        <f t="shared" si="3"/>
        <v>7.3655953258479801E-5</v>
      </c>
      <c r="H48">
        <f t="shared" si="4"/>
        <v>8.1568085674829524E-5</v>
      </c>
      <c r="I48">
        <f t="shared" si="5"/>
        <v>1.1886553143483088E-4</v>
      </c>
      <c r="J48">
        <f t="shared" si="6"/>
        <v>4.3553414849833279E-6</v>
      </c>
      <c r="K48">
        <f t="shared" si="7"/>
        <v>2.621082903338167E-6</v>
      </c>
      <c r="L48">
        <f t="shared" si="8"/>
        <v>1.6656244029235541E-6</v>
      </c>
      <c r="M48">
        <f t="shared" si="9"/>
        <v>1.2187257917015748E-5</v>
      </c>
    </row>
    <row r="49" spans="1:13" x14ac:dyDescent="0.35">
      <c r="A49" s="1" t="s">
        <v>23</v>
      </c>
      <c r="B49" s="3" t="s">
        <v>35</v>
      </c>
      <c r="C49" s="3" t="s">
        <v>39</v>
      </c>
      <c r="D49">
        <f t="shared" si="0"/>
        <v>3.9716838336501907E-2</v>
      </c>
      <c r="E49">
        <f t="shared" si="1"/>
        <v>7.1694784752681024E-4</v>
      </c>
      <c r="F49">
        <f t="shared" si="2"/>
        <v>1.1183151814532922E-4</v>
      </c>
      <c r="G49">
        <f t="shared" si="3"/>
        <v>9.217212029164806E-5</v>
      </c>
      <c r="H49">
        <f t="shared" si="4"/>
        <v>4.7002522736147928E-5</v>
      </c>
      <c r="I49">
        <f t="shared" si="5"/>
        <v>5.8189039726956447E-5</v>
      </c>
      <c r="J49">
        <f t="shared" si="6"/>
        <v>4.97618465789278E-6</v>
      </c>
      <c r="K49">
        <f t="shared" si="7"/>
        <v>3.2588013379473573E-6</v>
      </c>
      <c r="L49">
        <f t="shared" si="8"/>
        <v>3.5389879724153954E-6</v>
      </c>
      <c r="M49">
        <f t="shared" si="9"/>
        <v>2.798181568981542E-6</v>
      </c>
    </row>
    <row r="50" spans="1:13" x14ac:dyDescent="0.35">
      <c r="A50" s="1" t="s">
        <v>31</v>
      </c>
      <c r="B50" s="3" t="s">
        <v>35</v>
      </c>
      <c r="C50" s="3" t="s">
        <v>39</v>
      </c>
      <c r="D50">
        <f t="shared" si="0"/>
        <v>4.092569091424865E-2</v>
      </c>
      <c r="E50">
        <f t="shared" si="1"/>
        <v>7.5875902441385464E-4</v>
      </c>
      <c r="F50">
        <f t="shared" si="2"/>
        <v>1.9415984987176095E-4</v>
      </c>
      <c r="G50">
        <f t="shared" si="3"/>
        <v>5.0183958018120348E-6</v>
      </c>
      <c r="H50">
        <f t="shared" si="4"/>
        <v>8.0952030229871564E-5</v>
      </c>
      <c r="I50">
        <f t="shared" si="5"/>
        <v>2.9103885463774737E-4</v>
      </c>
      <c r="J50">
        <f t="shared" si="6"/>
        <v>5.3834623546784461E-6</v>
      </c>
      <c r="K50">
        <f t="shared" si="7"/>
        <v>3.0623788195370079E-6</v>
      </c>
      <c r="L50">
        <f t="shared" si="8"/>
        <v>2.6883941662283344E-6</v>
      </c>
      <c r="M50">
        <f t="shared" si="9"/>
        <v>3.8267156974134467E-6</v>
      </c>
    </row>
    <row r="51" spans="1:13" x14ac:dyDescent="0.35">
      <c r="A51" s="1" t="s">
        <v>16</v>
      </c>
      <c r="B51" s="3" t="s">
        <v>35</v>
      </c>
      <c r="C51" s="3" t="s">
        <v>39</v>
      </c>
      <c r="D51">
        <f t="shared" si="0"/>
        <v>5.3435401127270458E-2</v>
      </c>
      <c r="E51">
        <f t="shared" si="1"/>
        <v>5.3592288152099973E-3</v>
      </c>
      <c r="F51">
        <f t="shared" si="2"/>
        <v>1.9506295776581617E-3</v>
      </c>
      <c r="G51">
        <f t="shared" si="3"/>
        <v>6.5023153406759951E-3</v>
      </c>
      <c r="H51">
        <f t="shared" si="4"/>
        <v>1.6284726897495456E-3</v>
      </c>
      <c r="I51">
        <f t="shared" si="5"/>
        <v>1.0978446109349404E-3</v>
      </c>
      <c r="J51">
        <f t="shared" si="6"/>
        <v>3.3822224361712354E-6</v>
      </c>
      <c r="K51">
        <f t="shared" si="7"/>
        <v>2.5388932642514372E-6</v>
      </c>
      <c r="L51">
        <f t="shared" si="8"/>
        <v>1.0662608543154325E-5</v>
      </c>
      <c r="M51">
        <f t="shared" si="9"/>
        <v>9.1253928740852997E-6</v>
      </c>
    </row>
    <row r="52" spans="1:13" x14ac:dyDescent="0.35">
      <c r="A52" s="1" t="s">
        <v>24</v>
      </c>
      <c r="B52" s="3" t="s">
        <v>35</v>
      </c>
      <c r="C52" s="3" t="s">
        <v>39</v>
      </c>
      <c r="D52">
        <f t="shared" si="0"/>
        <v>7.425618455779337E-2</v>
      </c>
      <c r="E52">
        <f t="shared" si="1"/>
        <v>2.6084334249166776E-3</v>
      </c>
      <c r="F52">
        <f t="shared" si="2"/>
        <v>6.18398457830836E-4</v>
      </c>
      <c r="G52">
        <f t="shared" si="3"/>
        <v>6.218484236337727E-3</v>
      </c>
      <c r="H52">
        <f t="shared" si="4"/>
        <v>5.5857804837781229E-4</v>
      </c>
      <c r="I52">
        <f t="shared" si="5"/>
        <v>3.7453327331193095E-4</v>
      </c>
      <c r="J52">
        <f t="shared" si="6"/>
        <v>1.14321129969901E-5</v>
      </c>
      <c r="K52">
        <f t="shared" si="7"/>
        <v>1.9799548074957283E-6</v>
      </c>
      <c r="L52">
        <f t="shared" si="8"/>
        <v>3.5260651175098173E-6</v>
      </c>
      <c r="M52">
        <f t="shared" si="9"/>
        <v>2.4757767961350659E-6</v>
      </c>
    </row>
    <row r="53" spans="1:13" x14ac:dyDescent="0.35">
      <c r="A53" s="1" t="s">
        <v>32</v>
      </c>
      <c r="B53" s="3" t="s">
        <v>35</v>
      </c>
      <c r="C53" s="3" t="s">
        <v>39</v>
      </c>
      <c r="D53">
        <f t="shared" si="0"/>
        <v>0.12449252780913041</v>
      </c>
      <c r="E53">
        <f t="shared" si="1"/>
        <v>5.6734641847374871E-3</v>
      </c>
      <c r="F53">
        <f t="shared" si="2"/>
        <v>1.9967204515185331E-3</v>
      </c>
      <c r="G53">
        <f t="shared" si="3"/>
        <v>1.3984276188935066E-3</v>
      </c>
      <c r="H53">
        <f t="shared" si="4"/>
        <v>1.431305763267385E-3</v>
      </c>
      <c r="I53">
        <f t="shared" si="5"/>
        <v>1.3678428196170112E-3</v>
      </c>
      <c r="J53">
        <f t="shared" si="6"/>
        <v>3.3198577821295763E-6</v>
      </c>
      <c r="K53">
        <f t="shared" si="7"/>
        <v>2.1790908712750804E-6</v>
      </c>
      <c r="L53">
        <f t="shared" si="8"/>
        <v>1.0383388601877489E-5</v>
      </c>
      <c r="M53">
        <f t="shared" si="9"/>
        <v>3.1205541633903768E-6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8DE58-1DFE-40D0-872B-00690A3AC014}">
  <dimension ref="A1:M25"/>
  <sheetViews>
    <sheetView workbookViewId="0">
      <selection activeCell="Q9" sqref="Q9"/>
    </sheetView>
  </sheetViews>
  <sheetFormatPr defaultRowHeight="14.5" x14ac:dyDescent="0.35"/>
  <sheetData>
    <row r="1" spans="1:13" x14ac:dyDescent="0.35">
      <c r="A1" t="s">
        <v>34</v>
      </c>
      <c r="B1" t="s">
        <v>40</v>
      </c>
      <c r="C1" t="s">
        <v>41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</row>
    <row r="2" spans="1:13" x14ac:dyDescent="0.35">
      <c r="A2" t="s">
        <v>10</v>
      </c>
      <c r="B2" t="s">
        <v>35</v>
      </c>
      <c r="C2" t="s">
        <v>36</v>
      </c>
      <c r="D2">
        <v>5.7973751583552398E-2</v>
      </c>
      <c r="E2">
        <v>3.2237276782814141E-3</v>
      </c>
      <c r="F2">
        <v>1.4203018031212148E-3</v>
      </c>
      <c r="G2">
        <v>3.9853646324112292E-3</v>
      </c>
      <c r="H2">
        <v>9.3108840378090243E-4</v>
      </c>
      <c r="I2">
        <v>6.4854630708332216E-4</v>
      </c>
      <c r="J2">
        <v>6.6880489101717943E-6</v>
      </c>
      <c r="K2">
        <v>2.1007321158950582E-6</v>
      </c>
      <c r="L2">
        <v>1.2448995081111615E-6</v>
      </c>
      <c r="M2">
        <v>1.0047104773060532E-5</v>
      </c>
    </row>
    <row r="3" spans="1:13" x14ac:dyDescent="0.35">
      <c r="A3" t="s">
        <v>18</v>
      </c>
      <c r="B3" t="s">
        <v>35</v>
      </c>
      <c r="C3" t="s">
        <v>36</v>
      </c>
      <c r="D3">
        <v>0.11242154961047159</v>
      </c>
      <c r="E3">
        <v>4.7926182083188303E-3</v>
      </c>
      <c r="F3">
        <v>1.6089775987609709E-3</v>
      </c>
      <c r="G3">
        <v>1.3592815765243479E-2</v>
      </c>
      <c r="H3">
        <v>1.0845109262807118E-3</v>
      </c>
      <c r="I3">
        <v>1.1099874564546102E-3</v>
      </c>
      <c r="J3">
        <v>2.7563431430603242E-5</v>
      </c>
      <c r="K3">
        <v>2.0509174296486423E-6</v>
      </c>
      <c r="L3">
        <v>7.0584391001168084E-6</v>
      </c>
      <c r="M3">
        <v>2.4067279824911132E-5</v>
      </c>
    </row>
    <row r="4" spans="1:13" x14ac:dyDescent="0.35">
      <c r="A4" t="s">
        <v>26</v>
      </c>
      <c r="B4" t="s">
        <v>35</v>
      </c>
      <c r="C4" t="s">
        <v>36</v>
      </c>
      <c r="D4">
        <v>5.5638196665947819E-2</v>
      </c>
      <c r="E4">
        <v>4.116601466332947E-4</v>
      </c>
      <c r="F4" t="e">
        <v>#VALUE!</v>
      </c>
      <c r="G4">
        <v>2.8661608913485366E-3</v>
      </c>
      <c r="H4">
        <v>2.4961622253689233E-5</v>
      </c>
      <c r="I4" t="e">
        <v>#VALUE!</v>
      </c>
      <c r="J4">
        <v>1.5095365180397072E-6</v>
      </c>
      <c r="K4">
        <v>1.9500951739119054E-6</v>
      </c>
      <c r="L4">
        <v>6.7535421929525669E-6</v>
      </c>
      <c r="M4">
        <v>3.2636020883571847E-5</v>
      </c>
    </row>
    <row r="5" spans="1:13" x14ac:dyDescent="0.35">
      <c r="A5" t="s">
        <v>11</v>
      </c>
      <c r="B5" t="s">
        <v>35</v>
      </c>
      <c r="C5" t="s">
        <v>36</v>
      </c>
      <c r="D5">
        <v>6.6783286153254698E-2</v>
      </c>
      <c r="E5">
        <v>2.6600436671746306E-3</v>
      </c>
      <c r="F5">
        <v>6.0760709757161639E-4</v>
      </c>
      <c r="G5">
        <v>1.444973746382186E-2</v>
      </c>
      <c r="H5">
        <v>3.1122310371969663E-4</v>
      </c>
      <c r="I5">
        <v>6.9014259603965798E-4</v>
      </c>
      <c r="J5">
        <v>8.9015073364979924E-6</v>
      </c>
      <c r="K5">
        <v>1.7757514032710177E-6</v>
      </c>
      <c r="L5">
        <v>1.0691375482858822E-5</v>
      </c>
      <c r="M5">
        <v>2.7794904619945529E-6</v>
      </c>
    </row>
    <row r="6" spans="1:13" x14ac:dyDescent="0.35">
      <c r="A6" t="s">
        <v>19</v>
      </c>
      <c r="B6" t="s">
        <v>35</v>
      </c>
      <c r="C6" t="s">
        <v>36</v>
      </c>
      <c r="D6">
        <v>3.6578376332557762E-2</v>
      </c>
      <c r="E6">
        <v>4.0350554083020556E-4</v>
      </c>
      <c r="F6">
        <v>1.1955230677137266E-5</v>
      </c>
      <c r="G6">
        <v>1.811020078856572E-4</v>
      </c>
      <c r="H6">
        <v>6.2191230798088138E-6</v>
      </c>
      <c r="I6">
        <v>1.0590590272057066E-5</v>
      </c>
      <c r="J6">
        <v>8.4290465471828292E-6</v>
      </c>
      <c r="K6">
        <v>4.5705464912301472E-6</v>
      </c>
      <c r="L6">
        <v>1.4274523011848259E-4</v>
      </c>
      <c r="M6">
        <v>2.3684695166452989E-5</v>
      </c>
    </row>
    <row r="7" spans="1:13" x14ac:dyDescent="0.35">
      <c r="A7" t="s">
        <v>27</v>
      </c>
      <c r="B7" t="s">
        <v>35</v>
      </c>
      <c r="C7" t="s">
        <v>36</v>
      </c>
      <c r="D7">
        <v>2.2687320166252717E-2</v>
      </c>
      <c r="E7">
        <v>1.0830958271200802E-3</v>
      </c>
      <c r="F7">
        <v>9.6291306580197214E-5</v>
      </c>
      <c r="G7">
        <v>3.0989045882298186E-3</v>
      </c>
      <c r="H7">
        <v>9.8722765175249084E-5</v>
      </c>
      <c r="I7">
        <v>8.2277816623238959E-5</v>
      </c>
      <c r="J7">
        <v>4.7589769410950199E-6</v>
      </c>
      <c r="K7">
        <v>2.3345970979475842E-6</v>
      </c>
      <c r="L7">
        <v>1.2212297065101219E-5</v>
      </c>
      <c r="M7">
        <v>1.4915251066089854E-5</v>
      </c>
    </row>
    <row r="8" spans="1:13" x14ac:dyDescent="0.35">
      <c r="A8" t="s">
        <v>12</v>
      </c>
      <c r="B8" t="s">
        <v>35</v>
      </c>
      <c r="C8" t="s">
        <v>37</v>
      </c>
      <c r="D8">
        <v>5.732456876093215E-2</v>
      </c>
      <c r="E8">
        <v>8.5759367478537506E-4</v>
      </c>
      <c r="F8" t="e">
        <v>#VALUE!</v>
      </c>
      <c r="G8">
        <v>7.1452504888324594E-3</v>
      </c>
      <c r="H8">
        <v>5.2126225819247743E-5</v>
      </c>
      <c r="I8">
        <v>7.9477952831508357E-6</v>
      </c>
      <c r="J8">
        <v>6.1753193583143417E-6</v>
      </c>
      <c r="K8">
        <v>1.7571528474838945E-6</v>
      </c>
      <c r="L8">
        <v>2.2220552990467838E-6</v>
      </c>
      <c r="M8">
        <v>7.7318216105343656E-6</v>
      </c>
    </row>
    <row r="9" spans="1:13" x14ac:dyDescent="0.35">
      <c r="A9" t="s">
        <v>20</v>
      </c>
      <c r="B9" t="s">
        <v>35</v>
      </c>
      <c r="C9" t="s">
        <v>37</v>
      </c>
      <c r="D9">
        <v>1.6295721536494154E-2</v>
      </c>
      <c r="E9">
        <v>3.0542370480507327E-3</v>
      </c>
      <c r="F9">
        <v>1.0065258935805989E-3</v>
      </c>
      <c r="G9">
        <v>2.2277867798447034E-3</v>
      </c>
      <c r="H9">
        <v>6.9883121455730651E-4</v>
      </c>
      <c r="I9">
        <v>8.7972593767135325E-4</v>
      </c>
      <c r="J9">
        <v>3.3307795737345917E-6</v>
      </c>
      <c r="K9">
        <v>2.4626832898845654E-6</v>
      </c>
      <c r="L9">
        <v>1.1902754758735764E-5</v>
      </c>
      <c r="M9">
        <v>1.6075606088313799E-5</v>
      </c>
    </row>
    <row r="10" spans="1:13" x14ac:dyDescent="0.35">
      <c r="A10" t="s">
        <v>28</v>
      </c>
      <c r="B10" t="s">
        <v>35</v>
      </c>
      <c r="C10" t="s">
        <v>37</v>
      </c>
      <c r="D10">
        <v>5.4831463017454472E-2</v>
      </c>
      <c r="E10">
        <v>5.7312443824074008E-4</v>
      </c>
      <c r="F10">
        <v>1.1557239557416707E-4</v>
      </c>
      <c r="G10">
        <v>3.5770184922596787E-3</v>
      </c>
      <c r="H10">
        <v>1.1070289826723964E-4</v>
      </c>
      <c r="I10">
        <v>8.1686427030043383E-5</v>
      </c>
      <c r="J10">
        <v>1.1383410469488269E-5</v>
      </c>
      <c r="K10">
        <v>2.800414517323439E-5</v>
      </c>
      <c r="L10">
        <v>1.383191890520193E-5</v>
      </c>
      <c r="M10">
        <v>1.2894307116149297E-5</v>
      </c>
    </row>
    <row r="11" spans="1:13" x14ac:dyDescent="0.35">
      <c r="A11" t="s">
        <v>17</v>
      </c>
      <c r="B11" t="s">
        <v>35</v>
      </c>
      <c r="C11" t="s">
        <v>37</v>
      </c>
      <c r="D11">
        <v>3.5547799018414906E-2</v>
      </c>
      <c r="E11">
        <v>2.3237784934667374E-3</v>
      </c>
      <c r="F11">
        <v>1.1998540517633924E-4</v>
      </c>
      <c r="G11">
        <v>1.9522882024211321E-3</v>
      </c>
      <c r="H11">
        <v>1.5503446960638312E-4</v>
      </c>
      <c r="I11">
        <v>5.4884156490713513E-5</v>
      </c>
      <c r="J11">
        <v>5.1240509311832731E-6</v>
      </c>
      <c r="K11">
        <v>4.1149343884419335E-6</v>
      </c>
      <c r="L11">
        <v>3.07493731565547E-6</v>
      </c>
      <c r="M11">
        <v>1.9917023550948781E-5</v>
      </c>
    </row>
    <row r="12" spans="1:13" x14ac:dyDescent="0.35">
      <c r="A12" t="s">
        <v>25</v>
      </c>
      <c r="B12" t="s">
        <v>35</v>
      </c>
      <c r="C12" t="s">
        <v>37</v>
      </c>
      <c r="D12">
        <v>6.1357255667920087E-2</v>
      </c>
      <c r="E12">
        <v>2.7234947492425559E-3</v>
      </c>
      <c r="F12">
        <v>1.2086779676371656E-4</v>
      </c>
      <c r="G12">
        <v>3.0217273711121728E-3</v>
      </c>
      <c r="H12">
        <v>1.6503844595961356E-4</v>
      </c>
      <c r="I12">
        <v>2.2401758465536375E-4</v>
      </c>
      <c r="J12">
        <v>8.9720718808761155E-6</v>
      </c>
      <c r="K12">
        <v>2.4876871763748011E-6</v>
      </c>
      <c r="L12">
        <v>2.2495798264562885E-6</v>
      </c>
      <c r="M12">
        <v>1.8121896740887293E-6</v>
      </c>
    </row>
    <row r="13" spans="1:13" x14ac:dyDescent="0.35">
      <c r="A13" t="s">
        <v>33</v>
      </c>
      <c r="B13" t="s">
        <v>35</v>
      </c>
      <c r="C13" t="s">
        <v>37</v>
      </c>
      <c r="D13">
        <v>5.1908966727854736E-2</v>
      </c>
      <c r="E13">
        <v>2.01242369279994E-3</v>
      </c>
      <c r="F13">
        <v>8.5127002685412006E-5</v>
      </c>
      <c r="G13">
        <v>2.0574413286519044E-3</v>
      </c>
      <c r="H13">
        <v>4.7701698301278946E-5</v>
      </c>
      <c r="I13">
        <v>5.7786506914989706E-5</v>
      </c>
      <c r="J13">
        <v>8.8274646795233284E-6</v>
      </c>
      <c r="K13">
        <v>3.2673255177522277E-6</v>
      </c>
      <c r="L13">
        <v>1.4761754407469349E-5</v>
      </c>
      <c r="M13">
        <v>1.705095236702324E-5</v>
      </c>
    </row>
    <row r="14" spans="1:13" x14ac:dyDescent="0.35">
      <c r="A14" t="s">
        <v>21</v>
      </c>
      <c r="B14" t="s">
        <v>35</v>
      </c>
      <c r="C14" t="s">
        <v>38</v>
      </c>
      <c r="D14">
        <v>2.3219618334806777E-2</v>
      </c>
      <c r="E14">
        <v>4.9712055479447315E-4</v>
      </c>
      <c r="F14">
        <v>3.571448654317171E-6</v>
      </c>
      <c r="G14">
        <v>8.4358132593413833E-4</v>
      </c>
      <c r="H14">
        <v>3.465364848457721E-5</v>
      </c>
      <c r="I14" t="e">
        <v>#VALUE!</v>
      </c>
      <c r="J14">
        <v>5.4275569194048127E-6</v>
      </c>
      <c r="K14">
        <v>2.7416948117959974E-6</v>
      </c>
      <c r="L14">
        <v>1.8556212496249731E-6</v>
      </c>
      <c r="M14">
        <v>1.3817579213135044E-5</v>
      </c>
    </row>
    <row r="15" spans="1:13" x14ac:dyDescent="0.35">
      <c r="A15" t="s">
        <v>29</v>
      </c>
      <c r="B15" t="s">
        <v>35</v>
      </c>
      <c r="C15" t="s">
        <v>38</v>
      </c>
      <c r="D15">
        <v>3.1326416770115974E-2</v>
      </c>
      <c r="E15">
        <v>4.7459323102123956E-4</v>
      </c>
      <c r="F15" t="e">
        <v>#VALUE!</v>
      </c>
      <c r="G15">
        <v>3.3195374772276515E-3</v>
      </c>
      <c r="H15">
        <v>1.095885678180322E-4</v>
      </c>
      <c r="I15" t="e">
        <v>#VALUE!</v>
      </c>
      <c r="J15">
        <v>5.1305082406019546E-6</v>
      </c>
      <c r="K15">
        <v>2.5258926194572744E-6</v>
      </c>
      <c r="L15">
        <v>1.0416364723365975E-5</v>
      </c>
      <c r="M15">
        <v>1.4727445533631885E-5</v>
      </c>
    </row>
    <row r="16" spans="1:13" x14ac:dyDescent="0.35">
      <c r="A16" t="s">
        <v>13</v>
      </c>
      <c r="B16" t="s">
        <v>35</v>
      </c>
      <c r="C16" t="s">
        <v>38</v>
      </c>
      <c r="D16">
        <v>1.1345850002602296E-2</v>
      </c>
      <c r="E16">
        <v>7.6998741415195633E-5</v>
      </c>
      <c r="F16">
        <v>4.2092702258087337E-5</v>
      </c>
      <c r="G16">
        <v>1.5504452563572622E-5</v>
      </c>
      <c r="H16">
        <v>1.0377442045340149E-4</v>
      </c>
      <c r="I16">
        <v>2.2401669000412848E-5</v>
      </c>
      <c r="J16">
        <v>3.8336720650186907E-6</v>
      </c>
      <c r="K16">
        <v>2.1374823134937058E-6</v>
      </c>
      <c r="L16">
        <v>8.355974372250548E-6</v>
      </c>
      <c r="M16">
        <v>2.2511199704067678E-6</v>
      </c>
    </row>
    <row r="17" spans="1:13" x14ac:dyDescent="0.35">
      <c r="A17" t="s">
        <v>14</v>
      </c>
      <c r="B17" t="s">
        <v>35</v>
      </c>
      <c r="C17" t="s">
        <v>38</v>
      </c>
      <c r="D17">
        <v>4.9924221509959447E-2</v>
      </c>
      <c r="E17">
        <v>9.3323417897834052E-4</v>
      </c>
      <c r="F17" t="e">
        <v>#VALUE!</v>
      </c>
      <c r="G17">
        <v>9.9641240889744732E-3</v>
      </c>
      <c r="H17">
        <v>2.8280144425997404E-5</v>
      </c>
      <c r="I17">
        <v>4.4943423949379744E-6</v>
      </c>
      <c r="J17">
        <v>4.1210220103837059E-4</v>
      </c>
      <c r="K17">
        <v>3.9219274039921403E-5</v>
      </c>
      <c r="L17">
        <v>2.1000237117600413E-6</v>
      </c>
      <c r="M17">
        <v>2.6008930957380807E-4</v>
      </c>
    </row>
    <row r="18" spans="1:13" x14ac:dyDescent="0.35">
      <c r="A18" t="s">
        <v>22</v>
      </c>
      <c r="B18" t="s">
        <v>35</v>
      </c>
      <c r="C18" t="s">
        <v>38</v>
      </c>
      <c r="D18">
        <v>3.3490114414695758E-2</v>
      </c>
      <c r="E18">
        <v>5.4009064879884973E-4</v>
      </c>
      <c r="F18" t="e">
        <v>#VALUE!</v>
      </c>
      <c r="G18">
        <v>4.338012488038538E-3</v>
      </c>
      <c r="H18">
        <v>5.2233991507336088E-6</v>
      </c>
      <c r="I18">
        <v>1.1645884361374536E-5</v>
      </c>
      <c r="J18">
        <v>9.0209683125223956E-6</v>
      </c>
      <c r="K18">
        <v>5.6979780938415827E-6</v>
      </c>
      <c r="L18">
        <v>4.4949999947018531E-6</v>
      </c>
      <c r="M18">
        <v>1.488537796922072E-5</v>
      </c>
    </row>
    <row r="19" spans="1:13" x14ac:dyDescent="0.35">
      <c r="A19" t="s">
        <v>30</v>
      </c>
      <c r="B19" t="s">
        <v>35</v>
      </c>
      <c r="C19" t="s">
        <v>38</v>
      </c>
      <c r="D19">
        <v>3.2544941867817555E-2</v>
      </c>
      <c r="E19">
        <v>4.0962466089610215E-4</v>
      </c>
      <c r="F19" t="e">
        <v>#VALUE!</v>
      </c>
      <c r="G19">
        <v>4.1364690576409539E-3</v>
      </c>
      <c r="H19">
        <v>5.4688933944603394E-6</v>
      </c>
      <c r="I19">
        <v>2.0991790556711124E-5</v>
      </c>
      <c r="J19">
        <v>1.0082794731681481E-5</v>
      </c>
      <c r="K19">
        <v>4.1234276966580123E-6</v>
      </c>
      <c r="L19">
        <v>3.81374818236432E-6</v>
      </c>
      <c r="M19">
        <v>1.5109829731663309E-5</v>
      </c>
    </row>
    <row r="20" spans="1:13" x14ac:dyDescent="0.35">
      <c r="A20" t="s">
        <v>15</v>
      </c>
      <c r="B20" t="s">
        <v>35</v>
      </c>
      <c r="C20" t="s">
        <v>39</v>
      </c>
      <c r="D20">
        <v>3.821153307370706E-2</v>
      </c>
      <c r="E20">
        <v>7.6522895573950204E-4</v>
      </c>
      <c r="F20">
        <v>6.8529140132788437E-5</v>
      </c>
      <c r="G20">
        <v>7.3655953258479801E-5</v>
      </c>
      <c r="H20">
        <v>8.1568085674829524E-5</v>
      </c>
      <c r="I20">
        <v>1.1886553143483088E-4</v>
      </c>
      <c r="J20">
        <v>4.3553414849833279E-6</v>
      </c>
      <c r="K20">
        <v>2.621082903338167E-6</v>
      </c>
      <c r="L20">
        <v>1.6656244029235541E-6</v>
      </c>
      <c r="M20">
        <v>1.2187257917015748E-5</v>
      </c>
    </row>
    <row r="21" spans="1:13" x14ac:dyDescent="0.35">
      <c r="A21" t="s">
        <v>23</v>
      </c>
      <c r="B21" t="s">
        <v>35</v>
      </c>
      <c r="C21" t="s">
        <v>39</v>
      </c>
      <c r="D21">
        <v>3.9716838336501907E-2</v>
      </c>
      <c r="E21">
        <v>7.1694784752681024E-4</v>
      </c>
      <c r="F21">
        <v>1.1183151814532922E-4</v>
      </c>
      <c r="G21">
        <v>9.217212029164806E-5</v>
      </c>
      <c r="H21">
        <v>4.7002522736147928E-5</v>
      </c>
      <c r="I21">
        <v>5.8189039726956447E-5</v>
      </c>
      <c r="J21">
        <v>4.97618465789278E-6</v>
      </c>
      <c r="K21">
        <v>3.2588013379473573E-6</v>
      </c>
      <c r="L21">
        <v>3.5389879724153954E-6</v>
      </c>
      <c r="M21">
        <v>2.798181568981542E-6</v>
      </c>
    </row>
    <row r="22" spans="1:13" x14ac:dyDescent="0.35">
      <c r="A22" t="s">
        <v>31</v>
      </c>
      <c r="B22" t="s">
        <v>35</v>
      </c>
      <c r="C22" t="s">
        <v>39</v>
      </c>
      <c r="D22">
        <v>4.092569091424865E-2</v>
      </c>
      <c r="E22">
        <v>7.5875902441385464E-4</v>
      </c>
      <c r="F22">
        <v>1.9415984987176095E-4</v>
      </c>
      <c r="G22">
        <v>5.0183958018120348E-6</v>
      </c>
      <c r="H22">
        <v>8.0952030229871564E-5</v>
      </c>
      <c r="I22">
        <v>2.9103885463774737E-4</v>
      </c>
      <c r="J22">
        <v>5.3834623546784461E-6</v>
      </c>
      <c r="K22">
        <v>3.0623788195370079E-6</v>
      </c>
      <c r="L22">
        <v>2.6883941662283344E-6</v>
      </c>
      <c r="M22">
        <v>3.8267156974134467E-6</v>
      </c>
    </row>
    <row r="23" spans="1:13" x14ac:dyDescent="0.35">
      <c r="A23" t="s">
        <v>16</v>
      </c>
      <c r="B23" t="s">
        <v>35</v>
      </c>
      <c r="C23" t="s">
        <v>39</v>
      </c>
      <c r="D23">
        <v>5.3435401127270458E-2</v>
      </c>
      <c r="E23">
        <v>5.3592288152099973E-3</v>
      </c>
      <c r="F23">
        <v>1.9506295776581617E-3</v>
      </c>
      <c r="G23">
        <v>6.5023153406759951E-3</v>
      </c>
      <c r="H23">
        <v>1.6284726897495456E-3</v>
      </c>
      <c r="I23">
        <v>1.0978446109349404E-3</v>
      </c>
      <c r="J23">
        <v>3.3822224361712354E-6</v>
      </c>
      <c r="K23">
        <v>2.5388932642514372E-6</v>
      </c>
      <c r="L23">
        <v>1.0662608543154325E-5</v>
      </c>
      <c r="M23">
        <v>9.1253928740852997E-6</v>
      </c>
    </row>
    <row r="24" spans="1:13" x14ac:dyDescent="0.35">
      <c r="A24" t="s">
        <v>24</v>
      </c>
      <c r="B24" t="s">
        <v>35</v>
      </c>
      <c r="C24" t="s">
        <v>39</v>
      </c>
      <c r="D24">
        <v>7.425618455779337E-2</v>
      </c>
      <c r="E24">
        <v>2.6084334249166776E-3</v>
      </c>
      <c r="F24">
        <v>6.18398457830836E-4</v>
      </c>
      <c r="G24">
        <v>6.218484236337727E-3</v>
      </c>
      <c r="H24">
        <v>5.5857804837781229E-4</v>
      </c>
      <c r="I24">
        <v>3.7453327331193095E-4</v>
      </c>
      <c r="J24">
        <v>1.14321129969901E-5</v>
      </c>
      <c r="K24">
        <v>1.9799548074957283E-6</v>
      </c>
      <c r="L24">
        <v>3.5260651175098173E-6</v>
      </c>
      <c r="M24">
        <v>2.4757767961350659E-6</v>
      </c>
    </row>
    <row r="25" spans="1:13" x14ac:dyDescent="0.35">
      <c r="A25" t="s">
        <v>32</v>
      </c>
      <c r="B25" t="s">
        <v>35</v>
      </c>
      <c r="C25" t="s">
        <v>39</v>
      </c>
      <c r="D25">
        <v>0.12449252780913041</v>
      </c>
      <c r="E25">
        <v>5.6734641847374871E-3</v>
      </c>
      <c r="F25">
        <v>1.9967204515185331E-3</v>
      </c>
      <c r="G25">
        <v>1.3984276188935066E-3</v>
      </c>
      <c r="H25">
        <v>1.431305763267385E-3</v>
      </c>
      <c r="I25">
        <v>1.3678428196170112E-3</v>
      </c>
      <c r="J25">
        <v>3.3198577821295763E-6</v>
      </c>
      <c r="K25">
        <v>2.1790908712750804E-6</v>
      </c>
      <c r="L25">
        <v>1.0383388601877489E-5</v>
      </c>
      <c r="M25">
        <v>3.1205541633903768E-6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9AF60-57DE-4D90-BD73-36670BC670DB}">
  <dimension ref="A1:Y13"/>
  <sheetViews>
    <sheetView topLeftCell="I1" workbookViewId="0">
      <selection activeCell="B4" sqref="B4:Y13"/>
    </sheetView>
  </sheetViews>
  <sheetFormatPr defaultRowHeight="14.5" x14ac:dyDescent="0.35"/>
  <sheetData>
    <row r="1" spans="1:25" x14ac:dyDescent="0.35">
      <c r="A1" t="s">
        <v>34</v>
      </c>
      <c r="B1" t="s">
        <v>10</v>
      </c>
      <c r="C1" t="s">
        <v>18</v>
      </c>
      <c r="D1" t="s">
        <v>26</v>
      </c>
      <c r="E1" t="s">
        <v>11</v>
      </c>
      <c r="F1" t="s">
        <v>19</v>
      </c>
      <c r="G1" t="s">
        <v>27</v>
      </c>
      <c r="H1" t="s">
        <v>12</v>
      </c>
      <c r="I1" t="s">
        <v>20</v>
      </c>
      <c r="J1" t="s">
        <v>28</v>
      </c>
      <c r="K1" t="s">
        <v>17</v>
      </c>
      <c r="L1" t="s">
        <v>25</v>
      </c>
      <c r="M1" t="s">
        <v>33</v>
      </c>
      <c r="N1" t="s">
        <v>21</v>
      </c>
      <c r="O1" t="s">
        <v>29</v>
      </c>
      <c r="P1" t="s">
        <v>13</v>
      </c>
      <c r="Q1" t="s">
        <v>14</v>
      </c>
      <c r="R1" t="s">
        <v>22</v>
      </c>
      <c r="S1" t="s">
        <v>30</v>
      </c>
      <c r="T1" t="s">
        <v>15</v>
      </c>
      <c r="U1" t="s">
        <v>23</v>
      </c>
      <c r="V1" t="s">
        <v>31</v>
      </c>
      <c r="W1" t="s">
        <v>16</v>
      </c>
      <c r="X1" t="s">
        <v>24</v>
      </c>
      <c r="Y1" t="s">
        <v>32</v>
      </c>
    </row>
    <row r="2" spans="1:25" x14ac:dyDescent="0.35">
      <c r="A2" t="s">
        <v>40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</row>
    <row r="3" spans="1:25" x14ac:dyDescent="0.35">
      <c r="A3" t="s">
        <v>41</v>
      </c>
      <c r="B3" t="s">
        <v>36</v>
      </c>
      <c r="C3" t="s">
        <v>36</v>
      </c>
      <c r="D3" t="s">
        <v>36</v>
      </c>
      <c r="E3" t="s">
        <v>36</v>
      </c>
      <c r="F3" t="s">
        <v>36</v>
      </c>
      <c r="G3" t="s">
        <v>36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38</v>
      </c>
      <c r="O3" t="s">
        <v>38</v>
      </c>
      <c r="P3" t="s">
        <v>38</v>
      </c>
      <c r="Q3" t="s">
        <v>38</v>
      </c>
      <c r="R3" t="s">
        <v>38</v>
      </c>
      <c r="S3" t="s">
        <v>38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</row>
    <row r="4" spans="1:25" x14ac:dyDescent="0.35">
      <c r="A4" t="s">
        <v>0</v>
      </c>
      <c r="B4">
        <v>5.7973751583552446E-2</v>
      </c>
      <c r="C4">
        <v>0.11242154961047159</v>
      </c>
      <c r="D4">
        <v>5.5638196665947819E-2</v>
      </c>
      <c r="E4">
        <v>6.6783286153254698E-2</v>
      </c>
      <c r="F4">
        <v>3.6578376332557762E-2</v>
      </c>
      <c r="G4">
        <v>2.2687320166252717E-2</v>
      </c>
      <c r="H4">
        <v>5.732456876093215E-2</v>
      </c>
      <c r="I4">
        <v>1.6295721536494154E-2</v>
      </c>
      <c r="J4">
        <v>5.4831463017454472E-2</v>
      </c>
      <c r="K4">
        <v>3.5547799018414906E-2</v>
      </c>
      <c r="L4">
        <v>6.1357255667920087E-2</v>
      </c>
      <c r="M4">
        <v>5.1908966727854736E-2</v>
      </c>
      <c r="N4">
        <v>2.3219618334806777E-2</v>
      </c>
      <c r="O4">
        <v>3.1326416770115974E-2</v>
      </c>
      <c r="P4">
        <v>1.1345850002602296E-2</v>
      </c>
      <c r="Q4">
        <v>4.9924221509959447E-2</v>
      </c>
      <c r="R4">
        <v>3.3490114414695758E-2</v>
      </c>
      <c r="S4">
        <v>3.2544941867817555E-2</v>
      </c>
      <c r="T4">
        <v>3.821153307370706E-2</v>
      </c>
      <c r="U4">
        <v>3.9716838336501907E-2</v>
      </c>
      <c r="V4">
        <v>4.092569091424865E-2</v>
      </c>
      <c r="W4">
        <v>5.3435401127270458E-2</v>
      </c>
      <c r="X4">
        <v>7.425618455779337E-2</v>
      </c>
      <c r="Y4">
        <v>0.12449252780913041</v>
      </c>
    </row>
    <row r="5" spans="1:25" x14ac:dyDescent="0.35">
      <c r="A5" t="s">
        <v>1</v>
      </c>
      <c r="B5">
        <v>3.2237276782814141E-3</v>
      </c>
      <c r="C5">
        <v>4.7926182083188303E-3</v>
      </c>
      <c r="D5">
        <v>4.116601466332947E-4</v>
      </c>
      <c r="E5">
        <v>2.6600436671746306E-3</v>
      </c>
      <c r="F5">
        <v>4.0350554083020556E-4</v>
      </c>
      <c r="G5">
        <v>1.0830958271200802E-3</v>
      </c>
      <c r="H5">
        <v>8.5759367478537506E-4</v>
      </c>
      <c r="I5">
        <v>3.0542370480507327E-3</v>
      </c>
      <c r="J5">
        <v>5.7312443824074008E-4</v>
      </c>
      <c r="K5">
        <v>2.3237784934667374E-3</v>
      </c>
      <c r="L5">
        <v>2.7234947492425559E-3</v>
      </c>
      <c r="M5">
        <v>2.01242369279994E-3</v>
      </c>
      <c r="N5">
        <v>4.9712055479447315E-4</v>
      </c>
      <c r="O5">
        <v>4.7459323102123956E-4</v>
      </c>
      <c r="P5">
        <v>7.6998741415195633E-5</v>
      </c>
      <c r="Q5">
        <v>9.3323417897834052E-4</v>
      </c>
      <c r="R5">
        <v>5.4009064879884973E-4</v>
      </c>
      <c r="S5">
        <v>4.0962466089610215E-4</v>
      </c>
      <c r="T5">
        <v>7.6522895573950204E-4</v>
      </c>
      <c r="U5">
        <v>7.1694784752681024E-4</v>
      </c>
      <c r="V5">
        <v>7.5875902441385464E-4</v>
      </c>
      <c r="W5">
        <v>5.3592288152099973E-3</v>
      </c>
      <c r="X5">
        <v>2.6084334249166776E-3</v>
      </c>
      <c r="Y5">
        <v>5.6734641847374871E-3</v>
      </c>
    </row>
    <row r="6" spans="1:25" x14ac:dyDescent="0.35">
      <c r="A6" t="s">
        <v>2</v>
      </c>
      <c r="B6">
        <v>1.4203018031212148E-3</v>
      </c>
      <c r="C6">
        <v>1.6089775987609709E-3</v>
      </c>
      <c r="E6">
        <v>6.0760709757161639E-4</v>
      </c>
      <c r="F6">
        <v>1.1955230677137266E-5</v>
      </c>
      <c r="G6">
        <v>9.6291306580197214E-5</v>
      </c>
      <c r="I6">
        <v>1.0065258935805989E-3</v>
      </c>
      <c r="J6">
        <v>1.1557239557416707E-4</v>
      </c>
      <c r="K6">
        <v>1.1998540517633924E-4</v>
      </c>
      <c r="L6">
        <v>1.2086779676371656E-4</v>
      </c>
      <c r="M6">
        <v>8.5127002685412006E-5</v>
      </c>
      <c r="N6">
        <v>3.571448654317171E-6</v>
      </c>
      <c r="P6">
        <v>4.2092702258087337E-5</v>
      </c>
      <c r="T6">
        <v>6.8529140132788437E-5</v>
      </c>
      <c r="U6">
        <v>1.1183151814532922E-4</v>
      </c>
      <c r="V6">
        <v>1.9415984987176095E-4</v>
      </c>
      <c r="W6">
        <v>1.9506295776581617E-3</v>
      </c>
      <c r="X6">
        <v>6.18398457830836E-4</v>
      </c>
      <c r="Y6">
        <v>1.9967204515185331E-3</v>
      </c>
    </row>
    <row r="7" spans="1:25" x14ac:dyDescent="0.35">
      <c r="A7" t="s">
        <v>3</v>
      </c>
      <c r="B7">
        <v>3.9853646324112292E-3</v>
      </c>
      <c r="C7">
        <v>1.3592815765243479E-2</v>
      </c>
      <c r="D7">
        <v>2.8661608913485366E-3</v>
      </c>
      <c r="E7">
        <v>1.444973746382186E-2</v>
      </c>
      <c r="F7">
        <v>1.811020078856572E-4</v>
      </c>
      <c r="G7">
        <v>3.0989045882298186E-3</v>
      </c>
      <c r="H7">
        <v>7.1452504888324594E-3</v>
      </c>
      <c r="I7">
        <v>2.2277867798447034E-3</v>
      </c>
      <c r="J7">
        <v>3.5770184922596787E-3</v>
      </c>
      <c r="K7">
        <v>1.9522882024211321E-3</v>
      </c>
      <c r="L7">
        <v>3.0217273711121728E-3</v>
      </c>
      <c r="M7">
        <v>2.0574413286519044E-3</v>
      </c>
      <c r="N7">
        <v>8.4358132593413833E-4</v>
      </c>
      <c r="O7">
        <v>3.3195374772276515E-3</v>
      </c>
      <c r="P7">
        <v>1.5504452563572622E-5</v>
      </c>
      <c r="Q7">
        <v>9.9641240889744732E-3</v>
      </c>
      <c r="R7">
        <v>4.338012488038538E-3</v>
      </c>
      <c r="S7">
        <v>4.1364690576409539E-3</v>
      </c>
      <c r="T7">
        <v>7.3655953258479801E-5</v>
      </c>
      <c r="U7">
        <v>9.217212029164806E-5</v>
      </c>
      <c r="V7">
        <v>5.0183958018120348E-6</v>
      </c>
      <c r="W7">
        <v>6.5023153406759951E-3</v>
      </c>
      <c r="X7">
        <v>6.218484236337727E-3</v>
      </c>
      <c r="Y7">
        <v>1.3984276188935066E-3</v>
      </c>
    </row>
    <row r="8" spans="1:25" x14ac:dyDescent="0.35">
      <c r="A8" t="s">
        <v>4</v>
      </c>
      <c r="B8">
        <v>9.3108840378090243E-4</v>
      </c>
      <c r="C8">
        <v>1.0845109262807118E-3</v>
      </c>
      <c r="D8">
        <v>2.4961622253689233E-5</v>
      </c>
      <c r="E8">
        <v>3.1122310371969663E-4</v>
      </c>
      <c r="F8">
        <v>6.2191230798088138E-6</v>
      </c>
      <c r="G8">
        <v>9.8722765175249084E-5</v>
      </c>
      <c r="H8">
        <v>5.2126225819247743E-5</v>
      </c>
      <c r="I8">
        <v>6.9883121455730651E-4</v>
      </c>
      <c r="J8">
        <v>1.1070289826723964E-4</v>
      </c>
      <c r="K8">
        <v>1.5503446960638312E-4</v>
      </c>
      <c r="L8">
        <v>1.6503844595961356E-4</v>
      </c>
      <c r="M8">
        <v>4.7701698301278946E-5</v>
      </c>
      <c r="N8">
        <v>3.465364848457721E-5</v>
      </c>
      <c r="O8">
        <v>1.095885678180322E-4</v>
      </c>
      <c r="P8">
        <v>1.0377442045340149E-4</v>
      </c>
      <c r="Q8">
        <v>2.8280144425997404E-5</v>
      </c>
      <c r="R8">
        <v>5.2233991507336088E-6</v>
      </c>
      <c r="S8">
        <v>5.4688933944603394E-6</v>
      </c>
      <c r="T8">
        <v>8.1568085674829524E-5</v>
      </c>
      <c r="U8">
        <v>4.7002522736147928E-5</v>
      </c>
      <c r="V8">
        <v>8.0952030229871564E-5</v>
      </c>
      <c r="W8">
        <v>1.6284726897495456E-3</v>
      </c>
      <c r="X8">
        <v>5.5857804837781229E-4</v>
      </c>
      <c r="Y8">
        <v>1.431305763267385E-3</v>
      </c>
    </row>
    <row r="9" spans="1:25" x14ac:dyDescent="0.35">
      <c r="A9" t="s">
        <v>5</v>
      </c>
      <c r="B9">
        <v>6.4854630708332216E-4</v>
      </c>
      <c r="C9">
        <v>1.1099874564546102E-3</v>
      </c>
      <c r="E9">
        <v>6.9014259603965798E-4</v>
      </c>
      <c r="F9">
        <v>1.0590590272057066E-5</v>
      </c>
      <c r="G9">
        <v>8.2277816623238959E-5</v>
      </c>
      <c r="H9">
        <v>7.9477952831508357E-6</v>
      </c>
      <c r="I9">
        <v>8.7972593767135325E-4</v>
      </c>
      <c r="J9">
        <v>8.1686427030043383E-5</v>
      </c>
      <c r="K9">
        <v>5.4884156490713513E-5</v>
      </c>
      <c r="L9">
        <v>2.2401758465536375E-4</v>
      </c>
      <c r="M9">
        <v>5.7786506914989706E-5</v>
      </c>
      <c r="P9">
        <v>2.2401669000412848E-5</v>
      </c>
      <c r="Q9">
        <v>4.4943423949379744E-6</v>
      </c>
      <c r="R9">
        <v>1.1645884361374536E-5</v>
      </c>
      <c r="S9">
        <v>2.0991790556711124E-5</v>
      </c>
      <c r="T9">
        <v>1.1886553143483088E-4</v>
      </c>
      <c r="U9">
        <v>5.8189039726956447E-5</v>
      </c>
      <c r="V9">
        <v>2.9103885463774737E-4</v>
      </c>
      <c r="W9">
        <v>1.0978446109349404E-3</v>
      </c>
      <c r="X9">
        <v>3.7453327331193095E-4</v>
      </c>
      <c r="Y9">
        <v>1.3678428196170112E-3</v>
      </c>
    </row>
    <row r="10" spans="1:25" x14ac:dyDescent="0.35">
      <c r="A10" t="s">
        <v>6</v>
      </c>
      <c r="B10">
        <v>6.6880489101717943E-6</v>
      </c>
      <c r="C10">
        <v>2.7563431430603242E-5</v>
      </c>
      <c r="D10">
        <v>1.5095365180397072E-6</v>
      </c>
      <c r="E10">
        <v>8.9015073364979924E-6</v>
      </c>
      <c r="F10">
        <v>8.4290465471828292E-6</v>
      </c>
      <c r="G10">
        <v>4.7589769410950199E-6</v>
      </c>
      <c r="H10">
        <v>6.1753193583143417E-6</v>
      </c>
      <c r="I10">
        <v>3.3307795737345917E-6</v>
      </c>
      <c r="J10">
        <v>1.1383410469488269E-5</v>
      </c>
      <c r="K10">
        <v>5.1240509311832731E-6</v>
      </c>
      <c r="L10">
        <v>8.9720718808761155E-6</v>
      </c>
      <c r="M10">
        <v>8.8274646795233284E-6</v>
      </c>
      <c r="N10">
        <v>5.4275569194048127E-6</v>
      </c>
      <c r="O10">
        <v>5.1305082406019546E-6</v>
      </c>
      <c r="P10">
        <v>3.8336720650186907E-6</v>
      </c>
      <c r="Q10">
        <v>4.1210220103837059E-4</v>
      </c>
      <c r="R10">
        <v>9.0209683125223956E-6</v>
      </c>
      <c r="S10">
        <v>1.0082794731681481E-5</v>
      </c>
      <c r="T10">
        <v>4.3553414849833279E-6</v>
      </c>
      <c r="U10">
        <v>4.97618465789278E-6</v>
      </c>
      <c r="V10">
        <v>5.3834623546784461E-6</v>
      </c>
      <c r="W10">
        <v>3.3822224361712354E-6</v>
      </c>
      <c r="X10">
        <v>1.14321129969901E-5</v>
      </c>
      <c r="Y10">
        <v>3.3198577821295763E-6</v>
      </c>
    </row>
    <row r="11" spans="1:25" x14ac:dyDescent="0.35">
      <c r="A11" t="s">
        <v>7</v>
      </c>
      <c r="B11">
        <v>2.1007321158950582E-6</v>
      </c>
      <c r="C11">
        <v>2.0509174296486423E-6</v>
      </c>
      <c r="D11">
        <v>1.9500951739119054E-6</v>
      </c>
      <c r="E11">
        <v>1.7757514032710177E-6</v>
      </c>
      <c r="F11">
        <v>4.5705464912301472E-6</v>
      </c>
      <c r="G11">
        <v>2.3345970979475842E-6</v>
      </c>
      <c r="H11">
        <v>1.7571528474838945E-6</v>
      </c>
      <c r="I11">
        <v>2.4626832898845654E-6</v>
      </c>
      <c r="J11">
        <v>2.800414517323439E-5</v>
      </c>
      <c r="K11">
        <v>4.1149343884419335E-6</v>
      </c>
      <c r="L11">
        <v>2.4876871763748011E-6</v>
      </c>
      <c r="M11">
        <v>3.2673255177522277E-6</v>
      </c>
      <c r="N11">
        <v>2.7416948117959974E-6</v>
      </c>
      <c r="O11">
        <v>2.5258926194572744E-6</v>
      </c>
      <c r="P11">
        <v>2.1374823134937058E-6</v>
      </c>
      <c r="Q11">
        <v>3.9219274039921403E-5</v>
      </c>
      <c r="R11">
        <v>5.6979780938415827E-6</v>
      </c>
      <c r="S11">
        <v>4.1234276966580123E-6</v>
      </c>
      <c r="T11">
        <v>2.621082903338167E-6</v>
      </c>
      <c r="U11">
        <v>3.2588013379473573E-6</v>
      </c>
      <c r="V11">
        <v>3.0623788195370079E-6</v>
      </c>
      <c r="W11">
        <v>2.5388932642514372E-6</v>
      </c>
      <c r="X11">
        <v>1.9799548074957283E-6</v>
      </c>
      <c r="Y11">
        <v>2.1790908712750804E-6</v>
      </c>
    </row>
    <row r="12" spans="1:25" x14ac:dyDescent="0.35">
      <c r="A12" t="s">
        <v>8</v>
      </c>
      <c r="B12">
        <v>1.2448995081111615E-6</v>
      </c>
      <c r="C12">
        <v>7.0584391001168084E-6</v>
      </c>
      <c r="D12">
        <v>6.7535421929525669E-6</v>
      </c>
      <c r="E12">
        <v>1.0691375482858822E-5</v>
      </c>
      <c r="F12">
        <v>1.4274523011848259E-4</v>
      </c>
      <c r="G12">
        <v>1.2212297065101219E-5</v>
      </c>
      <c r="H12">
        <v>2.2220552990467838E-6</v>
      </c>
      <c r="I12">
        <v>1.1902754758735764E-5</v>
      </c>
      <c r="J12">
        <v>1.383191890520193E-5</v>
      </c>
      <c r="K12">
        <v>3.07493731565547E-6</v>
      </c>
      <c r="L12">
        <v>2.2495798264562885E-6</v>
      </c>
      <c r="M12">
        <v>1.4761754407469349E-5</v>
      </c>
      <c r="N12">
        <v>1.8556212496249731E-6</v>
      </c>
      <c r="O12">
        <v>1.0416364723365975E-5</v>
      </c>
      <c r="P12">
        <v>8.355974372250548E-6</v>
      </c>
      <c r="Q12">
        <v>2.1000237117600413E-6</v>
      </c>
      <c r="R12">
        <v>4.4949999947018531E-6</v>
      </c>
      <c r="S12">
        <v>3.81374818236432E-6</v>
      </c>
      <c r="T12">
        <v>1.6656244029235541E-6</v>
      </c>
      <c r="U12">
        <v>3.5389879724153954E-6</v>
      </c>
      <c r="V12">
        <v>2.6883941662283344E-6</v>
      </c>
      <c r="W12">
        <v>1.0662608543154325E-5</v>
      </c>
      <c r="X12">
        <v>3.5260651175098173E-6</v>
      </c>
      <c r="Y12">
        <v>1.0383388601877489E-5</v>
      </c>
    </row>
    <row r="13" spans="1:25" x14ac:dyDescent="0.35">
      <c r="A13" t="s">
        <v>9</v>
      </c>
      <c r="B13">
        <v>1.0047104773060532E-5</v>
      </c>
      <c r="C13">
        <v>2.4067279824911132E-5</v>
      </c>
      <c r="D13">
        <v>3.2636020883571847E-5</v>
      </c>
      <c r="E13">
        <v>2.7794904619945529E-6</v>
      </c>
      <c r="F13">
        <v>2.3684695166452989E-5</v>
      </c>
      <c r="G13">
        <v>1.4915251066089854E-5</v>
      </c>
      <c r="H13">
        <v>7.7318216105343656E-6</v>
      </c>
      <c r="I13">
        <v>1.6075606088313799E-5</v>
      </c>
      <c r="J13">
        <v>1.2894307116149297E-5</v>
      </c>
      <c r="K13">
        <v>1.9917023550948781E-5</v>
      </c>
      <c r="L13">
        <v>1.8121896740887293E-6</v>
      </c>
      <c r="M13">
        <v>1.705095236702324E-5</v>
      </c>
      <c r="N13">
        <v>1.3817579213135044E-5</v>
      </c>
      <c r="O13">
        <v>1.4727445533631885E-5</v>
      </c>
      <c r="P13">
        <v>2.2511199704067678E-6</v>
      </c>
      <c r="Q13">
        <v>2.6008930957380807E-4</v>
      </c>
      <c r="R13">
        <v>1.488537796922072E-5</v>
      </c>
      <c r="S13">
        <v>1.5109829731663309E-5</v>
      </c>
      <c r="T13">
        <v>1.2187257917015748E-5</v>
      </c>
      <c r="U13">
        <v>2.798181568981542E-6</v>
      </c>
      <c r="V13">
        <v>3.8267156974134467E-6</v>
      </c>
      <c r="W13">
        <v>9.1253928740852997E-6</v>
      </c>
      <c r="X13">
        <v>2.4757767961350659E-6</v>
      </c>
      <c r="Y13">
        <v>3.1205541633903768E-6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Sample Sum</vt:lpstr>
      <vt:lpstr>Normalization</vt:lpstr>
      <vt:lpstr>Normalized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Zhang</dc:creator>
  <cp:lastModifiedBy>Jahanbakhshi, Shiva</cp:lastModifiedBy>
  <dcterms:created xsi:type="dcterms:W3CDTF">2015-06-05T18:17:20Z</dcterms:created>
  <dcterms:modified xsi:type="dcterms:W3CDTF">2024-08-27T17:23:56Z</dcterms:modified>
</cp:coreProperties>
</file>