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zhang_6517_buckeyemail_osu_edu/Documents/BRB mimic study_collaboration/04-2024 mimic 24/blood/"/>
    </mc:Choice>
  </mc:AlternateContent>
  <xr:revisionPtr revIDLastSave="351" documentId="11_F25DC773A252ABDACC104820091F743E5BDE58E8" xr6:coauthVersionLast="47" xr6:coauthVersionMax="47" xr10:uidLastSave="{1155905C-5B50-4F11-A9C5-E020B56241CF}"/>
  <bookViews>
    <workbookView xWindow="-98" yWindow="-98" windowWidth="19396" windowHeight="11475" activeTab="3" xr2:uid="{00000000-000D-0000-FFFF-FFFF00000000}"/>
  </bookViews>
  <sheets>
    <sheet name="Full" sheetId="1" r:id="rId1"/>
    <sheet name="redundancy" sheetId="2" r:id="rId2"/>
    <sheet name="MA ready" sheetId="3" r:id="rId3"/>
    <sheet name="correlation significance" sheetId="8" r:id="rId4"/>
    <sheet name="PBS vs B. obeum" sheetId="4" r:id="rId5"/>
    <sheet name="Significant metabolites" sheetId="5" r:id="rId6"/>
    <sheet name="PBS vs. B. massiliensis" sheetId="6" r:id="rId7"/>
    <sheet name="FDR-adjusted metabolites" sheetId="7" r:id="rId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7" l="1"/>
  <c r="Q2" i="7"/>
  <c r="C8" i="7"/>
  <c r="D8" i="7"/>
  <c r="E8" i="7"/>
  <c r="F8" i="7"/>
  <c r="G8" i="7"/>
  <c r="H8" i="7"/>
  <c r="I8" i="7"/>
  <c r="J8" i="7"/>
  <c r="K8" i="7"/>
  <c r="L8" i="7"/>
  <c r="M8" i="7"/>
  <c r="C9" i="7"/>
  <c r="D9" i="7"/>
  <c r="E9" i="7"/>
  <c r="F9" i="7"/>
  <c r="G9" i="7"/>
  <c r="H9" i="7"/>
  <c r="I9" i="7"/>
  <c r="J9" i="7"/>
  <c r="K9" i="7"/>
  <c r="L9" i="7"/>
  <c r="M9" i="7"/>
  <c r="B9" i="7"/>
  <c r="B8" i="7"/>
  <c r="N3" i="7"/>
  <c r="P3" i="7" s="1"/>
  <c r="N2" i="7"/>
  <c r="P2" i="7" s="1"/>
  <c r="P3" i="6"/>
  <c r="P4" i="6"/>
  <c r="P2" i="6"/>
  <c r="N5" i="6"/>
  <c r="N24" i="6"/>
  <c r="N26" i="6"/>
  <c r="N6" i="6"/>
  <c r="N2" i="6"/>
  <c r="N3" i="6"/>
  <c r="N11" i="6"/>
  <c r="N15" i="6"/>
  <c r="N4" i="6"/>
  <c r="N7" i="6"/>
  <c r="N12" i="6"/>
  <c r="N8" i="6"/>
  <c r="N10" i="6"/>
  <c r="N21" i="6"/>
  <c r="N33" i="6"/>
  <c r="N45" i="6"/>
  <c r="N19" i="6"/>
  <c r="N16" i="6"/>
  <c r="N9" i="6"/>
  <c r="N22" i="6"/>
  <c r="N17" i="6"/>
  <c r="N23" i="6"/>
  <c r="N42" i="6"/>
  <c r="N18" i="6"/>
  <c r="N66" i="6"/>
  <c r="N13" i="6"/>
  <c r="N28" i="6"/>
  <c r="N14" i="6"/>
  <c r="N37" i="6"/>
  <c r="N31" i="6"/>
  <c r="N27" i="6"/>
  <c r="N41" i="6"/>
  <c r="N65" i="6"/>
  <c r="N30" i="6"/>
  <c r="N58" i="6"/>
  <c r="N40" i="6"/>
  <c r="N39" i="6"/>
  <c r="N29" i="6"/>
  <c r="N46" i="6"/>
  <c r="N32" i="6"/>
  <c r="N44" i="6"/>
  <c r="N20" i="6"/>
  <c r="N51" i="6"/>
  <c r="N50" i="6"/>
  <c r="N48" i="6"/>
  <c r="N35" i="6"/>
  <c r="N49" i="6"/>
  <c r="N43" i="6"/>
  <c r="N54" i="6"/>
  <c r="N38" i="6"/>
  <c r="N36" i="6"/>
  <c r="N34" i="6"/>
  <c r="N47" i="6"/>
  <c r="N109" i="6"/>
  <c r="N59" i="6"/>
  <c r="N84" i="6"/>
  <c r="N64" i="6"/>
  <c r="N52" i="6"/>
  <c r="N68" i="6"/>
  <c r="N56" i="6"/>
  <c r="N57" i="6"/>
  <c r="N71" i="6"/>
  <c r="N69" i="6"/>
  <c r="N95" i="6"/>
  <c r="N53" i="6"/>
  <c r="N55" i="6"/>
  <c r="N60" i="6"/>
  <c r="N90" i="6"/>
  <c r="N62" i="6"/>
  <c r="N61" i="6"/>
  <c r="N70" i="6"/>
  <c r="N79" i="6"/>
  <c r="N80" i="6"/>
  <c r="N105" i="6"/>
  <c r="N63" i="6"/>
  <c r="N78" i="6"/>
  <c r="N85" i="6"/>
  <c r="N67" i="6"/>
  <c r="N81" i="6"/>
  <c r="N89" i="6"/>
  <c r="N83" i="6"/>
  <c r="N72" i="6"/>
  <c r="N76" i="6"/>
  <c r="N97" i="6"/>
  <c r="N87" i="6"/>
  <c r="N136" i="6"/>
  <c r="N73" i="6"/>
  <c r="N142" i="6"/>
  <c r="N74" i="6"/>
  <c r="N91" i="6"/>
  <c r="N75" i="6"/>
  <c r="N88" i="6"/>
  <c r="N107" i="6"/>
  <c r="N92" i="6"/>
  <c r="N82" i="6"/>
  <c r="N86" i="6"/>
  <c r="N96" i="6"/>
  <c r="N77" i="6"/>
  <c r="N117" i="6"/>
  <c r="N110" i="6"/>
  <c r="N124" i="6"/>
  <c r="N94" i="6"/>
  <c r="N121" i="6"/>
  <c r="N101" i="6"/>
  <c r="N93" i="6"/>
  <c r="N102" i="6"/>
  <c r="N106" i="6"/>
  <c r="N98" i="6"/>
  <c r="N111" i="6"/>
  <c r="N112" i="6"/>
  <c r="N137" i="6"/>
  <c r="N114" i="6"/>
  <c r="N134" i="6"/>
  <c r="N122" i="6"/>
  <c r="N100" i="6"/>
  <c r="N145" i="6"/>
  <c r="N119" i="6"/>
  <c r="N146" i="6"/>
  <c r="N141" i="6"/>
  <c r="N120" i="6"/>
  <c r="N125" i="6"/>
  <c r="N108" i="6"/>
  <c r="N116" i="6"/>
  <c r="N103" i="6"/>
  <c r="N99" i="6"/>
  <c r="N104" i="6"/>
  <c r="N113" i="6"/>
  <c r="N115" i="6"/>
  <c r="N131" i="6"/>
  <c r="N118" i="6"/>
  <c r="N129" i="6"/>
  <c r="N133" i="6"/>
  <c r="N143" i="6"/>
  <c r="N132" i="6"/>
  <c r="N126" i="6"/>
  <c r="N123" i="6"/>
  <c r="N140" i="6"/>
  <c r="N135" i="6"/>
  <c r="N130" i="6"/>
  <c r="N127" i="6"/>
  <c r="N128" i="6"/>
  <c r="N138" i="6"/>
  <c r="N150" i="6"/>
  <c r="N151" i="6"/>
  <c r="N139" i="6"/>
  <c r="N154" i="6"/>
  <c r="N147" i="6"/>
  <c r="N144" i="6"/>
  <c r="N148" i="6"/>
  <c r="N166" i="6"/>
  <c r="N152" i="6"/>
  <c r="N157" i="6"/>
  <c r="N156" i="6"/>
  <c r="N155" i="6"/>
  <c r="N149" i="6"/>
  <c r="N153" i="6"/>
  <c r="N159" i="6"/>
  <c r="N158" i="6"/>
  <c r="N164" i="6"/>
  <c r="N168" i="6"/>
  <c r="N162" i="6"/>
  <c r="N161" i="6"/>
  <c r="N160" i="6"/>
  <c r="N163" i="6"/>
  <c r="N170" i="6"/>
  <c r="N179" i="6"/>
  <c r="N169" i="6"/>
  <c r="N176" i="6"/>
  <c r="N165" i="6"/>
  <c r="N167" i="6"/>
  <c r="N177" i="6"/>
  <c r="N173" i="6"/>
  <c r="N172" i="6"/>
  <c r="N171" i="6"/>
  <c r="N183" i="6"/>
  <c r="N174" i="6"/>
  <c r="N175" i="6"/>
  <c r="N178" i="6"/>
  <c r="N180" i="6"/>
  <c r="N182" i="6"/>
  <c r="N184" i="6"/>
  <c r="N181" i="6"/>
  <c r="N190" i="6"/>
  <c r="N185" i="6"/>
  <c r="N187" i="6"/>
  <c r="N188" i="6"/>
  <c r="N186" i="6"/>
  <c r="N189" i="6"/>
  <c r="N191" i="6"/>
  <c r="N194" i="6"/>
  <c r="N195" i="6"/>
  <c r="N193" i="6"/>
  <c r="N196" i="6"/>
  <c r="N192" i="6"/>
  <c r="N198" i="6"/>
  <c r="N201" i="6"/>
  <c r="N197" i="6"/>
  <c r="N199" i="6"/>
  <c r="N205" i="6"/>
  <c r="N202" i="6"/>
  <c r="N200" i="6"/>
  <c r="N203" i="6"/>
  <c r="N204" i="6"/>
  <c r="N207" i="6"/>
  <c r="N206" i="6"/>
  <c r="N208" i="6"/>
  <c r="N209" i="6"/>
  <c r="N210" i="6"/>
  <c r="N211" i="6"/>
  <c r="N212" i="6"/>
  <c r="N213" i="6"/>
  <c r="N25" i="6"/>
  <c r="L2" i="4"/>
  <c r="N2" i="4" s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3" i="5"/>
  <c r="C32" i="5"/>
  <c r="D32" i="5"/>
  <c r="E32" i="5"/>
  <c r="F32" i="5"/>
  <c r="G32" i="5"/>
  <c r="H32" i="5"/>
  <c r="I32" i="5"/>
  <c r="J32" i="5"/>
  <c r="K32" i="5"/>
  <c r="C33" i="5"/>
  <c r="D33" i="5"/>
  <c r="E33" i="5"/>
  <c r="F33" i="5"/>
  <c r="G33" i="5"/>
  <c r="H33" i="5"/>
  <c r="I33" i="5"/>
  <c r="J33" i="5"/>
  <c r="K33" i="5"/>
  <c r="C34" i="5"/>
  <c r="D34" i="5"/>
  <c r="E34" i="5"/>
  <c r="F34" i="5"/>
  <c r="G34" i="5"/>
  <c r="H34" i="5"/>
  <c r="I34" i="5"/>
  <c r="J34" i="5"/>
  <c r="K34" i="5"/>
  <c r="C35" i="5"/>
  <c r="D35" i="5"/>
  <c r="E35" i="5"/>
  <c r="F35" i="5"/>
  <c r="G35" i="5"/>
  <c r="H35" i="5"/>
  <c r="I35" i="5"/>
  <c r="J35" i="5"/>
  <c r="K35" i="5"/>
  <c r="C36" i="5"/>
  <c r="D36" i="5"/>
  <c r="E36" i="5"/>
  <c r="F36" i="5"/>
  <c r="G36" i="5"/>
  <c r="H36" i="5"/>
  <c r="I36" i="5"/>
  <c r="J36" i="5"/>
  <c r="K36" i="5"/>
  <c r="C37" i="5"/>
  <c r="D37" i="5"/>
  <c r="E37" i="5"/>
  <c r="F37" i="5"/>
  <c r="G37" i="5"/>
  <c r="H37" i="5"/>
  <c r="I37" i="5"/>
  <c r="J37" i="5"/>
  <c r="K37" i="5"/>
  <c r="C38" i="5"/>
  <c r="D38" i="5"/>
  <c r="E38" i="5"/>
  <c r="F38" i="5"/>
  <c r="G38" i="5"/>
  <c r="H38" i="5"/>
  <c r="I38" i="5"/>
  <c r="J38" i="5"/>
  <c r="K38" i="5"/>
  <c r="C39" i="5"/>
  <c r="D39" i="5"/>
  <c r="E39" i="5"/>
  <c r="F39" i="5"/>
  <c r="G39" i="5"/>
  <c r="H39" i="5"/>
  <c r="I39" i="5"/>
  <c r="J39" i="5"/>
  <c r="K39" i="5"/>
  <c r="C40" i="5"/>
  <c r="D40" i="5"/>
  <c r="E40" i="5"/>
  <c r="F40" i="5"/>
  <c r="G40" i="5"/>
  <c r="H40" i="5"/>
  <c r="I40" i="5"/>
  <c r="J40" i="5"/>
  <c r="K40" i="5"/>
  <c r="C41" i="5"/>
  <c r="D41" i="5"/>
  <c r="E41" i="5"/>
  <c r="F41" i="5"/>
  <c r="G41" i="5"/>
  <c r="H41" i="5"/>
  <c r="I41" i="5"/>
  <c r="J41" i="5"/>
  <c r="K41" i="5"/>
  <c r="C42" i="5"/>
  <c r="D42" i="5"/>
  <c r="E42" i="5"/>
  <c r="F42" i="5"/>
  <c r="G42" i="5"/>
  <c r="H42" i="5"/>
  <c r="I42" i="5"/>
  <c r="J42" i="5"/>
  <c r="K42" i="5"/>
  <c r="C43" i="5"/>
  <c r="D43" i="5"/>
  <c r="E43" i="5"/>
  <c r="F43" i="5"/>
  <c r="G43" i="5"/>
  <c r="H43" i="5"/>
  <c r="I43" i="5"/>
  <c r="J43" i="5"/>
  <c r="K43" i="5"/>
  <c r="C44" i="5"/>
  <c r="D44" i="5"/>
  <c r="E44" i="5"/>
  <c r="F44" i="5"/>
  <c r="G44" i="5"/>
  <c r="H44" i="5"/>
  <c r="I44" i="5"/>
  <c r="J44" i="5"/>
  <c r="K44" i="5"/>
  <c r="C45" i="5"/>
  <c r="D45" i="5"/>
  <c r="E45" i="5"/>
  <c r="F45" i="5"/>
  <c r="G45" i="5"/>
  <c r="H45" i="5"/>
  <c r="I45" i="5"/>
  <c r="J45" i="5"/>
  <c r="K45" i="5"/>
  <c r="C46" i="5"/>
  <c r="D46" i="5"/>
  <c r="E46" i="5"/>
  <c r="F46" i="5"/>
  <c r="G46" i="5"/>
  <c r="H46" i="5"/>
  <c r="I46" i="5"/>
  <c r="J46" i="5"/>
  <c r="K46" i="5"/>
  <c r="C47" i="5"/>
  <c r="D47" i="5"/>
  <c r="E47" i="5"/>
  <c r="F47" i="5"/>
  <c r="G47" i="5"/>
  <c r="H47" i="5"/>
  <c r="I47" i="5"/>
  <c r="J47" i="5"/>
  <c r="K47" i="5"/>
  <c r="C48" i="5"/>
  <c r="D48" i="5"/>
  <c r="E48" i="5"/>
  <c r="F48" i="5"/>
  <c r="G48" i="5"/>
  <c r="H48" i="5"/>
  <c r="I48" i="5"/>
  <c r="J48" i="5"/>
  <c r="K48" i="5"/>
  <c r="C49" i="5"/>
  <c r="D49" i="5"/>
  <c r="E49" i="5"/>
  <c r="F49" i="5"/>
  <c r="G49" i="5"/>
  <c r="H49" i="5"/>
  <c r="I49" i="5"/>
  <c r="J49" i="5"/>
  <c r="K49" i="5"/>
  <c r="C50" i="5"/>
  <c r="D50" i="5"/>
  <c r="E50" i="5"/>
  <c r="F50" i="5"/>
  <c r="G50" i="5"/>
  <c r="H50" i="5"/>
  <c r="I50" i="5"/>
  <c r="J50" i="5"/>
  <c r="K50" i="5"/>
  <c r="C51" i="5"/>
  <c r="D51" i="5"/>
  <c r="E51" i="5"/>
  <c r="F51" i="5"/>
  <c r="G51" i="5"/>
  <c r="H51" i="5"/>
  <c r="I51" i="5"/>
  <c r="J51" i="5"/>
  <c r="K51" i="5"/>
  <c r="C52" i="5"/>
  <c r="D52" i="5"/>
  <c r="E52" i="5"/>
  <c r="F52" i="5"/>
  <c r="G52" i="5"/>
  <c r="H52" i="5"/>
  <c r="I52" i="5"/>
  <c r="J52" i="5"/>
  <c r="K52" i="5"/>
  <c r="C53" i="5"/>
  <c r="D53" i="5"/>
  <c r="E53" i="5"/>
  <c r="F53" i="5"/>
  <c r="G53" i="5"/>
  <c r="H53" i="5"/>
  <c r="I53" i="5"/>
  <c r="J53" i="5"/>
  <c r="K53" i="5"/>
  <c r="C54" i="5"/>
  <c r="D54" i="5"/>
  <c r="E54" i="5"/>
  <c r="F54" i="5"/>
  <c r="G54" i="5"/>
  <c r="H54" i="5"/>
  <c r="I54" i="5"/>
  <c r="J54" i="5"/>
  <c r="K54" i="5"/>
  <c r="C55" i="5"/>
  <c r="D55" i="5"/>
  <c r="E55" i="5"/>
  <c r="F55" i="5"/>
  <c r="G55" i="5"/>
  <c r="H55" i="5"/>
  <c r="I55" i="5"/>
  <c r="J55" i="5"/>
  <c r="K55" i="5"/>
  <c r="C56" i="5"/>
  <c r="D56" i="5"/>
  <c r="E56" i="5"/>
  <c r="F56" i="5"/>
  <c r="G56" i="5"/>
  <c r="H56" i="5"/>
  <c r="I56" i="5"/>
  <c r="J56" i="5"/>
  <c r="K56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32" i="5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L64" i="4"/>
  <c r="L41" i="4"/>
  <c r="L199" i="4"/>
  <c r="L63" i="4"/>
  <c r="L162" i="4"/>
  <c r="L198" i="4"/>
  <c r="L53" i="4"/>
  <c r="L36" i="4"/>
  <c r="L26" i="4"/>
  <c r="L20" i="4"/>
  <c r="L133" i="4"/>
  <c r="L191" i="4"/>
  <c r="L39" i="4"/>
  <c r="L87" i="4"/>
  <c r="L192" i="4"/>
  <c r="L205" i="4"/>
  <c r="L208" i="4"/>
  <c r="L31" i="4"/>
  <c r="L21" i="4"/>
  <c r="L144" i="4"/>
  <c r="L119" i="4"/>
  <c r="L148" i="4"/>
  <c r="L30" i="4"/>
  <c r="L85" i="4"/>
  <c r="L160" i="4"/>
  <c r="L97" i="4"/>
  <c r="L113" i="4"/>
  <c r="L68" i="4"/>
  <c r="L11" i="4"/>
  <c r="L74" i="4"/>
  <c r="L104" i="4"/>
  <c r="L182" i="4"/>
  <c r="L207" i="4"/>
  <c r="L202" i="4"/>
  <c r="L108" i="4"/>
  <c r="L135" i="4"/>
  <c r="L38" i="4"/>
  <c r="L168" i="4"/>
  <c r="L45" i="4"/>
  <c r="L66" i="4"/>
  <c r="L112" i="4"/>
  <c r="L114" i="4"/>
  <c r="L56" i="4"/>
  <c r="L90" i="4"/>
  <c r="L42" i="4"/>
  <c r="L178" i="4"/>
  <c r="L117" i="4"/>
  <c r="L204" i="4"/>
  <c r="L49" i="4"/>
  <c r="L65" i="4"/>
  <c r="L52" i="4"/>
  <c r="L110" i="4"/>
  <c r="L67" i="4"/>
  <c r="L82" i="4"/>
  <c r="L128" i="4"/>
  <c r="L59" i="4"/>
  <c r="L7" i="4"/>
  <c r="L176" i="4"/>
  <c r="L203" i="4"/>
  <c r="L129" i="4"/>
  <c r="L142" i="4"/>
  <c r="L123" i="4"/>
  <c r="L100" i="4"/>
  <c r="L134" i="4"/>
  <c r="L150" i="4"/>
  <c r="L40" i="4"/>
  <c r="L157" i="4"/>
  <c r="L159" i="4"/>
  <c r="L138" i="4"/>
  <c r="L69" i="4"/>
  <c r="L126" i="4"/>
  <c r="L158" i="4"/>
  <c r="L140" i="4"/>
  <c r="L149" i="4"/>
  <c r="L177" i="4"/>
  <c r="L75" i="4"/>
  <c r="L32" i="4"/>
  <c r="L107" i="4"/>
  <c r="L98" i="4"/>
  <c r="L17" i="4"/>
  <c r="L96" i="4"/>
  <c r="L60" i="4"/>
  <c r="L161" i="4"/>
  <c r="L154" i="4"/>
  <c r="L57" i="4"/>
  <c r="L164" i="4"/>
  <c r="L163" i="4"/>
  <c r="L95" i="4"/>
  <c r="L186" i="4"/>
  <c r="L102" i="4"/>
  <c r="L188" i="4"/>
  <c r="L111" i="4"/>
  <c r="L147" i="4"/>
  <c r="L170" i="4"/>
  <c r="L92" i="4"/>
  <c r="L99" i="4"/>
  <c r="L206" i="4"/>
  <c r="L70" i="4"/>
  <c r="L81" i="4"/>
  <c r="L28" i="4"/>
  <c r="L46" i="4"/>
  <c r="L153" i="4"/>
  <c r="L29" i="4"/>
  <c r="L47" i="4"/>
  <c r="L194" i="4"/>
  <c r="L18" i="4"/>
  <c r="L101" i="4"/>
  <c r="L80" i="4"/>
  <c r="L115" i="4"/>
  <c r="L175" i="4"/>
  <c r="L189" i="4"/>
  <c r="L58" i="4"/>
  <c r="L181" i="4"/>
  <c r="L91" i="4"/>
  <c r="L211" i="4"/>
  <c r="L190" i="4"/>
  <c r="L109" i="4"/>
  <c r="L79" i="4"/>
  <c r="L37" i="4"/>
  <c r="L139" i="4"/>
  <c r="L13" i="4"/>
  <c r="L212" i="4"/>
  <c r="L34" i="4"/>
  <c r="L16" i="4"/>
  <c r="L171" i="4"/>
  <c r="L136" i="4"/>
  <c r="L22" i="4"/>
  <c r="L3" i="4"/>
  <c r="L71" i="4"/>
  <c r="L152" i="4"/>
  <c r="L131" i="4"/>
  <c r="L195" i="4"/>
  <c r="L185" i="4"/>
  <c r="L44" i="4"/>
  <c r="L118" i="4"/>
  <c r="L193" i="4"/>
  <c r="L145" i="4"/>
  <c r="L184" i="4"/>
  <c r="L84" i="4"/>
  <c r="L197" i="4"/>
  <c r="L76" i="4"/>
  <c r="L50" i="4"/>
  <c r="L116" i="4"/>
  <c r="L77" i="4"/>
  <c r="L48" i="4"/>
  <c r="L25" i="4"/>
  <c r="L172" i="4"/>
  <c r="L105" i="4"/>
  <c r="L43" i="4"/>
  <c r="L174" i="4"/>
  <c r="L183" i="4"/>
  <c r="L143" i="4"/>
  <c r="L167" i="4"/>
  <c r="L103" i="4"/>
  <c r="L127" i="4"/>
  <c r="L210" i="4"/>
  <c r="L141" i="4"/>
  <c r="L132" i="4"/>
  <c r="L201" i="4"/>
  <c r="L120" i="4"/>
  <c r="L27" i="4"/>
  <c r="L86" i="4"/>
  <c r="L55" i="4"/>
  <c r="L12" i="4"/>
  <c r="L89" i="4"/>
  <c r="L173" i="4"/>
  <c r="L156" i="4"/>
  <c r="L9" i="4"/>
  <c r="L23" i="4"/>
  <c r="L200" i="4"/>
  <c r="L24" i="4"/>
  <c r="L62" i="4"/>
  <c r="L51" i="4"/>
  <c r="L72" i="4"/>
  <c r="L209" i="4"/>
  <c r="L88" i="4"/>
  <c r="L10" i="4"/>
  <c r="L121" i="4"/>
  <c r="L166" i="4"/>
  <c r="L122" i="4"/>
  <c r="L180" i="4"/>
  <c r="L151" i="4"/>
  <c r="L8" i="4"/>
  <c r="L14" i="4"/>
  <c r="L187" i="4"/>
  <c r="L137" i="4"/>
  <c r="L196" i="4"/>
  <c r="L15" i="4"/>
  <c r="L125" i="4"/>
  <c r="L169" i="4"/>
  <c r="L6" i="4"/>
  <c r="L165" i="4"/>
  <c r="L35" i="4"/>
  <c r="L61" i="4"/>
  <c r="L54" i="4"/>
  <c r="L106" i="4"/>
  <c r="L93" i="4"/>
  <c r="L33" i="4"/>
  <c r="L19" i="4"/>
  <c r="L130" i="4"/>
  <c r="L73" i="4"/>
  <c r="L94" i="4"/>
  <c r="L155" i="4"/>
  <c r="L78" i="4"/>
  <c r="L124" i="4"/>
  <c r="L146" i="4"/>
  <c r="L4" i="4"/>
  <c r="L83" i="4"/>
  <c r="L5" i="4"/>
  <c r="L179" i="4"/>
  <c r="AE212" i="2"/>
  <c r="AD212" i="2"/>
  <c r="B212" i="2"/>
  <c r="AE211" i="2"/>
  <c r="AD211" i="2"/>
  <c r="B211" i="2"/>
  <c r="AE210" i="2"/>
  <c r="AD210" i="2"/>
  <c r="B210" i="2"/>
  <c r="AE209" i="2"/>
  <c r="AD209" i="2"/>
  <c r="B209" i="2"/>
  <c r="AE208" i="2"/>
  <c r="AD208" i="2"/>
  <c r="B208" i="2"/>
  <c r="AE206" i="2"/>
  <c r="AD206" i="2"/>
  <c r="B206" i="2"/>
  <c r="AE205" i="2"/>
  <c r="AD205" i="2"/>
  <c r="B205" i="2"/>
  <c r="AE204" i="2"/>
  <c r="AD204" i="2"/>
  <c r="B204" i="2"/>
  <c r="AE203" i="2"/>
  <c r="AD203" i="2"/>
  <c r="B203" i="2"/>
  <c r="AE202" i="2"/>
  <c r="AD202" i="2"/>
  <c r="B202" i="2"/>
  <c r="AE201" i="2"/>
  <c r="AD201" i="2"/>
  <c r="B201" i="2"/>
  <c r="AE200" i="2"/>
  <c r="AD200" i="2"/>
  <c r="B200" i="2"/>
  <c r="AE199" i="2"/>
  <c r="AD199" i="2"/>
  <c r="B199" i="2"/>
  <c r="AE198" i="2"/>
  <c r="AD198" i="2"/>
  <c r="B198" i="2"/>
  <c r="AE196" i="2"/>
  <c r="AD196" i="2"/>
  <c r="B196" i="2"/>
  <c r="AE194" i="2"/>
  <c r="AD194" i="2"/>
  <c r="B194" i="2"/>
  <c r="AE193" i="2"/>
  <c r="AD193" i="2"/>
  <c r="B193" i="2"/>
  <c r="AE192" i="2"/>
  <c r="AD192" i="2"/>
  <c r="B192" i="2"/>
  <c r="AE191" i="2"/>
  <c r="AD191" i="2"/>
  <c r="B191" i="2"/>
  <c r="AE190" i="2"/>
  <c r="AD190" i="2"/>
  <c r="B190" i="2"/>
  <c r="AE188" i="2"/>
  <c r="AD188" i="2"/>
  <c r="B188" i="2"/>
  <c r="AE187" i="2"/>
  <c r="AD187" i="2"/>
  <c r="B187" i="2"/>
  <c r="AE186" i="2"/>
  <c r="AD186" i="2"/>
  <c r="B186" i="2"/>
  <c r="AE185" i="2"/>
  <c r="AD185" i="2"/>
  <c r="B185" i="2"/>
  <c r="AE184" i="2"/>
  <c r="AD184" i="2"/>
  <c r="B184" i="2"/>
  <c r="AE182" i="2"/>
  <c r="AD182" i="2"/>
  <c r="B182" i="2"/>
  <c r="AE174" i="2"/>
  <c r="AD174" i="2"/>
  <c r="B174" i="2"/>
  <c r="AE173" i="2"/>
  <c r="AD173" i="2"/>
  <c r="B173" i="2"/>
  <c r="AE172" i="2"/>
  <c r="AD172" i="2"/>
  <c r="B172" i="2"/>
  <c r="AE171" i="2"/>
  <c r="AD171" i="2"/>
  <c r="B171" i="2"/>
  <c r="AE169" i="2"/>
  <c r="AD169" i="2"/>
  <c r="B169" i="2"/>
  <c r="AE168" i="2"/>
  <c r="AD168" i="2"/>
  <c r="B168" i="2"/>
  <c r="AE166" i="2"/>
  <c r="AD166" i="2"/>
  <c r="B166" i="2"/>
  <c r="AE165" i="2"/>
  <c r="AD165" i="2"/>
  <c r="B165" i="2"/>
  <c r="AE163" i="2"/>
  <c r="AD163" i="2"/>
  <c r="B163" i="2"/>
  <c r="AE162" i="2"/>
  <c r="AD162" i="2"/>
  <c r="B162" i="2"/>
  <c r="AE160" i="2"/>
  <c r="AD160" i="2"/>
  <c r="B160" i="2"/>
  <c r="AE159" i="2"/>
  <c r="AD159" i="2"/>
  <c r="B159" i="2"/>
  <c r="AE158" i="2"/>
  <c r="AD158" i="2"/>
  <c r="B158" i="2"/>
  <c r="AE157" i="2"/>
  <c r="AD157" i="2"/>
  <c r="B157" i="2"/>
  <c r="AE156" i="2"/>
  <c r="AD156" i="2"/>
  <c r="B156" i="2"/>
  <c r="AE155" i="2"/>
  <c r="AD155" i="2"/>
  <c r="B155" i="2"/>
  <c r="AE154" i="2"/>
  <c r="AD154" i="2"/>
  <c r="B154" i="2"/>
  <c r="AE153" i="2"/>
  <c r="AD153" i="2"/>
  <c r="B153" i="2"/>
  <c r="AE152" i="2"/>
  <c r="AD152" i="2"/>
  <c r="B152" i="2"/>
  <c r="AE151" i="2"/>
  <c r="AD151" i="2"/>
  <c r="B151" i="2"/>
  <c r="AE150" i="2"/>
  <c r="AD150" i="2"/>
  <c r="B150" i="2"/>
  <c r="AE149" i="2"/>
  <c r="AD149" i="2"/>
  <c r="B149" i="2"/>
  <c r="AE148" i="2"/>
  <c r="AD148" i="2"/>
  <c r="B148" i="2"/>
  <c r="AE147" i="2"/>
  <c r="AD147" i="2"/>
  <c r="B147" i="2"/>
  <c r="AE146" i="2"/>
  <c r="AD146" i="2"/>
  <c r="B146" i="2"/>
  <c r="AE145" i="2"/>
  <c r="AD145" i="2"/>
  <c r="B145" i="2"/>
  <c r="AE144" i="2"/>
  <c r="AD144" i="2"/>
  <c r="B144" i="2"/>
  <c r="AE143" i="2"/>
  <c r="AD143" i="2"/>
  <c r="B143" i="2"/>
  <c r="AE142" i="2"/>
  <c r="AD142" i="2"/>
  <c r="B142" i="2"/>
  <c r="AE141" i="2"/>
  <c r="AD141" i="2"/>
  <c r="B141" i="2"/>
  <c r="AE140" i="2"/>
  <c r="AD140" i="2"/>
  <c r="B140" i="2"/>
  <c r="AE139" i="2"/>
  <c r="AD139" i="2"/>
  <c r="B139" i="2"/>
  <c r="AE138" i="2"/>
  <c r="AD138" i="2"/>
  <c r="B138" i="2"/>
  <c r="AE197" i="2"/>
  <c r="AD197" i="2"/>
  <c r="B197" i="2"/>
  <c r="AE189" i="2"/>
  <c r="AD189" i="2"/>
  <c r="B189" i="2"/>
  <c r="AE164" i="2"/>
  <c r="AD164" i="2"/>
  <c r="B164" i="2"/>
  <c r="AE131" i="2"/>
  <c r="AD131" i="2"/>
  <c r="AF131" i="2" s="1"/>
  <c r="B131" i="2"/>
  <c r="AE134" i="2"/>
  <c r="AD134" i="2"/>
  <c r="B134" i="2"/>
  <c r="AE123" i="2"/>
  <c r="AD123" i="2"/>
  <c r="B123" i="2"/>
  <c r="AE111" i="2"/>
  <c r="AD111" i="2"/>
  <c r="B111" i="2"/>
  <c r="AE110" i="2"/>
  <c r="AD110" i="2"/>
  <c r="AF110" i="2" s="1"/>
  <c r="B110" i="2"/>
  <c r="AE107" i="2"/>
  <c r="AD107" i="2"/>
  <c r="B107" i="2"/>
  <c r="AE98" i="2"/>
  <c r="AD98" i="2"/>
  <c r="B98" i="2"/>
  <c r="AE94" i="2"/>
  <c r="AD94" i="2"/>
  <c r="B94" i="2"/>
  <c r="AE77" i="2"/>
  <c r="AD77" i="2"/>
  <c r="B77" i="2"/>
  <c r="AE65" i="2"/>
  <c r="AD65" i="2"/>
  <c r="B65" i="2"/>
  <c r="AE61" i="2"/>
  <c r="AD61" i="2"/>
  <c r="B61" i="2"/>
  <c r="AE207" i="2"/>
  <c r="AD207" i="2"/>
  <c r="B207" i="2"/>
  <c r="AE137" i="2"/>
  <c r="AD137" i="2"/>
  <c r="B137" i="2"/>
  <c r="AE68" i="2"/>
  <c r="AD68" i="2"/>
  <c r="B68" i="2"/>
  <c r="AE132" i="2"/>
  <c r="AD132" i="2"/>
  <c r="B132" i="2"/>
  <c r="AE130" i="2"/>
  <c r="AD130" i="2"/>
  <c r="B130" i="2"/>
  <c r="AE129" i="2"/>
  <c r="AD129" i="2"/>
  <c r="B129" i="2"/>
  <c r="AE128" i="2"/>
  <c r="AD128" i="2"/>
  <c r="B128" i="2"/>
  <c r="AE127" i="2"/>
  <c r="AD127" i="2"/>
  <c r="B127" i="2"/>
  <c r="AE126" i="2"/>
  <c r="AD126" i="2"/>
  <c r="B126" i="2"/>
  <c r="AE125" i="2"/>
  <c r="AD125" i="2"/>
  <c r="B125" i="2"/>
  <c r="AE122" i="2"/>
  <c r="AD122" i="2"/>
  <c r="B122" i="2"/>
  <c r="AE121" i="2"/>
  <c r="AD121" i="2"/>
  <c r="B121" i="2"/>
  <c r="AE120" i="2"/>
  <c r="AD120" i="2"/>
  <c r="B120" i="2"/>
  <c r="AE119" i="2"/>
  <c r="AD119" i="2"/>
  <c r="B119" i="2"/>
  <c r="AE118" i="2"/>
  <c r="AD118" i="2"/>
  <c r="B118" i="2"/>
  <c r="AE117" i="2"/>
  <c r="AD117" i="2"/>
  <c r="B117" i="2"/>
  <c r="AE116" i="2"/>
  <c r="AF116" i="2" s="1"/>
  <c r="AD116" i="2"/>
  <c r="B116" i="2"/>
  <c r="AE115" i="2"/>
  <c r="AD115" i="2"/>
  <c r="B115" i="2"/>
  <c r="AE114" i="2"/>
  <c r="AD114" i="2"/>
  <c r="B114" i="2"/>
  <c r="AE113" i="2"/>
  <c r="AD113" i="2"/>
  <c r="B113" i="2"/>
  <c r="AE112" i="2"/>
  <c r="AD112" i="2"/>
  <c r="B112" i="2"/>
  <c r="AE109" i="2"/>
  <c r="AD109" i="2"/>
  <c r="B109" i="2"/>
  <c r="AE103" i="2"/>
  <c r="AD103" i="2"/>
  <c r="B103" i="2"/>
  <c r="AE102" i="2"/>
  <c r="AD102" i="2"/>
  <c r="B102" i="2"/>
  <c r="AE101" i="2"/>
  <c r="AD101" i="2"/>
  <c r="B101" i="2"/>
  <c r="AE100" i="2"/>
  <c r="AD100" i="2"/>
  <c r="B100" i="2"/>
  <c r="AE99" i="2"/>
  <c r="AD99" i="2"/>
  <c r="B99" i="2"/>
  <c r="AE97" i="2"/>
  <c r="AD97" i="2"/>
  <c r="B97" i="2"/>
  <c r="AE96" i="2"/>
  <c r="AD96" i="2"/>
  <c r="B96" i="2"/>
  <c r="AE95" i="2"/>
  <c r="AD95" i="2"/>
  <c r="B95" i="2"/>
  <c r="AE213" i="2"/>
  <c r="AD213" i="2"/>
  <c r="B213" i="2"/>
  <c r="AE180" i="2"/>
  <c r="AD180" i="2"/>
  <c r="B180" i="2"/>
  <c r="AE179" i="2"/>
  <c r="AD179" i="2"/>
  <c r="B179" i="2"/>
  <c r="AE178" i="2"/>
  <c r="AD178" i="2"/>
  <c r="B178" i="2"/>
  <c r="AE177" i="2"/>
  <c r="AD177" i="2"/>
  <c r="B177" i="2"/>
  <c r="AE93" i="2"/>
  <c r="AD93" i="2"/>
  <c r="B93" i="2"/>
  <c r="AE92" i="2"/>
  <c r="AD92" i="2"/>
  <c r="B92" i="2"/>
  <c r="AE195" i="2"/>
  <c r="AD195" i="2"/>
  <c r="B195" i="2"/>
  <c r="AE183" i="2"/>
  <c r="AD183" i="2"/>
  <c r="B183" i="2"/>
  <c r="AE181" i="2"/>
  <c r="AD181" i="2"/>
  <c r="B181" i="2"/>
  <c r="AE161" i="2"/>
  <c r="AD161" i="2"/>
  <c r="B161" i="2"/>
  <c r="AE135" i="2"/>
  <c r="AD135" i="2"/>
  <c r="B135" i="2"/>
  <c r="AE124" i="2"/>
  <c r="AD124" i="2"/>
  <c r="B124" i="2"/>
  <c r="AE90" i="2"/>
  <c r="AD90" i="2"/>
  <c r="B90" i="2"/>
  <c r="AE63" i="2"/>
  <c r="AD63" i="2"/>
  <c r="B63" i="2"/>
  <c r="AE36" i="2"/>
  <c r="AD36" i="2"/>
  <c r="B36" i="2"/>
  <c r="AE91" i="2"/>
  <c r="AD91" i="2"/>
  <c r="B91" i="2"/>
  <c r="AE89" i="2"/>
  <c r="AD89" i="2"/>
  <c r="B89" i="2"/>
  <c r="AE88" i="2"/>
  <c r="AD88" i="2"/>
  <c r="B88" i="2"/>
  <c r="AE106" i="2"/>
  <c r="AD106" i="2"/>
  <c r="B106" i="2"/>
  <c r="AE105" i="2"/>
  <c r="AD105" i="2"/>
  <c r="B105" i="2"/>
  <c r="AE104" i="2"/>
  <c r="AD104" i="2"/>
  <c r="B104" i="2"/>
  <c r="AE86" i="2"/>
  <c r="AD86" i="2"/>
  <c r="B86" i="2"/>
  <c r="AE85" i="2"/>
  <c r="AD85" i="2"/>
  <c r="B85" i="2"/>
  <c r="AE84" i="2"/>
  <c r="AD84" i="2"/>
  <c r="B84" i="2"/>
  <c r="AE83" i="2"/>
  <c r="AD83" i="2"/>
  <c r="B83" i="2"/>
  <c r="AE82" i="2"/>
  <c r="AD82" i="2"/>
  <c r="B82" i="2"/>
  <c r="AE81" i="2"/>
  <c r="AD81" i="2"/>
  <c r="B81" i="2"/>
  <c r="AE175" i="2"/>
  <c r="AD175" i="2"/>
  <c r="B175" i="2"/>
  <c r="AE170" i="2"/>
  <c r="AD170" i="2"/>
  <c r="B170" i="2"/>
  <c r="AE167" i="2"/>
  <c r="AD167" i="2"/>
  <c r="B167" i="2"/>
  <c r="AE136" i="2"/>
  <c r="AD136" i="2"/>
  <c r="B136" i="2"/>
  <c r="AE133" i="2"/>
  <c r="AD133" i="2"/>
  <c r="B133" i="2"/>
  <c r="AE108" i="2"/>
  <c r="AD108" i="2"/>
  <c r="B108" i="2"/>
  <c r="AE80" i="2"/>
  <c r="AD80" i="2"/>
  <c r="B80" i="2"/>
  <c r="AE79" i="2"/>
  <c r="AD79" i="2"/>
  <c r="B79" i="2"/>
  <c r="AE78" i="2"/>
  <c r="AD78" i="2"/>
  <c r="B78" i="2"/>
  <c r="AE76" i="2"/>
  <c r="AD76" i="2"/>
  <c r="B76" i="2"/>
  <c r="AE75" i="2"/>
  <c r="AD75" i="2"/>
  <c r="B75" i="2"/>
  <c r="AE74" i="2"/>
  <c r="AD74" i="2"/>
  <c r="B74" i="2"/>
  <c r="AE73" i="2"/>
  <c r="AD73" i="2"/>
  <c r="B73" i="2"/>
  <c r="AE72" i="2"/>
  <c r="AD72" i="2"/>
  <c r="B72" i="2"/>
  <c r="AE71" i="2"/>
  <c r="AD71" i="2"/>
  <c r="B71" i="2"/>
  <c r="AE70" i="2"/>
  <c r="AD70" i="2"/>
  <c r="B70" i="2"/>
  <c r="AE69" i="2"/>
  <c r="AD69" i="2"/>
  <c r="B69" i="2"/>
  <c r="AE67" i="2"/>
  <c r="AD67" i="2"/>
  <c r="B67" i="2"/>
  <c r="AE66" i="2"/>
  <c r="AD66" i="2"/>
  <c r="B66" i="2"/>
  <c r="AE64" i="2"/>
  <c r="AD64" i="2"/>
  <c r="B64" i="2"/>
  <c r="AE62" i="2"/>
  <c r="AF62" i="2" s="1"/>
  <c r="AD62" i="2"/>
  <c r="B62" i="2"/>
  <c r="AE60" i="2"/>
  <c r="AD60" i="2"/>
  <c r="B60" i="2"/>
  <c r="AE59" i="2"/>
  <c r="AD59" i="2"/>
  <c r="B59" i="2"/>
  <c r="AE58" i="2"/>
  <c r="AD58" i="2"/>
  <c r="B58" i="2"/>
  <c r="AE57" i="2"/>
  <c r="AD57" i="2"/>
  <c r="B57" i="2"/>
  <c r="AE56" i="2"/>
  <c r="AD56" i="2"/>
  <c r="B56" i="2"/>
  <c r="AE55" i="2"/>
  <c r="AD55" i="2"/>
  <c r="B55" i="2"/>
  <c r="AE54" i="2"/>
  <c r="AD54" i="2"/>
  <c r="B54" i="2"/>
  <c r="AE53" i="2"/>
  <c r="AD53" i="2"/>
  <c r="B53" i="2"/>
  <c r="AE52" i="2"/>
  <c r="AD52" i="2"/>
  <c r="B52" i="2"/>
  <c r="AE51" i="2"/>
  <c r="AD51" i="2"/>
  <c r="B51" i="2"/>
  <c r="AE50" i="2"/>
  <c r="AD50" i="2"/>
  <c r="B50" i="2"/>
  <c r="AE49" i="2"/>
  <c r="AD49" i="2"/>
  <c r="B49" i="2"/>
  <c r="AE48" i="2"/>
  <c r="AD48" i="2"/>
  <c r="B48" i="2"/>
  <c r="AE47" i="2"/>
  <c r="AD47" i="2"/>
  <c r="B47" i="2"/>
  <c r="AE46" i="2"/>
  <c r="AD46" i="2"/>
  <c r="B46" i="2"/>
  <c r="AE45" i="2"/>
  <c r="AD45" i="2"/>
  <c r="B45" i="2"/>
  <c r="AE44" i="2"/>
  <c r="AD44" i="2"/>
  <c r="B44" i="2"/>
  <c r="AE43" i="2"/>
  <c r="AD43" i="2"/>
  <c r="B43" i="2"/>
  <c r="AE42" i="2"/>
  <c r="AD42" i="2"/>
  <c r="B42" i="2"/>
  <c r="AE41" i="2"/>
  <c r="AD41" i="2"/>
  <c r="B41" i="2"/>
  <c r="AE40" i="2"/>
  <c r="AD40" i="2"/>
  <c r="B40" i="2"/>
  <c r="AE39" i="2"/>
  <c r="AD39" i="2"/>
  <c r="B39" i="2"/>
  <c r="AE38" i="2"/>
  <c r="AD38" i="2"/>
  <c r="B38" i="2"/>
  <c r="AE37" i="2"/>
  <c r="AD37" i="2"/>
  <c r="B37" i="2"/>
  <c r="AE35" i="2"/>
  <c r="AD35" i="2"/>
  <c r="B35" i="2"/>
  <c r="AE34" i="2"/>
  <c r="AD34" i="2"/>
  <c r="B34" i="2"/>
  <c r="AE33" i="2"/>
  <c r="AD33" i="2"/>
  <c r="AF33" i="2" s="1"/>
  <c r="B33" i="2"/>
  <c r="AE32" i="2"/>
  <c r="AD32" i="2"/>
  <c r="B32" i="2"/>
  <c r="AE31" i="2"/>
  <c r="AD31" i="2"/>
  <c r="B31" i="2"/>
  <c r="AE30" i="2"/>
  <c r="AD30" i="2"/>
  <c r="B30" i="2"/>
  <c r="AE29" i="2"/>
  <c r="AD29" i="2"/>
  <c r="B29" i="2"/>
  <c r="AE28" i="2"/>
  <c r="AD28" i="2"/>
  <c r="B28" i="2"/>
  <c r="AE27" i="2"/>
  <c r="AD27" i="2"/>
  <c r="B27" i="2"/>
  <c r="AE26" i="2"/>
  <c r="AD26" i="2"/>
  <c r="B26" i="2"/>
  <c r="AE25" i="2"/>
  <c r="AD25" i="2"/>
  <c r="AF25" i="2" s="1"/>
  <c r="B25" i="2"/>
  <c r="AE24" i="2"/>
  <c r="AD24" i="2"/>
  <c r="B24" i="2"/>
  <c r="AE23" i="2"/>
  <c r="AD23" i="2"/>
  <c r="B23" i="2"/>
  <c r="AE22" i="2"/>
  <c r="AD22" i="2"/>
  <c r="B22" i="2"/>
  <c r="AE21" i="2"/>
  <c r="AD21" i="2"/>
  <c r="B21" i="2"/>
  <c r="AE20" i="2"/>
  <c r="AD20" i="2"/>
  <c r="B20" i="2"/>
  <c r="AE19" i="2"/>
  <c r="AD19" i="2"/>
  <c r="B19" i="2"/>
  <c r="AE18" i="2"/>
  <c r="AD18" i="2"/>
  <c r="B18" i="2"/>
  <c r="AE17" i="2"/>
  <c r="AD17" i="2"/>
  <c r="B17" i="2"/>
  <c r="AE16" i="2"/>
  <c r="AD16" i="2"/>
  <c r="B16" i="2"/>
  <c r="AE15" i="2"/>
  <c r="AD15" i="2"/>
  <c r="B15" i="2"/>
  <c r="AE14" i="2"/>
  <c r="AD14" i="2"/>
  <c r="B14" i="2"/>
  <c r="AE13" i="2"/>
  <c r="AD13" i="2"/>
  <c r="B13" i="2"/>
  <c r="AE12" i="2"/>
  <c r="AD12" i="2"/>
  <c r="B12" i="2"/>
  <c r="AE11" i="2"/>
  <c r="AD11" i="2"/>
  <c r="B11" i="2"/>
  <c r="AE10" i="2"/>
  <c r="AD10" i="2"/>
  <c r="B10" i="2"/>
  <c r="AE9" i="2"/>
  <c r="AD9" i="2"/>
  <c r="B9" i="2"/>
  <c r="AE8" i="2"/>
  <c r="AD8" i="2"/>
  <c r="B8" i="2"/>
  <c r="AE7" i="2"/>
  <c r="AD7" i="2"/>
  <c r="B7" i="2"/>
  <c r="AE6" i="2"/>
  <c r="AD6" i="2"/>
  <c r="B6" i="2"/>
  <c r="AE5" i="2"/>
  <c r="AD5" i="2"/>
  <c r="B5" i="2"/>
  <c r="AE4" i="2"/>
  <c r="AD4" i="2"/>
  <c r="B4" i="2"/>
  <c r="AE3" i="2"/>
  <c r="AD3" i="2"/>
  <c r="B3" i="2"/>
  <c r="AE2" i="2"/>
  <c r="AD2" i="2"/>
  <c r="B2" i="2"/>
  <c r="AE176" i="2"/>
  <c r="AD176" i="2"/>
  <c r="B176" i="2"/>
  <c r="AE87" i="2"/>
  <c r="AD87" i="2"/>
  <c r="B87" i="2"/>
  <c r="AE218" i="1"/>
  <c r="AD218" i="1"/>
  <c r="B218" i="1"/>
  <c r="AE216" i="1"/>
  <c r="AD216" i="1"/>
  <c r="B216" i="1"/>
  <c r="AE215" i="1"/>
  <c r="AD215" i="1"/>
  <c r="B215" i="1"/>
  <c r="AE212" i="1"/>
  <c r="AD212" i="1"/>
  <c r="B212" i="1"/>
  <c r="AE210" i="1"/>
  <c r="AD210" i="1"/>
  <c r="B210" i="1"/>
  <c r="AE209" i="1"/>
  <c r="AD209" i="1"/>
  <c r="B209" i="1"/>
  <c r="AE206" i="1"/>
  <c r="AD206" i="1"/>
  <c r="B206" i="1"/>
  <c r="AE205" i="1"/>
  <c r="AD205" i="1"/>
  <c r="B205" i="1"/>
  <c r="AE199" i="1"/>
  <c r="AD199" i="1"/>
  <c r="B199" i="1"/>
  <c r="AE196" i="1"/>
  <c r="AD196" i="1"/>
  <c r="B196" i="1"/>
  <c r="AE194" i="1"/>
  <c r="AD194" i="1"/>
  <c r="B194" i="1"/>
  <c r="AE192" i="1"/>
  <c r="AD192" i="1"/>
  <c r="B192" i="1"/>
  <c r="AE185" i="1"/>
  <c r="AD185" i="1"/>
  <c r="B185" i="1"/>
  <c r="AE184" i="1"/>
  <c r="AD184" i="1"/>
  <c r="B184" i="1"/>
  <c r="AE181" i="1"/>
  <c r="AD181" i="1"/>
  <c r="B181" i="1"/>
  <c r="AE180" i="1"/>
  <c r="AD180" i="1"/>
  <c r="B180" i="1"/>
  <c r="AE177" i="1"/>
  <c r="AD177" i="1"/>
  <c r="B177" i="1"/>
  <c r="AE176" i="1"/>
  <c r="AD176" i="1"/>
  <c r="B176" i="1"/>
  <c r="AE175" i="1"/>
  <c r="AD175" i="1"/>
  <c r="B175" i="1"/>
  <c r="AE171" i="1"/>
  <c r="AD171" i="1"/>
  <c r="B171" i="1"/>
  <c r="AE167" i="1"/>
  <c r="AD167" i="1"/>
  <c r="B167" i="1"/>
  <c r="AE166" i="1"/>
  <c r="AD166" i="1"/>
  <c r="B166" i="1"/>
  <c r="AE161" i="1"/>
  <c r="AD161" i="1"/>
  <c r="B161" i="1"/>
  <c r="AE157" i="1"/>
  <c r="AD157" i="1"/>
  <c r="B157" i="1"/>
  <c r="AE156" i="1"/>
  <c r="AD156" i="1"/>
  <c r="B156" i="1"/>
  <c r="AE154" i="1"/>
  <c r="AD154" i="1"/>
  <c r="B154" i="1"/>
  <c r="AE149" i="1"/>
  <c r="AD149" i="1"/>
  <c r="B149" i="1"/>
  <c r="AE147" i="1"/>
  <c r="AD147" i="1"/>
  <c r="B147" i="1"/>
  <c r="AE146" i="1"/>
  <c r="AD146" i="1"/>
  <c r="B146" i="1"/>
  <c r="AE140" i="1"/>
  <c r="AD140" i="1"/>
  <c r="B140" i="1"/>
  <c r="AE139" i="1"/>
  <c r="AD139" i="1"/>
  <c r="B139" i="1"/>
  <c r="AE138" i="1"/>
  <c r="AD138" i="1"/>
  <c r="B138" i="1"/>
  <c r="AE137" i="1"/>
  <c r="AD137" i="1"/>
  <c r="B137" i="1"/>
  <c r="AE132" i="1"/>
  <c r="AD132" i="1"/>
  <c r="B132" i="1"/>
  <c r="AE129" i="1"/>
  <c r="AD129" i="1"/>
  <c r="B129" i="1"/>
  <c r="AE123" i="1"/>
  <c r="AD123" i="1"/>
  <c r="B123" i="1"/>
  <c r="AE122" i="1"/>
  <c r="AD122" i="1"/>
  <c r="B122" i="1"/>
  <c r="AE121" i="1"/>
  <c r="AD121" i="1"/>
  <c r="B121" i="1"/>
  <c r="AE119" i="1"/>
  <c r="AD119" i="1"/>
  <c r="B119" i="1"/>
  <c r="AE118" i="1"/>
  <c r="AD118" i="1"/>
  <c r="B118" i="1"/>
  <c r="AE114" i="1"/>
  <c r="AD114" i="1"/>
  <c r="B114" i="1"/>
  <c r="AE113" i="1"/>
  <c r="AD113" i="1"/>
  <c r="B113" i="1"/>
  <c r="AE112" i="1"/>
  <c r="AD112" i="1"/>
  <c r="B112" i="1"/>
  <c r="AE111" i="1"/>
  <c r="AD111" i="1"/>
  <c r="B111" i="1"/>
  <c r="AE110" i="1"/>
  <c r="AD110" i="1"/>
  <c r="B110" i="1"/>
  <c r="AE109" i="1"/>
  <c r="AD109" i="1"/>
  <c r="B109" i="1"/>
  <c r="AE107" i="1"/>
  <c r="AD107" i="1"/>
  <c r="B107" i="1"/>
  <c r="AE106" i="1"/>
  <c r="AD106" i="1"/>
  <c r="B106" i="1"/>
  <c r="AE101" i="1"/>
  <c r="AD101" i="1"/>
  <c r="B101" i="1"/>
  <c r="AE96" i="1"/>
  <c r="AD96" i="1"/>
  <c r="B96" i="1"/>
  <c r="AE95" i="1"/>
  <c r="AD95" i="1"/>
  <c r="B95" i="1"/>
  <c r="AE91" i="1"/>
  <c r="AD91" i="1"/>
  <c r="B91" i="1"/>
  <c r="AE90" i="1"/>
  <c r="AD90" i="1"/>
  <c r="B90" i="1"/>
  <c r="AE89" i="1"/>
  <c r="AD89" i="1"/>
  <c r="B89" i="1"/>
  <c r="AE88" i="1"/>
  <c r="AD88" i="1"/>
  <c r="B88" i="1"/>
  <c r="AE86" i="1"/>
  <c r="AD86" i="1"/>
  <c r="B86" i="1"/>
  <c r="AE80" i="1"/>
  <c r="AD80" i="1"/>
  <c r="B80" i="1"/>
  <c r="AE78" i="1"/>
  <c r="AD78" i="1"/>
  <c r="B78" i="1"/>
  <c r="AE69" i="1"/>
  <c r="AD69" i="1"/>
  <c r="B69" i="1"/>
  <c r="AE68" i="1"/>
  <c r="AD68" i="1"/>
  <c r="B68" i="1"/>
  <c r="AE66" i="1"/>
  <c r="AD66" i="1"/>
  <c r="B66" i="1"/>
  <c r="AE62" i="1"/>
  <c r="AD62" i="1"/>
  <c r="B62" i="1"/>
  <c r="AE61" i="1"/>
  <c r="AD61" i="1"/>
  <c r="B61" i="1"/>
  <c r="AE60" i="1"/>
  <c r="AD60" i="1"/>
  <c r="B60" i="1"/>
  <c r="AE57" i="1"/>
  <c r="AD57" i="1"/>
  <c r="B57" i="1"/>
  <c r="AE55" i="1"/>
  <c r="AD55" i="1"/>
  <c r="B55" i="1"/>
  <c r="AE54" i="1"/>
  <c r="AD54" i="1"/>
  <c r="B54" i="1"/>
  <c r="AE52" i="1"/>
  <c r="AD52" i="1"/>
  <c r="B52" i="1"/>
  <c r="AE49" i="1"/>
  <c r="AD49" i="1"/>
  <c r="B49" i="1"/>
  <c r="AE44" i="1"/>
  <c r="AD44" i="1"/>
  <c r="B44" i="1"/>
  <c r="AE43" i="1"/>
  <c r="AD43" i="1"/>
  <c r="B43" i="1"/>
  <c r="AE40" i="1"/>
  <c r="AD40" i="1"/>
  <c r="B40" i="1"/>
  <c r="AE39" i="1"/>
  <c r="AD39" i="1"/>
  <c r="B39" i="1"/>
  <c r="AE34" i="1"/>
  <c r="AD34" i="1"/>
  <c r="B34" i="1"/>
  <c r="AE33" i="1"/>
  <c r="AD33" i="1"/>
  <c r="B33" i="1"/>
  <c r="AE28" i="1"/>
  <c r="AD28" i="1"/>
  <c r="B28" i="1"/>
  <c r="AE26" i="1"/>
  <c r="AD26" i="1"/>
  <c r="B26" i="1"/>
  <c r="AE23" i="1"/>
  <c r="AD23" i="1"/>
  <c r="B23" i="1"/>
  <c r="AE20" i="1"/>
  <c r="AD20" i="1"/>
  <c r="B20" i="1"/>
  <c r="AE19" i="1"/>
  <c r="AD19" i="1"/>
  <c r="B19" i="1"/>
  <c r="AE18" i="1"/>
  <c r="AD18" i="1"/>
  <c r="B18" i="1"/>
  <c r="AE17" i="1"/>
  <c r="AD17" i="1"/>
  <c r="B17" i="1"/>
  <c r="AE16" i="1"/>
  <c r="AD16" i="1"/>
  <c r="B16" i="1"/>
  <c r="AE15" i="1"/>
  <c r="AD15" i="1"/>
  <c r="B15" i="1"/>
  <c r="AE14" i="1"/>
  <c r="AD14" i="1"/>
  <c r="B14" i="1"/>
  <c r="AE12" i="1"/>
  <c r="AD12" i="1"/>
  <c r="B12" i="1"/>
  <c r="AE9" i="1"/>
  <c r="AD9" i="1"/>
  <c r="B9" i="1"/>
  <c r="AE8" i="1"/>
  <c r="AD8" i="1"/>
  <c r="B8" i="1"/>
  <c r="AE7" i="1"/>
  <c r="AD7" i="1"/>
  <c r="B7" i="1"/>
  <c r="AE4" i="1"/>
  <c r="AD4" i="1"/>
  <c r="B4" i="1"/>
  <c r="AE217" i="1"/>
  <c r="AD217" i="1"/>
  <c r="B217" i="1"/>
  <c r="AE214" i="1"/>
  <c r="AD214" i="1"/>
  <c r="B214" i="1"/>
  <c r="AE213" i="1"/>
  <c r="AD213" i="1"/>
  <c r="B213" i="1"/>
  <c r="AE211" i="1"/>
  <c r="AD211" i="1"/>
  <c r="B211" i="1"/>
  <c r="AE208" i="1"/>
  <c r="AD208" i="1"/>
  <c r="B208" i="1"/>
  <c r="AE207" i="1"/>
  <c r="AD207" i="1"/>
  <c r="B207" i="1"/>
  <c r="AE204" i="1"/>
  <c r="AD204" i="1"/>
  <c r="B204" i="1"/>
  <c r="AE203" i="1"/>
  <c r="AD203" i="1"/>
  <c r="B203" i="1"/>
  <c r="AE202" i="1"/>
  <c r="AD202" i="1"/>
  <c r="B202" i="1"/>
  <c r="AE201" i="1"/>
  <c r="AD201" i="1"/>
  <c r="B201" i="1"/>
  <c r="AE200" i="1"/>
  <c r="AD200" i="1"/>
  <c r="B200" i="1"/>
  <c r="AE198" i="1"/>
  <c r="AD198" i="1"/>
  <c r="B198" i="1"/>
  <c r="AE197" i="1"/>
  <c r="AD197" i="1"/>
  <c r="B197" i="1"/>
  <c r="AE195" i="1"/>
  <c r="AD195" i="1"/>
  <c r="B195" i="1"/>
  <c r="AE193" i="1"/>
  <c r="AD193" i="1"/>
  <c r="B193" i="1"/>
  <c r="AE191" i="1"/>
  <c r="AD191" i="1"/>
  <c r="B191" i="1"/>
  <c r="AE190" i="1"/>
  <c r="AD190" i="1"/>
  <c r="B190" i="1"/>
  <c r="AE189" i="1"/>
  <c r="AD189" i="1"/>
  <c r="B189" i="1"/>
  <c r="AE188" i="1"/>
  <c r="AD188" i="1"/>
  <c r="B188" i="1"/>
  <c r="AE187" i="1"/>
  <c r="AD187" i="1"/>
  <c r="B187" i="1"/>
  <c r="AE186" i="1"/>
  <c r="AD186" i="1"/>
  <c r="B186" i="1"/>
  <c r="AE183" i="1"/>
  <c r="AD183" i="1"/>
  <c r="B183" i="1"/>
  <c r="AE182" i="1"/>
  <c r="AD182" i="1"/>
  <c r="B182" i="1"/>
  <c r="AE179" i="1"/>
  <c r="AD179" i="1"/>
  <c r="B179" i="1"/>
  <c r="AE178" i="1"/>
  <c r="AD178" i="1"/>
  <c r="B178" i="1"/>
  <c r="AE174" i="1"/>
  <c r="AD174" i="1"/>
  <c r="B174" i="1"/>
  <c r="AE173" i="1"/>
  <c r="AD173" i="1"/>
  <c r="B173" i="1"/>
  <c r="AE172" i="1"/>
  <c r="AD172" i="1"/>
  <c r="B172" i="1"/>
  <c r="AE170" i="1"/>
  <c r="AD170" i="1"/>
  <c r="B170" i="1"/>
  <c r="AE169" i="1"/>
  <c r="AD169" i="1"/>
  <c r="B169" i="1"/>
  <c r="AE168" i="1"/>
  <c r="AD168" i="1"/>
  <c r="B168" i="1"/>
  <c r="AE165" i="1"/>
  <c r="AD165" i="1"/>
  <c r="B165" i="1"/>
  <c r="AE164" i="1"/>
  <c r="AD164" i="1"/>
  <c r="B164" i="1"/>
  <c r="AE163" i="1"/>
  <c r="AD163" i="1"/>
  <c r="B163" i="1"/>
  <c r="AE162" i="1"/>
  <c r="AD162" i="1"/>
  <c r="B162" i="1"/>
  <c r="AE160" i="1"/>
  <c r="AD160" i="1"/>
  <c r="B160" i="1"/>
  <c r="AE159" i="1"/>
  <c r="AD159" i="1"/>
  <c r="B159" i="1"/>
  <c r="AE158" i="1"/>
  <c r="AD158" i="1"/>
  <c r="B158" i="1"/>
  <c r="AE155" i="1"/>
  <c r="AD155" i="1"/>
  <c r="B155" i="1"/>
  <c r="AE153" i="1"/>
  <c r="AD153" i="1"/>
  <c r="B153" i="1"/>
  <c r="AE152" i="1"/>
  <c r="AD152" i="1"/>
  <c r="B152" i="1"/>
  <c r="AE151" i="1"/>
  <c r="AD151" i="1"/>
  <c r="B151" i="1"/>
  <c r="AE150" i="1"/>
  <c r="AD150" i="1"/>
  <c r="B150" i="1"/>
  <c r="AE148" i="1"/>
  <c r="AD148" i="1"/>
  <c r="B148" i="1"/>
  <c r="AE145" i="1"/>
  <c r="AD145" i="1"/>
  <c r="B145" i="1"/>
  <c r="AE144" i="1"/>
  <c r="AD144" i="1"/>
  <c r="B144" i="1"/>
  <c r="AE143" i="1"/>
  <c r="AD143" i="1"/>
  <c r="B143" i="1"/>
  <c r="AE142" i="1"/>
  <c r="AD142" i="1"/>
  <c r="B142" i="1"/>
  <c r="AE141" i="1"/>
  <c r="AD141" i="1"/>
  <c r="B141" i="1"/>
  <c r="AE136" i="1"/>
  <c r="AD136" i="1"/>
  <c r="B136" i="1"/>
  <c r="AE135" i="1"/>
  <c r="AD135" i="1"/>
  <c r="B135" i="1"/>
  <c r="AE134" i="1"/>
  <c r="AD134" i="1"/>
  <c r="B134" i="1"/>
  <c r="AE133" i="1"/>
  <c r="AD133" i="1"/>
  <c r="B133" i="1"/>
  <c r="AE131" i="1"/>
  <c r="AD131" i="1"/>
  <c r="B131" i="1"/>
  <c r="AE130" i="1"/>
  <c r="AD130" i="1"/>
  <c r="B130" i="1"/>
  <c r="AE128" i="1"/>
  <c r="AD128" i="1"/>
  <c r="B128" i="1"/>
  <c r="AE127" i="1"/>
  <c r="AD127" i="1"/>
  <c r="B127" i="1"/>
  <c r="AE126" i="1"/>
  <c r="AD126" i="1"/>
  <c r="B126" i="1"/>
  <c r="AE125" i="1"/>
  <c r="AD125" i="1"/>
  <c r="B125" i="1"/>
  <c r="AE124" i="1"/>
  <c r="AD124" i="1"/>
  <c r="B124" i="1"/>
  <c r="AE120" i="1"/>
  <c r="AD120" i="1"/>
  <c r="B120" i="1"/>
  <c r="AE117" i="1"/>
  <c r="AD117" i="1"/>
  <c r="B117" i="1"/>
  <c r="AE116" i="1"/>
  <c r="AD116" i="1"/>
  <c r="B116" i="1"/>
  <c r="AE115" i="1"/>
  <c r="AD115" i="1"/>
  <c r="B115" i="1"/>
  <c r="AE108" i="1"/>
  <c r="AD108" i="1"/>
  <c r="B108" i="1"/>
  <c r="AE105" i="1"/>
  <c r="AD105" i="1"/>
  <c r="B105" i="1"/>
  <c r="AE104" i="1"/>
  <c r="AD104" i="1"/>
  <c r="B104" i="1"/>
  <c r="AE103" i="1"/>
  <c r="AD103" i="1"/>
  <c r="B103" i="1"/>
  <c r="AE102" i="1"/>
  <c r="AD102" i="1"/>
  <c r="B102" i="1"/>
  <c r="AE100" i="1"/>
  <c r="AD100" i="1"/>
  <c r="B100" i="1"/>
  <c r="AE99" i="1"/>
  <c r="AD99" i="1"/>
  <c r="B99" i="1"/>
  <c r="AE98" i="1"/>
  <c r="AD98" i="1"/>
  <c r="B98" i="1"/>
  <c r="AE97" i="1"/>
  <c r="AD97" i="1"/>
  <c r="B97" i="1"/>
  <c r="AE94" i="1"/>
  <c r="AD94" i="1"/>
  <c r="B94" i="1"/>
  <c r="AE93" i="1"/>
  <c r="AD93" i="1"/>
  <c r="B93" i="1"/>
  <c r="AE92" i="1"/>
  <c r="AD92" i="1"/>
  <c r="B92" i="1"/>
  <c r="AE87" i="1"/>
  <c r="AD87" i="1"/>
  <c r="B87" i="1"/>
  <c r="AE85" i="1"/>
  <c r="AD85" i="1"/>
  <c r="B85" i="1"/>
  <c r="AE84" i="1"/>
  <c r="AD84" i="1"/>
  <c r="B84" i="1"/>
  <c r="AE83" i="1"/>
  <c r="AD83" i="1"/>
  <c r="B83" i="1"/>
  <c r="AE82" i="1"/>
  <c r="AD82" i="1"/>
  <c r="B82" i="1"/>
  <c r="AE81" i="1"/>
  <c r="AD81" i="1"/>
  <c r="B81" i="1"/>
  <c r="AE79" i="1"/>
  <c r="AD79" i="1"/>
  <c r="B79" i="1"/>
  <c r="AE77" i="1"/>
  <c r="AD77" i="1"/>
  <c r="B77" i="1"/>
  <c r="AE76" i="1"/>
  <c r="AD76" i="1"/>
  <c r="B76" i="1"/>
  <c r="AE75" i="1"/>
  <c r="AD75" i="1"/>
  <c r="B75" i="1"/>
  <c r="AE74" i="1"/>
  <c r="AD74" i="1"/>
  <c r="B74" i="1"/>
  <c r="AE73" i="1"/>
  <c r="AD73" i="1"/>
  <c r="B73" i="1"/>
  <c r="AE72" i="1"/>
  <c r="AD72" i="1"/>
  <c r="B72" i="1"/>
  <c r="AE71" i="1"/>
  <c r="AD71" i="1"/>
  <c r="B71" i="1"/>
  <c r="AE70" i="1"/>
  <c r="AD70" i="1"/>
  <c r="B70" i="1"/>
  <c r="AE67" i="1"/>
  <c r="AD67" i="1"/>
  <c r="B67" i="1"/>
  <c r="AE65" i="1"/>
  <c r="AD65" i="1"/>
  <c r="B65" i="1"/>
  <c r="AE64" i="1"/>
  <c r="AD64" i="1"/>
  <c r="B64" i="1"/>
  <c r="AE63" i="1"/>
  <c r="AD63" i="1"/>
  <c r="B63" i="1"/>
  <c r="AE59" i="1"/>
  <c r="AD59" i="1"/>
  <c r="B59" i="1"/>
  <c r="AE58" i="1"/>
  <c r="AD58" i="1"/>
  <c r="B58" i="1"/>
  <c r="AE56" i="1"/>
  <c r="AD56" i="1"/>
  <c r="B56" i="1"/>
  <c r="AE53" i="1"/>
  <c r="AD53" i="1"/>
  <c r="B53" i="1"/>
  <c r="AE51" i="1"/>
  <c r="AD51" i="1"/>
  <c r="B51" i="1"/>
  <c r="AE50" i="1"/>
  <c r="AD50" i="1"/>
  <c r="B50" i="1"/>
  <c r="AE48" i="1"/>
  <c r="AD48" i="1"/>
  <c r="B48" i="1"/>
  <c r="AE47" i="1"/>
  <c r="AD47" i="1"/>
  <c r="B47" i="1"/>
  <c r="AE46" i="1"/>
  <c r="AD46" i="1"/>
  <c r="B46" i="1"/>
  <c r="AE45" i="1"/>
  <c r="AD45" i="1"/>
  <c r="B45" i="1"/>
  <c r="AE42" i="1"/>
  <c r="AD42" i="1"/>
  <c r="B42" i="1"/>
  <c r="AE41" i="1"/>
  <c r="AD41" i="1"/>
  <c r="B41" i="1"/>
  <c r="AE38" i="1"/>
  <c r="AD38" i="1"/>
  <c r="B38" i="1"/>
  <c r="AE37" i="1"/>
  <c r="AD37" i="1"/>
  <c r="B37" i="1"/>
  <c r="AE36" i="1"/>
  <c r="AD36" i="1"/>
  <c r="B36" i="1"/>
  <c r="AE35" i="1"/>
  <c r="AD35" i="1"/>
  <c r="B35" i="1"/>
  <c r="AE32" i="1"/>
  <c r="AD32" i="1"/>
  <c r="B32" i="1"/>
  <c r="AE31" i="1"/>
  <c r="AD31" i="1"/>
  <c r="B31" i="1"/>
  <c r="AE30" i="1"/>
  <c r="AD30" i="1"/>
  <c r="B30" i="1"/>
  <c r="AE29" i="1"/>
  <c r="AD29" i="1"/>
  <c r="B29" i="1"/>
  <c r="AE27" i="1"/>
  <c r="AD27" i="1"/>
  <c r="B27" i="1"/>
  <c r="AE25" i="1"/>
  <c r="AD25" i="1"/>
  <c r="B25" i="1"/>
  <c r="AE24" i="1"/>
  <c r="AD24" i="1"/>
  <c r="B24" i="1"/>
  <c r="AE22" i="1"/>
  <c r="AD22" i="1"/>
  <c r="B22" i="1"/>
  <c r="AE21" i="1"/>
  <c r="AD21" i="1"/>
  <c r="B21" i="1"/>
  <c r="AE13" i="1"/>
  <c r="AD13" i="1"/>
  <c r="B13" i="1"/>
  <c r="AE11" i="1"/>
  <c r="AD11" i="1"/>
  <c r="B11" i="1"/>
  <c r="AE10" i="1"/>
  <c r="AD10" i="1"/>
  <c r="B10" i="1"/>
  <c r="AE6" i="1"/>
  <c r="AD6" i="1"/>
  <c r="B6" i="1"/>
  <c r="AE5" i="1"/>
  <c r="AD5" i="1"/>
  <c r="B5" i="1"/>
  <c r="AE3" i="1"/>
  <c r="AD3" i="1"/>
  <c r="B3" i="1"/>
  <c r="AE2" i="1"/>
  <c r="AD2" i="1"/>
  <c r="B2" i="1"/>
  <c r="AF54" i="2" l="1"/>
  <c r="AF99" i="2"/>
  <c r="AF176" i="2"/>
  <c r="AF173" i="2"/>
  <c r="AF213" i="2"/>
  <c r="AF118" i="2"/>
  <c r="AF126" i="2"/>
  <c r="AF192" i="2"/>
  <c r="AF202" i="2"/>
  <c r="AF125" i="2"/>
  <c r="AF63" i="2"/>
  <c r="AF137" i="2"/>
  <c r="AF130" i="2"/>
  <c r="AF7" i="2"/>
  <c r="AF154" i="2"/>
  <c r="AF172" i="2"/>
  <c r="AF49" i="2"/>
  <c r="AF3" i="2"/>
  <c r="AF11" i="2"/>
  <c r="AF19" i="2"/>
  <c r="AF27" i="2"/>
  <c r="AF35" i="2"/>
  <c r="AF44" i="2"/>
  <c r="AF167" i="2"/>
  <c r="AF197" i="2"/>
  <c r="AF15" i="2"/>
  <c r="AF129" i="2"/>
  <c r="AF134" i="2"/>
  <c r="AF46" i="2"/>
  <c r="AF24" i="2"/>
  <c r="AF41" i="2"/>
  <c r="AF175" i="2"/>
  <c r="AF31" i="2"/>
  <c r="AF38" i="2"/>
  <c r="AF183" i="2"/>
  <c r="AF117" i="2"/>
  <c r="AF160" i="2"/>
  <c r="AF32" i="2"/>
  <c r="AF57" i="2"/>
  <c r="AF207" i="2"/>
  <c r="AF139" i="2"/>
  <c r="AF155" i="2"/>
  <c r="AF17" i="2"/>
  <c r="AF124" i="2"/>
  <c r="AF97" i="2"/>
  <c r="AF61" i="2"/>
  <c r="AF203" i="2"/>
  <c r="AF212" i="2"/>
  <c r="AF42" i="2"/>
  <c r="AF50" i="2"/>
  <c r="AF58" i="2"/>
  <c r="AF83" i="2"/>
  <c r="AF89" i="2"/>
  <c r="AF103" i="2"/>
  <c r="AF120" i="2"/>
  <c r="AF77" i="2"/>
  <c r="AF157" i="2"/>
  <c r="AF168" i="2"/>
  <c r="AF191" i="2"/>
  <c r="AF201" i="2"/>
  <c r="AF204" i="2"/>
  <c r="AF128" i="2"/>
  <c r="AF147" i="2"/>
  <c r="AF142" i="2"/>
  <c r="AF150" i="2"/>
  <c r="AF182" i="2"/>
  <c r="AF23" i="2"/>
  <c r="AF87" i="2"/>
  <c r="AF40" i="2"/>
  <c r="AF48" i="2"/>
  <c r="AF67" i="2"/>
  <c r="AF179" i="2"/>
  <c r="AF8" i="2"/>
  <c r="AF16" i="2"/>
  <c r="AF21" i="2"/>
  <c r="AF29" i="2"/>
  <c r="AF104" i="2"/>
  <c r="AF95" i="2"/>
  <c r="AF114" i="2"/>
  <c r="AF153" i="2"/>
  <c r="AF162" i="2"/>
  <c r="AF209" i="2"/>
  <c r="AF5" i="2"/>
  <c r="AF13" i="2"/>
  <c r="AF122" i="2"/>
  <c r="AF68" i="2"/>
  <c r="AF143" i="2"/>
  <c r="AF151" i="2"/>
  <c r="AF200" i="2"/>
  <c r="AF9" i="2"/>
  <c r="AF105" i="2"/>
  <c r="AF93" i="2"/>
  <c r="AF96" i="2"/>
  <c r="AF187" i="2"/>
  <c r="AF198" i="2"/>
  <c r="AF6" i="2"/>
  <c r="AF180" i="2"/>
  <c r="AF109" i="2"/>
  <c r="AF111" i="2"/>
  <c r="AF140" i="2"/>
  <c r="AF210" i="2"/>
  <c r="AF106" i="2"/>
  <c r="AF178" i="2"/>
  <c r="AF121" i="2"/>
  <c r="AF138" i="2"/>
  <c r="AF2" i="2"/>
  <c r="AF18" i="2"/>
  <c r="AF34" i="2"/>
  <c r="AF64" i="2"/>
  <c r="AF74" i="2"/>
  <c r="AF170" i="2"/>
  <c r="AF84" i="2"/>
  <c r="AF91" i="2"/>
  <c r="AF195" i="2"/>
  <c r="AF102" i="2"/>
  <c r="AF112" i="2"/>
  <c r="AF119" i="2"/>
  <c r="AF107" i="2"/>
  <c r="AF123" i="2"/>
  <c r="AF141" i="2"/>
  <c r="AF146" i="2"/>
  <c r="AF149" i="2"/>
  <c r="AF156" i="2"/>
  <c r="AF159" i="2"/>
  <c r="AF166" i="2"/>
  <c r="AF171" i="2"/>
  <c r="AF186" i="2"/>
  <c r="AF190" i="2"/>
  <c r="AF196" i="2"/>
  <c r="AF208" i="2"/>
  <c r="AF211" i="2"/>
  <c r="AF56" i="2"/>
  <c r="AF133" i="2"/>
  <c r="AF86" i="2"/>
  <c r="AF148" i="2"/>
  <c r="AF169" i="2"/>
  <c r="AF37" i="2"/>
  <c r="AF14" i="2"/>
  <c r="AF47" i="2"/>
  <c r="AF52" i="2"/>
  <c r="AF69" i="2"/>
  <c r="AF78" i="2"/>
  <c r="AF88" i="2"/>
  <c r="AF115" i="2"/>
  <c r="AF94" i="2"/>
  <c r="AF144" i="2"/>
  <c r="AF152" i="2"/>
  <c r="AF184" i="2"/>
  <c r="AF193" i="2"/>
  <c r="AF12" i="2"/>
  <c r="AF28" i="2"/>
  <c r="AF45" i="2"/>
  <c r="AF55" i="2"/>
  <c r="AF72" i="2"/>
  <c r="AF108" i="2"/>
  <c r="AF85" i="2"/>
  <c r="AF36" i="2"/>
  <c r="AF92" i="2"/>
  <c r="AF177" i="2"/>
  <c r="AF127" i="2"/>
  <c r="AF65" i="2"/>
  <c r="AF174" i="2"/>
  <c r="AF22" i="2"/>
  <c r="AF39" i="2"/>
  <c r="AF158" i="2"/>
  <c r="AF188" i="2"/>
  <c r="AF199" i="2"/>
  <c r="AF4" i="2"/>
  <c r="AF20" i="2"/>
  <c r="AF76" i="2"/>
  <c r="AF81" i="2"/>
  <c r="AF161" i="2"/>
  <c r="AF132" i="2"/>
  <c r="AF30" i="2"/>
  <c r="AF60" i="2"/>
  <c r="AF82" i="2"/>
  <c r="AF90" i="2"/>
  <c r="AF181" i="2"/>
  <c r="AF100" i="2"/>
  <c r="AF164" i="2"/>
  <c r="AF163" i="2"/>
  <c r="AF205" i="2"/>
  <c r="AF10" i="2"/>
  <c r="AF26" i="2"/>
  <c r="AF43" i="2"/>
  <c r="AF70" i="2"/>
  <c r="AF75" i="2"/>
  <c r="AF79" i="2"/>
  <c r="AF135" i="2"/>
  <c r="AF101" i="2"/>
  <c r="AF113" i="2"/>
  <c r="AF98" i="2"/>
  <c r="AF189" i="2"/>
  <c r="AF145" i="2"/>
  <c r="AF165" i="2"/>
  <c r="AF185" i="2"/>
  <c r="AF194" i="2"/>
  <c r="AF206" i="2"/>
  <c r="AF53" i="2"/>
  <c r="AF51" i="2"/>
  <c r="AF71" i="2"/>
  <c r="AF66" i="2"/>
  <c r="AF136" i="2"/>
  <c r="AF73" i="2"/>
  <c r="AF59" i="2"/>
  <c r="AF80" i="2"/>
  <c r="AF210" i="1"/>
  <c r="AF5" i="1"/>
  <c r="AF157" i="1"/>
  <c r="AF7" i="1"/>
  <c r="AF18" i="1"/>
  <c r="AF39" i="1"/>
  <c r="AF192" i="1"/>
  <c r="AF46" i="1"/>
  <c r="AF59" i="1"/>
  <c r="AF72" i="1"/>
  <c r="AF82" i="1"/>
  <c r="AF152" i="1"/>
  <c r="AF92" i="1"/>
  <c r="AF131" i="1"/>
  <c r="AF144" i="1"/>
  <c r="AF145" i="1"/>
  <c r="AF88" i="1"/>
  <c r="AF147" i="1"/>
  <c r="AF51" i="1"/>
  <c r="AF93" i="1"/>
  <c r="AF114" i="1"/>
  <c r="AF47" i="1"/>
  <c r="AF95" i="1"/>
  <c r="AF169" i="1"/>
  <c r="AF138" i="1"/>
  <c r="AF180" i="1"/>
  <c r="AF199" i="1"/>
  <c r="AF99" i="1"/>
  <c r="AF110" i="1"/>
  <c r="AF31" i="1"/>
  <c r="AF159" i="1"/>
  <c r="AF191" i="1"/>
  <c r="AF166" i="1"/>
  <c r="AF57" i="1"/>
  <c r="AF121" i="1"/>
  <c r="AF182" i="1"/>
  <c r="AF203" i="1"/>
  <c r="AF190" i="1"/>
  <c r="AF35" i="1"/>
  <c r="AF79" i="1"/>
  <c r="AF172" i="1"/>
  <c r="AF8" i="1"/>
  <c r="AF19" i="1"/>
  <c r="AF40" i="1"/>
  <c r="AF60" i="1"/>
  <c r="AF63" i="1"/>
  <c r="AF104" i="1"/>
  <c r="AF133" i="1"/>
  <c r="AF14" i="1"/>
  <c r="AF26" i="1"/>
  <c r="AF49" i="1"/>
  <c r="AF197" i="1"/>
  <c r="AF24" i="1"/>
  <c r="AF202" i="1"/>
  <c r="AF74" i="1"/>
  <c r="AF178" i="1"/>
  <c r="AF125" i="1"/>
  <c r="AF3" i="1"/>
  <c r="AF130" i="1"/>
  <c r="AF213" i="1"/>
  <c r="AF37" i="1"/>
  <c r="AF135" i="1"/>
  <c r="AF158" i="1"/>
  <c r="AF71" i="1"/>
  <c r="AF76" i="1"/>
  <c r="AF102" i="1"/>
  <c r="AF150" i="1"/>
  <c r="AF168" i="1"/>
  <c r="AF174" i="1"/>
  <c r="AF183" i="1"/>
  <c r="AF200" i="1"/>
  <c r="AF21" i="1"/>
  <c r="AF64" i="1"/>
  <c r="AF81" i="1"/>
  <c r="AF87" i="1"/>
  <c r="AF162" i="1"/>
  <c r="AF179" i="1"/>
  <c r="AF187" i="1"/>
  <c r="AF164" i="1"/>
  <c r="AF2" i="1"/>
  <c r="AF84" i="1"/>
  <c r="AF103" i="1"/>
  <c r="AF208" i="1"/>
  <c r="AF22" i="1"/>
  <c r="AF29" i="1"/>
  <c r="AF36" i="1"/>
  <c r="AF56" i="1"/>
  <c r="AF97" i="1"/>
  <c r="AF120" i="1"/>
  <c r="AF127" i="1"/>
  <c r="AF134" i="1"/>
  <c r="AF155" i="1"/>
  <c r="AF195" i="1"/>
  <c r="AF211" i="1"/>
  <c r="AF217" i="1"/>
  <c r="AF58" i="1"/>
  <c r="AF189" i="1"/>
  <c r="AF11" i="1"/>
  <c r="AF45" i="1"/>
  <c r="AF116" i="1"/>
  <c r="AF143" i="1"/>
  <c r="AF201" i="1"/>
  <c r="AF6" i="1"/>
  <c r="AF27" i="1"/>
  <c r="AF32" i="1"/>
  <c r="AF41" i="1"/>
  <c r="AF70" i="1"/>
  <c r="AF108" i="1"/>
  <c r="AF141" i="1"/>
  <c r="AF204" i="1"/>
  <c r="AF218" i="1"/>
  <c r="AF53" i="1"/>
  <c r="AF77" i="1"/>
  <c r="AF100" i="1"/>
  <c r="AF198" i="1"/>
  <c r="AF4" i="1"/>
  <c r="AF17" i="1"/>
  <c r="AF34" i="1"/>
  <c r="AF55" i="1"/>
  <c r="AF69" i="1"/>
  <c r="AF91" i="1"/>
  <c r="AF109" i="1"/>
  <c r="AF119" i="1"/>
  <c r="AF137" i="1"/>
  <c r="AF161" i="1"/>
  <c r="AF177" i="1"/>
  <c r="AF196" i="1"/>
  <c r="AF216" i="1"/>
  <c r="AF50" i="1"/>
  <c r="AF75" i="1"/>
  <c r="AF98" i="1"/>
  <c r="AF126" i="1"/>
  <c r="AF151" i="1"/>
  <c r="AF173" i="1"/>
  <c r="AF9" i="1"/>
  <c r="AF20" i="1"/>
  <c r="AF43" i="1"/>
  <c r="AF61" i="1"/>
  <c r="AF80" i="1"/>
  <c r="AF112" i="1"/>
  <c r="AF123" i="1"/>
  <c r="AF140" i="1"/>
  <c r="AF154" i="1"/>
  <c r="AF171" i="1"/>
  <c r="AF184" i="1"/>
  <c r="AF206" i="1"/>
  <c r="AF25" i="1"/>
  <c r="AF48" i="1"/>
  <c r="AF73" i="1"/>
  <c r="AF94" i="1"/>
  <c r="AF124" i="1"/>
  <c r="AF148" i="1"/>
  <c r="AF170" i="1"/>
  <c r="AF193" i="1"/>
  <c r="AF214" i="1"/>
  <c r="AF15" i="1"/>
  <c r="AF28" i="1"/>
  <c r="AF52" i="1"/>
  <c r="AF66" i="1"/>
  <c r="AF89" i="1"/>
  <c r="AF106" i="1"/>
  <c r="AF132" i="1"/>
  <c r="AF149" i="1"/>
  <c r="AF175" i="1"/>
  <c r="AF194" i="1"/>
  <c r="AF212" i="1"/>
  <c r="AF128" i="1"/>
  <c r="AF67" i="1"/>
  <c r="AF117" i="1"/>
  <c r="AF142" i="1"/>
  <c r="AF165" i="1"/>
  <c r="AF113" i="1"/>
  <c r="AF129" i="1"/>
  <c r="AF10" i="1"/>
  <c r="AF38" i="1"/>
  <c r="AF65" i="1"/>
  <c r="AF85" i="1"/>
  <c r="AF115" i="1"/>
  <c r="AF136" i="1"/>
  <c r="AF163" i="1"/>
  <c r="AF186" i="1"/>
  <c r="AF207" i="1"/>
  <c r="AF16" i="1"/>
  <c r="AF33" i="1"/>
  <c r="AF54" i="1"/>
  <c r="AF68" i="1"/>
  <c r="AF90" i="1"/>
  <c r="AF107" i="1"/>
  <c r="AF118" i="1"/>
  <c r="AF176" i="1"/>
  <c r="AF215" i="1"/>
  <c r="AF30" i="1"/>
  <c r="AF153" i="1"/>
  <c r="AF13" i="1"/>
  <c r="AF42" i="1"/>
  <c r="AF188" i="1"/>
  <c r="AF12" i="1"/>
  <c r="AF23" i="1"/>
  <c r="AF44" i="1"/>
  <c r="AF62" i="1"/>
  <c r="AF86" i="1"/>
  <c r="AF101" i="1"/>
  <c r="AF146" i="1"/>
  <c r="AF156" i="1"/>
  <c r="AF185" i="1"/>
  <c r="AF209" i="1"/>
  <c r="AF83" i="1"/>
  <c r="AF105" i="1"/>
  <c r="AF160" i="1"/>
  <c r="AF78" i="1"/>
  <c r="AF96" i="1"/>
  <c r="AF111" i="1"/>
  <c r="AF122" i="1"/>
  <c r="AF139" i="1"/>
  <c r="AF167" i="1"/>
  <c r="AF181" i="1"/>
  <c r="AF205" i="1"/>
</calcChain>
</file>

<file path=xl/sharedStrings.xml><?xml version="1.0" encoding="utf-8"?>
<sst xmlns="http://schemas.openxmlformats.org/spreadsheetml/2006/main" count="1426" uniqueCount="325">
  <si>
    <t>Name</t>
  </si>
  <si>
    <t>QC Average</t>
  </si>
  <si>
    <t>QC CV</t>
  </si>
  <si>
    <t>Group Area: pos-m1c1</t>
  </si>
  <si>
    <t>Group Area: pos-m1c3</t>
  </si>
  <si>
    <t>Group Area: pos-m1c4</t>
  </si>
  <si>
    <t>Group Area: pos-m1c5</t>
  </si>
  <si>
    <t>Group Area: pos-m1c6</t>
  </si>
  <si>
    <t>Group Area: pos-m1c7</t>
  </si>
  <si>
    <t>Group Area: pos-m1c8</t>
  </si>
  <si>
    <t>Group Area: pos-m2c1</t>
  </si>
  <si>
    <t>Group Area: pos-m2c2</t>
  </si>
  <si>
    <t>Group Area: pos-m2c3</t>
  </si>
  <si>
    <t>Group Area: pos-m2c4</t>
  </si>
  <si>
    <t>Group Area: pos-m2c5</t>
  </si>
  <si>
    <t>Group Area: pos-m2c6</t>
  </si>
  <si>
    <t>Group Area: pos-m2c7</t>
  </si>
  <si>
    <t>Group Area: pos-m2c8</t>
  </si>
  <si>
    <t>Group Area: pos-m3c2</t>
  </si>
  <si>
    <t>Group Area: pos-m3c3</t>
  </si>
  <si>
    <t>Group Area: pos-m3c5</t>
  </si>
  <si>
    <t>Group Area: pos-m3c6</t>
  </si>
  <si>
    <t>Group Area: pos-m3c7</t>
  </si>
  <si>
    <t>Group Area: pos-m3c8</t>
  </si>
  <si>
    <t>Group Area: pos-QC1</t>
  </si>
  <si>
    <t>Group Area: pos-QC2</t>
  </si>
  <si>
    <t>Group Area: pos-QC3</t>
  </si>
  <si>
    <t>Group Area: pos-QC4</t>
  </si>
  <si>
    <t>QC Stdev</t>
  </si>
  <si>
    <t>(-)-D-erythro-Sphingosine</t>
  </si>
  <si>
    <t>(-)-Riboflavin</t>
  </si>
  <si>
    <t>(1S)-6,7-Dihydroxy-1-methyl-1,2,3,4-tetrahydro-1-isoquinoliniumcarboxylate</t>
  </si>
  <si>
    <t>(3R,5S)-1-Pyrroline-3-hydroxy-5-carboxylic acid</t>
  </si>
  <si>
    <t>(5E,7E)-9,10-Secocholesta-5,7,10-triene-3,25-diol</t>
  </si>
  <si>
    <t>(6R,10S)-13-[(2R)-6-Hydroxy-2,7,8-trimethyl-3,4-dihydro-2H-chromen-2-yl]-2,6,10-trimethyltridecanoic acid</t>
  </si>
  <si>
    <t>(7Z,10Z,13Z,16Z,19Z)-7,10,13,16,19-Docosapentaenoic acid</t>
  </si>
  <si>
    <t>(E)-2-methyl-2-Pentenedioic acid</t>
  </si>
  <si>
    <t>12-S-Hydroxyeicosatetraenoic acid</t>
  </si>
  <si>
    <t>2-Methylbutyrylglycine</t>
  </si>
  <si>
    <t>2-Methylnicotinamide</t>
  </si>
  <si>
    <t>3-Hydroxyanthranilate</t>
  </si>
  <si>
    <t>4-[(3-Aminopropyl)amino]butanoic acid</t>
  </si>
  <si>
    <t>4-Morpholinylacetic acid</t>
  </si>
  <si>
    <t>5,6-Indolinediol</t>
  </si>
  <si>
    <t>5-amino-Levulinate</t>
  </si>
  <si>
    <t>6-O-Phosphono-alpha-D-glucopyranose</t>
  </si>
  <si>
    <t>Acetylcholine</t>
  </si>
  <si>
    <t>Acetyl-L-carnitine</t>
  </si>
  <si>
    <t>Acetyl-β-methylcholine</t>
  </si>
  <si>
    <t>Adenine</t>
  </si>
  <si>
    <t>Adenosine</t>
  </si>
  <si>
    <t>Adenylthiomethylpentose</t>
  </si>
  <si>
    <t>Adrenaline</t>
  </si>
  <si>
    <t>Asparagine</t>
  </si>
  <si>
    <t>Benzoate ion</t>
  </si>
  <si>
    <t>Carnosine</t>
  </si>
  <si>
    <t>Choline</t>
  </si>
  <si>
    <t>Coumarin</t>
  </si>
  <si>
    <t>Creatine</t>
  </si>
  <si>
    <t>Creatinine</t>
  </si>
  <si>
    <t>Cytidine</t>
  </si>
  <si>
    <t>Cytosine</t>
  </si>
  <si>
    <t>D-(-)-Aspartic acid</t>
  </si>
  <si>
    <t>D-(-)-Leucic acid</t>
  </si>
  <si>
    <t>D-(+)-Pipecolinic acid</t>
  </si>
  <si>
    <t>D-(+)-Proline</t>
  </si>
  <si>
    <t>D-(+)-Pyroglutamic Acid</t>
  </si>
  <si>
    <t>delta-1-Pyrroline-2-carboxylate</t>
  </si>
  <si>
    <t>Dihydroxyindole</t>
  </si>
  <si>
    <t>DL-Glutamine</t>
  </si>
  <si>
    <t>DL-Homoserine</t>
  </si>
  <si>
    <t>DL-Serine</t>
  </si>
  <si>
    <t>DL-Stachydrine</t>
  </si>
  <si>
    <t>DL-Tryptophan</t>
  </si>
  <si>
    <t>Dopamine</t>
  </si>
  <si>
    <t>D-Ornithine</t>
  </si>
  <si>
    <t>Fructoselysine</t>
  </si>
  <si>
    <t>Fructosylglycine</t>
  </si>
  <si>
    <t>gamma-Aminobutyric acid</t>
  </si>
  <si>
    <t>g-Guanidinobutyrate</t>
  </si>
  <si>
    <t>Glycerophosphocholine</t>
  </si>
  <si>
    <t>Glycine</t>
  </si>
  <si>
    <t>Guanine</t>
  </si>
  <si>
    <t>Histamine</t>
  </si>
  <si>
    <t>Hypoxanthine</t>
  </si>
  <si>
    <t>L(-)-Carnitine</t>
  </si>
  <si>
    <t>L-(-)-Methionine</t>
  </si>
  <si>
    <t>L-Fucopyranose 1-phosphate</t>
  </si>
  <si>
    <t>L-Glutamic acid</t>
  </si>
  <si>
    <t>L-Histidine</t>
  </si>
  <si>
    <t>L-Isoleucine</t>
  </si>
  <si>
    <t>L-Phenylalanine</t>
  </si>
  <si>
    <t>L-Tyrosine</t>
  </si>
  <si>
    <t>N3,N4-Dimethyl-L-arginine</t>
  </si>
  <si>
    <t>N6,N6,N6-Trimethyl-L-lysine</t>
  </si>
  <si>
    <t>N8-Acetylspermidine</t>
  </si>
  <si>
    <t>N-Acetylneuraminic acid</t>
  </si>
  <si>
    <t>N-Benzylformamide</t>
  </si>
  <si>
    <t>n-Glycyl-DL-leucine</t>
  </si>
  <si>
    <t>Nicotinamide</t>
  </si>
  <si>
    <t>N-methylethanolamine phosphate</t>
  </si>
  <si>
    <t>N-Methylimidazoleacetic acid</t>
  </si>
  <si>
    <t>Pipecolic acid</t>
  </si>
  <si>
    <t>Pirbuterol</t>
  </si>
  <si>
    <t>Prolylleucine</t>
  </si>
  <si>
    <t>Pseudoecgonine</t>
  </si>
  <si>
    <t>Taurine</t>
  </si>
  <si>
    <t>Taurocholic acid</t>
  </si>
  <si>
    <t>Thymidine</t>
  </si>
  <si>
    <t>Thymine</t>
  </si>
  <si>
    <t>trans-3-Indoleacrylic acid</t>
  </si>
  <si>
    <t>Trigonelline</t>
  </si>
  <si>
    <t>Trimethylamine N-oxide</t>
  </si>
  <si>
    <t>Tyramine</t>
  </si>
  <si>
    <t>Uracil</t>
  </si>
  <si>
    <t>Urea</t>
  </si>
  <si>
    <t>Xanthine</t>
  </si>
  <si>
    <t>Xanthosine</t>
  </si>
  <si>
    <t>Xanthurenic acid</t>
  </si>
  <si>
    <t>1,5-Anhydro-D-glucitol</t>
  </si>
  <si>
    <t>16-Hydroxyhexadecanoic acid</t>
  </si>
  <si>
    <t>3-Deoxy-D-glycero-D-galacto-2-nonulosonic Acid</t>
  </si>
  <si>
    <t>3-O-beta-D-Galactosyl-sn-glycerol</t>
  </si>
  <si>
    <t>4-Oxoproline</t>
  </si>
  <si>
    <t>5,5-Dimethylhydantoin</t>
  </si>
  <si>
    <t>alpha-D-Mannopyranose</t>
  </si>
  <si>
    <t>D-(-)-Glutamine</t>
  </si>
  <si>
    <t>D-Glucose 6-phosphate</t>
  </si>
  <si>
    <t>DL-Malic acid</t>
  </si>
  <si>
    <t>D-α-Hydroxyglutaric acid</t>
  </si>
  <si>
    <t>Ethyl myristate</t>
  </si>
  <si>
    <t>Gluconic acid</t>
  </si>
  <si>
    <t>L-Aspartic acid</t>
  </si>
  <si>
    <t>Linoleic acid</t>
  </si>
  <si>
    <t>L-Threonic acid</t>
  </si>
  <si>
    <t>N-Acetyl-L-seryl-L-aspartic acid</t>
  </si>
  <si>
    <t>Oleic acid</t>
  </si>
  <si>
    <t>Ornithine</t>
  </si>
  <si>
    <t>Pantothenic acid</t>
  </si>
  <si>
    <t>Pentonic acid</t>
  </si>
  <si>
    <t>Pseudouridine</t>
  </si>
  <si>
    <t>Stachyose</t>
  </si>
  <si>
    <t>Uridine</t>
  </si>
  <si>
    <t>Leucic acid</t>
  </si>
  <si>
    <t>Pipecolinic acid</t>
  </si>
  <si>
    <t>Proline</t>
  </si>
  <si>
    <t>Pyroglutamic Acid</t>
  </si>
  <si>
    <t>Carnitine</t>
  </si>
  <si>
    <t>Glutamine</t>
  </si>
  <si>
    <t>Homoserine</t>
  </si>
  <si>
    <t>Malic acid</t>
  </si>
  <si>
    <t>Serine</t>
  </si>
  <si>
    <t>Stachydrine</t>
  </si>
  <si>
    <t>Tryptophan</t>
  </si>
  <si>
    <t>α-Hydroxyglutaric acid</t>
  </si>
  <si>
    <t>Methionine</t>
  </si>
  <si>
    <t>Glutamic acid</t>
  </si>
  <si>
    <t>2-Aminoadipic acid</t>
  </si>
  <si>
    <t>Aspartic acid</t>
  </si>
  <si>
    <t>Fucopyranose 1-phosphate</t>
  </si>
  <si>
    <t>Histidine</t>
  </si>
  <si>
    <t>Isoleucine</t>
  </si>
  <si>
    <t>Phenylalanine</t>
  </si>
  <si>
    <t>Threonic acid</t>
  </si>
  <si>
    <t>Tyrosine</t>
  </si>
  <si>
    <t>Valine</t>
  </si>
  <si>
    <t>D-erythro-Sphingosine</t>
  </si>
  <si>
    <t>Riboflavin</t>
  </si>
  <si>
    <t>Bio Average</t>
  </si>
  <si>
    <t>(S)-(-)-Pipecolic acid</t>
  </si>
  <si>
    <t>1-{5-O-[Hydroxy(phosphonooxy)phosphoryl]pentofuranosyl}-2,4(1H,3H)-pyrimidinedione</t>
  </si>
  <si>
    <t>2-Oxoisovalerate</t>
  </si>
  <si>
    <t>3(S)6(R)-dihydroxy-tetradec-8Zenoate</t>
  </si>
  <si>
    <t>3-deoxy-D-glycero-beta-D-galacto-nonulosonic acid 9-phosphate</t>
  </si>
  <si>
    <t>3-Hydroxybenzoic acid</t>
  </si>
  <si>
    <t>3-Methyladenine</t>
  </si>
  <si>
    <t>3-Methylhistidine</t>
  </si>
  <si>
    <t>4,6-Quinolinediol</t>
  </si>
  <si>
    <t>4-Fluoro acrylfentanyl</t>
  </si>
  <si>
    <t>Acetylphosphate</t>
  </si>
  <si>
    <t>Adenosine 5'-monophosphate</t>
  </si>
  <si>
    <t>Adenosine diphosphate (ADP)</t>
  </si>
  <si>
    <t>alpha-D-Fructofuranose 1,6-bisphosphate</t>
  </si>
  <si>
    <t>Betaine</t>
  </si>
  <si>
    <t>Cyromazine</t>
  </si>
  <si>
    <t>Cysteinylglycine</t>
  </si>
  <si>
    <t>Dehydroalanine</t>
  </si>
  <si>
    <t>Deoxyguanosine monophosphate</t>
  </si>
  <si>
    <t>Deoxyuridine monophosphate</t>
  </si>
  <si>
    <t>D-Glucosamine-6-phosphate</t>
  </si>
  <si>
    <t>D-Glucurono-6,3-lactone</t>
  </si>
  <si>
    <t>Dihydrothymine</t>
  </si>
  <si>
    <t>DL-Arginine</t>
  </si>
  <si>
    <t>DL-Dipalmitoylphosphatidylcholine</t>
  </si>
  <si>
    <t>dl-Perillaldehyde</t>
  </si>
  <si>
    <t>GDP-alpha-D-mannose</t>
  </si>
  <si>
    <t>Glycerol 3-phosphate</t>
  </si>
  <si>
    <t>Guanosine 5'-diphosphate (GDP)</t>
  </si>
  <si>
    <t>Guanosine monophosphate</t>
  </si>
  <si>
    <t>Guanosine triphosphate</t>
  </si>
  <si>
    <t>Hexanoylcarnitine</t>
  </si>
  <si>
    <t>Hypoxanthin</t>
  </si>
  <si>
    <t>Imidazole-4-acetaldehyde</t>
  </si>
  <si>
    <t>L(+)-Ornithine</t>
  </si>
  <si>
    <t>L-(+)-Valine</t>
  </si>
  <si>
    <t>L-Anserine (beta-alanyl-N-methylhistidine) (nitrate salt)</t>
  </si>
  <si>
    <t>L-Ergothioneine</t>
  </si>
  <si>
    <t>L-Glutathione (reduced)</t>
  </si>
  <si>
    <t>L-Glutathione oxidized</t>
  </si>
  <si>
    <t>L-Tryptophan</t>
  </si>
  <si>
    <t>Methyl 3-indolyacetate</t>
  </si>
  <si>
    <t>N,N-Dimethylglycine</t>
  </si>
  <si>
    <t>N-Methylhistamine</t>
  </si>
  <si>
    <t>Palmitoyl sphingomyelin</t>
  </si>
  <si>
    <t>Palmitoylcarnitine</t>
  </si>
  <si>
    <t>Phenylacetaldehyde</t>
  </si>
  <si>
    <t>Phosphoenolpyruvic acid</t>
  </si>
  <si>
    <t>PLK</t>
  </si>
  <si>
    <t>Propionylcarnitine</t>
  </si>
  <si>
    <t>Serotonin</t>
  </si>
  <si>
    <t>Thiamine</t>
  </si>
  <si>
    <t>Thiothixene</t>
  </si>
  <si>
    <t>Uridine 5'-triphosphate</t>
  </si>
  <si>
    <t>Valdecoxib</t>
  </si>
  <si>
    <t>Valpromide</t>
  </si>
  <si>
    <t>(9E,11E)-13-Hydroperoxy-9,11-octadecadienoic acid</t>
  </si>
  <si>
    <t>11(E)-Eicosenoic Acid</t>
  </si>
  <si>
    <t>14-hydroxymyristic acid</t>
  </si>
  <si>
    <t>2,3-Bisphospho-D-glyceric acid</t>
  </si>
  <si>
    <t>2'-Deoxyguanosine 5'-monophosphate (dGMP)</t>
  </si>
  <si>
    <t>2-Oxoglutaric acid</t>
  </si>
  <si>
    <t>3-Decyldihydro-2,5-furandione</t>
  </si>
  <si>
    <t>3-Phosphoglyceric acid</t>
  </si>
  <si>
    <t>6-O-Phosphonato-D-gluconate</t>
  </si>
  <si>
    <t>Adenosine diphosphate</t>
  </si>
  <si>
    <t>Adenosine diphosphate ribose</t>
  </si>
  <si>
    <t>Adenosine triphosphate (ATP)</t>
  </si>
  <si>
    <t>ADP-alpha-D-mannose</t>
  </si>
  <si>
    <t>alpha-Ketoadipic acid</t>
  </si>
  <si>
    <t>Arachidonic acid</t>
  </si>
  <si>
    <t>Citric acid</t>
  </si>
  <si>
    <t>CMP-2-aminoethylphosphonate</t>
  </si>
  <si>
    <t>D-(-)-Mannitol</t>
  </si>
  <si>
    <t>Deoxyguanosine diphosphate (dGDP)</t>
  </si>
  <si>
    <t>Deoxyuridine</t>
  </si>
  <si>
    <t>Diphosphate</t>
  </si>
  <si>
    <t>DL-4-Hydroxyphenyllactic acid</t>
  </si>
  <si>
    <t>Docosahexaenoic acid</t>
  </si>
  <si>
    <t>D-ribose 5-phosphate</t>
  </si>
  <si>
    <t>D-Ribose-1-phosphate</t>
  </si>
  <si>
    <t>D-Saccharic acid</t>
  </si>
  <si>
    <t>D-Sedoheptulose 7-phosphate</t>
  </si>
  <si>
    <t>gamma-L-Glutamyl-L-cysteine</t>
  </si>
  <si>
    <t>Glutathione</t>
  </si>
  <si>
    <t>Guanosine monophosphate (GMP)</t>
  </si>
  <si>
    <t>Hexanoylglycine</t>
  </si>
  <si>
    <t>Indoxyl sulfate</t>
  </si>
  <si>
    <t>Inosine</t>
  </si>
  <si>
    <t>Inosinic acid</t>
  </si>
  <si>
    <t>Itaconic acid</t>
  </si>
  <si>
    <t>L-Cysteine-S-sulfate</t>
  </si>
  <si>
    <t>Myristic acid</t>
  </si>
  <si>
    <t>N-Isovalerylglycine</t>
  </si>
  <si>
    <t>Palmitoleic acid</t>
  </si>
  <si>
    <t>Pentadecanoate</t>
  </si>
  <si>
    <t>Phenylacetylglycine</t>
  </si>
  <si>
    <t>UDP-alpha-D-glucuronic acid</t>
  </si>
  <si>
    <t>UDP-N-acetyl-D-galactosamine</t>
  </si>
  <si>
    <t>Uric acid</t>
  </si>
  <si>
    <t>Uridine diphosphate glucose</t>
  </si>
  <si>
    <t>α-D-Glucose-1,6-bisphosphate</t>
  </si>
  <si>
    <t>Mannitol</t>
  </si>
  <si>
    <t>Glucosamine-6-phosphate</t>
  </si>
  <si>
    <t>Glucose 6-phosphate</t>
  </si>
  <si>
    <t>Glucurono-6,3-lactone</t>
  </si>
  <si>
    <t>4-Hydroxyphenyllactic acid</t>
  </si>
  <si>
    <t>Arginine</t>
  </si>
  <si>
    <t>Dipalmitoylphosphatidylcholine</t>
  </si>
  <si>
    <t>Perillaldehyde</t>
  </si>
  <si>
    <t>Ribose-1-phosphate</t>
  </si>
  <si>
    <t>Ribose 5-phosphate</t>
  </si>
  <si>
    <t>Saccharic acid</t>
  </si>
  <si>
    <t>Sedoheptulose 7-phosphate</t>
  </si>
  <si>
    <t>Anserine (beta-alanyl-N-methylhistidine) (nitrate salt)</t>
  </si>
  <si>
    <t>Cysteine-S-sulfate</t>
  </si>
  <si>
    <t>Ergothioneine</t>
  </si>
  <si>
    <t>Glutathione (reduced)</t>
  </si>
  <si>
    <t>Glutathione oxidized</t>
  </si>
  <si>
    <t>m1c1</t>
  </si>
  <si>
    <t>m1c3</t>
  </si>
  <si>
    <t>m1c4</t>
  </si>
  <si>
    <t>m1c5</t>
  </si>
  <si>
    <t>m1c6</t>
  </si>
  <si>
    <t>m1c7</t>
  </si>
  <si>
    <t>m1c8</t>
  </si>
  <si>
    <t>m2c1</t>
  </si>
  <si>
    <t>m2c2</t>
  </si>
  <si>
    <t>m2c3</t>
  </si>
  <si>
    <t>m2c4</t>
  </si>
  <si>
    <t>m2c5</t>
  </si>
  <si>
    <t>m2c6</t>
  </si>
  <si>
    <t>m2c7</t>
  </si>
  <si>
    <t>m2c8</t>
  </si>
  <si>
    <t>m3c2</t>
  </si>
  <si>
    <t>m3c3</t>
  </si>
  <si>
    <t>m3c5</t>
  </si>
  <si>
    <t>m3c6</t>
  </si>
  <si>
    <t>m3c7</t>
  </si>
  <si>
    <t>m3c8</t>
  </si>
  <si>
    <t>Blautia obeum</t>
  </si>
  <si>
    <t>Blautia massiliensis</t>
  </si>
  <si>
    <t>Agathobacter rectalis</t>
  </si>
  <si>
    <t>PBS</t>
  </si>
  <si>
    <t>Group</t>
  </si>
  <si>
    <t>t test</t>
  </si>
  <si>
    <t>p value</t>
  </si>
  <si>
    <t>Rank</t>
  </si>
  <si>
    <t>FDR-adjusted</t>
  </si>
  <si>
    <t>Fold change</t>
  </si>
  <si>
    <t>P (two-tailed)</t>
  </si>
  <si>
    <t>&lt;0.0001</t>
  </si>
  <si>
    <t>Significant? (alpha = 0.05)</t>
  </si>
  <si>
    <t>Yes</t>
  </si>
  <si>
    <t>Metabolite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</si>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</sst>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242424"/>
      <name val="Calibri"/>
      <family val="2"/>
      <charset val="1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FFFF00"/>
        <bgColor indexed="64"/>
      </patternFill>
    </fill>
    <fill>
      <patternFill patternType="solid">
        <f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2" fontId="0" fillId="0" borderId="1" xfId="0" applyNumberFormat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2" fontId="0" fillId="2" borderId="1" xfId="0" applyNumberFormat="1" applyFill="1" applyBorder="1"/>
    <xf numFmtId="2" fontId="0" fillId="4" borderId="1" xfId="0" applyNumberFormat="1" applyFill="1" applyBorder="1"/>
    <xf numFmtId="2" fontId="0" fillId="3" borderId="1" xfId="0" applyNumberFormat="1" applyFill="1" applyBorder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0" fillId="2" borderId="2" xfId="0" applyFill="1" applyBorder="1"/>
    <xf numFmtId="0" fontId="0" fillId="4" borderId="0" xfId="0" applyFill="1"/>
    <xf numFmtId="0" fontId="2" fillId="3" borderId="1" xfId="0" applyFont="1" applyFill="1" applyBorder="1"/>
    <xf numFmtId="0" fontId="1" fillId="3" borderId="1" xfId="0" applyFont="1" applyFill="1" applyBorder="1"/>
    <xf numFmtId="0" fontId="0" fillId="4" borderId="3" xfId="0" applyFill="1" applyBorder="1"/>
    <xf numFmtId="0" fontId="0" fillId="0" borderId="3" xfId="0" applyBorder="1"/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8"/>
  <sheetViews>
    <sheetView topLeftCell="A73" workbookViewId="0">
      <selection activeCell="H79" sqref="H79"/>
    </sheetView>
  </sheetViews>
  <sheetFormatPr defaultRowHeight="14.25" x14ac:dyDescent="0.45"/>
  <cols>
    <col min="1" max="1" width="26.265625" customWidth="1"/>
    <col min="2" max="3" width="13.265625" bestFit="1" customWidth="1"/>
  </cols>
  <sheetData>
    <row r="1" spans="1:32" x14ac:dyDescent="0.45">
      <c r="A1" s="1" t="s">
        <v>0</v>
      </c>
      <c r="B1" s="2" t="s">
        <v>168</v>
      </c>
      <c r="C1" s="6" t="s">
        <v>1</v>
      </c>
      <c r="D1" s="6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4" t="s">
        <v>1</v>
      </c>
      <c r="AE1" s="4" t="s">
        <v>28</v>
      </c>
      <c r="AF1" s="4" t="s">
        <v>2</v>
      </c>
    </row>
    <row r="2" spans="1:32" x14ac:dyDescent="0.45">
      <c r="A2" s="5" t="s">
        <v>29</v>
      </c>
      <c r="B2" s="2">
        <f t="shared" ref="B2:B65" si="0">AVERAGE(E2:Y2)</f>
        <v>593834.09671164455</v>
      </c>
      <c r="C2" s="7">
        <v>551823.63863924402</v>
      </c>
      <c r="D2" s="8">
        <v>3.1740377448253726E-2</v>
      </c>
      <c r="E2" s="5">
        <v>205605.93660630801</v>
      </c>
      <c r="F2" s="5">
        <v>1070866.0445916101</v>
      </c>
      <c r="G2" s="5">
        <v>288842.34872449999</v>
      </c>
      <c r="H2" s="5">
        <v>343793.01022169401</v>
      </c>
      <c r="I2" s="5">
        <v>196905.952132062</v>
      </c>
      <c r="J2" s="5">
        <v>1312930.77461721</v>
      </c>
      <c r="K2" s="5">
        <v>1824539.0037994001</v>
      </c>
      <c r="L2" s="5">
        <v>239578.87456723899</v>
      </c>
      <c r="M2" s="5">
        <v>244671.77133692999</v>
      </c>
      <c r="N2" s="5">
        <v>1241490.91571671</v>
      </c>
      <c r="O2" s="5">
        <v>422257.798333983</v>
      </c>
      <c r="P2" s="5">
        <v>1377433.53521947</v>
      </c>
      <c r="Q2" s="5">
        <v>416983.82036728301</v>
      </c>
      <c r="R2" s="5">
        <v>277910.64990814799</v>
      </c>
      <c r="S2" s="5">
        <v>247380.662506222</v>
      </c>
      <c r="T2" s="5">
        <v>252763.71510894399</v>
      </c>
      <c r="U2" s="5">
        <v>200437.62335706799</v>
      </c>
      <c r="V2" s="5">
        <v>237458.40731594001</v>
      </c>
      <c r="W2" s="5">
        <v>837986.22938976798</v>
      </c>
      <c r="X2" s="5">
        <v>936753.536658881</v>
      </c>
      <c r="Y2" s="5">
        <v>293925.42046516301</v>
      </c>
      <c r="Z2" s="5">
        <v>557127.25213992503</v>
      </c>
      <c r="AA2" s="5">
        <v>566264.13234765502</v>
      </c>
      <c r="AB2" s="5">
        <v>557584.30927155598</v>
      </c>
      <c r="AC2" s="5">
        <v>526318.86079784005</v>
      </c>
      <c r="AD2">
        <f t="shared" ref="AD2:AD65" si="1">AVERAGE(Z2:AC2)</f>
        <v>551823.63863924402</v>
      </c>
      <c r="AE2">
        <f t="shared" ref="AE2:AE65" si="2">STDEV(Z2:AC2)</f>
        <v>17515.090575278373</v>
      </c>
      <c r="AF2">
        <f t="shared" ref="AF2:AF65" si="3">AE2/AD2</f>
        <v>3.1740377448253726E-2</v>
      </c>
    </row>
    <row r="3" spans="1:32" x14ac:dyDescent="0.45">
      <c r="A3" s="5" t="s">
        <v>30</v>
      </c>
      <c r="B3" s="2">
        <f t="shared" si="0"/>
        <v>524419.57657300681</v>
      </c>
      <c r="C3" s="7">
        <v>542169.3607431422</v>
      </c>
      <c r="D3" s="8">
        <v>5.2414708589991962E-2</v>
      </c>
      <c r="E3" s="5">
        <v>599129.30207266903</v>
      </c>
      <c r="F3" s="5">
        <v>417323.34814908402</v>
      </c>
      <c r="G3" s="5">
        <v>445090.18964758201</v>
      </c>
      <c r="H3" s="5">
        <v>731324.14773152303</v>
      </c>
      <c r="I3" s="5">
        <v>421684.06353716698</v>
      </c>
      <c r="J3" s="5">
        <v>384306.64502244099</v>
      </c>
      <c r="K3" s="5">
        <v>632517.11432803306</v>
      </c>
      <c r="L3" s="5">
        <v>445525.18831825297</v>
      </c>
      <c r="M3" s="5">
        <v>625957.79852409195</v>
      </c>
      <c r="N3" s="5">
        <v>603860.79625073902</v>
      </c>
      <c r="O3" s="5">
        <v>384895.13739376899</v>
      </c>
      <c r="P3" s="5">
        <v>546700.79581396806</v>
      </c>
      <c r="Q3" s="5">
        <v>614879.33147478302</v>
      </c>
      <c r="R3" s="5">
        <v>442119.13449286798</v>
      </c>
      <c r="S3" s="5">
        <v>500357.76274992601</v>
      </c>
      <c r="T3" s="5">
        <v>523101.89131681802</v>
      </c>
      <c r="U3" s="5">
        <v>640919.49215007597</v>
      </c>
      <c r="V3" s="5">
        <v>586995.64045716706</v>
      </c>
      <c r="W3" s="5">
        <v>400397.75391821901</v>
      </c>
      <c r="X3" s="5">
        <v>416179.963934328</v>
      </c>
      <c r="Y3" s="5">
        <v>649545.61074963596</v>
      </c>
      <c r="Z3" s="5">
        <v>555294.57835449895</v>
      </c>
      <c r="AA3" s="5">
        <v>536131.25172474503</v>
      </c>
      <c r="AB3" s="5">
        <v>505543.75179024303</v>
      </c>
      <c r="AC3" s="5">
        <v>571707.86110308196</v>
      </c>
      <c r="AD3">
        <f t="shared" si="1"/>
        <v>542169.3607431422</v>
      </c>
      <c r="AE3">
        <f t="shared" si="2"/>
        <v>28417.649049774027</v>
      </c>
      <c r="AF3">
        <f t="shared" si="3"/>
        <v>5.2414708589991962E-2</v>
      </c>
    </row>
    <row r="4" spans="1:32" x14ac:dyDescent="0.45">
      <c r="A4" s="5" t="s">
        <v>31</v>
      </c>
      <c r="B4" s="2">
        <f t="shared" si="0"/>
        <v>1322898.4025224887</v>
      </c>
      <c r="C4" s="2">
        <v>1131378.4164413302</v>
      </c>
      <c r="D4" s="2">
        <v>6.4233139893711932E-2</v>
      </c>
      <c r="E4" s="5">
        <v>1476676.5265573601</v>
      </c>
      <c r="F4" s="5">
        <v>713576.68241191201</v>
      </c>
      <c r="G4" s="5">
        <v>1490779.45605725</v>
      </c>
      <c r="H4" s="5">
        <v>3257126.1328528798</v>
      </c>
      <c r="I4" s="5">
        <v>770026.11606018501</v>
      </c>
      <c r="J4" s="5">
        <v>669037.312583033</v>
      </c>
      <c r="K4" s="5">
        <v>544355.83574495104</v>
      </c>
      <c r="L4" s="5">
        <v>1522182.0821954</v>
      </c>
      <c r="M4" s="5">
        <v>1465726.6199840801</v>
      </c>
      <c r="N4" s="5">
        <v>472668.95523978001</v>
      </c>
      <c r="O4" s="5">
        <v>1304600.4933710799</v>
      </c>
      <c r="P4" s="5">
        <v>759491.39263611299</v>
      </c>
      <c r="Q4" s="5">
        <v>2983280.7045652</v>
      </c>
      <c r="R4" s="5">
        <v>1590867.9206330799</v>
      </c>
      <c r="S4" s="5">
        <v>1577552.4856292501</v>
      </c>
      <c r="T4" s="5">
        <v>1213189.5318680401</v>
      </c>
      <c r="U4" s="5">
        <v>1677257.95389162</v>
      </c>
      <c r="V4" s="5">
        <v>1526032.5428440101</v>
      </c>
      <c r="W4" s="5">
        <v>622938.61464211799</v>
      </c>
      <c r="X4" s="5">
        <v>684085.05521857098</v>
      </c>
      <c r="Y4" s="5">
        <v>1459414.03798635</v>
      </c>
      <c r="Z4" s="5">
        <v>1040879.8020134</v>
      </c>
      <c r="AA4" s="5">
        <v>1150565.82641495</v>
      </c>
      <c r="AB4" s="5">
        <v>1215731.3168802101</v>
      </c>
      <c r="AC4" s="5">
        <v>1118336.7204567599</v>
      </c>
      <c r="AD4">
        <f t="shared" si="1"/>
        <v>1131378.4164413302</v>
      </c>
      <c r="AE4">
        <f t="shared" si="2"/>
        <v>72671.988096002242</v>
      </c>
      <c r="AF4">
        <f t="shared" si="3"/>
        <v>6.4233139893711932E-2</v>
      </c>
    </row>
    <row r="5" spans="1:32" x14ac:dyDescent="0.45">
      <c r="A5" s="5" t="s">
        <v>32</v>
      </c>
      <c r="B5" s="2">
        <f t="shared" si="0"/>
        <v>6613662.4621258676</v>
      </c>
      <c r="C5" s="7">
        <v>5255248.1994493129</v>
      </c>
      <c r="D5" s="8">
        <v>2.5542112049883391E-2</v>
      </c>
      <c r="E5" s="5">
        <v>5955574.0091102198</v>
      </c>
      <c r="F5" s="5">
        <v>3618657.5184054002</v>
      </c>
      <c r="G5" s="5">
        <v>3350758.26096544</v>
      </c>
      <c r="H5" s="5">
        <v>4494686.5999426702</v>
      </c>
      <c r="I5" s="5">
        <v>6945649.0422506304</v>
      </c>
      <c r="J5" s="5">
        <v>4297551.77348522</v>
      </c>
      <c r="K5" s="5">
        <v>2307523.4558699499</v>
      </c>
      <c r="L5" s="5">
        <v>11654823.6933263</v>
      </c>
      <c r="M5" s="5">
        <v>10413748.9222726</v>
      </c>
      <c r="N5" s="5">
        <v>4276793.6044338103</v>
      </c>
      <c r="O5" s="5">
        <v>5518695.0713729504</v>
      </c>
      <c r="P5" s="5">
        <v>3179763.6814608299</v>
      </c>
      <c r="Q5" s="5">
        <v>3162619.3360498501</v>
      </c>
      <c r="R5" s="5">
        <v>8250820.6664532796</v>
      </c>
      <c r="S5" s="5">
        <v>16367578.1246485</v>
      </c>
      <c r="T5" s="5">
        <v>5484010.7566808304</v>
      </c>
      <c r="U5" s="5">
        <v>7718745.7338965302</v>
      </c>
      <c r="V5" s="5">
        <v>9905091.5382710509</v>
      </c>
      <c r="W5" s="5">
        <v>6007652.2157618897</v>
      </c>
      <c r="X5" s="5">
        <v>3725300.0864480701</v>
      </c>
      <c r="Y5" s="5">
        <v>12250867.6135372</v>
      </c>
      <c r="Z5" s="5">
        <v>5102456.0544727603</v>
      </c>
      <c r="AA5" s="5">
        <v>5194200.1191761997</v>
      </c>
      <c r="AB5" s="5">
        <v>5407539.34630128</v>
      </c>
      <c r="AC5" s="5">
        <v>5316797.2778470097</v>
      </c>
      <c r="AD5">
        <f t="shared" si="1"/>
        <v>5255248.1994493129</v>
      </c>
      <c r="AE5">
        <f t="shared" si="2"/>
        <v>134230.13836028229</v>
      </c>
      <c r="AF5">
        <f t="shared" si="3"/>
        <v>2.5542112049883391E-2</v>
      </c>
    </row>
    <row r="6" spans="1:32" x14ac:dyDescent="0.45">
      <c r="A6" s="5" t="s">
        <v>33</v>
      </c>
      <c r="B6" s="2">
        <f t="shared" si="0"/>
        <v>225323.6056708027</v>
      </c>
      <c r="C6" s="7">
        <v>216108.78826209001</v>
      </c>
      <c r="D6" s="8">
        <v>0.21321134158966759</v>
      </c>
      <c r="E6" s="5">
        <v>75773.768313098903</v>
      </c>
      <c r="F6" s="5">
        <v>339474.34646076697</v>
      </c>
      <c r="G6" s="5">
        <v>143205.75749941001</v>
      </c>
      <c r="H6" s="5">
        <v>140197.62532920801</v>
      </c>
      <c r="I6" s="5">
        <v>81860.640702230696</v>
      </c>
      <c r="J6" s="5">
        <v>484792.97308886697</v>
      </c>
      <c r="K6" s="5">
        <v>222209.18365625001</v>
      </c>
      <c r="L6" s="5">
        <v>130528.164016775</v>
      </c>
      <c r="M6" s="5">
        <v>131450.23865660801</v>
      </c>
      <c r="N6" s="5">
        <v>406172.69360945001</v>
      </c>
      <c r="O6" s="5">
        <v>77000.677306619298</v>
      </c>
      <c r="P6" s="5">
        <v>278767.83433546301</v>
      </c>
      <c r="Q6" s="5">
        <v>308756.02415917499</v>
      </c>
      <c r="R6" s="5">
        <v>114207.792471272</v>
      </c>
      <c r="S6" s="5">
        <v>166441.683452439</v>
      </c>
      <c r="T6" s="5">
        <v>118836.13096765</v>
      </c>
      <c r="U6" s="5">
        <v>198644.369650307</v>
      </c>
      <c r="V6" s="5">
        <v>118127.304486918</v>
      </c>
      <c r="W6" s="5">
        <v>585237.82918688306</v>
      </c>
      <c r="X6" s="5">
        <v>434577.59532338299</v>
      </c>
      <c r="Y6" s="5">
        <v>175533.08641408299</v>
      </c>
      <c r="Z6" s="5">
        <v>154438.16601692501</v>
      </c>
      <c r="AA6" s="5">
        <v>265441.54489455197</v>
      </c>
      <c r="AB6" s="5">
        <v>227575.308090896</v>
      </c>
      <c r="AC6" s="5">
        <v>216980.13404598701</v>
      </c>
      <c r="AD6">
        <f t="shared" si="1"/>
        <v>216108.78826209001</v>
      </c>
      <c r="AE6">
        <f t="shared" si="2"/>
        <v>46076.844674677617</v>
      </c>
      <c r="AF6">
        <f t="shared" si="3"/>
        <v>0.21321134158966759</v>
      </c>
    </row>
    <row r="7" spans="1:32" x14ac:dyDescent="0.45">
      <c r="A7" s="5" t="s">
        <v>34</v>
      </c>
      <c r="B7" s="2">
        <f t="shared" si="0"/>
        <v>412033.93504176714</v>
      </c>
      <c r="C7" s="2">
        <v>334881.96509509673</v>
      </c>
      <c r="D7" s="2">
        <v>9.4158207602399388E-2</v>
      </c>
      <c r="E7" s="5">
        <v>396520.273123944</v>
      </c>
      <c r="F7" s="5">
        <v>172506.85689853801</v>
      </c>
      <c r="G7" s="5">
        <v>759508.39364517701</v>
      </c>
      <c r="H7" s="5">
        <v>1253553.1355989701</v>
      </c>
      <c r="I7" s="5">
        <v>588195.34507617401</v>
      </c>
      <c r="J7" s="5">
        <v>71370.144779070397</v>
      </c>
      <c r="K7" s="5">
        <v>41283.430103623403</v>
      </c>
      <c r="L7" s="5">
        <v>262487.308182245</v>
      </c>
      <c r="M7" s="5">
        <v>564349.29243476305</v>
      </c>
      <c r="N7" s="5">
        <v>53711.822034664103</v>
      </c>
      <c r="O7" s="5">
        <v>329490.40247346699</v>
      </c>
      <c r="P7" s="5">
        <v>85955.980306401805</v>
      </c>
      <c r="Q7" s="5">
        <v>828193.12168767594</v>
      </c>
      <c r="R7" s="5">
        <v>762790.77432665299</v>
      </c>
      <c r="S7" s="5">
        <v>425802.75931895297</v>
      </c>
      <c r="T7" s="5">
        <v>438476.46509810298</v>
      </c>
      <c r="U7" s="5">
        <v>388605.684998682</v>
      </c>
      <c r="V7" s="5">
        <v>516931.46922606498</v>
      </c>
      <c r="W7" s="5">
        <v>215270.422707313</v>
      </c>
      <c r="X7" s="5">
        <v>156468.283142653</v>
      </c>
      <c r="Y7" s="5">
        <v>341241.27071397402</v>
      </c>
      <c r="Z7" s="5">
        <v>330228.46671655303</v>
      </c>
      <c r="AA7" s="5">
        <v>299709.56985942199</v>
      </c>
      <c r="AB7" s="5">
        <v>376370.08388355398</v>
      </c>
      <c r="AC7" s="5">
        <v>333219.739920858</v>
      </c>
      <c r="AD7">
        <f t="shared" si="1"/>
        <v>334881.96509509673</v>
      </c>
      <c r="AE7">
        <f t="shared" si="2"/>
        <v>31531.885591723585</v>
      </c>
      <c r="AF7">
        <f t="shared" si="3"/>
        <v>9.4158207602399388E-2</v>
      </c>
    </row>
    <row r="8" spans="1:32" x14ac:dyDescent="0.45">
      <c r="A8" s="5" t="s">
        <v>35</v>
      </c>
      <c r="B8" s="2">
        <f t="shared" si="0"/>
        <v>4757228.2944145137</v>
      </c>
      <c r="C8" s="2">
        <v>5032341.7459534351</v>
      </c>
      <c r="D8" s="2">
        <v>0.19146016209129149</v>
      </c>
      <c r="E8" s="5">
        <v>6123254.5799664296</v>
      </c>
      <c r="F8" s="5">
        <v>2286245.49379959</v>
      </c>
      <c r="G8" s="5">
        <v>6415562.0649298904</v>
      </c>
      <c r="H8" s="5">
        <v>6685191.5481969304</v>
      </c>
      <c r="I8" s="5">
        <v>8371288.9457826903</v>
      </c>
      <c r="J8" s="5">
        <v>2495077.6958069401</v>
      </c>
      <c r="K8" s="5">
        <v>1741749.97667357</v>
      </c>
      <c r="L8" s="5">
        <v>6169214.1481798198</v>
      </c>
      <c r="M8" s="5">
        <v>8672737.1121897697</v>
      </c>
      <c r="N8" s="5">
        <v>2349698.3708718098</v>
      </c>
      <c r="O8" s="5">
        <v>5681570.9657432297</v>
      </c>
      <c r="P8" s="5">
        <v>2509658.12121735</v>
      </c>
      <c r="Q8" s="5">
        <v>5014583.8022616804</v>
      </c>
      <c r="R8" s="5">
        <v>4273033.1918038502</v>
      </c>
      <c r="S8" s="5">
        <v>4070045.6744454699</v>
      </c>
      <c r="T8" s="5">
        <v>5979544.61600486</v>
      </c>
      <c r="U8" s="5">
        <v>3126783.1044025999</v>
      </c>
      <c r="V8" s="5">
        <v>6742805.3125887299</v>
      </c>
      <c r="W8" s="5">
        <v>2147635.4116187301</v>
      </c>
      <c r="X8" s="5">
        <v>4098312.5044291802</v>
      </c>
      <c r="Y8" s="5">
        <v>4947801.5417916803</v>
      </c>
      <c r="Z8" s="5">
        <v>5861527.0336951902</v>
      </c>
      <c r="AA8" s="5">
        <v>5785193.0180513104</v>
      </c>
      <c r="AB8" s="5">
        <v>3867690.6441722801</v>
      </c>
      <c r="AC8" s="5">
        <v>4614956.2878949596</v>
      </c>
      <c r="AD8">
        <f t="shared" si="1"/>
        <v>5032341.7459534351</v>
      </c>
      <c r="AE8">
        <f t="shared" si="2"/>
        <v>963492.96637901745</v>
      </c>
      <c r="AF8">
        <f t="shared" si="3"/>
        <v>0.19146016209129149</v>
      </c>
    </row>
    <row r="9" spans="1:32" x14ac:dyDescent="0.45">
      <c r="A9" s="5" t="s">
        <v>225</v>
      </c>
      <c r="B9" s="2">
        <f t="shared" si="0"/>
        <v>1920823.2266532201</v>
      </c>
      <c r="C9" s="2">
        <v>2218962.3927596747</v>
      </c>
      <c r="D9" s="2">
        <v>5.0686840199166333E-2</v>
      </c>
      <c r="E9" s="5">
        <v>1855576.8700371799</v>
      </c>
      <c r="F9" s="5">
        <v>3043905.80920815</v>
      </c>
      <c r="G9" s="5">
        <v>1478429.5298823901</v>
      </c>
      <c r="H9" s="5">
        <v>4111553.95007096</v>
      </c>
      <c r="I9" s="5">
        <v>2022647.4900879399</v>
      </c>
      <c r="J9" s="5">
        <v>1428616.9888282099</v>
      </c>
      <c r="K9" s="5">
        <v>588314.16027831496</v>
      </c>
      <c r="L9" s="5">
        <v>2127261.60633572</v>
      </c>
      <c r="M9" s="5">
        <v>1509520.4450509399</v>
      </c>
      <c r="N9" s="5">
        <v>1569130.5905003599</v>
      </c>
      <c r="O9" s="5">
        <v>2021652.7161221099</v>
      </c>
      <c r="P9" s="5">
        <v>1179147.9243589099</v>
      </c>
      <c r="Q9" s="5">
        <v>3660170.7718778499</v>
      </c>
      <c r="R9" s="5">
        <v>1439422.8523404901</v>
      </c>
      <c r="S9" s="5">
        <v>1308452.0893496701</v>
      </c>
      <c r="T9" s="5">
        <v>2070127.8750098399</v>
      </c>
      <c r="U9" s="5">
        <v>1430887.27664254</v>
      </c>
      <c r="V9" s="5">
        <v>2161378.3068473102</v>
      </c>
      <c r="W9" s="5">
        <v>2169804.38959073</v>
      </c>
      <c r="X9" s="5">
        <v>2293397.3887590598</v>
      </c>
      <c r="Y9" s="5">
        <v>867888.72853894299</v>
      </c>
      <c r="Z9" s="5">
        <v>2060892.01233114</v>
      </c>
      <c r="AA9" s="5">
        <v>2218382.9191148798</v>
      </c>
      <c r="AB9" s="5">
        <v>2284530.2669843701</v>
      </c>
      <c r="AC9" s="5">
        <v>2312044.3726083101</v>
      </c>
      <c r="AD9">
        <f t="shared" si="1"/>
        <v>2218962.3927596747</v>
      </c>
      <c r="AE9">
        <f t="shared" si="2"/>
        <v>112472.19220976939</v>
      </c>
      <c r="AF9">
        <f t="shared" si="3"/>
        <v>5.0686840199166333E-2</v>
      </c>
    </row>
    <row r="10" spans="1:32" x14ac:dyDescent="0.45">
      <c r="A10" s="5" t="s">
        <v>36</v>
      </c>
      <c r="B10" s="2">
        <f t="shared" si="0"/>
        <v>13428693.220392633</v>
      </c>
      <c r="C10" s="7">
        <v>11586592.359279361</v>
      </c>
      <c r="D10" s="8">
        <v>9.2504661395316712E-2</v>
      </c>
      <c r="E10" s="5">
        <v>10970140.7070037</v>
      </c>
      <c r="F10" s="5">
        <v>10008494.684647501</v>
      </c>
      <c r="G10" s="5">
        <v>11881492.500488801</v>
      </c>
      <c r="H10" s="5">
        <v>16987144.909724399</v>
      </c>
      <c r="I10" s="5">
        <v>14397443.708982401</v>
      </c>
      <c r="J10" s="5">
        <v>11357600.766350901</v>
      </c>
      <c r="K10" s="5">
        <v>22256304.812728599</v>
      </c>
      <c r="L10" s="5">
        <v>11632472.9286645</v>
      </c>
      <c r="M10" s="5">
        <v>13511362.212535299</v>
      </c>
      <c r="N10" s="5">
        <v>10655782.114912599</v>
      </c>
      <c r="O10" s="5">
        <v>13544972.663230499</v>
      </c>
      <c r="P10" s="5">
        <v>12993859.011937501</v>
      </c>
      <c r="Q10" s="5">
        <v>14720768.330501501</v>
      </c>
      <c r="R10" s="5">
        <v>13352419.1555357</v>
      </c>
      <c r="S10" s="5">
        <v>14718860.155385301</v>
      </c>
      <c r="T10" s="5">
        <v>15764535.1766755</v>
      </c>
      <c r="U10" s="5">
        <v>11215435.703415999</v>
      </c>
      <c r="V10" s="5">
        <v>16101061.942863399</v>
      </c>
      <c r="W10" s="5">
        <v>11686661.758225899</v>
      </c>
      <c r="X10" s="5">
        <v>11279884.5841412</v>
      </c>
      <c r="Y10" s="5">
        <v>12965859.800294099</v>
      </c>
      <c r="Z10" s="5">
        <v>9983990.7694400493</v>
      </c>
      <c r="AA10" s="5">
        <v>12000005.477972999</v>
      </c>
      <c r="AB10" s="5">
        <v>12177470.9537488</v>
      </c>
      <c r="AC10" s="5">
        <v>12184902.2359556</v>
      </c>
      <c r="AD10">
        <f t="shared" si="1"/>
        <v>11586592.359279361</v>
      </c>
      <c r="AE10">
        <f t="shared" si="2"/>
        <v>1071813.802920701</v>
      </c>
      <c r="AF10">
        <f t="shared" si="3"/>
        <v>9.2504661395316712E-2</v>
      </c>
    </row>
    <row r="11" spans="1:32" x14ac:dyDescent="0.45">
      <c r="A11" s="5" t="s">
        <v>169</v>
      </c>
      <c r="B11" s="2">
        <f t="shared" si="0"/>
        <v>3971731.7118542572</v>
      </c>
      <c r="C11" s="7">
        <v>3298138.348368817</v>
      </c>
      <c r="D11" s="8">
        <v>9.0901800330871516E-2</v>
      </c>
      <c r="E11" s="5">
        <v>4868273.0800522696</v>
      </c>
      <c r="F11" s="5">
        <v>3425462.2652374199</v>
      </c>
      <c r="G11" s="5">
        <v>3140409.24114925</v>
      </c>
      <c r="H11" s="5">
        <v>4011281.79683922</v>
      </c>
      <c r="I11" s="5">
        <v>3487859.7700316999</v>
      </c>
      <c r="J11" s="5">
        <v>2255160.8239771998</v>
      </c>
      <c r="K11" s="5">
        <v>2860801.83962835</v>
      </c>
      <c r="L11" s="5">
        <v>4316171.55087322</v>
      </c>
      <c r="M11" s="5">
        <v>3824083.2288464098</v>
      </c>
      <c r="N11" s="5">
        <v>2784787.54625245</v>
      </c>
      <c r="O11" s="5">
        <v>3758327.9281162499</v>
      </c>
      <c r="P11" s="5">
        <v>2366870.6096356199</v>
      </c>
      <c r="Q11" s="5">
        <v>4817092.80544795</v>
      </c>
      <c r="R11" s="5">
        <v>3265579.5830151401</v>
      </c>
      <c r="S11" s="5">
        <v>5315951.1017591497</v>
      </c>
      <c r="T11" s="5">
        <v>4230375.50804534</v>
      </c>
      <c r="U11" s="5">
        <v>5487756.3440915998</v>
      </c>
      <c r="V11" s="5">
        <v>6914231.0788340904</v>
      </c>
      <c r="W11" s="5">
        <v>3597334.6452785102</v>
      </c>
      <c r="X11" s="5">
        <v>2870282.82301421</v>
      </c>
      <c r="Y11" s="5">
        <v>5808272.3788140398</v>
      </c>
      <c r="Z11" s="5">
        <v>3674010.5424601999</v>
      </c>
      <c r="AA11" s="5">
        <v>3221885.2273512199</v>
      </c>
      <c r="AB11" s="5">
        <v>3345397.2737185499</v>
      </c>
      <c r="AC11" s="5">
        <v>2951260.3499452998</v>
      </c>
      <c r="AD11">
        <f t="shared" si="1"/>
        <v>3298138.348368817</v>
      </c>
      <c r="AE11">
        <f t="shared" si="2"/>
        <v>299806.71360701259</v>
      </c>
      <c r="AF11">
        <f t="shared" si="3"/>
        <v>9.0901800330871516E-2</v>
      </c>
    </row>
    <row r="12" spans="1:32" x14ac:dyDescent="0.45">
      <c r="A12" s="5" t="s">
        <v>119</v>
      </c>
      <c r="B12" s="2">
        <f t="shared" si="0"/>
        <v>4825832.42931455</v>
      </c>
      <c r="C12" s="2">
        <v>4645621.8744004527</v>
      </c>
      <c r="D12" s="2">
        <v>0.10012808931903285</v>
      </c>
      <c r="E12" s="5">
        <v>5993622.3890902298</v>
      </c>
      <c r="F12" s="5">
        <v>6035605.3293178398</v>
      </c>
      <c r="G12" s="5">
        <v>3960262.7688957402</v>
      </c>
      <c r="H12" s="5">
        <v>2439723.1410018802</v>
      </c>
      <c r="I12" s="5">
        <v>6098464.3851672299</v>
      </c>
      <c r="J12" s="5">
        <v>4381012.4035424199</v>
      </c>
      <c r="K12" s="5">
        <v>4780871.9713445799</v>
      </c>
      <c r="L12" s="5">
        <v>4729256.40066336</v>
      </c>
      <c r="M12" s="5">
        <v>6573556.4310326399</v>
      </c>
      <c r="N12" s="5">
        <v>3279679.1773840399</v>
      </c>
      <c r="O12" s="5">
        <v>4195387.5431495104</v>
      </c>
      <c r="P12" s="5">
        <v>4623943.1046304703</v>
      </c>
      <c r="Q12" s="5">
        <v>4995780.66061028</v>
      </c>
      <c r="R12" s="5">
        <v>4629566.1138549196</v>
      </c>
      <c r="S12" s="5">
        <v>5124592.1686454304</v>
      </c>
      <c r="T12" s="5">
        <v>6005615.4130286202</v>
      </c>
      <c r="U12" s="5">
        <v>6067021.3784708697</v>
      </c>
      <c r="V12" s="5">
        <v>4856599.0177711798</v>
      </c>
      <c r="W12" s="5">
        <v>3470187.2596872901</v>
      </c>
      <c r="X12" s="5">
        <v>4443450.7637321502</v>
      </c>
      <c r="Y12" s="5">
        <v>4658283.1945848595</v>
      </c>
      <c r="Z12" s="5">
        <v>4283647.5442297598</v>
      </c>
      <c r="AA12" s="5">
        <v>4571611.87035779</v>
      </c>
      <c r="AB12" s="5">
        <v>4406684.2257446703</v>
      </c>
      <c r="AC12" s="5">
        <v>5320543.8572695898</v>
      </c>
      <c r="AD12">
        <f t="shared" si="1"/>
        <v>4645621.8744004527</v>
      </c>
      <c r="AE12">
        <f t="shared" si="2"/>
        <v>465157.24198242131</v>
      </c>
      <c r="AF12">
        <f t="shared" si="3"/>
        <v>0.10012808931903285</v>
      </c>
    </row>
    <row r="13" spans="1:32" x14ac:dyDescent="0.45">
      <c r="A13" s="5" t="s">
        <v>170</v>
      </c>
      <c r="B13" s="2">
        <f t="shared" si="0"/>
        <v>128225.22879204022</v>
      </c>
      <c r="C13" s="7">
        <v>131735.56902127323</v>
      </c>
      <c r="D13" s="8">
        <v>0.12337535424781321</v>
      </c>
      <c r="E13" s="5">
        <v>58330.074040243897</v>
      </c>
      <c r="F13" s="5">
        <v>184820.58074499801</v>
      </c>
      <c r="G13" s="5">
        <v>89937.645619672796</v>
      </c>
      <c r="H13" s="5">
        <v>13426.6446088063</v>
      </c>
      <c r="I13" s="5">
        <v>178536.46986989101</v>
      </c>
      <c r="J13" s="5">
        <v>311392.31132085301</v>
      </c>
      <c r="K13" s="5">
        <v>293295.56461655098</v>
      </c>
      <c r="L13" s="5">
        <v>61852.352321272701</v>
      </c>
      <c r="M13" s="5">
        <v>58795.406404372901</v>
      </c>
      <c r="N13" s="5">
        <v>363601.85838073102</v>
      </c>
      <c r="O13" s="5">
        <v>12539.498905021601</v>
      </c>
      <c r="P13" s="5">
        <v>234353.328316787</v>
      </c>
      <c r="Q13" s="5">
        <v>83816.298552999593</v>
      </c>
      <c r="R13" s="5">
        <v>39397.657074360803</v>
      </c>
      <c r="S13" s="5">
        <v>11057.1003776006</v>
      </c>
      <c r="T13" s="5">
        <v>12313.888735966</v>
      </c>
      <c r="U13" s="5">
        <v>31460.482113372502</v>
      </c>
      <c r="V13" s="5">
        <v>47015.9416537855</v>
      </c>
      <c r="W13" s="5">
        <v>354722.57007744099</v>
      </c>
      <c r="X13" s="5">
        <v>214284.73636812001</v>
      </c>
      <c r="Y13" s="5">
        <v>37779.394529996898</v>
      </c>
      <c r="Z13" s="5">
        <v>155094.76467014299</v>
      </c>
      <c r="AA13" s="5">
        <v>123317.418505229</v>
      </c>
      <c r="AB13" s="5">
        <v>129936.808728858</v>
      </c>
      <c r="AC13" s="5">
        <v>118593.284180863</v>
      </c>
      <c r="AD13">
        <f t="shared" si="1"/>
        <v>131735.56902127323</v>
      </c>
      <c r="AE13">
        <f t="shared" si="2"/>
        <v>16252.922495036832</v>
      </c>
      <c r="AF13">
        <f t="shared" si="3"/>
        <v>0.12337535424781321</v>
      </c>
    </row>
    <row r="14" spans="1:32" x14ac:dyDescent="0.45">
      <c r="A14" s="5" t="s">
        <v>226</v>
      </c>
      <c r="B14" s="2">
        <f t="shared" si="0"/>
        <v>5513323.363103006</v>
      </c>
      <c r="C14" s="2">
        <v>5254584.5037825219</v>
      </c>
      <c r="D14" s="2">
        <v>2.6159893246178921E-2</v>
      </c>
      <c r="E14" s="5">
        <v>5977385.2998812096</v>
      </c>
      <c r="F14" s="5">
        <v>3970052.75711582</v>
      </c>
      <c r="G14" s="5">
        <v>4511502.8640442602</v>
      </c>
      <c r="H14" s="5">
        <v>4876127.3399735102</v>
      </c>
      <c r="I14" s="5">
        <v>7842998.6563552199</v>
      </c>
      <c r="J14" s="5">
        <v>3590100.3996840101</v>
      </c>
      <c r="K14" s="5">
        <v>2744764.91845454</v>
      </c>
      <c r="L14" s="5">
        <v>7686683.7648764299</v>
      </c>
      <c r="M14" s="5">
        <v>11301511.265732899</v>
      </c>
      <c r="N14" s="5">
        <v>3933326.1032386199</v>
      </c>
      <c r="O14" s="5">
        <v>8876390.6339535397</v>
      </c>
      <c r="P14" s="5">
        <v>3352166.7378857601</v>
      </c>
      <c r="Q14" s="5">
        <v>5083358.7921047201</v>
      </c>
      <c r="R14" s="5">
        <v>5508495.4156227103</v>
      </c>
      <c r="S14" s="5">
        <v>5558682.4162770202</v>
      </c>
      <c r="T14" s="5">
        <v>9335535.5276699793</v>
      </c>
      <c r="U14" s="5">
        <v>4973976.241103</v>
      </c>
      <c r="V14" s="5">
        <v>5056730.6730742902</v>
      </c>
      <c r="W14" s="5">
        <v>1533415.5823166899</v>
      </c>
      <c r="X14" s="5">
        <v>5126500.5627872003</v>
      </c>
      <c r="Y14" s="5">
        <v>4940084.6730116699</v>
      </c>
      <c r="Z14" s="5">
        <v>5453500.7659726497</v>
      </c>
      <c r="AA14" s="5">
        <v>5237972.8576248903</v>
      </c>
      <c r="AB14" s="5">
        <v>5174018.0888961898</v>
      </c>
      <c r="AC14" s="5">
        <v>5152846.3026363598</v>
      </c>
      <c r="AD14">
        <f t="shared" si="1"/>
        <v>5254584.5037825219</v>
      </c>
      <c r="AE14">
        <f t="shared" si="2"/>
        <v>137459.3696719768</v>
      </c>
      <c r="AF14">
        <f t="shared" si="3"/>
        <v>2.6159893246178921E-2</v>
      </c>
    </row>
    <row r="15" spans="1:32" x14ac:dyDescent="0.45">
      <c r="A15" s="5" t="s">
        <v>37</v>
      </c>
      <c r="B15" s="2">
        <f t="shared" si="0"/>
        <v>3790354.1509951558</v>
      </c>
      <c r="C15" s="2">
        <v>3869746.92329151</v>
      </c>
      <c r="D15" s="2">
        <v>3.4498328641808504E-2</v>
      </c>
      <c r="E15" s="5">
        <v>4776112.1572645502</v>
      </c>
      <c r="F15" s="5">
        <v>8626736.6069870796</v>
      </c>
      <c r="G15" s="5">
        <v>2877838.4936000998</v>
      </c>
      <c r="H15" s="5">
        <v>1743819.1430790401</v>
      </c>
      <c r="I15" s="5">
        <v>9066988.56998224</v>
      </c>
      <c r="J15" s="5">
        <v>7935861.3590930495</v>
      </c>
      <c r="K15" s="5">
        <v>2035491.82755749</v>
      </c>
      <c r="L15" s="5">
        <v>735432.61273407401</v>
      </c>
      <c r="M15" s="5">
        <v>5089231.3764804602</v>
      </c>
      <c r="N15" s="5">
        <v>6688408.8693191102</v>
      </c>
      <c r="O15" s="5">
        <v>1131531.0769482399</v>
      </c>
      <c r="P15" s="5">
        <v>8235447.5200342899</v>
      </c>
      <c r="Q15" s="5">
        <v>1686511.8251928999</v>
      </c>
      <c r="R15" s="5">
        <v>2107939.1428582799</v>
      </c>
      <c r="S15" s="5">
        <v>1740476.4636534599</v>
      </c>
      <c r="T15" s="5">
        <v>722584.08587828104</v>
      </c>
      <c r="U15" s="5">
        <v>744576.08233260305</v>
      </c>
      <c r="V15" s="5">
        <v>3534833.8843737799</v>
      </c>
      <c r="W15" s="5">
        <v>6007016.9359133001</v>
      </c>
      <c r="X15" s="5">
        <v>2878363.23952233</v>
      </c>
      <c r="Y15" s="5">
        <v>1232235.8980936201</v>
      </c>
      <c r="Z15" s="5">
        <v>3937493.38397665</v>
      </c>
      <c r="AA15" s="5">
        <v>3786873.3804008202</v>
      </c>
      <c r="AB15" s="5">
        <v>4022042.2324047401</v>
      </c>
      <c r="AC15" s="5">
        <v>3732578.6963838302</v>
      </c>
      <c r="AD15">
        <f t="shared" si="1"/>
        <v>3869746.92329151</v>
      </c>
      <c r="AE15">
        <f t="shared" si="2"/>
        <v>133499.80112033783</v>
      </c>
      <c r="AF15">
        <f t="shared" si="3"/>
        <v>3.4498328641808504E-2</v>
      </c>
    </row>
    <row r="16" spans="1:32" x14ac:dyDescent="0.45">
      <c r="A16" s="5" t="s">
        <v>227</v>
      </c>
      <c r="B16" s="2">
        <f t="shared" si="0"/>
        <v>1122339.2879388588</v>
      </c>
      <c r="C16" s="2">
        <v>1164330.1243951053</v>
      </c>
      <c r="D16" s="2">
        <v>0.1769590506909566</v>
      </c>
      <c r="E16" s="5">
        <v>905763.37549960602</v>
      </c>
      <c r="F16" s="5">
        <v>1256149.5277002</v>
      </c>
      <c r="G16" s="5">
        <v>727461.77770317905</v>
      </c>
      <c r="H16" s="5">
        <v>2361652.46110086</v>
      </c>
      <c r="I16" s="5">
        <v>2300874.2486147201</v>
      </c>
      <c r="J16" s="5">
        <v>422320.70790425199</v>
      </c>
      <c r="K16" s="5">
        <v>608811.608032146</v>
      </c>
      <c r="L16" s="5">
        <v>1303473.52470203</v>
      </c>
      <c r="M16" s="5">
        <v>1800650.8681292799</v>
      </c>
      <c r="N16" s="5">
        <v>397036.99388666498</v>
      </c>
      <c r="O16" s="5">
        <v>1259681.1687232</v>
      </c>
      <c r="P16" s="5">
        <v>841987.74561426695</v>
      </c>
      <c r="Q16" s="5">
        <v>659282.75455927197</v>
      </c>
      <c r="R16" s="5">
        <v>2121367.54736521</v>
      </c>
      <c r="S16" s="5">
        <v>1201073.38500631</v>
      </c>
      <c r="T16" s="5">
        <v>917743.87965442904</v>
      </c>
      <c r="U16" s="5">
        <v>852195.11509964301</v>
      </c>
      <c r="V16" s="5">
        <v>1892872.1089840699</v>
      </c>
      <c r="W16" s="5">
        <v>716611.85039562103</v>
      </c>
      <c r="X16" s="5">
        <v>450620.86712543201</v>
      </c>
      <c r="Y16" s="5">
        <v>571493.53091564402</v>
      </c>
      <c r="Z16" s="5">
        <v>1292989.5305274399</v>
      </c>
      <c r="AA16" s="5">
        <v>974071.15122338105</v>
      </c>
      <c r="AB16" s="5">
        <v>1385795.7554699499</v>
      </c>
      <c r="AC16" s="5">
        <v>1004464.0603596499</v>
      </c>
      <c r="AD16">
        <f t="shared" si="1"/>
        <v>1164330.1243951053</v>
      </c>
      <c r="AE16">
        <f t="shared" si="2"/>
        <v>206038.75350384126</v>
      </c>
      <c r="AF16">
        <f t="shared" si="3"/>
        <v>0.1769590506909566</v>
      </c>
    </row>
    <row r="17" spans="1:32" x14ac:dyDescent="0.45">
      <c r="A17" s="5" t="s">
        <v>120</v>
      </c>
      <c r="B17" s="2">
        <f t="shared" si="0"/>
        <v>5080617.3118096394</v>
      </c>
      <c r="C17" s="2">
        <v>8043275.2078327984</v>
      </c>
      <c r="D17" s="2">
        <v>8.406324443660565E-2</v>
      </c>
      <c r="E17" s="5">
        <v>4879958.9970623404</v>
      </c>
      <c r="F17" s="5">
        <v>9593086.3614439406</v>
      </c>
      <c r="G17" s="5">
        <v>3460956.9923891602</v>
      </c>
      <c r="H17" s="5">
        <v>8700221.9206115995</v>
      </c>
      <c r="I17" s="5">
        <v>6083063.0614432897</v>
      </c>
      <c r="J17" s="5">
        <v>2170695.8888830799</v>
      </c>
      <c r="K17" s="5">
        <v>1779642.01741864</v>
      </c>
      <c r="L17" s="5">
        <v>5538898.5571711604</v>
      </c>
      <c r="M17" s="5">
        <v>5893073.6096160701</v>
      </c>
      <c r="N17" s="5">
        <v>3785026.2759113899</v>
      </c>
      <c r="O17" s="5">
        <v>5878917.6956224702</v>
      </c>
      <c r="P17" s="5">
        <v>2226357.6146069998</v>
      </c>
      <c r="Q17" s="5">
        <v>3848146.8399298899</v>
      </c>
      <c r="R17" s="5">
        <v>5075557.3851875002</v>
      </c>
      <c r="S17" s="5">
        <v>4646883.9459228301</v>
      </c>
      <c r="T17" s="5">
        <v>11754348.1376421</v>
      </c>
      <c r="U17" s="5">
        <v>3639777.0784592801</v>
      </c>
      <c r="V17" s="5">
        <v>8065247.0412238399</v>
      </c>
      <c r="W17" s="5">
        <v>3478129.5085761002</v>
      </c>
      <c r="X17" s="5">
        <v>2787030.05266674</v>
      </c>
      <c r="Y17" s="5">
        <v>3407944.5662140101</v>
      </c>
      <c r="Z17" s="5">
        <v>7064275.8575502904</v>
      </c>
      <c r="AA17" s="5">
        <v>8568570.5181237906</v>
      </c>
      <c r="AB17" s="5">
        <v>8139335.8174750004</v>
      </c>
      <c r="AC17" s="5">
        <v>8400918.6381821092</v>
      </c>
      <c r="AD17">
        <f t="shared" si="1"/>
        <v>8043275.2078327984</v>
      </c>
      <c r="AE17">
        <f t="shared" si="2"/>
        <v>676143.80986693862</v>
      </c>
      <c r="AF17">
        <f t="shared" si="3"/>
        <v>8.406324443660565E-2</v>
      </c>
    </row>
    <row r="18" spans="1:32" x14ac:dyDescent="0.45">
      <c r="A18" s="5" t="s">
        <v>228</v>
      </c>
      <c r="B18" s="2">
        <f t="shared" si="0"/>
        <v>137835326.81343663</v>
      </c>
      <c r="C18" s="2">
        <v>137195103.51335949</v>
      </c>
      <c r="D18" s="2">
        <v>7.1531958948787999E-2</v>
      </c>
      <c r="E18" s="5">
        <v>6443197.6473731603</v>
      </c>
      <c r="F18" s="5">
        <v>370919183.27438802</v>
      </c>
      <c r="G18" s="5">
        <v>39607398.128125101</v>
      </c>
      <c r="H18" s="5">
        <v>1432065.7064290501</v>
      </c>
      <c r="I18" s="5">
        <v>13458660.210223399</v>
      </c>
      <c r="J18" s="5">
        <v>407648776.430668</v>
      </c>
      <c r="K18" s="5">
        <v>393736346.97398603</v>
      </c>
      <c r="L18" s="5">
        <v>7658510.7424470996</v>
      </c>
      <c r="M18" s="5">
        <v>27368158.6346559</v>
      </c>
      <c r="N18" s="5">
        <v>392705965.64168501</v>
      </c>
      <c r="O18" s="5">
        <v>1345539.1710999999</v>
      </c>
      <c r="P18" s="5">
        <v>357736064.72206402</v>
      </c>
      <c r="Q18" s="5">
        <v>705370.44468747405</v>
      </c>
      <c r="R18" s="5">
        <v>5862576.8436984597</v>
      </c>
      <c r="S18" s="5">
        <v>4837118.3002026305</v>
      </c>
      <c r="T18" s="5">
        <v>2070522.5279147599</v>
      </c>
      <c r="U18" s="5">
        <v>42023168.919346601</v>
      </c>
      <c r="V18" s="5">
        <v>20075031.1884364</v>
      </c>
      <c r="W18" s="5">
        <v>346306624.08405101</v>
      </c>
      <c r="X18" s="5">
        <v>446531744.13990802</v>
      </c>
      <c r="Y18" s="5">
        <v>6069839.3507790398</v>
      </c>
      <c r="Z18" s="5">
        <v>124754528.293075</v>
      </c>
      <c r="AA18" s="5">
        <v>141734343.119627</v>
      </c>
      <c r="AB18" s="5">
        <v>147562385.81940201</v>
      </c>
      <c r="AC18" s="5">
        <v>134729156.821334</v>
      </c>
      <c r="AD18">
        <f t="shared" si="1"/>
        <v>137195103.51335949</v>
      </c>
      <c r="AE18">
        <f t="shared" si="2"/>
        <v>9813834.5124923512</v>
      </c>
      <c r="AF18">
        <f t="shared" si="3"/>
        <v>7.1531958948787999E-2</v>
      </c>
    </row>
    <row r="19" spans="1:32" x14ac:dyDescent="0.45">
      <c r="A19" s="5" t="s">
        <v>157</v>
      </c>
      <c r="B19" s="2">
        <f t="shared" si="0"/>
        <v>3978400.9562716703</v>
      </c>
      <c r="C19" s="2">
        <v>3784729.3746242449</v>
      </c>
      <c r="D19" s="2">
        <v>3.1106824345938672E-2</v>
      </c>
      <c r="E19" s="5">
        <v>4412989.3340426302</v>
      </c>
      <c r="F19" s="5">
        <v>4627693.8614599798</v>
      </c>
      <c r="G19" s="5">
        <v>2119542.60327172</v>
      </c>
      <c r="H19" s="5">
        <v>1333289.00157665</v>
      </c>
      <c r="I19" s="5">
        <v>2614222.0231488901</v>
      </c>
      <c r="J19" s="5">
        <v>5013443.6577725904</v>
      </c>
      <c r="K19" s="5">
        <v>8703756.2253600694</v>
      </c>
      <c r="L19" s="5">
        <v>3971085.1160818199</v>
      </c>
      <c r="M19" s="5">
        <v>3414396.04652208</v>
      </c>
      <c r="N19" s="5">
        <v>7048862.5900956998</v>
      </c>
      <c r="O19" s="5">
        <v>2266722.7615782898</v>
      </c>
      <c r="P19" s="5">
        <v>6077654.2932571601</v>
      </c>
      <c r="Q19" s="5">
        <v>1310316.24895124</v>
      </c>
      <c r="R19" s="5">
        <v>2207908.7215096601</v>
      </c>
      <c r="S19" s="5">
        <v>3676691.32649191</v>
      </c>
      <c r="T19" s="5">
        <v>3474477.4474205999</v>
      </c>
      <c r="U19" s="5">
        <v>3780941.4126897599</v>
      </c>
      <c r="V19" s="5">
        <v>2679134.6603178801</v>
      </c>
      <c r="W19" s="5">
        <v>5551760.6404126799</v>
      </c>
      <c r="X19" s="5">
        <v>4853819.3668914596</v>
      </c>
      <c r="Y19" s="5">
        <v>4407712.7428523302</v>
      </c>
      <c r="Z19" s="5">
        <v>3666408.7268960001</v>
      </c>
      <c r="AA19" s="5">
        <v>3868692.3096203902</v>
      </c>
      <c r="AB19" s="5">
        <v>3901762.9416287402</v>
      </c>
      <c r="AC19" s="5">
        <v>3702053.52035185</v>
      </c>
      <c r="AD19">
        <f t="shared" si="1"/>
        <v>3784729.3746242449</v>
      </c>
      <c r="AE19">
        <f t="shared" si="2"/>
        <v>117730.9118533507</v>
      </c>
      <c r="AF19">
        <f t="shared" si="3"/>
        <v>3.1106824345938672E-2</v>
      </c>
    </row>
    <row r="20" spans="1:32" x14ac:dyDescent="0.45">
      <c r="A20" s="5" t="s">
        <v>229</v>
      </c>
      <c r="B20" s="2">
        <f t="shared" si="0"/>
        <v>11360081.185406009</v>
      </c>
      <c r="C20" s="2">
        <v>10542169.05617385</v>
      </c>
      <c r="D20" s="2">
        <v>1.720252569681641E-2</v>
      </c>
      <c r="E20" s="5">
        <v>24944207.908452898</v>
      </c>
      <c r="F20" s="5">
        <v>12473508.088327199</v>
      </c>
      <c r="G20" s="5">
        <v>5586493.9952712599</v>
      </c>
      <c r="H20" s="5">
        <v>635370.67343294504</v>
      </c>
      <c r="I20" s="5">
        <v>27690028.072859202</v>
      </c>
      <c r="J20" s="5">
        <v>16933761.8663381</v>
      </c>
      <c r="K20" s="5">
        <v>16856040.6110484</v>
      </c>
      <c r="L20" s="5">
        <v>15973980.5334682</v>
      </c>
      <c r="M20" s="5">
        <v>14536553.8050886</v>
      </c>
      <c r="N20" s="5">
        <v>12148785.4216187</v>
      </c>
      <c r="O20" s="5">
        <v>1791290.92764648</v>
      </c>
      <c r="P20" s="5">
        <v>10132821.3458963</v>
      </c>
      <c r="Q20" s="5">
        <v>10135275.1156996</v>
      </c>
      <c r="R20" s="5">
        <v>6389347.9547006302</v>
      </c>
      <c r="S20" s="5">
        <v>10997753.4917212</v>
      </c>
      <c r="T20" s="5">
        <v>3296765.3846537</v>
      </c>
      <c r="U20" s="5">
        <v>6084076.0558717698</v>
      </c>
      <c r="V20" s="5">
        <v>7646500.3473979197</v>
      </c>
      <c r="W20" s="5">
        <v>15861760.5482889</v>
      </c>
      <c r="X20" s="5">
        <v>13490207.071194099</v>
      </c>
      <c r="Y20" s="5">
        <v>4957175.6745500499</v>
      </c>
      <c r="Z20" s="5">
        <v>10429418.755163999</v>
      </c>
      <c r="AA20" s="5">
        <v>10381286.091245599</v>
      </c>
      <c r="AB20" s="5">
        <v>10785362.451402299</v>
      </c>
      <c r="AC20" s="5">
        <v>10572608.9268835</v>
      </c>
      <c r="AD20">
        <f t="shared" si="1"/>
        <v>10542169.05617385</v>
      </c>
      <c r="AE20">
        <f t="shared" si="2"/>
        <v>181351.93408901343</v>
      </c>
      <c r="AF20">
        <f t="shared" si="3"/>
        <v>1.720252569681641E-2</v>
      </c>
    </row>
    <row r="21" spans="1:32" x14ac:dyDescent="0.45">
      <c r="A21" s="5" t="s">
        <v>38</v>
      </c>
      <c r="B21" s="2">
        <f t="shared" si="0"/>
        <v>4277954.4006030234</v>
      </c>
      <c r="C21" s="7">
        <v>3599317.3270126823</v>
      </c>
      <c r="D21" s="8">
        <v>1.1961096479792944E-2</v>
      </c>
      <c r="E21" s="5">
        <v>4030429.4106316501</v>
      </c>
      <c r="F21" s="5">
        <v>3958690.2685277001</v>
      </c>
      <c r="G21" s="5">
        <v>4293721.8527501496</v>
      </c>
      <c r="H21" s="5">
        <v>7197458.6635748101</v>
      </c>
      <c r="I21" s="5">
        <v>4643869.0393826496</v>
      </c>
      <c r="J21" s="5">
        <v>3675673.49766269</v>
      </c>
      <c r="K21" s="5">
        <v>4183615.4957112302</v>
      </c>
      <c r="L21" s="5">
        <v>5712057.5397413997</v>
      </c>
      <c r="M21" s="5">
        <v>3350711.9439143599</v>
      </c>
      <c r="N21" s="5">
        <v>4303118.2071343297</v>
      </c>
      <c r="O21" s="5">
        <v>4130781.5646653399</v>
      </c>
      <c r="P21" s="5">
        <v>4288516.2538535697</v>
      </c>
      <c r="Q21" s="5">
        <v>7548312.7189799501</v>
      </c>
      <c r="R21" s="5">
        <v>1569271.26839168</v>
      </c>
      <c r="S21" s="5">
        <v>3334172.9367641201</v>
      </c>
      <c r="T21" s="5">
        <v>3064211.7888588998</v>
      </c>
      <c r="U21" s="5">
        <v>5634614.7625685297</v>
      </c>
      <c r="V21" s="5">
        <v>4122250.7699932801</v>
      </c>
      <c r="W21" s="5">
        <v>3619593.7038141098</v>
      </c>
      <c r="X21" s="5">
        <v>3468554.6418205299</v>
      </c>
      <c r="Y21" s="5">
        <v>3707416.08392251</v>
      </c>
      <c r="Z21" s="5">
        <v>3557111.3682670798</v>
      </c>
      <c r="AA21" s="5">
        <v>3577147.5925223301</v>
      </c>
      <c r="AB21" s="5">
        <v>3606853.4725719099</v>
      </c>
      <c r="AC21" s="5">
        <v>3656156.87468941</v>
      </c>
      <c r="AD21">
        <f t="shared" si="1"/>
        <v>3599317.3270126823</v>
      </c>
      <c r="AE21">
        <f t="shared" si="2"/>
        <v>43051.781809789143</v>
      </c>
      <c r="AF21">
        <f t="shared" si="3"/>
        <v>1.1961096479792944E-2</v>
      </c>
    </row>
    <row r="22" spans="1:32" x14ac:dyDescent="0.45">
      <c r="A22" s="5" t="s">
        <v>39</v>
      </c>
      <c r="B22" s="2">
        <f t="shared" si="0"/>
        <v>10248262.936005594</v>
      </c>
      <c r="C22" s="7">
        <v>8133175.1000781152</v>
      </c>
      <c r="D22" s="8">
        <v>2.7388918911317534E-2</v>
      </c>
      <c r="E22" s="5">
        <v>3374273.0268717399</v>
      </c>
      <c r="F22" s="5">
        <v>9307222.1605583709</v>
      </c>
      <c r="G22" s="5">
        <v>23964562.339794502</v>
      </c>
      <c r="H22" s="5">
        <v>16627464.168919301</v>
      </c>
      <c r="I22" s="5">
        <v>8242071.7562041497</v>
      </c>
      <c r="J22" s="5">
        <v>9095433.2483424693</v>
      </c>
      <c r="K22" s="5">
        <v>6815490.30235912</v>
      </c>
      <c r="L22" s="5">
        <v>5338622.2844597204</v>
      </c>
      <c r="M22" s="5">
        <v>8286543.8490079297</v>
      </c>
      <c r="N22" s="5">
        <v>6692350.9943856001</v>
      </c>
      <c r="O22" s="5">
        <v>18716248.960873298</v>
      </c>
      <c r="P22" s="5">
        <v>8646199.4892151598</v>
      </c>
      <c r="Q22" s="5">
        <v>15136842.8176533</v>
      </c>
      <c r="R22" s="5">
        <v>10137336.777671</v>
      </c>
      <c r="S22" s="5">
        <v>8819911.1302690003</v>
      </c>
      <c r="T22" s="5">
        <v>8502609.3576871995</v>
      </c>
      <c r="U22" s="5">
        <v>8663051.9518093001</v>
      </c>
      <c r="V22" s="5">
        <v>12372765.0419455</v>
      </c>
      <c r="W22" s="5">
        <v>8996583.8179680705</v>
      </c>
      <c r="X22" s="5">
        <v>8960680.7398420908</v>
      </c>
      <c r="Y22" s="5">
        <v>8517257.4402806591</v>
      </c>
      <c r="Z22" s="5">
        <v>7838942.2863351302</v>
      </c>
      <c r="AA22" s="5">
        <v>8370886.0765820099</v>
      </c>
      <c r="AB22" s="5">
        <v>8207194.79291532</v>
      </c>
      <c r="AC22" s="5">
        <v>8115677.2444799999</v>
      </c>
      <c r="AD22">
        <f t="shared" si="1"/>
        <v>8133175.1000781152</v>
      </c>
      <c r="AE22">
        <f t="shared" si="2"/>
        <v>222758.87330758636</v>
      </c>
      <c r="AF22">
        <f t="shared" si="3"/>
        <v>2.7388918911317534E-2</v>
      </c>
    </row>
    <row r="23" spans="1:32" x14ac:dyDescent="0.45">
      <c r="A23" s="5" t="s">
        <v>230</v>
      </c>
      <c r="B23" s="2">
        <f t="shared" si="0"/>
        <v>32584074.048106898</v>
      </c>
      <c r="C23" s="2">
        <v>29958719.694149826</v>
      </c>
      <c r="D23" s="2">
        <v>3.1611931595131385E-2</v>
      </c>
      <c r="E23" s="5">
        <v>36965532.985519901</v>
      </c>
      <c r="F23" s="5">
        <v>5976013.9588438002</v>
      </c>
      <c r="G23" s="5">
        <v>34243742.878768198</v>
      </c>
      <c r="H23" s="5">
        <v>81167243.741820201</v>
      </c>
      <c r="I23" s="5">
        <v>28105102.517822299</v>
      </c>
      <c r="J23" s="5">
        <v>9491790.2109314594</v>
      </c>
      <c r="K23" s="5">
        <v>11217464.827686099</v>
      </c>
      <c r="L23" s="5">
        <v>43971620.459573403</v>
      </c>
      <c r="M23" s="5">
        <v>41609860.097830303</v>
      </c>
      <c r="N23" s="5">
        <v>15839337.5105759</v>
      </c>
      <c r="O23" s="5">
        <v>21509336.904097099</v>
      </c>
      <c r="P23" s="5">
        <v>8684122.4726207592</v>
      </c>
      <c r="Q23" s="5">
        <v>38821019.092050098</v>
      </c>
      <c r="R23" s="5">
        <v>39556241.745631903</v>
      </c>
      <c r="S23" s="5">
        <v>54462388.557534598</v>
      </c>
      <c r="T23" s="5">
        <v>55568893.598639302</v>
      </c>
      <c r="U23" s="5">
        <v>48246148.673130803</v>
      </c>
      <c r="V23" s="5">
        <v>28187508.504455399</v>
      </c>
      <c r="W23" s="5">
        <v>19657726.8373079</v>
      </c>
      <c r="X23" s="5">
        <v>10252199.9894436</v>
      </c>
      <c r="Y23" s="5">
        <v>50732259.445961699</v>
      </c>
      <c r="Z23" s="5">
        <v>29276764.1753124</v>
      </c>
      <c r="AA23" s="5">
        <v>29665393.999923602</v>
      </c>
      <c r="AB23" s="5">
        <v>29534209.511002298</v>
      </c>
      <c r="AC23" s="5">
        <v>31358511.090360999</v>
      </c>
      <c r="AD23">
        <f t="shared" si="1"/>
        <v>29958719.694149826</v>
      </c>
      <c r="AE23">
        <f t="shared" si="2"/>
        <v>947052.99764917977</v>
      </c>
      <c r="AF23">
        <f t="shared" si="3"/>
        <v>3.1611931595131385E-2</v>
      </c>
    </row>
    <row r="24" spans="1:32" x14ac:dyDescent="0.45">
      <c r="A24" s="5" t="s">
        <v>171</v>
      </c>
      <c r="B24" s="2">
        <f t="shared" si="0"/>
        <v>345085.31699775008</v>
      </c>
      <c r="C24" s="7">
        <v>273759.97024558648</v>
      </c>
      <c r="D24" s="8">
        <v>0.14201227789168744</v>
      </c>
      <c r="E24" s="5">
        <v>415860.544749811</v>
      </c>
      <c r="F24" s="5">
        <v>184117.912786284</v>
      </c>
      <c r="G24" s="5">
        <v>323185.552156127</v>
      </c>
      <c r="H24" s="5">
        <v>488476.56870034401</v>
      </c>
      <c r="I24" s="5">
        <v>242815.534579687</v>
      </c>
      <c r="J24" s="5">
        <v>227682.82703679099</v>
      </c>
      <c r="K24" s="5">
        <v>146646.85532053199</v>
      </c>
      <c r="L24" s="5">
        <v>330253.59658441303</v>
      </c>
      <c r="M24" s="5">
        <v>380400.26240766002</v>
      </c>
      <c r="N24" s="5">
        <v>724113.55945694703</v>
      </c>
      <c r="O24" s="5">
        <v>413704.75909629097</v>
      </c>
      <c r="P24" s="5">
        <v>156403.65690847801</v>
      </c>
      <c r="Q24" s="5">
        <v>558703.98347624403</v>
      </c>
      <c r="R24" s="5">
        <v>479501.79587127903</v>
      </c>
      <c r="S24" s="5">
        <v>328056.06665330299</v>
      </c>
      <c r="T24" s="5">
        <v>438433.41185242299</v>
      </c>
      <c r="U24" s="5">
        <v>290788.62436437397</v>
      </c>
      <c r="V24" s="5">
        <v>379593.609944141</v>
      </c>
      <c r="W24" s="5">
        <v>196282.764441665</v>
      </c>
      <c r="X24" s="5">
        <v>145115.68323330799</v>
      </c>
      <c r="Y24" s="5">
        <v>396654.08733264898</v>
      </c>
      <c r="Z24" s="5">
        <v>278941.45332387998</v>
      </c>
      <c r="AA24" s="5">
        <v>247736.063484955</v>
      </c>
      <c r="AB24" s="5">
        <v>241678.04578257</v>
      </c>
      <c r="AC24" s="5">
        <v>326684.31839094101</v>
      </c>
      <c r="AD24">
        <f t="shared" si="1"/>
        <v>273759.97024558648</v>
      </c>
      <c r="AE24">
        <f t="shared" si="2"/>
        <v>38877.276970136314</v>
      </c>
      <c r="AF24">
        <f t="shared" si="3"/>
        <v>0.14201227789168744</v>
      </c>
    </row>
    <row r="25" spans="1:32" x14ac:dyDescent="0.45">
      <c r="A25" s="5" t="s">
        <v>172</v>
      </c>
      <c r="B25" s="2">
        <f t="shared" si="0"/>
        <v>122246.67006801364</v>
      </c>
      <c r="C25" s="7">
        <v>123632.77445207625</v>
      </c>
      <c r="D25" s="8">
        <v>0.16737547432038516</v>
      </c>
      <c r="E25" s="5">
        <v>114401.62972112899</v>
      </c>
      <c r="F25" s="5">
        <v>95937.212382368496</v>
      </c>
      <c r="G25" s="5">
        <v>178827.09080778901</v>
      </c>
      <c r="H25" s="5">
        <v>101613.444931825</v>
      </c>
      <c r="I25" s="5">
        <v>71199.115236043799</v>
      </c>
      <c r="J25" s="5">
        <v>114863.752933257</v>
      </c>
      <c r="K25" s="5">
        <v>135194.50142292801</v>
      </c>
      <c r="L25" s="5">
        <v>287045.70513434702</v>
      </c>
      <c r="M25" s="5">
        <v>110136.845684905</v>
      </c>
      <c r="N25" s="5">
        <v>116232.243205174</v>
      </c>
      <c r="O25" s="5">
        <v>163364.336358837</v>
      </c>
      <c r="P25" s="5">
        <v>149493.233405976</v>
      </c>
      <c r="Q25" s="5">
        <v>106852.534515359</v>
      </c>
      <c r="R25" s="5">
        <v>134640.89021384</v>
      </c>
      <c r="S25" s="5">
        <v>149786.23031011201</v>
      </c>
      <c r="T25" s="5">
        <v>94979.424957568495</v>
      </c>
      <c r="U25" s="5">
        <v>77715.450834706193</v>
      </c>
      <c r="V25" s="5">
        <v>69592.583081725199</v>
      </c>
      <c r="W25" s="5">
        <v>75322.446207604502</v>
      </c>
      <c r="X25" s="5">
        <v>80152.019685948704</v>
      </c>
      <c r="Y25" s="5">
        <v>139829.38039684299</v>
      </c>
      <c r="Z25" s="5">
        <v>127870.72682179901</v>
      </c>
      <c r="AA25" s="5">
        <v>150693.995262746</v>
      </c>
      <c r="AB25" s="5">
        <v>112701.419410769</v>
      </c>
      <c r="AC25" s="5">
        <v>103264.95631299099</v>
      </c>
      <c r="AD25">
        <f t="shared" si="1"/>
        <v>123632.77445207625</v>
      </c>
      <c r="AE25">
        <f t="shared" si="2"/>
        <v>20693.094265461459</v>
      </c>
      <c r="AF25">
        <f t="shared" si="3"/>
        <v>0.16737547432038516</v>
      </c>
    </row>
    <row r="26" spans="1:32" x14ac:dyDescent="0.45">
      <c r="A26" s="5" t="s">
        <v>231</v>
      </c>
      <c r="B26" s="2">
        <f t="shared" si="0"/>
        <v>5436174.1384416055</v>
      </c>
      <c r="C26" s="2">
        <v>4634090.5937484577</v>
      </c>
      <c r="D26" s="2">
        <v>3.8301447869003365E-2</v>
      </c>
      <c r="E26" s="5">
        <v>4004513.8816747498</v>
      </c>
      <c r="F26" s="5">
        <v>2525004.7320506498</v>
      </c>
      <c r="G26" s="5">
        <v>3618934.3178779199</v>
      </c>
      <c r="H26" s="5">
        <v>10998693.854459999</v>
      </c>
      <c r="I26" s="5">
        <v>4109365.1606847299</v>
      </c>
      <c r="J26" s="5">
        <v>2211102.8421173799</v>
      </c>
      <c r="K26" s="5">
        <v>2547848.4158140998</v>
      </c>
      <c r="L26" s="5">
        <v>4526308.6594554102</v>
      </c>
      <c r="M26" s="5">
        <v>9126657.2074130401</v>
      </c>
      <c r="N26" s="5">
        <v>2611886.2425466198</v>
      </c>
      <c r="O26" s="5">
        <v>8174654.8699636804</v>
      </c>
      <c r="P26" s="5">
        <v>3324194.8409281499</v>
      </c>
      <c r="Q26" s="5">
        <v>8823973.5840617195</v>
      </c>
      <c r="R26" s="5">
        <v>7711288.4721275596</v>
      </c>
      <c r="S26" s="5">
        <v>6653189.30055511</v>
      </c>
      <c r="T26" s="5">
        <v>7905455.3764859503</v>
      </c>
      <c r="U26" s="5">
        <v>4948070.9925320204</v>
      </c>
      <c r="V26" s="5">
        <v>11804268.507861201</v>
      </c>
      <c r="W26" s="5">
        <v>3149489.6647252599</v>
      </c>
      <c r="X26" s="5">
        <v>3715307.7214775598</v>
      </c>
      <c r="Y26" s="5">
        <v>1669448.26246091</v>
      </c>
      <c r="Z26" s="5">
        <v>4673784.8833878404</v>
      </c>
      <c r="AA26" s="5">
        <v>4599089.6024965802</v>
      </c>
      <c r="AB26" s="5">
        <v>4845868.8083395297</v>
      </c>
      <c r="AC26" s="5">
        <v>4417619.0807698797</v>
      </c>
      <c r="AD26">
        <f t="shared" si="1"/>
        <v>4634090.5937484577</v>
      </c>
      <c r="AE26">
        <f t="shared" si="2"/>
        <v>177492.37929669541</v>
      </c>
      <c r="AF26">
        <f t="shared" si="3"/>
        <v>3.8301447869003365E-2</v>
      </c>
    </row>
    <row r="27" spans="1:32" x14ac:dyDescent="0.45">
      <c r="A27" s="5" t="s">
        <v>173</v>
      </c>
      <c r="B27" s="2">
        <f t="shared" si="0"/>
        <v>1144048.1143085931</v>
      </c>
      <c r="C27" s="7">
        <v>942860.73395140632</v>
      </c>
      <c r="D27" s="8">
        <v>7.5036773252295144E-2</v>
      </c>
      <c r="E27" s="5">
        <v>291069.09229566099</v>
      </c>
      <c r="F27" s="5">
        <v>2190809.8390928102</v>
      </c>
      <c r="G27" s="5">
        <v>1112436.4685275201</v>
      </c>
      <c r="H27" s="5">
        <v>52745.098791914403</v>
      </c>
      <c r="I27" s="5">
        <v>666099.22272508498</v>
      </c>
      <c r="J27" s="5">
        <v>2968605.5570318499</v>
      </c>
      <c r="K27" s="5">
        <v>3930062.77998133</v>
      </c>
      <c r="L27" s="5">
        <v>354716.05717041797</v>
      </c>
      <c r="M27" s="5">
        <v>217210.03895035901</v>
      </c>
      <c r="N27" s="5">
        <v>2137066.1632931302</v>
      </c>
      <c r="O27" s="5">
        <v>51281.470396174896</v>
      </c>
      <c r="P27" s="5">
        <v>1094331.8180676999</v>
      </c>
      <c r="Q27" s="5">
        <v>4605255.4751530001</v>
      </c>
      <c r="R27" s="5">
        <v>1145366.23185368</v>
      </c>
      <c r="S27" s="5">
        <v>112434.158358421</v>
      </c>
      <c r="T27" s="5">
        <v>50206.471549857299</v>
      </c>
      <c r="U27" s="5">
        <v>116352.518488373</v>
      </c>
      <c r="V27" s="5">
        <v>208415.693386584</v>
      </c>
      <c r="W27" s="5">
        <v>1417304.42201969</v>
      </c>
      <c r="X27" s="5">
        <v>1156524.58562969</v>
      </c>
      <c r="Y27" s="5">
        <v>146717.23771720601</v>
      </c>
      <c r="Z27" s="5">
        <v>983104.64959360496</v>
      </c>
      <c r="AA27" s="5">
        <v>1013993.62474318</v>
      </c>
      <c r="AB27" s="5">
        <v>919841.13850472902</v>
      </c>
      <c r="AC27" s="5">
        <v>854503.52296411095</v>
      </c>
      <c r="AD27">
        <f t="shared" si="1"/>
        <v>942860.73395140632</v>
      </c>
      <c r="AE27">
        <f t="shared" si="2"/>
        <v>70749.227102004254</v>
      </c>
      <c r="AF27">
        <f t="shared" si="3"/>
        <v>7.5036773252295144E-2</v>
      </c>
    </row>
    <row r="28" spans="1:32" x14ac:dyDescent="0.45">
      <c r="A28" s="5" t="s">
        <v>121</v>
      </c>
      <c r="B28" s="2">
        <f t="shared" si="0"/>
        <v>5427494.5048239306</v>
      </c>
      <c r="C28" s="2">
        <v>5301602.3898241129</v>
      </c>
      <c r="D28" s="2">
        <v>9.7001601128321319E-3</v>
      </c>
      <c r="E28" s="5">
        <v>598772.89512584696</v>
      </c>
      <c r="F28" s="5">
        <v>9126395.25605716</v>
      </c>
      <c r="G28" s="5">
        <v>761813.52162946505</v>
      </c>
      <c r="H28" s="5">
        <v>543139.56263679697</v>
      </c>
      <c r="I28" s="5">
        <v>678591.77189151396</v>
      </c>
      <c r="J28" s="5">
        <v>12507446.276856</v>
      </c>
      <c r="K28" s="5">
        <v>33155771.101477802</v>
      </c>
      <c r="L28" s="5">
        <v>600848.44175333797</v>
      </c>
      <c r="M28" s="5">
        <v>862542.38115783199</v>
      </c>
      <c r="N28" s="5">
        <v>13746563.1883367</v>
      </c>
      <c r="O28" s="5">
        <v>541230.02924760699</v>
      </c>
      <c r="P28" s="5">
        <v>15562103.264325701</v>
      </c>
      <c r="Q28" s="5">
        <v>595904.46874484397</v>
      </c>
      <c r="R28" s="5">
        <v>178670.74263478001</v>
      </c>
      <c r="S28" s="5">
        <v>400264.93126163201</v>
      </c>
      <c r="T28" s="5">
        <v>96111.227592892494</v>
      </c>
      <c r="U28" s="5">
        <v>1138056.3568612</v>
      </c>
      <c r="V28" s="5">
        <v>784723.93223689997</v>
      </c>
      <c r="W28" s="5">
        <v>9392022.2122452892</v>
      </c>
      <c r="X28" s="5">
        <v>12230688.363851501</v>
      </c>
      <c r="Y28" s="5">
        <v>475724.67537777597</v>
      </c>
      <c r="Z28" s="5">
        <v>5250843.7292689001</v>
      </c>
      <c r="AA28" s="5">
        <v>5363216.0191336796</v>
      </c>
      <c r="AB28" s="5">
        <v>5268766.6468184199</v>
      </c>
      <c r="AC28" s="5">
        <v>5323583.16407545</v>
      </c>
      <c r="AD28">
        <f t="shared" si="1"/>
        <v>5301602.3898241129</v>
      </c>
      <c r="AE28">
        <f t="shared" si="2"/>
        <v>51426.392035867371</v>
      </c>
      <c r="AF28">
        <f t="shared" si="3"/>
        <v>9.7001601128321319E-3</v>
      </c>
    </row>
    <row r="29" spans="1:32" x14ac:dyDescent="0.45">
      <c r="A29" s="5" t="s">
        <v>40</v>
      </c>
      <c r="B29" s="2">
        <f t="shared" si="0"/>
        <v>7255598.7547485875</v>
      </c>
      <c r="C29" s="7">
        <v>5807718.1940114023</v>
      </c>
      <c r="D29" s="8">
        <v>7.0655363711801727E-2</v>
      </c>
      <c r="E29" s="5">
        <v>4199509.4037390696</v>
      </c>
      <c r="F29" s="5">
        <v>5496057.8417557599</v>
      </c>
      <c r="G29" s="5">
        <v>8100358.38529984</v>
      </c>
      <c r="H29" s="5">
        <v>18310283.845979001</v>
      </c>
      <c r="I29" s="5">
        <v>6572158.6999750501</v>
      </c>
      <c r="J29" s="5">
        <v>6902077.0224695401</v>
      </c>
      <c r="K29" s="5">
        <v>4273159.3647580603</v>
      </c>
      <c r="L29" s="5">
        <v>4743853.58748045</v>
      </c>
      <c r="M29" s="5">
        <v>5692002.58614437</v>
      </c>
      <c r="N29" s="5">
        <v>3789270.0659437398</v>
      </c>
      <c r="O29" s="5">
        <v>12109947.512293</v>
      </c>
      <c r="P29" s="5">
        <v>5546563.3436301304</v>
      </c>
      <c r="Q29" s="5">
        <v>9474746.1562538501</v>
      </c>
      <c r="R29" s="5">
        <v>6625980.56803736</v>
      </c>
      <c r="S29" s="5">
        <v>7487949.50340172</v>
      </c>
      <c r="T29" s="5">
        <v>8305097.3182322597</v>
      </c>
      <c r="U29" s="5">
        <v>6454682.1352036595</v>
      </c>
      <c r="V29" s="5">
        <v>11033081.666633399</v>
      </c>
      <c r="W29" s="5">
        <v>5187401.9782805704</v>
      </c>
      <c r="X29" s="5">
        <v>4383399.7118189698</v>
      </c>
      <c r="Y29" s="5">
        <v>7679993.1523905499</v>
      </c>
      <c r="Z29" s="5">
        <v>5362594.4508101502</v>
      </c>
      <c r="AA29" s="5">
        <v>5556200.49130168</v>
      </c>
      <c r="AB29" s="5">
        <v>6179508.6008902397</v>
      </c>
      <c r="AC29" s="5">
        <v>6132569.2330435403</v>
      </c>
      <c r="AD29">
        <f t="shared" si="1"/>
        <v>5807718.1940114023</v>
      </c>
      <c r="AE29">
        <f t="shared" si="2"/>
        <v>410346.44133352389</v>
      </c>
      <c r="AF29">
        <f t="shared" si="3"/>
        <v>7.0655363711801727E-2</v>
      </c>
    </row>
    <row r="30" spans="1:32" x14ac:dyDescent="0.45">
      <c r="A30" s="5" t="s">
        <v>174</v>
      </c>
      <c r="B30" s="2">
        <f t="shared" si="0"/>
        <v>1044075.5456287491</v>
      </c>
      <c r="C30" s="7">
        <v>963585.20886525256</v>
      </c>
      <c r="D30" s="8">
        <v>0.19161349950797679</v>
      </c>
      <c r="E30" s="5">
        <v>23393.274131448699</v>
      </c>
      <c r="F30" s="5">
        <v>3082986.6377000902</v>
      </c>
      <c r="G30" s="5">
        <v>23312.2430930191</v>
      </c>
      <c r="H30" s="5">
        <v>20490.2310392299</v>
      </c>
      <c r="I30" s="5">
        <v>167278.090085356</v>
      </c>
      <c r="J30" s="5">
        <v>2386167.2161330399</v>
      </c>
      <c r="K30" s="5">
        <v>3261553.2670483999</v>
      </c>
      <c r="L30" s="5">
        <v>102528.057708443</v>
      </c>
      <c r="M30" s="5">
        <v>83271.334963040994</v>
      </c>
      <c r="N30" s="5">
        <v>1824928.2657799299</v>
      </c>
      <c r="O30" s="5">
        <v>23712.976470853398</v>
      </c>
      <c r="P30" s="5">
        <v>2514462.2464881102</v>
      </c>
      <c r="Q30" s="5">
        <v>23708.4989790578</v>
      </c>
      <c r="R30" s="5">
        <v>20174.6608092776</v>
      </c>
      <c r="S30" s="5">
        <v>64261.659439419403</v>
      </c>
      <c r="T30" s="5">
        <v>22496.394044225501</v>
      </c>
      <c r="U30" s="5">
        <v>73215.252605150294</v>
      </c>
      <c r="V30" s="5">
        <v>21611.943351050599</v>
      </c>
      <c r="W30" s="5">
        <v>3291112.3802137999</v>
      </c>
      <c r="X30" s="5">
        <v>4873373.7405381398</v>
      </c>
      <c r="Y30" s="5">
        <v>21548.0875826476</v>
      </c>
      <c r="Z30" s="5">
        <v>686819.05429611995</v>
      </c>
      <c r="AA30" s="5">
        <v>1046830.2156536001</v>
      </c>
      <c r="AB30" s="5">
        <v>1063246.7758293999</v>
      </c>
      <c r="AC30" s="5">
        <v>1057444.78968189</v>
      </c>
      <c r="AD30">
        <f t="shared" si="1"/>
        <v>963585.20886525256</v>
      </c>
      <c r="AE30">
        <f t="shared" si="2"/>
        <v>184635.93394479578</v>
      </c>
      <c r="AF30">
        <f t="shared" si="3"/>
        <v>0.19161349950797679</v>
      </c>
    </row>
    <row r="31" spans="1:32" x14ac:dyDescent="0.45">
      <c r="A31" s="5" t="s">
        <v>175</v>
      </c>
      <c r="B31" s="2">
        <f t="shared" si="0"/>
        <v>92302.011356898613</v>
      </c>
      <c r="C31" s="7">
        <v>62819.199509965525</v>
      </c>
      <c r="D31" s="8">
        <v>9.2044878099706143E-2</v>
      </c>
      <c r="E31" s="5">
        <v>105085.13843664101</v>
      </c>
      <c r="F31" s="5">
        <v>49854.038067638103</v>
      </c>
      <c r="G31" s="5">
        <v>90188.434966713205</v>
      </c>
      <c r="H31" s="5">
        <v>203592.94892482299</v>
      </c>
      <c r="I31" s="5">
        <v>111477.43342980801</v>
      </c>
      <c r="J31" s="5">
        <v>36125.355473185402</v>
      </c>
      <c r="K31" s="5">
        <v>29499.659059492202</v>
      </c>
      <c r="L31" s="5">
        <v>101237.35681604101</v>
      </c>
      <c r="M31" s="5">
        <v>102437.736115922</v>
      </c>
      <c r="N31" s="5">
        <v>45214.472284599098</v>
      </c>
      <c r="O31" s="5">
        <v>137741.28310779601</v>
      </c>
      <c r="P31" s="5">
        <v>56536.739412557203</v>
      </c>
      <c r="Q31" s="5">
        <v>126199.460803102</v>
      </c>
      <c r="R31" s="5">
        <v>69112.946685388903</v>
      </c>
      <c r="S31" s="5">
        <v>133541.694014204</v>
      </c>
      <c r="T31" s="5">
        <v>97442.781580926705</v>
      </c>
      <c r="U31" s="5">
        <v>91052.411494853193</v>
      </c>
      <c r="V31" s="5">
        <v>145112.260422274</v>
      </c>
      <c r="W31" s="5">
        <v>56036.511650841698</v>
      </c>
      <c r="X31" s="5">
        <v>33176.707278899201</v>
      </c>
      <c r="Y31" s="5">
        <v>117676.868469165</v>
      </c>
      <c r="Z31" s="5">
        <v>60864.121161577903</v>
      </c>
      <c r="AA31" s="5">
        <v>71239.649986851495</v>
      </c>
      <c r="AB31" s="5">
        <v>61115.266799105302</v>
      </c>
      <c r="AC31" s="5">
        <v>58057.7600923274</v>
      </c>
      <c r="AD31">
        <f t="shared" si="1"/>
        <v>62819.199509965525</v>
      </c>
      <c r="AE31">
        <f t="shared" si="2"/>
        <v>5782.185561215897</v>
      </c>
      <c r="AF31">
        <f t="shared" si="3"/>
        <v>9.2044878099706143E-2</v>
      </c>
    </row>
    <row r="32" spans="1:32" x14ac:dyDescent="0.45">
      <c r="A32" s="5" t="s">
        <v>176</v>
      </c>
      <c r="B32" s="2">
        <f t="shared" si="0"/>
        <v>39031428.096891031</v>
      </c>
      <c r="C32" s="7">
        <v>31980994.380913876</v>
      </c>
      <c r="D32" s="7">
        <v>4.4490997149788027E-2</v>
      </c>
      <c r="E32" s="5">
        <v>60276451.640484497</v>
      </c>
      <c r="F32" s="5">
        <v>23257769.0515384</v>
      </c>
      <c r="G32" s="5">
        <v>47357047.384842001</v>
      </c>
      <c r="H32" s="5">
        <v>44654489.024843797</v>
      </c>
      <c r="I32" s="5">
        <v>48197144.187938198</v>
      </c>
      <c r="J32" s="5">
        <v>22850327.8400237</v>
      </c>
      <c r="K32" s="5">
        <v>21505108.945393998</v>
      </c>
      <c r="L32" s="5">
        <v>40027265.656321697</v>
      </c>
      <c r="M32" s="5">
        <v>52437447.831717402</v>
      </c>
      <c r="N32" s="5">
        <v>14710495.283118799</v>
      </c>
      <c r="O32" s="5">
        <v>38653363.136136703</v>
      </c>
      <c r="P32" s="5">
        <v>27922060.717166498</v>
      </c>
      <c r="Q32" s="5">
        <v>56374078.735508002</v>
      </c>
      <c r="R32" s="5">
        <v>37306260.571054399</v>
      </c>
      <c r="S32" s="5">
        <v>42656635.979355797</v>
      </c>
      <c r="T32" s="5">
        <v>48272023.675129898</v>
      </c>
      <c r="U32" s="5">
        <v>45389934.602000996</v>
      </c>
      <c r="V32" s="5">
        <v>51489757.669489302</v>
      </c>
      <c r="W32" s="5">
        <v>20940562.487657901</v>
      </c>
      <c r="X32" s="5">
        <v>25484931.934388299</v>
      </c>
      <c r="Y32" s="5">
        <v>49896833.6806015</v>
      </c>
      <c r="Z32" s="5">
        <v>29886503.568624601</v>
      </c>
      <c r="AA32" s="5">
        <v>33039247.102492299</v>
      </c>
      <c r="AB32" s="5">
        <v>32376719.5905619</v>
      </c>
      <c r="AC32" s="5">
        <v>32621507.2619767</v>
      </c>
      <c r="AD32">
        <f t="shared" si="1"/>
        <v>31980994.380913876</v>
      </c>
      <c r="AE32">
        <f t="shared" si="2"/>
        <v>1422866.3298486262</v>
      </c>
      <c r="AF32">
        <f t="shared" si="3"/>
        <v>4.4490997149788027E-2</v>
      </c>
    </row>
    <row r="33" spans="1:32" x14ac:dyDescent="0.45">
      <c r="A33" s="5" t="s">
        <v>122</v>
      </c>
      <c r="B33" s="2">
        <f t="shared" si="0"/>
        <v>6861322.6241083527</v>
      </c>
      <c r="C33" s="2">
        <v>6070223.7947565205</v>
      </c>
      <c r="D33" s="2">
        <v>3.199157522975439E-2</v>
      </c>
      <c r="E33" s="5">
        <v>15096921.1277098</v>
      </c>
      <c r="F33" s="5">
        <v>5421054.3119542599</v>
      </c>
      <c r="G33" s="5">
        <v>5219909.0407957695</v>
      </c>
      <c r="H33" s="5">
        <v>7386304.2410268001</v>
      </c>
      <c r="I33" s="5">
        <v>6726173.2496553799</v>
      </c>
      <c r="J33" s="5">
        <v>4353594.7764485497</v>
      </c>
      <c r="K33" s="5">
        <v>5080165.2793276897</v>
      </c>
      <c r="L33" s="5">
        <v>12795879.320127999</v>
      </c>
      <c r="M33" s="5">
        <v>6790574.5359485596</v>
      </c>
      <c r="N33" s="5">
        <v>4941972.6898711203</v>
      </c>
      <c r="O33" s="5">
        <v>9252280.1677249894</v>
      </c>
      <c r="P33" s="5">
        <v>5909835.3371023098</v>
      </c>
      <c r="Q33" s="5">
        <v>5804943.7451796001</v>
      </c>
      <c r="R33" s="5">
        <v>4192951.0735116</v>
      </c>
      <c r="S33" s="5">
        <v>6864878.7609324697</v>
      </c>
      <c r="T33" s="5">
        <v>7125439.4615116296</v>
      </c>
      <c r="U33" s="5">
        <v>9315188.0197283104</v>
      </c>
      <c r="V33" s="5">
        <v>5908332.0283587603</v>
      </c>
      <c r="W33" s="5">
        <v>4511464.34343848</v>
      </c>
      <c r="X33" s="5">
        <v>4459538.7412908804</v>
      </c>
      <c r="Y33" s="5">
        <v>6930374.8546304898</v>
      </c>
      <c r="Z33" s="5">
        <v>5982041.4182729702</v>
      </c>
      <c r="AA33" s="5">
        <v>5852219.5415116604</v>
      </c>
      <c r="AB33" s="5">
        <v>6297341.3349539004</v>
      </c>
      <c r="AC33" s="5">
        <v>6149292.8842875501</v>
      </c>
      <c r="AD33">
        <f t="shared" si="1"/>
        <v>6070223.7947565205</v>
      </c>
      <c r="AE33">
        <f t="shared" si="2"/>
        <v>194196.02119139838</v>
      </c>
      <c r="AF33">
        <f t="shared" si="3"/>
        <v>3.199157522975439E-2</v>
      </c>
    </row>
    <row r="34" spans="1:32" x14ac:dyDescent="0.45">
      <c r="A34" s="5" t="s">
        <v>232</v>
      </c>
      <c r="B34" s="2">
        <f t="shared" si="0"/>
        <v>28831256.502090912</v>
      </c>
      <c r="C34" s="2">
        <v>29498102.418505821</v>
      </c>
      <c r="D34" s="2">
        <v>9.2750764194257013E-2</v>
      </c>
      <c r="E34" s="5">
        <v>5224297.7112736003</v>
      </c>
      <c r="F34" s="5">
        <v>53731685.092841297</v>
      </c>
      <c r="G34" s="5">
        <v>25756135.831138398</v>
      </c>
      <c r="H34" s="5">
        <v>2205478.0713859601</v>
      </c>
      <c r="I34" s="5">
        <v>9065905.9067383297</v>
      </c>
      <c r="J34" s="5">
        <v>86733760.474906206</v>
      </c>
      <c r="K34" s="5">
        <v>89286343.198672101</v>
      </c>
      <c r="L34" s="5">
        <v>5966405.84119057</v>
      </c>
      <c r="M34" s="5">
        <v>9537707.6402713191</v>
      </c>
      <c r="N34" s="5">
        <v>87024713.2397338</v>
      </c>
      <c r="O34" s="5">
        <v>3017504.3512774101</v>
      </c>
      <c r="P34" s="5">
        <v>71615820.078352898</v>
      </c>
      <c r="Q34" s="5">
        <v>6377756.6510328297</v>
      </c>
      <c r="R34" s="5">
        <v>7032542.1838739198</v>
      </c>
      <c r="S34" s="5">
        <v>5308668.5489259204</v>
      </c>
      <c r="T34" s="5">
        <v>2394857.1687028701</v>
      </c>
      <c r="U34" s="5">
        <v>11999433.0097255</v>
      </c>
      <c r="V34" s="5">
        <v>8128867.5428961702</v>
      </c>
      <c r="W34" s="5">
        <v>51377423.355009302</v>
      </c>
      <c r="X34" s="5">
        <v>58454950.238472797</v>
      </c>
      <c r="Y34" s="5">
        <v>5216130.4074879801</v>
      </c>
      <c r="Z34" s="5">
        <v>26140349.352334101</v>
      </c>
      <c r="AA34" s="5">
        <v>28973062.208041798</v>
      </c>
      <c r="AB34" s="5">
        <v>32737267.552887298</v>
      </c>
      <c r="AC34" s="5">
        <v>30141730.560760099</v>
      </c>
      <c r="AD34">
        <f t="shared" si="1"/>
        <v>29498102.418505821</v>
      </c>
      <c r="AE34">
        <f t="shared" si="2"/>
        <v>2735971.541596876</v>
      </c>
      <c r="AF34">
        <f t="shared" si="3"/>
        <v>9.2750764194257013E-2</v>
      </c>
    </row>
    <row r="35" spans="1:32" x14ac:dyDescent="0.45">
      <c r="A35" s="5" t="s">
        <v>177</v>
      </c>
      <c r="B35" s="2">
        <f t="shared" si="0"/>
        <v>1418176.9864959437</v>
      </c>
      <c r="C35" s="7">
        <v>1028889.7385200073</v>
      </c>
      <c r="D35" s="8">
        <v>0.21127952274642686</v>
      </c>
      <c r="E35" s="5">
        <v>2138444.4394956501</v>
      </c>
      <c r="F35" s="5">
        <v>562830.48540681601</v>
      </c>
      <c r="G35" s="5">
        <v>2459979.72737541</v>
      </c>
      <c r="H35" s="5">
        <v>1913854.12496884</v>
      </c>
      <c r="I35" s="5">
        <v>993603.48704739497</v>
      </c>
      <c r="J35" s="5">
        <v>634829.32336477505</v>
      </c>
      <c r="K35" s="5">
        <v>653724.28110330703</v>
      </c>
      <c r="L35" s="5">
        <v>1257376.68671475</v>
      </c>
      <c r="M35" s="5">
        <v>1376717.9998449699</v>
      </c>
      <c r="N35" s="5">
        <v>870144.52079559502</v>
      </c>
      <c r="O35" s="5">
        <v>2448845.0285440902</v>
      </c>
      <c r="P35" s="5">
        <v>925180.92703895096</v>
      </c>
      <c r="Q35" s="5">
        <v>1975653.0416579801</v>
      </c>
      <c r="R35" s="5">
        <v>1776880.93432439</v>
      </c>
      <c r="S35" s="5">
        <v>1853954.0557259901</v>
      </c>
      <c r="T35" s="5">
        <v>1912242.27717051</v>
      </c>
      <c r="U35" s="5">
        <v>910100.19444593205</v>
      </c>
      <c r="V35" s="5">
        <v>2596420.3168876399</v>
      </c>
      <c r="W35" s="5">
        <v>733196.75753919198</v>
      </c>
      <c r="X35" s="5">
        <v>573440.29127520905</v>
      </c>
      <c r="Y35" s="5">
        <v>1214297.8156874301</v>
      </c>
      <c r="Z35" s="5">
        <v>874318.83819133602</v>
      </c>
      <c r="AA35" s="5">
        <v>946927.46227021201</v>
      </c>
      <c r="AB35" s="5">
        <v>943216.88663429103</v>
      </c>
      <c r="AC35" s="5">
        <v>1351095.7669841901</v>
      </c>
      <c r="AD35">
        <f t="shared" si="1"/>
        <v>1028889.7385200073</v>
      </c>
      <c r="AE35">
        <f t="shared" si="2"/>
        <v>217383.33291320308</v>
      </c>
      <c r="AF35">
        <f t="shared" si="3"/>
        <v>0.21127952274642686</v>
      </c>
    </row>
    <row r="36" spans="1:32" x14ac:dyDescent="0.45">
      <c r="A36" s="5" t="s">
        <v>41</v>
      </c>
      <c r="B36" s="2">
        <f t="shared" si="0"/>
        <v>28113870.739353623</v>
      </c>
      <c r="C36" s="7">
        <v>21606948.757127151</v>
      </c>
      <c r="D36" s="8">
        <v>0.15475530102827789</v>
      </c>
      <c r="E36" s="5">
        <v>33592731.689236097</v>
      </c>
      <c r="F36" s="5">
        <v>22509304.4874807</v>
      </c>
      <c r="G36" s="5">
        <v>24722977.501454201</v>
      </c>
      <c r="H36" s="5">
        <v>34625301.3659603</v>
      </c>
      <c r="I36" s="5">
        <v>29102509.2940896</v>
      </c>
      <c r="J36" s="5">
        <v>18252650.1634553</v>
      </c>
      <c r="K36" s="5">
        <v>17463971.065108601</v>
      </c>
      <c r="L36" s="5">
        <v>31232477.361311201</v>
      </c>
      <c r="M36" s="5">
        <v>27418524.909761101</v>
      </c>
      <c r="N36" s="5">
        <v>20657630.4637964</v>
      </c>
      <c r="O36" s="5">
        <v>34361466.4808046</v>
      </c>
      <c r="P36" s="5">
        <v>20953069.645605899</v>
      </c>
      <c r="Q36" s="5">
        <v>60131850.232973099</v>
      </c>
      <c r="R36" s="5">
        <v>17799464.144618101</v>
      </c>
      <c r="S36" s="5">
        <v>26788896.191412099</v>
      </c>
      <c r="T36" s="5">
        <v>30074132.884582099</v>
      </c>
      <c r="U36" s="5">
        <v>35897513.902756996</v>
      </c>
      <c r="V36" s="5">
        <v>37370586.690171897</v>
      </c>
      <c r="W36" s="5">
        <v>19610788.0369468</v>
      </c>
      <c r="X36" s="5">
        <v>17959102.444545899</v>
      </c>
      <c r="Y36" s="5">
        <v>29866336.570355002</v>
      </c>
      <c r="Z36" s="5">
        <v>16765274.377666101</v>
      </c>
      <c r="AA36" s="5">
        <v>24134499.099930599</v>
      </c>
      <c r="AB36" s="5">
        <v>23483345.644292898</v>
      </c>
      <c r="AC36" s="5">
        <v>22044675.906619001</v>
      </c>
      <c r="AD36">
        <f t="shared" si="1"/>
        <v>21606948.757127151</v>
      </c>
      <c r="AE36">
        <f t="shared" si="2"/>
        <v>3343789.8592117871</v>
      </c>
      <c r="AF36">
        <f t="shared" si="3"/>
        <v>0.15475530102827789</v>
      </c>
    </row>
    <row r="37" spans="1:32" x14ac:dyDescent="0.45">
      <c r="A37" s="5" t="s">
        <v>178</v>
      </c>
      <c r="B37" s="2">
        <f t="shared" si="0"/>
        <v>9922257.2258108482</v>
      </c>
      <c r="C37" s="7">
        <v>8121168.1007133275</v>
      </c>
      <c r="D37" s="7">
        <v>4.364665075829316E-2</v>
      </c>
      <c r="E37" s="5">
        <v>9068140.0273250509</v>
      </c>
      <c r="F37" s="5">
        <v>6933380.8161241096</v>
      </c>
      <c r="G37" s="5">
        <v>10527846.227213601</v>
      </c>
      <c r="H37" s="5">
        <v>11766209.867208799</v>
      </c>
      <c r="I37" s="5">
        <v>10804028.7150116</v>
      </c>
      <c r="J37" s="5">
        <v>7973672.9887797805</v>
      </c>
      <c r="K37" s="5">
        <v>9518137.65865626</v>
      </c>
      <c r="L37" s="5">
        <v>9446674.6277674194</v>
      </c>
      <c r="M37" s="5">
        <v>9887782.7774766702</v>
      </c>
      <c r="N37" s="5">
        <v>7206743.7175303204</v>
      </c>
      <c r="O37" s="5">
        <v>12556879.220228</v>
      </c>
      <c r="P37" s="5">
        <v>7763307.5288090901</v>
      </c>
      <c r="Q37" s="5">
        <v>12277622.996466201</v>
      </c>
      <c r="R37" s="5">
        <v>12893974.809857899</v>
      </c>
      <c r="S37" s="5">
        <v>11230858.826324699</v>
      </c>
      <c r="T37" s="5">
        <v>11144375.182527199</v>
      </c>
      <c r="U37" s="5">
        <v>10157268.517996401</v>
      </c>
      <c r="V37" s="5">
        <v>10136701.7501748</v>
      </c>
      <c r="W37" s="5">
        <v>7024395.2131811501</v>
      </c>
      <c r="X37" s="5">
        <v>7867699.88434627</v>
      </c>
      <c r="Y37" s="5">
        <v>12181700.389022499</v>
      </c>
      <c r="Z37" s="5">
        <v>7956286.0431265598</v>
      </c>
      <c r="AA37" s="5">
        <v>8511053.3267133906</v>
      </c>
      <c r="AB37" s="5">
        <v>8302281.6403113101</v>
      </c>
      <c r="AC37" s="5">
        <v>7715051.3927020496</v>
      </c>
      <c r="AD37">
        <f t="shared" si="1"/>
        <v>8121168.1007133275</v>
      </c>
      <c r="AE37">
        <f t="shared" si="2"/>
        <v>354461.78784122557</v>
      </c>
      <c r="AF37">
        <f t="shared" si="3"/>
        <v>4.364665075829316E-2</v>
      </c>
    </row>
    <row r="38" spans="1:32" x14ac:dyDescent="0.45">
      <c r="A38" s="5" t="s">
        <v>42</v>
      </c>
      <c r="B38" s="2">
        <f t="shared" si="0"/>
        <v>1264265.6189970686</v>
      </c>
      <c r="C38" s="7">
        <v>914081.08701280248</v>
      </c>
      <c r="D38" s="8">
        <v>5.7815675651871741E-2</v>
      </c>
      <c r="E38" s="5">
        <v>958521.49352341495</v>
      </c>
      <c r="F38" s="5">
        <v>815308.48008391098</v>
      </c>
      <c r="G38" s="5">
        <v>1215052.3942720101</v>
      </c>
      <c r="H38" s="5">
        <v>1049458.2884899101</v>
      </c>
      <c r="I38" s="5">
        <v>945012.238102676</v>
      </c>
      <c r="J38" s="5">
        <v>693826.17433058796</v>
      </c>
      <c r="K38" s="5">
        <v>722259.46908523096</v>
      </c>
      <c r="L38" s="5">
        <v>1347495.8616890099</v>
      </c>
      <c r="M38" s="5">
        <v>1306202.7870034201</v>
      </c>
      <c r="N38" s="5">
        <v>793468.77519878501</v>
      </c>
      <c r="O38" s="5">
        <v>1135923.22798023</v>
      </c>
      <c r="P38" s="5">
        <v>555438.54827446595</v>
      </c>
      <c r="Q38" s="5">
        <v>996823.77628160501</v>
      </c>
      <c r="R38" s="5">
        <v>1326966.37711103</v>
      </c>
      <c r="S38" s="5">
        <v>1218246.1796437299</v>
      </c>
      <c r="T38" s="5">
        <v>6853018.9770473698</v>
      </c>
      <c r="U38" s="5">
        <v>891366.90547130001</v>
      </c>
      <c r="V38" s="5">
        <v>1255412.51865873</v>
      </c>
      <c r="W38" s="5">
        <v>699822.78870002797</v>
      </c>
      <c r="X38" s="5">
        <v>614828.76041230699</v>
      </c>
      <c r="Y38" s="5">
        <v>1155123.97757869</v>
      </c>
      <c r="Z38" s="5">
        <v>955286.41366454703</v>
      </c>
      <c r="AA38" s="5">
        <v>889848.05037457496</v>
      </c>
      <c r="AB38" s="5">
        <v>960136.91376925202</v>
      </c>
      <c r="AC38" s="5">
        <v>851052.97024283605</v>
      </c>
      <c r="AD38">
        <f t="shared" si="1"/>
        <v>914081.08701280248</v>
      </c>
      <c r="AE38">
        <f t="shared" si="2"/>
        <v>52848.215646242541</v>
      </c>
      <c r="AF38">
        <f t="shared" si="3"/>
        <v>5.7815675651871741E-2</v>
      </c>
    </row>
    <row r="39" spans="1:32" x14ac:dyDescent="0.45">
      <c r="A39" s="5" t="s">
        <v>123</v>
      </c>
      <c r="B39" s="2">
        <f t="shared" si="0"/>
        <v>27276425.267849877</v>
      </c>
      <c r="C39" s="2">
        <v>24682029.973326527</v>
      </c>
      <c r="D39" s="2">
        <v>3.7574749189301822E-2</v>
      </c>
      <c r="E39" s="5">
        <v>29167534.692101698</v>
      </c>
      <c r="F39" s="5">
        <v>22737809.6141208</v>
      </c>
      <c r="G39" s="5">
        <v>22737561.486604199</v>
      </c>
      <c r="H39" s="5">
        <v>33903646.968519397</v>
      </c>
      <c r="I39" s="5">
        <v>31352428.936691001</v>
      </c>
      <c r="J39" s="5">
        <v>22303298.6642575</v>
      </c>
      <c r="K39" s="5">
        <v>26694815.661795001</v>
      </c>
      <c r="L39" s="5">
        <v>25010114.555525701</v>
      </c>
      <c r="M39" s="5">
        <v>30599987.164115701</v>
      </c>
      <c r="N39" s="5">
        <v>25732069.883474901</v>
      </c>
      <c r="O39" s="5">
        <v>34999535.934629098</v>
      </c>
      <c r="P39" s="5">
        <v>23021819.882631499</v>
      </c>
      <c r="Q39" s="5">
        <v>31112495.102546901</v>
      </c>
      <c r="R39" s="5">
        <v>27520387.3466595</v>
      </c>
      <c r="S39" s="5">
        <v>25983140.5202871</v>
      </c>
      <c r="T39" s="5">
        <v>30454330.193740498</v>
      </c>
      <c r="U39" s="5">
        <v>28765520.2482704</v>
      </c>
      <c r="V39" s="5">
        <v>28465004.439484399</v>
      </c>
      <c r="W39" s="5">
        <v>21255840.5982274</v>
      </c>
      <c r="X39" s="5">
        <v>22551044.502973799</v>
      </c>
      <c r="Y39" s="5">
        <v>28436544.228190999</v>
      </c>
      <c r="Z39" s="5">
        <v>24569722.345804099</v>
      </c>
      <c r="AA39" s="5">
        <v>23434694.2288794</v>
      </c>
      <c r="AB39" s="5">
        <v>25152620.807466399</v>
      </c>
      <c r="AC39" s="5">
        <v>25571082.511156201</v>
      </c>
      <c r="AD39">
        <f t="shared" si="1"/>
        <v>24682029.973326527</v>
      </c>
      <c r="AE39">
        <f t="shared" si="2"/>
        <v>927421.08573057421</v>
      </c>
      <c r="AF39">
        <f t="shared" si="3"/>
        <v>3.7574749189301822E-2</v>
      </c>
    </row>
    <row r="40" spans="1:32" x14ac:dyDescent="0.45">
      <c r="A40" s="5" t="s">
        <v>124</v>
      </c>
      <c r="B40" s="2">
        <f t="shared" si="0"/>
        <v>36454830.986317076</v>
      </c>
      <c r="C40" s="2">
        <v>32939821.850144647</v>
      </c>
      <c r="D40" s="2">
        <v>5.3923372897903089E-2</v>
      </c>
      <c r="E40" s="5">
        <v>44660228.242472097</v>
      </c>
      <c r="F40" s="5">
        <v>27485430.460126501</v>
      </c>
      <c r="G40" s="5">
        <v>30894541.302603099</v>
      </c>
      <c r="H40" s="5">
        <v>52727986.441545501</v>
      </c>
      <c r="I40" s="5">
        <v>41351463.324416503</v>
      </c>
      <c r="J40" s="5">
        <v>26974661.483667601</v>
      </c>
      <c r="K40" s="5">
        <v>29898840.2536618</v>
      </c>
      <c r="L40" s="5">
        <v>38986428.303489603</v>
      </c>
      <c r="M40" s="5">
        <v>41215425.674198098</v>
      </c>
      <c r="N40" s="5">
        <v>25149586.074163999</v>
      </c>
      <c r="O40" s="5">
        <v>43011852.880120203</v>
      </c>
      <c r="P40" s="5">
        <v>27792168.324616998</v>
      </c>
      <c r="Q40" s="5">
        <v>43651974.498445399</v>
      </c>
      <c r="R40" s="5">
        <v>31790966.252193</v>
      </c>
      <c r="S40" s="5">
        <v>39160902.680786803</v>
      </c>
      <c r="T40" s="5">
        <v>41477113.999209203</v>
      </c>
      <c r="U40" s="5">
        <v>41210092.106326602</v>
      </c>
      <c r="V40" s="5">
        <v>41108523.425491102</v>
      </c>
      <c r="W40" s="5">
        <v>29023858.4281458</v>
      </c>
      <c r="X40" s="5">
        <v>29560842.728148099</v>
      </c>
      <c r="Y40" s="5">
        <v>38418563.828830697</v>
      </c>
      <c r="Z40" s="5">
        <v>30799701.065060701</v>
      </c>
      <c r="AA40" s="5">
        <v>32157494.534223299</v>
      </c>
      <c r="AB40" s="5">
        <v>34366152.369866997</v>
      </c>
      <c r="AC40" s="5">
        <v>34435939.431427598</v>
      </c>
      <c r="AD40">
        <f t="shared" si="1"/>
        <v>32939821.850144647</v>
      </c>
      <c r="AE40">
        <f t="shared" si="2"/>
        <v>1776226.2968158459</v>
      </c>
      <c r="AF40">
        <f t="shared" si="3"/>
        <v>5.3923372897903089E-2</v>
      </c>
    </row>
    <row r="41" spans="1:32" x14ac:dyDescent="0.45">
      <c r="A41" s="5" t="s">
        <v>43</v>
      </c>
      <c r="B41" s="2">
        <f t="shared" si="0"/>
        <v>2242229.7641034001</v>
      </c>
      <c r="C41" s="7">
        <v>1951449.5688900151</v>
      </c>
      <c r="D41" s="8">
        <v>7.4365562084451969E-2</v>
      </c>
      <c r="E41" s="5">
        <v>2279924.3888956001</v>
      </c>
      <c r="F41" s="5">
        <v>1808995.44620924</v>
      </c>
      <c r="G41" s="5">
        <v>2756018.1076247101</v>
      </c>
      <c r="H41" s="5">
        <v>3037524.64584629</v>
      </c>
      <c r="I41" s="5">
        <v>2723678.8836769899</v>
      </c>
      <c r="J41" s="5">
        <v>1438963.0885403301</v>
      </c>
      <c r="K41" s="5">
        <v>1926593.84979482</v>
      </c>
      <c r="L41" s="5">
        <v>1405063.7346582001</v>
      </c>
      <c r="M41" s="5">
        <v>1686759.26112819</v>
      </c>
      <c r="N41" s="5">
        <v>1825428.8211078499</v>
      </c>
      <c r="O41" s="5">
        <v>2478218.9858476599</v>
      </c>
      <c r="P41" s="5">
        <v>1722477.8673866501</v>
      </c>
      <c r="Q41" s="5">
        <v>2852992.3806431401</v>
      </c>
      <c r="R41" s="5">
        <v>3235075.94782724</v>
      </c>
      <c r="S41" s="5">
        <v>983565.31108631205</v>
      </c>
      <c r="T41" s="5">
        <v>3229701.1729594199</v>
      </c>
      <c r="U41" s="5">
        <v>2969788.3358160998</v>
      </c>
      <c r="V41" s="5">
        <v>2232700.0097480002</v>
      </c>
      <c r="W41" s="5">
        <v>2402271.1887191902</v>
      </c>
      <c r="X41" s="5">
        <v>1843811.24779546</v>
      </c>
      <c r="Y41" s="5">
        <v>2247272.3708600099</v>
      </c>
      <c r="Z41" s="5">
        <v>2102624.0777762001</v>
      </c>
      <c r="AA41" s="5">
        <v>2024920.2788998999</v>
      </c>
      <c r="AB41" s="5">
        <v>1769500.85279699</v>
      </c>
      <c r="AC41" s="5">
        <v>1908753.06608697</v>
      </c>
      <c r="AD41">
        <f t="shared" si="1"/>
        <v>1951449.5688900151</v>
      </c>
      <c r="AE41">
        <f t="shared" si="2"/>
        <v>145120.64406996744</v>
      </c>
      <c r="AF41">
        <f t="shared" si="3"/>
        <v>7.4365562084451969E-2</v>
      </c>
    </row>
    <row r="42" spans="1:32" x14ac:dyDescent="0.45">
      <c r="A42" s="5" t="s">
        <v>44</v>
      </c>
      <c r="B42" s="2">
        <f t="shared" si="0"/>
        <v>280042970.49285233</v>
      </c>
      <c r="C42" s="7">
        <v>236255957.57397449</v>
      </c>
      <c r="D42" s="8">
        <v>0.12454828972847491</v>
      </c>
      <c r="E42" s="5">
        <v>227949774.967242</v>
      </c>
      <c r="F42" s="5">
        <v>321050378.94456702</v>
      </c>
      <c r="G42" s="5">
        <v>491026926.13630599</v>
      </c>
      <c r="H42" s="5">
        <v>271380503.07195598</v>
      </c>
      <c r="I42" s="5">
        <v>336933021.866804</v>
      </c>
      <c r="J42" s="5">
        <v>309347964.348216</v>
      </c>
      <c r="K42" s="5">
        <v>198208942.37427601</v>
      </c>
      <c r="L42" s="5">
        <v>174339981.90157899</v>
      </c>
      <c r="M42" s="5">
        <v>224703109.24732101</v>
      </c>
      <c r="N42" s="5">
        <v>246012708.99620101</v>
      </c>
      <c r="O42" s="5">
        <v>297861690.83462399</v>
      </c>
      <c r="P42" s="5">
        <v>235668802.45780599</v>
      </c>
      <c r="Q42" s="5">
        <v>196747186.83077201</v>
      </c>
      <c r="R42" s="5">
        <v>302497530.28409898</v>
      </c>
      <c r="S42" s="5">
        <v>235477099.71112201</v>
      </c>
      <c r="T42" s="5">
        <v>274142527.83715302</v>
      </c>
      <c r="U42" s="5">
        <v>271071413.68091202</v>
      </c>
      <c r="V42" s="5">
        <v>331175760.03848702</v>
      </c>
      <c r="W42" s="5">
        <v>371316293.11931098</v>
      </c>
      <c r="X42" s="5">
        <v>264172126.44101599</v>
      </c>
      <c r="Y42" s="5">
        <v>299818637.26012701</v>
      </c>
      <c r="Z42" s="5">
        <v>192941087.10207799</v>
      </c>
      <c r="AA42" s="5">
        <v>250914991.802504</v>
      </c>
      <c r="AB42" s="5">
        <v>243659399.44406</v>
      </c>
      <c r="AC42" s="5">
        <v>257508351.947256</v>
      </c>
      <c r="AD42">
        <f t="shared" si="1"/>
        <v>236255957.57397449</v>
      </c>
      <c r="AE42">
        <f t="shared" si="2"/>
        <v>29425275.45400165</v>
      </c>
      <c r="AF42">
        <f t="shared" si="3"/>
        <v>0.12454828972847491</v>
      </c>
    </row>
    <row r="43" spans="1:32" x14ac:dyDescent="0.45">
      <c r="A43" s="5" t="s">
        <v>233</v>
      </c>
      <c r="B43" s="2">
        <f t="shared" si="0"/>
        <v>4733393.5088944566</v>
      </c>
      <c r="C43" s="2">
        <v>4532176.2713856455</v>
      </c>
      <c r="D43" s="2">
        <v>8.4680885261963032E-2</v>
      </c>
      <c r="E43" s="5">
        <v>964630.66386364796</v>
      </c>
      <c r="F43" s="5">
        <v>4973198.35727272</v>
      </c>
      <c r="G43" s="5">
        <v>2885765.3248391999</v>
      </c>
      <c r="H43" s="5">
        <v>328389.77233620198</v>
      </c>
      <c r="I43" s="5">
        <v>1860720.9514852001</v>
      </c>
      <c r="J43" s="5">
        <v>10043040.5567539</v>
      </c>
      <c r="K43" s="5">
        <v>18754707.8377988</v>
      </c>
      <c r="L43" s="5">
        <v>1711635.5549359201</v>
      </c>
      <c r="M43" s="5">
        <v>1864406.9059874599</v>
      </c>
      <c r="N43" s="5">
        <v>9911988.1684367694</v>
      </c>
      <c r="O43" s="5">
        <v>335625.17689464899</v>
      </c>
      <c r="P43" s="5">
        <v>18683097.719671398</v>
      </c>
      <c r="Q43" s="5">
        <v>3612742.1836779998</v>
      </c>
      <c r="R43" s="5">
        <v>318431.35956101998</v>
      </c>
      <c r="S43" s="5">
        <v>490651.67744401703</v>
      </c>
      <c r="T43" s="5">
        <v>322860.08834243898</v>
      </c>
      <c r="U43" s="5">
        <v>1642850.0614664601</v>
      </c>
      <c r="V43" s="5">
        <v>1773768.44902961</v>
      </c>
      <c r="W43" s="5">
        <v>12457617.6902059</v>
      </c>
      <c r="X43" s="5">
        <v>6077513.3191913804</v>
      </c>
      <c r="Y43" s="5">
        <v>387621.86758891301</v>
      </c>
      <c r="Z43" s="5">
        <v>3987696.8179727299</v>
      </c>
      <c r="AA43" s="5">
        <v>4815792.9394089999</v>
      </c>
      <c r="AB43" s="5">
        <v>4787026.93522726</v>
      </c>
      <c r="AC43" s="5">
        <v>4538188.3929335903</v>
      </c>
      <c r="AD43">
        <f t="shared" si="1"/>
        <v>4532176.2713856455</v>
      </c>
      <c r="AE43">
        <f t="shared" si="2"/>
        <v>383788.69882419927</v>
      </c>
      <c r="AF43">
        <f t="shared" si="3"/>
        <v>8.4680885261963032E-2</v>
      </c>
    </row>
    <row r="44" spans="1:32" x14ac:dyDescent="0.45">
      <c r="A44" s="5" t="s">
        <v>45</v>
      </c>
      <c r="B44" s="2">
        <f t="shared" si="0"/>
        <v>1469021.0777955435</v>
      </c>
      <c r="C44" s="2">
        <v>1643301.9925310474</v>
      </c>
      <c r="D44" s="2">
        <v>8.6292298439590159E-2</v>
      </c>
      <c r="E44" s="5">
        <v>436691.37972817803</v>
      </c>
      <c r="F44" s="5">
        <v>2509715.69207743</v>
      </c>
      <c r="G44" s="5">
        <v>96081.401923084501</v>
      </c>
      <c r="H44" s="5">
        <v>267639.54332232999</v>
      </c>
      <c r="I44" s="5">
        <v>80808.603953376907</v>
      </c>
      <c r="J44" s="5">
        <v>3630036.44995768</v>
      </c>
      <c r="K44" s="5">
        <v>6633336.93169994</v>
      </c>
      <c r="L44" s="5">
        <v>585655.79236368998</v>
      </c>
      <c r="M44" s="5">
        <v>426323.58521285898</v>
      </c>
      <c r="N44" s="5">
        <v>3481482.3433149601</v>
      </c>
      <c r="O44" s="5">
        <v>274688.78453761502</v>
      </c>
      <c r="P44" s="5">
        <v>4101914.11229413</v>
      </c>
      <c r="Q44" s="5">
        <v>195627.01093780799</v>
      </c>
      <c r="R44" s="5">
        <v>320303.85887597001</v>
      </c>
      <c r="S44" s="5">
        <v>520524.35312051303</v>
      </c>
      <c r="T44" s="5">
        <v>242714.398407525</v>
      </c>
      <c r="U44" s="5">
        <v>435174.68498177599</v>
      </c>
      <c r="V44" s="5">
        <v>443959.87421325903</v>
      </c>
      <c r="W44" s="5">
        <v>2660821.08175526</v>
      </c>
      <c r="X44" s="5">
        <v>3420428.33514645</v>
      </c>
      <c r="Y44" s="5">
        <v>85514.415882579604</v>
      </c>
      <c r="Z44" s="5">
        <v>1433239.56539306</v>
      </c>
      <c r="AA44" s="5">
        <v>1723801.2357600201</v>
      </c>
      <c r="AB44" s="5">
        <v>1733829.6793692401</v>
      </c>
      <c r="AC44" s="5">
        <v>1682337.4896018701</v>
      </c>
      <c r="AD44">
        <f t="shared" si="1"/>
        <v>1643301.9925310474</v>
      </c>
      <c r="AE44">
        <f t="shared" si="2"/>
        <v>141804.3059658623</v>
      </c>
      <c r="AF44">
        <f t="shared" si="3"/>
        <v>8.6292298439590159E-2</v>
      </c>
    </row>
    <row r="45" spans="1:32" x14ac:dyDescent="0.45">
      <c r="A45" s="5" t="s">
        <v>46</v>
      </c>
      <c r="B45" s="2">
        <f t="shared" si="0"/>
        <v>32140690.488340825</v>
      </c>
      <c r="C45" s="7">
        <v>26224625.931388475</v>
      </c>
      <c r="D45" s="7">
        <v>5.5722168381596805E-2</v>
      </c>
      <c r="E45" s="5">
        <v>20029389.0722153</v>
      </c>
      <c r="F45" s="5">
        <v>31220782.449486099</v>
      </c>
      <c r="G45" s="5">
        <v>14746852.797662901</v>
      </c>
      <c r="H45" s="5">
        <v>38268536.825236201</v>
      </c>
      <c r="I45" s="5">
        <v>18184556.7377025</v>
      </c>
      <c r="J45" s="5">
        <v>41511184.243469201</v>
      </c>
      <c r="K45" s="5">
        <v>130240074.505715</v>
      </c>
      <c r="L45" s="5">
        <v>26241845.756060101</v>
      </c>
      <c r="M45" s="5">
        <v>17840540.600175101</v>
      </c>
      <c r="N45" s="5">
        <v>38209457.648532502</v>
      </c>
      <c r="O45" s="5">
        <v>34548806.673555396</v>
      </c>
      <c r="P45" s="5">
        <v>46927208.9366934</v>
      </c>
      <c r="Q45" s="5">
        <v>29292108.618039899</v>
      </c>
      <c r="R45" s="5">
        <v>15838081.5387426</v>
      </c>
      <c r="S45" s="5">
        <v>21161018.791444201</v>
      </c>
      <c r="T45" s="5">
        <v>20699278.312667601</v>
      </c>
      <c r="U45" s="5">
        <v>21055166.860827599</v>
      </c>
      <c r="V45" s="5">
        <v>17680858.997715201</v>
      </c>
      <c r="W45" s="5">
        <v>32602319.424564499</v>
      </c>
      <c r="X45" s="5">
        <v>38981164.323812</v>
      </c>
      <c r="Y45" s="5">
        <v>19675267.140840098</v>
      </c>
      <c r="Z45" s="5">
        <v>24368537.380235501</v>
      </c>
      <c r="AA45" s="5">
        <v>25833551.0079026</v>
      </c>
      <c r="AB45" s="5">
        <v>27724542.4539227</v>
      </c>
      <c r="AC45" s="5">
        <v>26971872.883493099</v>
      </c>
      <c r="AD45">
        <f t="shared" si="1"/>
        <v>26224625.931388475</v>
      </c>
      <c r="AE45">
        <f t="shared" si="2"/>
        <v>1461293.0218932186</v>
      </c>
      <c r="AF45">
        <f t="shared" si="3"/>
        <v>5.5722168381596805E-2</v>
      </c>
    </row>
    <row r="46" spans="1:32" x14ac:dyDescent="0.45">
      <c r="A46" s="5" t="s">
        <v>47</v>
      </c>
      <c r="B46" s="2">
        <f t="shared" si="0"/>
        <v>1545520481.3211131</v>
      </c>
      <c r="C46" s="7">
        <v>1354215071.4334626</v>
      </c>
      <c r="D46" s="7">
        <v>2.5857971892659405E-2</v>
      </c>
      <c r="E46" s="5">
        <v>1431174852.2044101</v>
      </c>
      <c r="F46" s="5">
        <v>1273977926.5840399</v>
      </c>
      <c r="G46" s="5">
        <v>1452933039.9328899</v>
      </c>
      <c r="H46" s="5">
        <v>1961708493.1556001</v>
      </c>
      <c r="I46" s="5">
        <v>1593218884.0028999</v>
      </c>
      <c r="J46" s="5">
        <v>1242057174.47929</v>
      </c>
      <c r="K46" s="5">
        <v>2381964661.3039298</v>
      </c>
      <c r="L46" s="5">
        <v>1516969344.8268499</v>
      </c>
      <c r="M46" s="5">
        <v>1697656016.2604401</v>
      </c>
      <c r="N46" s="5">
        <v>1276705399.1677401</v>
      </c>
      <c r="O46" s="5">
        <v>1560455090.27549</v>
      </c>
      <c r="P46" s="5">
        <v>1436061340.3609099</v>
      </c>
      <c r="Q46" s="5">
        <v>1634098728.4286001</v>
      </c>
      <c r="R46" s="5">
        <v>1429271944.1635001</v>
      </c>
      <c r="S46" s="5">
        <v>1598281439.8636</v>
      </c>
      <c r="T46" s="5">
        <v>1951771525.8269601</v>
      </c>
      <c r="U46" s="5">
        <v>1327372331.12538</v>
      </c>
      <c r="V46" s="5">
        <v>1788237280.86708</v>
      </c>
      <c r="W46" s="5">
        <v>1286081433.5190899</v>
      </c>
      <c r="X46" s="5">
        <v>1202268718.87571</v>
      </c>
      <c r="Y46" s="5">
        <v>1413664482.51896</v>
      </c>
      <c r="Z46" s="5">
        <v>1360355101.21718</v>
      </c>
      <c r="AA46" s="5">
        <v>1397151738.2339101</v>
      </c>
      <c r="AB46" s="5">
        <v>1346897438.87901</v>
      </c>
      <c r="AC46" s="5">
        <v>1312456007.4037499</v>
      </c>
      <c r="AD46">
        <f t="shared" si="1"/>
        <v>1354215071.4334626</v>
      </c>
      <c r="AE46">
        <f t="shared" si="2"/>
        <v>35017255.253742225</v>
      </c>
      <c r="AF46">
        <f t="shared" si="3"/>
        <v>2.5857971892659405E-2</v>
      </c>
    </row>
    <row r="47" spans="1:32" x14ac:dyDescent="0.45">
      <c r="A47" s="5" t="s">
        <v>179</v>
      </c>
      <c r="B47" s="2">
        <f t="shared" si="0"/>
        <v>6742778.497143643</v>
      </c>
      <c r="C47" s="7">
        <v>5984094.159291463</v>
      </c>
      <c r="D47" s="8">
        <v>9.4522338976334344E-2</v>
      </c>
      <c r="E47" s="5">
        <v>358006.12667123298</v>
      </c>
      <c r="F47" s="5">
        <v>16859653.5383261</v>
      </c>
      <c r="G47" s="5">
        <v>2336118.0449876599</v>
      </c>
      <c r="H47" s="5">
        <v>50738.600631830901</v>
      </c>
      <c r="I47" s="5">
        <v>916291.29750478105</v>
      </c>
      <c r="J47" s="5">
        <v>20890027.526346698</v>
      </c>
      <c r="K47" s="5">
        <v>17118275.846023399</v>
      </c>
      <c r="L47" s="5">
        <v>445731.962710611</v>
      </c>
      <c r="M47" s="5">
        <v>1667745.45219626</v>
      </c>
      <c r="N47" s="5">
        <v>18527885.6830336</v>
      </c>
      <c r="O47" s="5">
        <v>72221.634303831801</v>
      </c>
      <c r="P47" s="5">
        <v>17493049.665268298</v>
      </c>
      <c r="Q47" s="5">
        <v>22091.901026201002</v>
      </c>
      <c r="R47" s="5">
        <v>286447.24665436998</v>
      </c>
      <c r="S47" s="5">
        <v>289735.80883904902</v>
      </c>
      <c r="T47" s="5">
        <v>91277.173570861894</v>
      </c>
      <c r="U47" s="5">
        <v>2423439.03634327</v>
      </c>
      <c r="V47" s="5">
        <v>1355092.8881389</v>
      </c>
      <c r="W47" s="5">
        <v>16807400.4345924</v>
      </c>
      <c r="X47" s="5">
        <v>23262679.8383331</v>
      </c>
      <c r="Y47" s="5">
        <v>324438.73451401602</v>
      </c>
      <c r="Z47" s="5">
        <v>5205037.0495089404</v>
      </c>
      <c r="AA47" s="5">
        <v>6173199.1661965903</v>
      </c>
      <c r="AB47" s="5">
        <v>6546559.8570152801</v>
      </c>
      <c r="AC47" s="5">
        <v>6011580.5644450402</v>
      </c>
      <c r="AD47">
        <f t="shared" si="1"/>
        <v>5984094.159291463</v>
      </c>
      <c r="AE47">
        <f t="shared" si="2"/>
        <v>565630.57659085013</v>
      </c>
      <c r="AF47">
        <f t="shared" si="3"/>
        <v>9.4522338976334344E-2</v>
      </c>
    </row>
    <row r="48" spans="1:32" x14ac:dyDescent="0.45">
      <c r="A48" s="5" t="s">
        <v>48</v>
      </c>
      <c r="B48" s="2">
        <f t="shared" si="0"/>
        <v>11405575.616570482</v>
      </c>
      <c r="C48" s="7">
        <v>10178293.351306489</v>
      </c>
      <c r="D48" s="7">
        <v>2.1273629025984491E-2</v>
      </c>
      <c r="E48" s="5">
        <v>11886730.079361601</v>
      </c>
      <c r="F48" s="5">
        <v>6733572.4708976299</v>
      </c>
      <c r="G48" s="5">
        <v>8665573.7121642791</v>
      </c>
      <c r="H48" s="5">
        <v>16298519.1086927</v>
      </c>
      <c r="I48" s="5">
        <v>10396770.882031901</v>
      </c>
      <c r="J48" s="5">
        <v>7202149.86016877</v>
      </c>
      <c r="K48" s="5">
        <v>14305436.368325099</v>
      </c>
      <c r="L48" s="5">
        <v>12496533.8409857</v>
      </c>
      <c r="M48" s="5">
        <v>10946467.377118301</v>
      </c>
      <c r="N48" s="5">
        <v>8381432.5265448904</v>
      </c>
      <c r="O48" s="5">
        <v>8729170.2014719006</v>
      </c>
      <c r="P48" s="5">
        <v>22130664.3622723</v>
      </c>
      <c r="Q48" s="5">
        <v>12922793.548991499</v>
      </c>
      <c r="R48" s="5">
        <v>9474491.9374588504</v>
      </c>
      <c r="S48" s="5">
        <v>12774347.5191726</v>
      </c>
      <c r="T48" s="5">
        <v>11508437.9325055</v>
      </c>
      <c r="U48" s="5">
        <v>11095036.696354801</v>
      </c>
      <c r="V48" s="5">
        <v>14365510.7064637</v>
      </c>
      <c r="W48" s="5">
        <v>6793071.8767575603</v>
      </c>
      <c r="X48" s="5">
        <v>8643415.5298001301</v>
      </c>
      <c r="Y48" s="5">
        <v>13766961.4104404</v>
      </c>
      <c r="Z48" s="5">
        <v>10045510.386575799</v>
      </c>
      <c r="AA48" s="5">
        <v>10460218.5738481</v>
      </c>
      <c r="AB48" s="5">
        <v>10231040.480916001</v>
      </c>
      <c r="AC48" s="5">
        <v>9976403.9638860505</v>
      </c>
      <c r="AD48">
        <f t="shared" si="1"/>
        <v>10178293.351306489</v>
      </c>
      <c r="AE48">
        <f t="shared" si="2"/>
        <v>216529.23687333867</v>
      </c>
      <c r="AF48">
        <f t="shared" si="3"/>
        <v>2.1273629025984491E-2</v>
      </c>
    </row>
    <row r="49" spans="1:32" x14ac:dyDescent="0.45">
      <c r="A49" s="5" t="s">
        <v>49</v>
      </c>
      <c r="B49" s="2">
        <f t="shared" si="0"/>
        <v>80980397.703440741</v>
      </c>
      <c r="C49" s="2">
        <v>73258898.734341443</v>
      </c>
      <c r="D49" s="2">
        <v>5.6328865464162707E-2</v>
      </c>
      <c r="E49" s="5">
        <v>73872601.598802805</v>
      </c>
      <c r="F49" s="5">
        <v>67749955.534062997</v>
      </c>
      <c r="G49" s="5">
        <v>68938977.601770699</v>
      </c>
      <c r="H49" s="5">
        <v>94653835.626711205</v>
      </c>
      <c r="I49" s="5">
        <v>83849730.612857297</v>
      </c>
      <c r="J49" s="5">
        <v>75940884.929891706</v>
      </c>
      <c r="K49" s="5">
        <v>90370474.767682999</v>
      </c>
      <c r="L49" s="5">
        <v>80164136.334365696</v>
      </c>
      <c r="M49" s="5">
        <v>84162845.496524602</v>
      </c>
      <c r="N49" s="5">
        <v>62415819.775378004</v>
      </c>
      <c r="O49" s="5">
        <v>97793764.698201001</v>
      </c>
      <c r="P49" s="5">
        <v>74535665.295063704</v>
      </c>
      <c r="Q49" s="5">
        <v>98046566.395426795</v>
      </c>
      <c r="R49" s="5">
        <v>76058886.256480604</v>
      </c>
      <c r="S49" s="5">
        <v>75393929.746022105</v>
      </c>
      <c r="T49" s="5">
        <v>90988818.2031582</v>
      </c>
      <c r="U49" s="5">
        <v>93455860.7608345</v>
      </c>
      <c r="V49" s="5">
        <v>84865985.059908196</v>
      </c>
      <c r="W49" s="5">
        <v>65678754.629473098</v>
      </c>
      <c r="X49" s="5">
        <v>78824775.420579597</v>
      </c>
      <c r="Y49" s="5">
        <v>82826083.0290595</v>
      </c>
      <c r="Z49" s="5">
        <v>67462370.837336093</v>
      </c>
      <c r="AA49" s="5">
        <v>73275278.076541305</v>
      </c>
      <c r="AB49" s="5">
        <v>76773948.4504053</v>
      </c>
      <c r="AC49" s="5">
        <v>75523997.573083103</v>
      </c>
      <c r="AD49">
        <f t="shared" si="1"/>
        <v>73258898.734341443</v>
      </c>
      <c r="AE49">
        <f t="shared" si="2"/>
        <v>4126590.6508594388</v>
      </c>
      <c r="AF49">
        <f t="shared" si="3"/>
        <v>5.6328865464162707E-2</v>
      </c>
    </row>
    <row r="50" spans="1:32" x14ac:dyDescent="0.45">
      <c r="A50" s="5" t="s">
        <v>50</v>
      </c>
      <c r="B50" s="2">
        <f t="shared" si="0"/>
        <v>2897667.0164798191</v>
      </c>
      <c r="C50" s="7">
        <v>2449464.8361726399</v>
      </c>
      <c r="D50" s="8">
        <v>5.9961326919287537E-2</v>
      </c>
      <c r="E50" s="5">
        <v>6808678.5647619404</v>
      </c>
      <c r="F50" s="5">
        <v>605086.94500582397</v>
      </c>
      <c r="G50" s="5">
        <v>500563.10839428502</v>
      </c>
      <c r="H50" s="5">
        <v>1990719.11368522</v>
      </c>
      <c r="I50" s="5">
        <v>6785231.66548998</v>
      </c>
      <c r="J50" s="5">
        <v>722006.13414109498</v>
      </c>
      <c r="K50" s="5">
        <v>671131.69921726396</v>
      </c>
      <c r="L50" s="5">
        <v>12496373.1919479</v>
      </c>
      <c r="M50" s="5">
        <v>2656519.3486926998</v>
      </c>
      <c r="N50" s="5">
        <v>781154.85390284401</v>
      </c>
      <c r="O50" s="5">
        <v>754106.556435821</v>
      </c>
      <c r="P50" s="5">
        <v>820252.96413134504</v>
      </c>
      <c r="Q50" s="5">
        <v>3410180.3404260101</v>
      </c>
      <c r="R50" s="5">
        <v>2866652.6640278199</v>
      </c>
      <c r="S50" s="5">
        <v>9838164.9739506207</v>
      </c>
      <c r="T50" s="5">
        <v>1522902.2646159001</v>
      </c>
      <c r="U50" s="5">
        <v>1160723.3963149199</v>
      </c>
      <c r="V50" s="5">
        <v>1167596.1884331401</v>
      </c>
      <c r="W50" s="5">
        <v>771986.77866679104</v>
      </c>
      <c r="X50" s="5">
        <v>606911.24185938202</v>
      </c>
      <c r="Y50" s="5">
        <v>3914065.3519754</v>
      </c>
      <c r="Z50" s="5">
        <v>2552830.45568409</v>
      </c>
      <c r="AA50" s="5">
        <v>2598224.77811911</v>
      </c>
      <c r="AB50" s="5">
        <v>2331068.7363759</v>
      </c>
      <c r="AC50" s="5">
        <v>2315735.3745114598</v>
      </c>
      <c r="AD50">
        <f t="shared" si="1"/>
        <v>2449464.8361726399</v>
      </c>
      <c r="AE50">
        <f t="shared" si="2"/>
        <v>146873.16181904674</v>
      </c>
      <c r="AF50">
        <f t="shared" si="3"/>
        <v>5.9961326919287537E-2</v>
      </c>
    </row>
    <row r="51" spans="1:32" x14ac:dyDescent="0.45">
      <c r="A51" s="5" t="s">
        <v>180</v>
      </c>
      <c r="B51" s="2">
        <f t="shared" si="0"/>
        <v>21443019.049137075</v>
      </c>
      <c r="C51" s="7">
        <v>18087084.506148074</v>
      </c>
      <c r="D51" s="7">
        <v>5.3188616635471316E-2</v>
      </c>
      <c r="E51" s="5">
        <v>47629809.847000197</v>
      </c>
      <c r="F51" s="5">
        <v>22148079.452338502</v>
      </c>
      <c r="G51" s="5">
        <v>10409720.330405699</v>
      </c>
      <c r="H51" s="5">
        <v>1202917.9925521801</v>
      </c>
      <c r="I51" s="5">
        <v>53597778.075428203</v>
      </c>
      <c r="J51" s="5">
        <v>32324685.449632</v>
      </c>
      <c r="K51" s="5">
        <v>30187503.6944477</v>
      </c>
      <c r="L51" s="5">
        <v>31260910.9033053</v>
      </c>
      <c r="M51" s="5">
        <v>27412429.518250398</v>
      </c>
      <c r="N51" s="5">
        <v>23594171.197986301</v>
      </c>
      <c r="O51" s="5">
        <v>3350110.3923001401</v>
      </c>
      <c r="P51" s="5">
        <v>18023706.774980199</v>
      </c>
      <c r="Q51" s="5">
        <v>20551880.1795993</v>
      </c>
      <c r="R51" s="5">
        <v>10771112.269643299</v>
      </c>
      <c r="S51" s="5">
        <v>20948221.545139201</v>
      </c>
      <c r="T51" s="5">
        <v>6222034.3531317003</v>
      </c>
      <c r="U51" s="5">
        <v>10716361.1090845</v>
      </c>
      <c r="V51" s="5">
        <v>14025974.690759599</v>
      </c>
      <c r="W51" s="5">
        <v>32165903.1264029</v>
      </c>
      <c r="X51" s="5">
        <v>24048508.2935232</v>
      </c>
      <c r="Y51" s="5">
        <v>9711580.8359680604</v>
      </c>
      <c r="Z51" s="5">
        <v>19002602.882013399</v>
      </c>
      <c r="AA51" s="5">
        <v>18588348.1356754</v>
      </c>
      <c r="AB51" s="5">
        <v>17963250.224471498</v>
      </c>
      <c r="AC51" s="5">
        <v>16794136.782432001</v>
      </c>
      <c r="AD51">
        <f t="shared" si="1"/>
        <v>18087084.506148074</v>
      </c>
      <c r="AE51">
        <f t="shared" si="2"/>
        <v>962027.00385088287</v>
      </c>
      <c r="AF51">
        <f t="shared" si="3"/>
        <v>5.3188616635471316E-2</v>
      </c>
    </row>
    <row r="52" spans="1:32" x14ac:dyDescent="0.45">
      <c r="A52" s="5" t="s">
        <v>234</v>
      </c>
      <c r="B52" s="2">
        <f t="shared" si="0"/>
        <v>2383197.9807231314</v>
      </c>
      <c r="C52" s="2">
        <v>2523563.1927044829</v>
      </c>
      <c r="D52" s="2">
        <v>0.2431000677107206</v>
      </c>
      <c r="E52" s="5">
        <v>1348355.08438288</v>
      </c>
      <c r="F52" s="5">
        <v>4864783.7306540804</v>
      </c>
      <c r="G52" s="5">
        <v>1660917.2177739399</v>
      </c>
      <c r="H52" s="5">
        <v>240379.92933238301</v>
      </c>
      <c r="I52" s="5">
        <v>2065355.9039668699</v>
      </c>
      <c r="J52" s="5">
        <v>5139655.4065236701</v>
      </c>
      <c r="K52" s="5">
        <v>4016347.7560783401</v>
      </c>
      <c r="L52" s="5">
        <v>996701.55309874995</v>
      </c>
      <c r="M52" s="5">
        <v>1842192.75520773</v>
      </c>
      <c r="N52" s="5">
        <v>6033504.5645975303</v>
      </c>
      <c r="O52" s="5">
        <v>270308.31323358498</v>
      </c>
      <c r="P52" s="5">
        <v>6084410.6621848401</v>
      </c>
      <c r="Q52" s="5">
        <v>1229845.5565810399</v>
      </c>
      <c r="R52" s="5">
        <v>1209155.04370018</v>
      </c>
      <c r="S52" s="5">
        <v>1627921.5888668899</v>
      </c>
      <c r="T52" s="5">
        <v>598135.95087448403</v>
      </c>
      <c r="U52" s="5">
        <v>1242887.6311596299</v>
      </c>
      <c r="V52" s="5">
        <v>933831.87253209704</v>
      </c>
      <c r="W52" s="5">
        <v>3739339.6670400701</v>
      </c>
      <c r="X52" s="5">
        <v>4362379.4867300503</v>
      </c>
      <c r="Y52" s="5">
        <v>540747.92066670605</v>
      </c>
      <c r="Z52" s="5">
        <v>3175359.5200475701</v>
      </c>
      <c r="AA52" s="5">
        <v>1725714.60626213</v>
      </c>
      <c r="AB52" s="5">
        <v>2765409.8317810702</v>
      </c>
      <c r="AC52" s="5">
        <v>2427768.8127271598</v>
      </c>
      <c r="AD52">
        <f t="shared" si="1"/>
        <v>2523563.1927044829</v>
      </c>
      <c r="AE52">
        <f t="shared" si="2"/>
        <v>613478.38301874208</v>
      </c>
      <c r="AF52">
        <f t="shared" si="3"/>
        <v>0.2431000677107206</v>
      </c>
    </row>
    <row r="53" spans="1:32" x14ac:dyDescent="0.45">
      <c r="A53" s="5" t="s">
        <v>181</v>
      </c>
      <c r="B53" s="2">
        <f t="shared" si="0"/>
        <v>10659476.847443022</v>
      </c>
      <c r="C53" s="7">
        <v>8622866.8463211022</v>
      </c>
      <c r="D53" s="8">
        <v>0.17030012406622283</v>
      </c>
      <c r="E53" s="5">
        <v>7113970.6182552204</v>
      </c>
      <c r="F53" s="5">
        <v>21668445.000771798</v>
      </c>
      <c r="G53" s="5">
        <v>5285717.4864435596</v>
      </c>
      <c r="H53" s="5">
        <v>631887.36633215495</v>
      </c>
      <c r="I53" s="5">
        <v>8435401.9886031095</v>
      </c>
      <c r="J53" s="5">
        <v>21498047.474083401</v>
      </c>
      <c r="K53" s="5">
        <v>25335636.9191369</v>
      </c>
      <c r="L53" s="5">
        <v>4889405.7716800999</v>
      </c>
      <c r="M53" s="5">
        <v>6804448.4496324603</v>
      </c>
      <c r="N53" s="5">
        <v>23026853.442570701</v>
      </c>
      <c r="O53" s="5">
        <v>404504.42904119898</v>
      </c>
      <c r="P53" s="5">
        <v>26209228.7402476</v>
      </c>
      <c r="Q53" s="5">
        <v>5966809.0030063801</v>
      </c>
      <c r="R53" s="5">
        <v>3184250.1815660801</v>
      </c>
      <c r="S53" s="5">
        <v>7190021.70092222</v>
      </c>
      <c r="T53" s="5">
        <v>1555248.0046300299</v>
      </c>
      <c r="U53" s="5">
        <v>4013170.9016237301</v>
      </c>
      <c r="V53" s="5">
        <v>3680342.8748062202</v>
      </c>
      <c r="W53" s="5">
        <v>19861142.026835602</v>
      </c>
      <c r="X53" s="5">
        <v>24045491.541991901</v>
      </c>
      <c r="Y53" s="5">
        <v>3048989.8741230899</v>
      </c>
      <c r="Z53" s="5">
        <v>6583165.1049569398</v>
      </c>
      <c r="AA53" s="5">
        <v>9789606.4420244191</v>
      </c>
      <c r="AB53" s="5">
        <v>8527105.9003546294</v>
      </c>
      <c r="AC53" s="5">
        <v>9591589.9379484206</v>
      </c>
      <c r="AD53">
        <f t="shared" si="1"/>
        <v>8622866.8463211022</v>
      </c>
      <c r="AE53">
        <f t="shared" si="2"/>
        <v>1468475.2937350033</v>
      </c>
      <c r="AF53">
        <f t="shared" si="3"/>
        <v>0.17030012406622283</v>
      </c>
    </row>
    <row r="54" spans="1:32" x14ac:dyDescent="0.45">
      <c r="A54" s="5" t="s">
        <v>235</v>
      </c>
      <c r="B54" s="2">
        <f t="shared" si="0"/>
        <v>7214194.4586157966</v>
      </c>
      <c r="C54" s="2">
        <v>7521107.081677245</v>
      </c>
      <c r="D54" s="2">
        <v>4.2360634783544036E-2</v>
      </c>
      <c r="E54" s="5">
        <v>1163857.5537298999</v>
      </c>
      <c r="F54" s="5">
        <v>10152241.425989401</v>
      </c>
      <c r="G54" s="5">
        <v>3368018.5997427101</v>
      </c>
      <c r="H54" s="5">
        <v>439772.06382426602</v>
      </c>
      <c r="I54" s="5">
        <v>5673329.0567261297</v>
      </c>
      <c r="J54" s="5">
        <v>23565958.289538398</v>
      </c>
      <c r="K54" s="5">
        <v>8631156.5540173091</v>
      </c>
      <c r="L54" s="5">
        <v>1394706.8148358499</v>
      </c>
      <c r="M54" s="5">
        <v>1923114.8797146</v>
      </c>
      <c r="N54" s="5">
        <v>24152343.5613885</v>
      </c>
      <c r="O54" s="5">
        <v>331044.95593675203</v>
      </c>
      <c r="P54" s="5">
        <v>32481864.315100498</v>
      </c>
      <c r="Q54" s="5">
        <v>2472009.5852136901</v>
      </c>
      <c r="R54" s="5">
        <v>1450042.94573272</v>
      </c>
      <c r="S54" s="5">
        <v>593777.52967873402</v>
      </c>
      <c r="T54" s="5">
        <v>418703.06746173301</v>
      </c>
      <c r="U54" s="5">
        <v>1813221.6059017901</v>
      </c>
      <c r="V54" s="5">
        <v>1082408.53082795</v>
      </c>
      <c r="W54" s="5">
        <v>19201970.5023387</v>
      </c>
      <c r="X54" s="5">
        <v>10400551.724388501</v>
      </c>
      <c r="Y54" s="5">
        <v>787990.06884359301</v>
      </c>
      <c r="Z54" s="5">
        <v>7077049.0067290897</v>
      </c>
      <c r="AA54" s="5">
        <v>7502760.3803109303</v>
      </c>
      <c r="AB54" s="5">
        <v>7745888.54988058</v>
      </c>
      <c r="AC54" s="5">
        <v>7758730.3897883799</v>
      </c>
      <c r="AD54">
        <f t="shared" si="1"/>
        <v>7521107.081677245</v>
      </c>
      <c r="AE54">
        <f t="shared" si="2"/>
        <v>318598.87025485648</v>
      </c>
      <c r="AF54">
        <f t="shared" si="3"/>
        <v>4.2360634783544036E-2</v>
      </c>
    </row>
    <row r="55" spans="1:32" x14ac:dyDescent="0.45">
      <c r="A55" s="5" t="s">
        <v>236</v>
      </c>
      <c r="B55" s="2">
        <f t="shared" si="0"/>
        <v>14153757.344223132</v>
      </c>
      <c r="C55" s="2">
        <v>10121727.158182941</v>
      </c>
      <c r="D55" s="2">
        <v>0.14750680270158822</v>
      </c>
      <c r="E55" s="5">
        <v>4255158.8304977203</v>
      </c>
      <c r="F55" s="5">
        <v>27854550.270116501</v>
      </c>
      <c r="G55" s="5">
        <v>7432065.1428558398</v>
      </c>
      <c r="H55" s="5">
        <v>831420.04474016896</v>
      </c>
      <c r="I55" s="5">
        <v>4993401.2316360399</v>
      </c>
      <c r="J55" s="5">
        <v>34297179.109253503</v>
      </c>
      <c r="K55" s="5">
        <v>31112407.007671401</v>
      </c>
      <c r="L55" s="5">
        <v>3381020.8116479702</v>
      </c>
      <c r="M55" s="5">
        <v>6635979.7376051201</v>
      </c>
      <c r="N55" s="5">
        <v>41387022.4118587</v>
      </c>
      <c r="O55" s="5">
        <v>705252.91715141304</v>
      </c>
      <c r="P55" s="5">
        <v>35770030.607812099</v>
      </c>
      <c r="Q55" s="5">
        <v>1561971.45462455</v>
      </c>
      <c r="R55" s="5">
        <v>1708663.7513341301</v>
      </c>
      <c r="S55" s="5">
        <v>4388911.8401262797</v>
      </c>
      <c r="T55" s="5">
        <v>1931882.5143327699</v>
      </c>
      <c r="U55" s="5">
        <v>5995595.0360255102</v>
      </c>
      <c r="V55" s="5">
        <v>4920672.6310889004</v>
      </c>
      <c r="W55" s="5">
        <v>25611072.475058898</v>
      </c>
      <c r="X55" s="5">
        <v>49751796.1257376</v>
      </c>
      <c r="Y55" s="5">
        <v>2702850.2775106202</v>
      </c>
      <c r="Z55" s="5">
        <v>9187320.6178972907</v>
      </c>
      <c r="AA55" s="5">
        <v>8524142.3685233798</v>
      </c>
      <c r="AB55" s="5">
        <v>11219681.580945199</v>
      </c>
      <c r="AC55" s="5">
        <v>11555764.065365899</v>
      </c>
      <c r="AD55">
        <f t="shared" si="1"/>
        <v>10121727.158182941</v>
      </c>
      <c r="AE55">
        <f t="shared" si="2"/>
        <v>1493023.6109213983</v>
      </c>
      <c r="AF55">
        <f t="shared" si="3"/>
        <v>0.14750680270158822</v>
      </c>
    </row>
    <row r="56" spans="1:32" x14ac:dyDescent="0.45">
      <c r="A56" s="5" t="s">
        <v>51</v>
      </c>
      <c r="B56" s="2">
        <f t="shared" si="0"/>
        <v>1333382.8481223662</v>
      </c>
      <c r="C56" s="7">
        <v>1733026.7960786226</v>
      </c>
      <c r="D56" s="8">
        <v>5.8760081302916718E-2</v>
      </c>
      <c r="E56" s="5">
        <v>553153.03243258595</v>
      </c>
      <c r="F56" s="5">
        <v>1969178.6890472199</v>
      </c>
      <c r="G56" s="5">
        <v>568493.55081592104</v>
      </c>
      <c r="H56" s="5">
        <v>498557.41862359998</v>
      </c>
      <c r="I56" s="5">
        <v>727640.273307428</v>
      </c>
      <c r="J56" s="5">
        <v>2770051.9905614601</v>
      </c>
      <c r="K56" s="5">
        <v>4517831.6833967799</v>
      </c>
      <c r="L56" s="5">
        <v>627637.97892311402</v>
      </c>
      <c r="M56" s="5">
        <v>708253.43131232006</v>
      </c>
      <c r="N56" s="5">
        <v>2767892.94316119</v>
      </c>
      <c r="O56" s="5">
        <v>434836.365058686</v>
      </c>
      <c r="P56" s="5">
        <v>3249745.2914723</v>
      </c>
      <c r="Q56" s="5">
        <v>774276.92878896999</v>
      </c>
      <c r="R56" s="5">
        <v>639084.40595538204</v>
      </c>
      <c r="S56" s="5">
        <v>478450.97162413999</v>
      </c>
      <c r="T56" s="5">
        <v>388451.17957376101</v>
      </c>
      <c r="U56" s="5">
        <v>593981.82331797294</v>
      </c>
      <c r="V56" s="5">
        <v>506655.05026504199</v>
      </c>
      <c r="W56" s="5">
        <v>1634090.5949039401</v>
      </c>
      <c r="X56" s="5">
        <v>3108043.82927251</v>
      </c>
      <c r="Y56" s="5">
        <v>484732.37875537103</v>
      </c>
      <c r="Z56" s="5">
        <v>1738875.09219633</v>
      </c>
      <c r="AA56" s="5">
        <v>1607296.9361114199</v>
      </c>
      <c r="AB56" s="5">
        <v>1856535.49345458</v>
      </c>
      <c r="AC56" s="5">
        <v>1729399.66255216</v>
      </c>
      <c r="AD56">
        <f t="shared" si="1"/>
        <v>1733026.7960786226</v>
      </c>
      <c r="AE56">
        <f t="shared" si="2"/>
        <v>101832.79543771314</v>
      </c>
      <c r="AF56">
        <f t="shared" si="3"/>
        <v>5.8760081302916718E-2</v>
      </c>
    </row>
    <row r="57" spans="1:32" x14ac:dyDescent="0.45">
      <c r="A57" s="5" t="s">
        <v>237</v>
      </c>
      <c r="B57" s="2">
        <f t="shared" si="0"/>
        <v>296681.01137587853</v>
      </c>
      <c r="C57" s="2">
        <v>260009.20678810752</v>
      </c>
      <c r="D57" s="2">
        <v>0.1051316533747749</v>
      </c>
      <c r="E57" s="5">
        <v>72503.542201416203</v>
      </c>
      <c r="F57" s="5">
        <v>512832.18982375</v>
      </c>
      <c r="G57" s="5">
        <v>64793.623371631496</v>
      </c>
      <c r="H57" s="5">
        <v>67481.709508805201</v>
      </c>
      <c r="I57" s="5">
        <v>66657.990382930599</v>
      </c>
      <c r="J57" s="5">
        <v>772499.87307018298</v>
      </c>
      <c r="K57" s="5">
        <v>940363.12574445701</v>
      </c>
      <c r="L57" s="5">
        <v>69182.688065118098</v>
      </c>
      <c r="M57" s="5">
        <v>59757.6117815916</v>
      </c>
      <c r="N57" s="5">
        <v>835217.95678986399</v>
      </c>
      <c r="O57" s="5">
        <v>70568.026667552695</v>
      </c>
      <c r="P57" s="5">
        <v>888510.94331861194</v>
      </c>
      <c r="Q57" s="5">
        <v>67952.869658647905</v>
      </c>
      <c r="R57" s="5">
        <v>65445.554274771101</v>
      </c>
      <c r="S57" s="5">
        <v>57732.629462770201</v>
      </c>
      <c r="T57" s="5">
        <v>64865.616975872101</v>
      </c>
      <c r="U57" s="5">
        <v>66824.566492838901</v>
      </c>
      <c r="V57" s="5">
        <v>62742.459511606299</v>
      </c>
      <c r="W57" s="5">
        <v>561946.11093253898</v>
      </c>
      <c r="X57" s="5">
        <v>797998.07624635997</v>
      </c>
      <c r="Y57" s="5">
        <v>64424.074612132601</v>
      </c>
      <c r="Z57" s="5">
        <v>253773.88718970501</v>
      </c>
      <c r="AA57" s="5">
        <v>235325.89285051299</v>
      </c>
      <c r="AB57" s="5">
        <v>251851.65490920999</v>
      </c>
      <c r="AC57" s="5">
        <v>299085.392203002</v>
      </c>
      <c r="AD57">
        <f t="shared" si="1"/>
        <v>260009.20678810752</v>
      </c>
      <c r="AE57">
        <f t="shared" si="2"/>
        <v>27335.197802297487</v>
      </c>
      <c r="AF57">
        <f t="shared" si="3"/>
        <v>0.1051316533747749</v>
      </c>
    </row>
    <row r="58" spans="1:32" x14ac:dyDescent="0.45">
      <c r="A58" s="5" t="s">
        <v>52</v>
      </c>
      <c r="B58" s="2">
        <f t="shared" si="0"/>
        <v>1588764.1350740585</v>
      </c>
      <c r="C58" s="7">
        <v>1339736.05597624</v>
      </c>
      <c r="D58" s="8">
        <v>0.11104001927827675</v>
      </c>
      <c r="E58" s="5">
        <v>1692892.43569381</v>
      </c>
      <c r="F58" s="5">
        <v>1174357.7293291499</v>
      </c>
      <c r="G58" s="5">
        <v>1786482.0554231601</v>
      </c>
      <c r="H58" s="5">
        <v>1773301.82747702</v>
      </c>
      <c r="I58" s="5">
        <v>1723757.50336317</v>
      </c>
      <c r="J58" s="5">
        <v>1113870.1662667801</v>
      </c>
      <c r="K58" s="5">
        <v>1303109.4959628901</v>
      </c>
      <c r="L58" s="5">
        <v>1565477.5342763499</v>
      </c>
      <c r="M58" s="5">
        <v>1815758.4379792199</v>
      </c>
      <c r="N58" s="5">
        <v>1198767.2051375699</v>
      </c>
      <c r="O58" s="5">
        <v>2144761.0464162598</v>
      </c>
      <c r="P58" s="5">
        <v>1136057.3008956399</v>
      </c>
      <c r="Q58" s="5">
        <v>1871841.3650120499</v>
      </c>
      <c r="R58" s="5">
        <v>1953575.17989816</v>
      </c>
      <c r="S58" s="5">
        <v>1643886.7045070999</v>
      </c>
      <c r="T58" s="5">
        <v>1873697.2317060099</v>
      </c>
      <c r="U58" s="5">
        <v>1700367.53834737</v>
      </c>
      <c r="V58" s="5">
        <v>1644017.62599553</v>
      </c>
      <c r="W58" s="5">
        <v>983846.91167741001</v>
      </c>
      <c r="X58" s="5">
        <v>1181606.2126210199</v>
      </c>
      <c r="Y58" s="5">
        <v>2082615.3285695601</v>
      </c>
      <c r="Z58" s="5">
        <v>1545965.41189208</v>
      </c>
      <c r="AA58" s="5">
        <v>1351344.26525187</v>
      </c>
      <c r="AB58" s="5">
        <v>1230285.1546972101</v>
      </c>
      <c r="AC58" s="5">
        <v>1231349.3920638</v>
      </c>
      <c r="AD58">
        <f t="shared" si="1"/>
        <v>1339736.05597624</v>
      </c>
      <c r="AE58">
        <f t="shared" si="2"/>
        <v>148764.31748340416</v>
      </c>
      <c r="AF58">
        <f t="shared" si="3"/>
        <v>0.11104001927827675</v>
      </c>
    </row>
    <row r="59" spans="1:32" x14ac:dyDescent="0.45">
      <c r="A59" s="5" t="s">
        <v>182</v>
      </c>
      <c r="B59" s="2">
        <f t="shared" si="0"/>
        <v>655333.50163152057</v>
      </c>
      <c r="C59" s="7">
        <v>513345.07606506103</v>
      </c>
      <c r="D59" s="8">
        <v>0.16153724235877631</v>
      </c>
      <c r="E59" s="5">
        <v>128781.016805031</v>
      </c>
      <c r="F59" s="5">
        <v>1454705.9701892301</v>
      </c>
      <c r="G59" s="5">
        <v>155532.74745275799</v>
      </c>
      <c r="H59" s="5">
        <v>18008.3771358712</v>
      </c>
      <c r="I59" s="5">
        <v>236662.64686529801</v>
      </c>
      <c r="J59" s="5">
        <v>1916986.3753662701</v>
      </c>
      <c r="K59" s="5">
        <v>1997743.0102341101</v>
      </c>
      <c r="L59" s="5">
        <v>131943.54103274501</v>
      </c>
      <c r="M59" s="5">
        <v>86067.127583728303</v>
      </c>
      <c r="N59" s="5">
        <v>1904502.85783332</v>
      </c>
      <c r="O59" s="5">
        <v>57346.926983250502</v>
      </c>
      <c r="P59" s="5">
        <v>1526425.43172158</v>
      </c>
      <c r="Q59" s="5">
        <v>17070.4823362157</v>
      </c>
      <c r="R59" s="5">
        <v>250752.602092555</v>
      </c>
      <c r="S59" s="5">
        <v>19321.987782804801</v>
      </c>
      <c r="T59" s="5">
        <v>39581.561183780403</v>
      </c>
      <c r="U59" s="5">
        <v>116694.774275902</v>
      </c>
      <c r="V59" s="5">
        <v>196282.21880277901</v>
      </c>
      <c r="W59" s="5">
        <v>1460885.7927200301</v>
      </c>
      <c r="X59" s="5">
        <v>1966206.1842942699</v>
      </c>
      <c r="Y59" s="5">
        <v>80501.901570401606</v>
      </c>
      <c r="Z59" s="5">
        <v>470927.49485208001</v>
      </c>
      <c r="AA59" s="5">
        <v>598987.26385526499</v>
      </c>
      <c r="AB59" s="5">
        <v>564400.935077528</v>
      </c>
      <c r="AC59" s="5">
        <v>419064.61047537101</v>
      </c>
      <c r="AD59">
        <f t="shared" si="1"/>
        <v>513345.07606506103</v>
      </c>
      <c r="AE59">
        <f t="shared" si="2"/>
        <v>82924.347966006229</v>
      </c>
      <c r="AF59">
        <f t="shared" si="3"/>
        <v>0.16153724235877631</v>
      </c>
    </row>
    <row r="60" spans="1:32" x14ac:dyDescent="0.45">
      <c r="A60" s="5" t="s">
        <v>125</v>
      </c>
      <c r="B60" s="2">
        <f t="shared" si="0"/>
        <v>53621624.140454426</v>
      </c>
      <c r="C60" s="2">
        <v>48118445.007707849</v>
      </c>
      <c r="D60" s="2">
        <v>3.6589018316839521E-2</v>
      </c>
      <c r="E60" s="5">
        <v>66996938.8332095</v>
      </c>
      <c r="F60" s="5">
        <v>30944906.768442001</v>
      </c>
      <c r="G60" s="5">
        <v>51597174.616316602</v>
      </c>
      <c r="H60" s="5">
        <v>54267643.527496003</v>
      </c>
      <c r="I60" s="5">
        <v>61932726.315492101</v>
      </c>
      <c r="J60" s="5">
        <v>37053907.206524901</v>
      </c>
      <c r="K60" s="5">
        <v>28271028.560650501</v>
      </c>
      <c r="L60" s="5">
        <v>104021243.975917</v>
      </c>
      <c r="M60" s="5">
        <v>69969499.3499455</v>
      </c>
      <c r="N60" s="5">
        <v>36392651.525591299</v>
      </c>
      <c r="O60" s="5">
        <v>60131512.1051443</v>
      </c>
      <c r="P60" s="5">
        <v>40114421.167330101</v>
      </c>
      <c r="Q60" s="5">
        <v>42676480.564847499</v>
      </c>
      <c r="R60" s="5">
        <v>49876573.806706399</v>
      </c>
      <c r="S60" s="5">
        <v>80330229.435383797</v>
      </c>
      <c r="T60" s="5">
        <v>63343661.617564</v>
      </c>
      <c r="U60" s="5">
        <v>59632318.838303603</v>
      </c>
      <c r="V60" s="5">
        <v>56944808.751811802</v>
      </c>
      <c r="W60" s="5">
        <v>41478188.630417302</v>
      </c>
      <c r="X60" s="5">
        <v>29894632.071466599</v>
      </c>
      <c r="Y60" s="5">
        <v>60183559.280982397</v>
      </c>
      <c r="Z60" s="5">
        <v>50519630.849403299</v>
      </c>
      <c r="AA60" s="5">
        <v>46603119.612495102</v>
      </c>
      <c r="AB60" s="5">
        <v>47025542.235219099</v>
      </c>
      <c r="AC60" s="5">
        <v>48325487.333713897</v>
      </c>
      <c r="AD60">
        <f t="shared" si="1"/>
        <v>48118445.007707849</v>
      </c>
      <c r="AE60">
        <f t="shared" si="2"/>
        <v>1760606.6657648575</v>
      </c>
      <c r="AF60">
        <f t="shared" si="3"/>
        <v>3.6589018316839521E-2</v>
      </c>
    </row>
    <row r="61" spans="1:32" x14ac:dyDescent="0.45">
      <c r="A61" s="5" t="s">
        <v>238</v>
      </c>
      <c r="B61" s="2">
        <f t="shared" si="0"/>
        <v>15391057.202939065</v>
      </c>
      <c r="C61" s="2">
        <v>14382247.932031976</v>
      </c>
      <c r="D61" s="2">
        <v>5.7163222811373919E-2</v>
      </c>
      <c r="E61" s="5">
        <v>16500678.982625101</v>
      </c>
      <c r="F61" s="5">
        <v>12777366.065457899</v>
      </c>
      <c r="G61" s="5">
        <v>23155698.430824801</v>
      </c>
      <c r="H61" s="5">
        <v>18802448.224142499</v>
      </c>
      <c r="I61" s="5">
        <v>18011963.644699302</v>
      </c>
      <c r="J61" s="5">
        <v>10038092.5541877</v>
      </c>
      <c r="K61" s="5">
        <v>6721549.7472818298</v>
      </c>
      <c r="L61" s="5">
        <v>14603947.853112301</v>
      </c>
      <c r="M61" s="5">
        <v>15884908.761738099</v>
      </c>
      <c r="N61" s="5">
        <v>10752679.873773299</v>
      </c>
      <c r="O61" s="5">
        <v>18976192.3510556</v>
      </c>
      <c r="P61" s="5">
        <v>9374990.81062093</v>
      </c>
      <c r="Q61" s="5">
        <v>16781627.421070602</v>
      </c>
      <c r="R61" s="5">
        <v>22845989.839586101</v>
      </c>
      <c r="S61" s="5">
        <v>16186051.3427455</v>
      </c>
      <c r="T61" s="5">
        <v>17856840.311035302</v>
      </c>
      <c r="U61" s="5">
        <v>17705280.123856001</v>
      </c>
      <c r="V61" s="5">
        <v>16887468.837200601</v>
      </c>
      <c r="W61" s="5">
        <v>12189751.194324899</v>
      </c>
      <c r="X61" s="5">
        <v>10517292.8730138</v>
      </c>
      <c r="Y61" s="5">
        <v>16641382.0193682</v>
      </c>
      <c r="Z61" s="5">
        <v>13758103.526530201</v>
      </c>
      <c r="AA61" s="5">
        <v>15412292.732362</v>
      </c>
      <c r="AB61" s="5">
        <v>14676688.401969699</v>
      </c>
      <c r="AC61" s="5">
        <v>13681907.067266</v>
      </c>
      <c r="AD61">
        <f t="shared" si="1"/>
        <v>14382247.932031976</v>
      </c>
      <c r="AE61">
        <f t="shared" si="2"/>
        <v>822135.64306716563</v>
      </c>
      <c r="AF61">
        <f t="shared" si="3"/>
        <v>5.7163222811373919E-2</v>
      </c>
    </row>
    <row r="62" spans="1:32" x14ac:dyDescent="0.45">
      <c r="A62" s="5" t="s">
        <v>239</v>
      </c>
      <c r="B62" s="2">
        <f t="shared" si="0"/>
        <v>39665165.327696934</v>
      </c>
      <c r="C62" s="2">
        <v>47551779.693676069</v>
      </c>
      <c r="D62" s="2">
        <v>0.15832101758172495</v>
      </c>
      <c r="E62" s="5">
        <v>73557628.159526899</v>
      </c>
      <c r="F62" s="5">
        <v>23341824.218190599</v>
      </c>
      <c r="G62" s="5">
        <v>44762982.538898297</v>
      </c>
      <c r="H62" s="5">
        <v>40344952.207741402</v>
      </c>
      <c r="I62" s="5">
        <v>73416643.622391194</v>
      </c>
      <c r="J62" s="5">
        <v>42324085.103019401</v>
      </c>
      <c r="K62" s="5">
        <v>18858739.9175</v>
      </c>
      <c r="L62" s="5">
        <v>52752533.300981</v>
      </c>
      <c r="M62" s="5">
        <v>60472154.023224398</v>
      </c>
      <c r="N62" s="5">
        <v>22845507.578219201</v>
      </c>
      <c r="O62" s="5">
        <v>40576961.696531899</v>
      </c>
      <c r="P62" s="5">
        <v>20140652.698624901</v>
      </c>
      <c r="Q62" s="5">
        <v>53951461.883732103</v>
      </c>
      <c r="R62" s="5">
        <v>27356948.347272001</v>
      </c>
      <c r="S62" s="5">
        <v>28980564.554900501</v>
      </c>
      <c r="T62" s="5">
        <v>40271521.005322501</v>
      </c>
      <c r="U62" s="5">
        <v>26172518.7173714</v>
      </c>
      <c r="V62" s="5">
        <v>45474214.093112499</v>
      </c>
      <c r="W62" s="5">
        <v>20578142.620473702</v>
      </c>
      <c r="X62" s="5">
        <v>44435722.835086398</v>
      </c>
      <c r="Y62" s="5">
        <v>32352712.7595153</v>
      </c>
      <c r="Z62" s="5">
        <v>51530447.372639798</v>
      </c>
      <c r="AA62" s="5">
        <v>49857170.945909403</v>
      </c>
      <c r="AB62" s="5">
        <v>52445395.211552702</v>
      </c>
      <c r="AC62" s="5">
        <v>36374105.244602397</v>
      </c>
      <c r="AD62">
        <f t="shared" si="1"/>
        <v>47551779.693676069</v>
      </c>
      <c r="AE62">
        <f t="shared" si="2"/>
        <v>7528446.1489248006</v>
      </c>
      <c r="AF62">
        <f t="shared" si="3"/>
        <v>0.15832101758172495</v>
      </c>
    </row>
    <row r="63" spans="1:32" x14ac:dyDescent="0.45">
      <c r="A63" s="5" t="s">
        <v>53</v>
      </c>
      <c r="B63" s="2">
        <f t="shared" si="0"/>
        <v>7616348.7742026402</v>
      </c>
      <c r="C63" s="8">
        <v>6643566.0089794798</v>
      </c>
      <c r="D63" s="8">
        <v>0.11042251191369402</v>
      </c>
      <c r="E63" s="5">
        <v>9758526.0579164904</v>
      </c>
      <c r="F63" s="5">
        <v>5710601.2841908997</v>
      </c>
      <c r="G63" s="5">
        <v>4890419.8373532398</v>
      </c>
      <c r="H63" s="5">
        <v>13039628.5759637</v>
      </c>
      <c r="I63" s="5">
        <v>5427505.1152080996</v>
      </c>
      <c r="J63" s="5">
        <v>5056397.7351329997</v>
      </c>
      <c r="K63" s="5">
        <v>6412261.3357593296</v>
      </c>
      <c r="L63" s="5">
        <v>7329221.8758906303</v>
      </c>
      <c r="M63" s="5">
        <v>9307126.6226618793</v>
      </c>
      <c r="N63" s="5">
        <v>6784456.6814662702</v>
      </c>
      <c r="O63" s="5">
        <v>7499163.6586140003</v>
      </c>
      <c r="P63" s="5">
        <v>5555888.6474901401</v>
      </c>
      <c r="Q63" s="5">
        <v>13827379.481411301</v>
      </c>
      <c r="R63" s="5">
        <v>4917213.2596360696</v>
      </c>
      <c r="S63" s="5">
        <v>6685927.7088824203</v>
      </c>
      <c r="T63" s="5">
        <v>10267221.4321054</v>
      </c>
      <c r="U63" s="5">
        <v>10132064.994438199</v>
      </c>
      <c r="V63" s="5">
        <v>6475856.1407313803</v>
      </c>
      <c r="W63" s="5">
        <v>5623685.0826422898</v>
      </c>
      <c r="X63" s="5">
        <v>5814503.7102595298</v>
      </c>
      <c r="Y63" s="5">
        <v>9428275.0205012094</v>
      </c>
      <c r="Z63" s="5">
        <v>7709124.4908517497</v>
      </c>
      <c r="AA63" s="5">
        <v>6547370.6665589102</v>
      </c>
      <c r="AB63" s="5">
        <v>6160045.1186981499</v>
      </c>
      <c r="AC63" s="5">
        <v>6157723.7598091103</v>
      </c>
      <c r="AD63">
        <f t="shared" si="1"/>
        <v>6643566.0089794798</v>
      </c>
      <c r="AE63">
        <f t="shared" si="2"/>
        <v>733599.24677594926</v>
      </c>
      <c r="AF63">
        <f t="shared" si="3"/>
        <v>0.11042251191369402</v>
      </c>
    </row>
    <row r="64" spans="1:32" x14ac:dyDescent="0.45">
      <c r="A64" s="5" t="s">
        <v>54</v>
      </c>
      <c r="B64" s="2">
        <f t="shared" si="0"/>
        <v>6257074.8015878163</v>
      </c>
      <c r="C64" s="7">
        <v>5303031.9501245953</v>
      </c>
      <c r="D64" s="8">
        <v>8.7081828468762335E-2</v>
      </c>
      <c r="E64" s="5">
        <v>6604705.1287976</v>
      </c>
      <c r="F64" s="5">
        <v>3688793.48104655</v>
      </c>
      <c r="G64" s="5">
        <v>5528686.0128236804</v>
      </c>
      <c r="H64" s="5">
        <v>8055167.9354806803</v>
      </c>
      <c r="I64" s="5">
        <v>4662930.6420500297</v>
      </c>
      <c r="J64" s="5">
        <v>4016948.38252318</v>
      </c>
      <c r="K64" s="5">
        <v>4862794.9692859398</v>
      </c>
      <c r="L64" s="5">
        <v>6582500.8203701796</v>
      </c>
      <c r="M64" s="5">
        <v>7493212.8632514998</v>
      </c>
      <c r="N64" s="5">
        <v>4636795.1937057199</v>
      </c>
      <c r="O64" s="5">
        <v>5452020.2414024398</v>
      </c>
      <c r="P64" s="5">
        <v>4759741.8629147597</v>
      </c>
      <c r="Q64" s="5">
        <v>9533771.8769498207</v>
      </c>
      <c r="R64" s="5">
        <v>7417108.3542764904</v>
      </c>
      <c r="S64" s="5">
        <v>8273796.6921258997</v>
      </c>
      <c r="T64" s="5">
        <v>7638833.8774788296</v>
      </c>
      <c r="U64" s="5">
        <v>7438187.79762433</v>
      </c>
      <c r="V64" s="5">
        <v>6200422.82986385</v>
      </c>
      <c r="W64" s="5">
        <v>3633158.7285099099</v>
      </c>
      <c r="X64" s="5">
        <v>5403106.6154669998</v>
      </c>
      <c r="Y64" s="5">
        <v>9515886.52739577</v>
      </c>
      <c r="Z64" s="5">
        <v>4736702.8116109297</v>
      </c>
      <c r="AA64" s="5">
        <v>5147070.3023990402</v>
      </c>
      <c r="AB64" s="5">
        <v>5794305.5112240203</v>
      </c>
      <c r="AC64" s="5">
        <v>5534049.1752643902</v>
      </c>
      <c r="AD64">
        <f t="shared" si="1"/>
        <v>5303031.9501245953</v>
      </c>
      <c r="AE64">
        <f t="shared" si="2"/>
        <v>461797.71864511626</v>
      </c>
      <c r="AF64">
        <f t="shared" si="3"/>
        <v>8.7081828468762335E-2</v>
      </c>
    </row>
    <row r="65" spans="1:32" x14ac:dyDescent="0.45">
      <c r="A65" s="5" t="s">
        <v>183</v>
      </c>
      <c r="B65" s="2">
        <f t="shared" si="0"/>
        <v>1585850906.3799267</v>
      </c>
      <c r="C65" s="7">
        <v>1356114553.1637151</v>
      </c>
      <c r="D65" s="7">
        <v>2.9829346759522361E-2</v>
      </c>
      <c r="E65" s="5">
        <v>1779380427.83092</v>
      </c>
      <c r="F65" s="5">
        <v>1294973063.2579</v>
      </c>
      <c r="G65" s="5">
        <v>2072045480.46628</v>
      </c>
      <c r="H65" s="5">
        <v>2337704570.9021702</v>
      </c>
      <c r="I65" s="5">
        <v>1630414077.00069</v>
      </c>
      <c r="J65" s="5">
        <v>1001880473.56259</v>
      </c>
      <c r="K65" s="5">
        <v>1053021078.02865</v>
      </c>
      <c r="L65" s="5">
        <v>1934750859.4881799</v>
      </c>
      <c r="M65" s="5">
        <v>1460420077.20962</v>
      </c>
      <c r="N65" s="5">
        <v>1395156429.61147</v>
      </c>
      <c r="O65" s="5">
        <v>2317908538.6841698</v>
      </c>
      <c r="P65" s="5">
        <v>975082221.900738</v>
      </c>
      <c r="Q65" s="5">
        <v>2302666885.5039601</v>
      </c>
      <c r="R65" s="5">
        <v>1203417386.9854801</v>
      </c>
      <c r="S65" s="5">
        <v>1631664643.0302899</v>
      </c>
      <c r="T65" s="5">
        <v>1426411889.8202801</v>
      </c>
      <c r="U65" s="5">
        <v>1849437301.04776</v>
      </c>
      <c r="V65" s="5">
        <v>1466785288.0868399</v>
      </c>
      <c r="W65" s="5">
        <v>1321036283.9251001</v>
      </c>
      <c r="X65" s="5">
        <v>1118963820.0006399</v>
      </c>
      <c r="Y65" s="5">
        <v>1729748237.6347301</v>
      </c>
      <c r="Z65" s="5">
        <v>1304597317.3212299</v>
      </c>
      <c r="AA65" s="5">
        <v>1388226536.0658901</v>
      </c>
      <c r="AB65" s="5">
        <v>1388572494.2591</v>
      </c>
      <c r="AC65" s="5">
        <v>1343061865.0086401</v>
      </c>
      <c r="AD65">
        <f t="shared" si="1"/>
        <v>1356114553.1637151</v>
      </c>
      <c r="AE65">
        <f t="shared" si="2"/>
        <v>40452011.251955181</v>
      </c>
      <c r="AF65">
        <f t="shared" si="3"/>
        <v>2.9829346759522361E-2</v>
      </c>
    </row>
    <row r="66" spans="1:32" x14ac:dyDescent="0.45">
      <c r="A66" s="5" t="s">
        <v>55</v>
      </c>
      <c r="B66" s="2">
        <f t="shared" ref="B66:B129" si="4">AVERAGE(E66:Y66)</f>
        <v>462917.15391648596</v>
      </c>
      <c r="C66" s="2">
        <v>94203.883333697609</v>
      </c>
      <c r="D66" s="2">
        <v>0.13345525995973789</v>
      </c>
      <c r="E66" s="5">
        <v>227353.57961993301</v>
      </c>
      <c r="F66" s="5">
        <v>55374.349363362897</v>
      </c>
      <c r="G66" s="5">
        <v>53108.762433525699</v>
      </c>
      <c r="H66" s="5">
        <v>405122.27407290501</v>
      </c>
      <c r="I66" s="5">
        <v>131955.261365452</v>
      </c>
      <c r="J66" s="5">
        <v>51161.139219548699</v>
      </c>
      <c r="K66" s="5">
        <v>58749.479737689697</v>
      </c>
      <c r="L66" s="5">
        <v>432510.60041046399</v>
      </c>
      <c r="M66" s="5">
        <v>482357.72845511598</v>
      </c>
      <c r="N66" s="5">
        <v>55322.437815688798</v>
      </c>
      <c r="O66" s="5">
        <v>314771.94634640001</v>
      </c>
      <c r="P66" s="5">
        <v>50509.3532938137</v>
      </c>
      <c r="Q66" s="5">
        <v>2231117.83914608</v>
      </c>
      <c r="R66" s="5">
        <v>2072668.82410171</v>
      </c>
      <c r="S66" s="5">
        <v>861717.94476961403</v>
      </c>
      <c r="T66" s="5">
        <v>317590.05052084499</v>
      </c>
      <c r="U66" s="5">
        <v>522259.34876613098</v>
      </c>
      <c r="V66" s="5">
        <v>189756.17413766001</v>
      </c>
      <c r="W66" s="5">
        <v>57199.702933036097</v>
      </c>
      <c r="X66" s="5">
        <v>46515.658017920403</v>
      </c>
      <c r="Y66" s="5">
        <v>1104137.77771931</v>
      </c>
      <c r="Z66" s="5">
        <v>88992.047559643805</v>
      </c>
      <c r="AA66" s="5">
        <v>81229.372706375201</v>
      </c>
      <c r="AB66" s="5">
        <v>95770.667021161396</v>
      </c>
      <c r="AC66" s="5">
        <v>110823.44604761001</v>
      </c>
      <c r="AD66">
        <f t="shared" ref="AD66:AD129" si="5">AVERAGE(Z66:AC66)</f>
        <v>94203.883333697609</v>
      </c>
      <c r="AE66">
        <f t="shared" ref="AE66:AE129" si="6">STDEV(Z66:AC66)</f>
        <v>12572.003739515434</v>
      </c>
      <c r="AF66">
        <f t="shared" ref="AF66:AF129" si="7">AE66/AD66</f>
        <v>0.13345525995973789</v>
      </c>
    </row>
    <row r="67" spans="1:32" x14ac:dyDescent="0.45">
      <c r="A67" s="5" t="s">
        <v>56</v>
      </c>
      <c r="B67" s="2">
        <f t="shared" si="4"/>
        <v>274861412.43667537</v>
      </c>
      <c r="C67" s="7">
        <v>284362889.20514125</v>
      </c>
      <c r="D67" s="7">
        <v>5.2359749253257461E-2</v>
      </c>
      <c r="E67" s="5">
        <v>382401156.06734103</v>
      </c>
      <c r="F67" s="5">
        <v>197656336.147212</v>
      </c>
      <c r="G67" s="5">
        <v>361470182.97479498</v>
      </c>
      <c r="H67" s="5">
        <v>271768103.11427701</v>
      </c>
      <c r="I67" s="5">
        <v>239637191.04173201</v>
      </c>
      <c r="J67" s="5">
        <v>299691798.15353799</v>
      </c>
      <c r="K67" s="5">
        <v>454543313.29722798</v>
      </c>
      <c r="L67" s="5">
        <v>221562378.54777801</v>
      </c>
      <c r="M67" s="5">
        <v>209452872.915135</v>
      </c>
      <c r="N67" s="5">
        <v>365125850.932033</v>
      </c>
      <c r="O67" s="5">
        <v>261602294.23176301</v>
      </c>
      <c r="P67" s="5">
        <v>323088139.52025801</v>
      </c>
      <c r="Q67" s="5">
        <v>302812836.32587397</v>
      </c>
      <c r="R67" s="5">
        <v>271058844.86993301</v>
      </c>
      <c r="S67" s="5">
        <v>290591659.15422601</v>
      </c>
      <c r="T67" s="5">
        <v>165343372.22756901</v>
      </c>
      <c r="U67" s="5">
        <v>180264208.48954901</v>
      </c>
      <c r="V67" s="5">
        <v>257174851.646157</v>
      </c>
      <c r="W67" s="5">
        <v>285262519.38485599</v>
      </c>
      <c r="X67" s="5">
        <v>242193093.03486201</v>
      </c>
      <c r="Y67" s="5">
        <v>189388659.09406701</v>
      </c>
      <c r="Z67" s="5">
        <v>305032413.05559802</v>
      </c>
      <c r="AA67" s="5">
        <v>281009088.12251902</v>
      </c>
      <c r="AB67" s="5">
        <v>281896464.91491902</v>
      </c>
      <c r="AC67" s="5">
        <v>269513590.72752899</v>
      </c>
      <c r="AD67">
        <f t="shared" si="5"/>
        <v>284362889.20514125</v>
      </c>
      <c r="AE67">
        <f t="shared" si="6"/>
        <v>14889169.575713029</v>
      </c>
      <c r="AF67">
        <f t="shared" si="7"/>
        <v>5.2359749253257461E-2</v>
      </c>
    </row>
    <row r="68" spans="1:32" x14ac:dyDescent="0.45">
      <c r="A68" s="5" t="s">
        <v>240</v>
      </c>
      <c r="B68" s="2">
        <f t="shared" si="4"/>
        <v>451808189.11138046</v>
      </c>
      <c r="C68" s="2">
        <v>403151315.60819221</v>
      </c>
      <c r="D68" s="2">
        <v>0.14152289265220597</v>
      </c>
      <c r="E68" s="5">
        <v>539573312.61101103</v>
      </c>
      <c r="F68" s="5">
        <v>278125998.89013499</v>
      </c>
      <c r="G68" s="5">
        <v>432117503.52177399</v>
      </c>
      <c r="H68" s="5">
        <v>651731517.15316606</v>
      </c>
      <c r="I68" s="5">
        <v>530039067.72613001</v>
      </c>
      <c r="J68" s="5">
        <v>212396142.094392</v>
      </c>
      <c r="K68" s="5">
        <v>165781584.887288</v>
      </c>
      <c r="L68" s="5">
        <v>509884967.99706602</v>
      </c>
      <c r="M68" s="5">
        <v>528459739.822317</v>
      </c>
      <c r="N68" s="5">
        <v>222460666.719888</v>
      </c>
      <c r="O68" s="5">
        <v>542820698.27779901</v>
      </c>
      <c r="P68" s="5">
        <v>257196705.301862</v>
      </c>
      <c r="Q68" s="5">
        <v>782566123.37737596</v>
      </c>
      <c r="R68" s="5">
        <v>437279790.50869697</v>
      </c>
      <c r="S68" s="5">
        <v>548742970.93561494</v>
      </c>
      <c r="T68" s="5">
        <v>580337651.31162298</v>
      </c>
      <c r="U68" s="5">
        <v>562246725.00522399</v>
      </c>
      <c r="V68" s="5">
        <v>604520127.22415805</v>
      </c>
      <c r="W68" s="5">
        <v>296826949.57795602</v>
      </c>
      <c r="X68" s="5">
        <v>284375408.61974502</v>
      </c>
      <c r="Y68" s="5">
        <v>520488319.77576798</v>
      </c>
      <c r="Z68" s="5">
        <v>332259160.40927798</v>
      </c>
      <c r="AA68" s="5">
        <v>392997077.389054</v>
      </c>
      <c r="AB68" s="5">
        <v>417666802.31242502</v>
      </c>
      <c r="AC68" s="5">
        <v>469682222.32201201</v>
      </c>
      <c r="AD68">
        <f t="shared" si="5"/>
        <v>403151315.60819221</v>
      </c>
      <c r="AE68">
        <f t="shared" si="6"/>
        <v>57055140.361413792</v>
      </c>
      <c r="AF68">
        <f t="shared" si="7"/>
        <v>0.14152289265220597</v>
      </c>
    </row>
    <row r="69" spans="1:32" x14ac:dyDescent="0.45">
      <c r="A69" s="5" t="s">
        <v>241</v>
      </c>
      <c r="B69" s="2">
        <f t="shared" si="4"/>
        <v>231918.22724697934</v>
      </c>
      <c r="C69" s="2">
        <v>229504.50144590801</v>
      </c>
      <c r="D69" s="2">
        <v>5.9173286923259447E-2</v>
      </c>
      <c r="E69" s="5">
        <v>18079.665965373501</v>
      </c>
      <c r="F69" s="5">
        <v>318234.28920056898</v>
      </c>
      <c r="G69" s="5">
        <v>20810.5808902998</v>
      </c>
      <c r="H69" s="5">
        <v>19625.5642206056</v>
      </c>
      <c r="I69" s="5">
        <v>19247.157041901999</v>
      </c>
      <c r="J69" s="5">
        <v>400735.75056510698</v>
      </c>
      <c r="K69" s="5">
        <v>1741926.0996737599</v>
      </c>
      <c r="L69" s="5">
        <v>18173.769653791202</v>
      </c>
      <c r="M69" s="5">
        <v>30261.180201221501</v>
      </c>
      <c r="N69" s="5">
        <v>781668.25279081904</v>
      </c>
      <c r="O69" s="5">
        <v>20410.6710799106</v>
      </c>
      <c r="P69" s="5">
        <v>622556.86349956703</v>
      </c>
      <c r="Q69" s="5">
        <v>39204.049311062503</v>
      </c>
      <c r="R69" s="5">
        <v>23041.647748372299</v>
      </c>
      <c r="S69" s="5">
        <v>19005.765534527702</v>
      </c>
      <c r="T69" s="5">
        <v>21172.6402198125</v>
      </c>
      <c r="U69" s="5">
        <v>19062.3940078534</v>
      </c>
      <c r="V69" s="5">
        <v>25160.766620849899</v>
      </c>
      <c r="W69" s="5">
        <v>348539.42947990901</v>
      </c>
      <c r="X69" s="5">
        <v>344496.59086614603</v>
      </c>
      <c r="Y69" s="5">
        <v>18869.6436151083</v>
      </c>
      <c r="Z69" s="5">
        <v>221086.16615495001</v>
      </c>
      <c r="AA69" s="5">
        <v>234290.70568986001</v>
      </c>
      <c r="AB69" s="5">
        <v>246369.16395966199</v>
      </c>
      <c r="AC69" s="5">
        <v>216271.96997916</v>
      </c>
      <c r="AD69">
        <f t="shared" si="5"/>
        <v>229504.50144590801</v>
      </c>
      <c r="AE69">
        <f t="shared" si="6"/>
        <v>13580.535714238327</v>
      </c>
      <c r="AF69">
        <f t="shared" si="7"/>
        <v>5.9173286923259447E-2</v>
      </c>
    </row>
    <row r="70" spans="1:32" x14ac:dyDescent="0.45">
      <c r="A70" s="5" t="s">
        <v>57</v>
      </c>
      <c r="B70" s="2">
        <f t="shared" si="4"/>
        <v>6528501.281155047</v>
      </c>
      <c r="C70" s="7">
        <v>5346432.1526787654</v>
      </c>
      <c r="D70" s="8">
        <v>8.0118608801847097E-2</v>
      </c>
      <c r="E70" s="5">
        <v>6924510.4625072498</v>
      </c>
      <c r="F70" s="5">
        <v>3943702.0837808</v>
      </c>
      <c r="G70" s="5">
        <v>5830287.1228911504</v>
      </c>
      <c r="H70" s="5">
        <v>8558214.1793280691</v>
      </c>
      <c r="I70" s="5">
        <v>5030706.7121648602</v>
      </c>
      <c r="J70" s="5">
        <v>4199717.6237697303</v>
      </c>
      <c r="K70" s="5">
        <v>4835970.3431432396</v>
      </c>
      <c r="L70" s="5">
        <v>6854800.1852026703</v>
      </c>
      <c r="M70" s="5">
        <v>7904746.7477304703</v>
      </c>
      <c r="N70" s="5">
        <v>4840190.8051036596</v>
      </c>
      <c r="O70" s="5">
        <v>6176724.4714100296</v>
      </c>
      <c r="P70" s="5">
        <v>4951704.9294468397</v>
      </c>
      <c r="Q70" s="5">
        <v>9571111.2964508291</v>
      </c>
      <c r="R70" s="5">
        <v>7618834.5871467199</v>
      </c>
      <c r="S70" s="5">
        <v>8116889.40614428</v>
      </c>
      <c r="T70" s="5">
        <v>8100300.0646369997</v>
      </c>
      <c r="U70" s="5">
        <v>7342847.1854010997</v>
      </c>
      <c r="V70" s="5">
        <v>6609183.5334785301</v>
      </c>
      <c r="W70" s="5">
        <v>3785970.3215695499</v>
      </c>
      <c r="X70" s="5">
        <v>5750396.7613931</v>
      </c>
      <c r="Y70" s="5">
        <v>10151718.0815561</v>
      </c>
      <c r="Z70" s="5">
        <v>4736832.0583302798</v>
      </c>
      <c r="AA70" s="5">
        <v>5499883.8426695196</v>
      </c>
      <c r="AB70" s="5">
        <v>5734588.3065728797</v>
      </c>
      <c r="AC70" s="5">
        <v>5414424.4031423796</v>
      </c>
      <c r="AD70">
        <f t="shared" si="5"/>
        <v>5346432.1526787654</v>
      </c>
      <c r="AE70">
        <f t="shared" si="6"/>
        <v>428348.70612608729</v>
      </c>
      <c r="AF70">
        <f t="shared" si="7"/>
        <v>8.0118608801847097E-2</v>
      </c>
    </row>
    <row r="71" spans="1:32" x14ac:dyDescent="0.45">
      <c r="A71" s="5" t="s">
        <v>58</v>
      </c>
      <c r="B71" s="2">
        <f t="shared" si="4"/>
        <v>28908000.195134513</v>
      </c>
      <c r="C71" s="7">
        <v>23379930.673781626</v>
      </c>
      <c r="D71" s="8">
        <v>3.696641091471884E-2</v>
      </c>
      <c r="E71" s="5">
        <v>33554101.0859796</v>
      </c>
      <c r="F71" s="5">
        <v>42555138.837268703</v>
      </c>
      <c r="G71" s="5">
        <v>32546431.860707801</v>
      </c>
      <c r="H71" s="5">
        <v>18342682.680580899</v>
      </c>
      <c r="I71" s="5">
        <v>19834060.770400699</v>
      </c>
      <c r="J71" s="5">
        <v>19189448.446761198</v>
      </c>
      <c r="K71" s="5">
        <v>24365332.086142901</v>
      </c>
      <c r="L71" s="5">
        <v>25741955.739881098</v>
      </c>
      <c r="M71" s="5">
        <v>24255338.522461001</v>
      </c>
      <c r="N71" s="5">
        <v>14095120.0925759</v>
      </c>
      <c r="O71" s="5">
        <v>28479306.366120301</v>
      </c>
      <c r="P71" s="5">
        <v>16636246.3665139</v>
      </c>
      <c r="Q71" s="5">
        <v>63363211.596374698</v>
      </c>
      <c r="R71" s="5">
        <v>46096629.2726539</v>
      </c>
      <c r="S71" s="5">
        <v>29668540.716665499</v>
      </c>
      <c r="T71" s="5">
        <v>19543596.975937702</v>
      </c>
      <c r="U71" s="5">
        <v>34748710.965529896</v>
      </c>
      <c r="V71" s="5">
        <v>25951951.903438699</v>
      </c>
      <c r="W71" s="5">
        <v>21380671.717150301</v>
      </c>
      <c r="X71" s="5">
        <v>25891045.3540272</v>
      </c>
      <c r="Y71" s="5">
        <v>40828482.740652896</v>
      </c>
      <c r="Z71" s="5">
        <v>22697000.9769045</v>
      </c>
      <c r="AA71" s="5">
        <v>23758337.645805601</v>
      </c>
      <c r="AB71" s="5">
        <v>24422401.860616799</v>
      </c>
      <c r="AC71" s="5">
        <v>22641982.211799599</v>
      </c>
      <c r="AD71">
        <f t="shared" si="5"/>
        <v>23379930.673781626</v>
      </c>
      <c r="AE71">
        <f t="shared" si="6"/>
        <v>864272.12444465084</v>
      </c>
      <c r="AF71">
        <f t="shared" si="7"/>
        <v>3.696641091471884E-2</v>
      </c>
    </row>
    <row r="72" spans="1:32" x14ac:dyDescent="0.45">
      <c r="A72" s="5" t="s">
        <v>59</v>
      </c>
      <c r="B72" s="2">
        <f t="shared" si="4"/>
        <v>89245978.55613859</v>
      </c>
      <c r="C72" s="7">
        <v>78871139.076382384</v>
      </c>
      <c r="D72" s="7">
        <v>6.6143064344266173E-2</v>
      </c>
      <c r="E72" s="5">
        <v>109876050.98092499</v>
      </c>
      <c r="F72" s="5">
        <v>63736070.877991699</v>
      </c>
      <c r="G72" s="5">
        <v>80503832.647867501</v>
      </c>
      <c r="H72" s="5">
        <v>130127915.916839</v>
      </c>
      <c r="I72" s="5">
        <v>86896948.649665296</v>
      </c>
      <c r="J72" s="5">
        <v>66433402.388724297</v>
      </c>
      <c r="K72" s="5">
        <v>64345320.2406151</v>
      </c>
      <c r="L72" s="5">
        <v>90533239.974021301</v>
      </c>
      <c r="M72" s="5">
        <v>92106273.317709699</v>
      </c>
      <c r="N72" s="5">
        <v>57895945.716731898</v>
      </c>
      <c r="O72" s="5">
        <v>84222609.212653607</v>
      </c>
      <c r="P72" s="5">
        <v>76656290.877214506</v>
      </c>
      <c r="Q72" s="5">
        <v>123479526.722197</v>
      </c>
      <c r="R72" s="5">
        <v>97128530.157799199</v>
      </c>
      <c r="S72" s="5">
        <v>121197193.93975499</v>
      </c>
      <c r="T72" s="5">
        <v>96754478.635038599</v>
      </c>
      <c r="U72" s="5">
        <v>96483791.720707998</v>
      </c>
      <c r="V72" s="5">
        <v>97656425.426784903</v>
      </c>
      <c r="W72" s="5">
        <v>70903360.327080801</v>
      </c>
      <c r="X72" s="5">
        <v>63859823.728146903</v>
      </c>
      <c r="Y72" s="5">
        <v>103368518.220441</v>
      </c>
      <c r="Z72" s="5">
        <v>74515531.280273706</v>
      </c>
      <c r="AA72" s="5">
        <v>82637998.058528796</v>
      </c>
      <c r="AB72" s="5">
        <v>84080311.827978596</v>
      </c>
      <c r="AC72" s="5">
        <v>74250715.138748407</v>
      </c>
      <c r="AD72">
        <f t="shared" si="5"/>
        <v>78871139.076382384</v>
      </c>
      <c r="AE72">
        <f t="shared" si="6"/>
        <v>5216778.8268347261</v>
      </c>
      <c r="AF72">
        <f t="shared" si="7"/>
        <v>6.6143064344266173E-2</v>
      </c>
    </row>
    <row r="73" spans="1:32" x14ac:dyDescent="0.45">
      <c r="A73" s="5" t="s">
        <v>184</v>
      </c>
      <c r="B73" s="2">
        <f t="shared" si="4"/>
        <v>26389674.892692704</v>
      </c>
      <c r="C73" s="7">
        <v>20960903.939725224</v>
      </c>
      <c r="D73" s="7">
        <v>1.0387754927100919E-2</v>
      </c>
      <c r="E73" s="5">
        <v>25940010.560396701</v>
      </c>
      <c r="F73" s="5">
        <v>15327757.4150861</v>
      </c>
      <c r="G73" s="5">
        <v>30615708.295982201</v>
      </c>
      <c r="H73" s="5">
        <v>33095838.225650001</v>
      </c>
      <c r="I73" s="5">
        <v>30116810.248366602</v>
      </c>
      <c r="J73" s="5">
        <v>16695335.588323399</v>
      </c>
      <c r="K73" s="5">
        <v>15909537.471698901</v>
      </c>
      <c r="L73" s="5">
        <v>28135935.185130399</v>
      </c>
      <c r="M73" s="5">
        <v>28519140.088852402</v>
      </c>
      <c r="N73" s="5">
        <v>15975677.0086757</v>
      </c>
      <c r="O73" s="5">
        <v>36412564.363371797</v>
      </c>
      <c r="P73" s="5">
        <v>15633327.086263301</v>
      </c>
      <c r="Q73" s="5">
        <v>32472045.9834489</v>
      </c>
      <c r="R73" s="5">
        <v>36088471.873629898</v>
      </c>
      <c r="S73" s="5">
        <v>34262960.648639299</v>
      </c>
      <c r="T73" s="5">
        <v>32371788.067703102</v>
      </c>
      <c r="U73" s="5">
        <v>29877250.592888001</v>
      </c>
      <c r="V73" s="5">
        <v>29267561.515363399</v>
      </c>
      <c r="W73" s="5">
        <v>16183434.5571394</v>
      </c>
      <c r="X73" s="5">
        <v>16106378.648592601</v>
      </c>
      <c r="Y73" s="5">
        <v>35175639.321344502</v>
      </c>
      <c r="Z73" s="5">
        <v>21103442.2696146</v>
      </c>
      <c r="AA73" s="5">
        <v>21141187.564351302</v>
      </c>
      <c r="AB73" s="5">
        <v>20662925.237568099</v>
      </c>
      <c r="AC73" s="5">
        <v>20936060.687366899</v>
      </c>
      <c r="AD73">
        <f t="shared" si="5"/>
        <v>20960903.939725224</v>
      </c>
      <c r="AE73">
        <f t="shared" si="6"/>
        <v>217736.73317636977</v>
      </c>
      <c r="AF73">
        <f t="shared" si="7"/>
        <v>1.0387754927100919E-2</v>
      </c>
    </row>
    <row r="74" spans="1:32" x14ac:dyDescent="0.45">
      <c r="A74" s="5" t="s">
        <v>185</v>
      </c>
      <c r="B74" s="2">
        <f t="shared" si="4"/>
        <v>19299301.527441699</v>
      </c>
      <c r="C74" s="8">
        <v>7950192.1502045728</v>
      </c>
      <c r="D74" s="8">
        <v>9.9471657213432096E-2</v>
      </c>
      <c r="E74" s="5">
        <v>355561.05484643101</v>
      </c>
      <c r="F74" s="5">
        <v>42029036.382897697</v>
      </c>
      <c r="G74" s="5">
        <v>576796.38116233097</v>
      </c>
      <c r="H74" s="5">
        <v>246744.58610157401</v>
      </c>
      <c r="I74" s="5">
        <v>476125.51812440797</v>
      </c>
      <c r="J74" s="5">
        <v>66774824.993462197</v>
      </c>
      <c r="K74" s="5">
        <v>78337935.265476003</v>
      </c>
      <c r="L74" s="5">
        <v>451236.10730242101</v>
      </c>
      <c r="M74" s="5">
        <v>86621.212165236095</v>
      </c>
      <c r="N74" s="5">
        <v>51411893.052587204</v>
      </c>
      <c r="O74" s="5">
        <v>591067.09274664405</v>
      </c>
      <c r="P74" s="5">
        <v>58577904.687162504</v>
      </c>
      <c r="Q74" s="5">
        <v>110112.91128433699</v>
      </c>
      <c r="R74" s="5">
        <v>681437.06624710304</v>
      </c>
      <c r="S74" s="5">
        <v>900518.71622820897</v>
      </c>
      <c r="T74" s="5">
        <v>137078.43326638901</v>
      </c>
      <c r="U74" s="5">
        <v>94249.962979907694</v>
      </c>
      <c r="V74" s="5">
        <v>238463.84175424499</v>
      </c>
      <c r="W74" s="5">
        <v>54097591.841656402</v>
      </c>
      <c r="X74" s="5">
        <v>48807350.521434203</v>
      </c>
      <c r="Y74" s="5">
        <v>302782.44739022898</v>
      </c>
      <c r="Z74" s="5">
        <v>9023298.7882925496</v>
      </c>
      <c r="AA74" s="5">
        <v>7864279.2494356101</v>
      </c>
      <c r="AB74" s="5">
        <v>7795688.51892637</v>
      </c>
      <c r="AC74" s="5">
        <v>7117502.0441637598</v>
      </c>
      <c r="AD74">
        <f t="shared" si="5"/>
        <v>7950192.1502045728</v>
      </c>
      <c r="AE74">
        <f t="shared" si="6"/>
        <v>790818.78834606789</v>
      </c>
      <c r="AF74">
        <f t="shared" si="7"/>
        <v>9.9471657213432096E-2</v>
      </c>
    </row>
    <row r="75" spans="1:32" x14ac:dyDescent="0.45">
      <c r="A75" s="5" t="s">
        <v>60</v>
      </c>
      <c r="B75" s="2">
        <f t="shared" si="4"/>
        <v>10596626.454602497</v>
      </c>
      <c r="C75" s="7">
        <v>9090794.5165479537</v>
      </c>
      <c r="D75" s="8">
        <v>7.5253662211702627E-2</v>
      </c>
      <c r="E75" s="5">
        <v>12009196.082831001</v>
      </c>
      <c r="F75" s="5">
        <v>8026685.28528859</v>
      </c>
      <c r="G75" s="5">
        <v>11015049.7145037</v>
      </c>
      <c r="H75" s="5">
        <v>16223642.1302492</v>
      </c>
      <c r="I75" s="5">
        <v>9691696.5943892598</v>
      </c>
      <c r="J75" s="5">
        <v>6434665.4106936799</v>
      </c>
      <c r="K75" s="5">
        <v>517937.62939377798</v>
      </c>
      <c r="L75" s="5">
        <v>11702036.571045101</v>
      </c>
      <c r="M75" s="5">
        <v>13542726.6719495</v>
      </c>
      <c r="N75" s="5">
        <v>6827319.3046474699</v>
      </c>
      <c r="O75" s="5">
        <v>12226036.354880299</v>
      </c>
      <c r="P75" s="5">
        <v>7661169.8450818397</v>
      </c>
      <c r="Q75" s="5">
        <v>5414314.1505133696</v>
      </c>
      <c r="R75" s="5">
        <v>14892492.697183499</v>
      </c>
      <c r="S75" s="5">
        <v>16929863.830783602</v>
      </c>
      <c r="T75" s="5">
        <v>14575028.570343999</v>
      </c>
      <c r="U75" s="5">
        <v>12448927.3754951</v>
      </c>
      <c r="V75" s="5">
        <v>8690260.08081205</v>
      </c>
      <c r="W75" s="5">
        <v>7664214.8212442799</v>
      </c>
      <c r="X75" s="5">
        <v>9245223.89332214</v>
      </c>
      <c r="Y75" s="5">
        <v>16790668.532001</v>
      </c>
      <c r="Z75" s="5">
        <v>9867567.8638678994</v>
      </c>
      <c r="AA75" s="5">
        <v>9446087.8810212109</v>
      </c>
      <c r="AB75" s="5">
        <v>8654462.0696503203</v>
      </c>
      <c r="AC75" s="5">
        <v>8395060.2516523805</v>
      </c>
      <c r="AD75">
        <f t="shared" si="5"/>
        <v>9090794.5165479537</v>
      </c>
      <c r="AE75">
        <f t="shared" si="6"/>
        <v>684115.5797842982</v>
      </c>
      <c r="AF75">
        <f t="shared" si="7"/>
        <v>7.5253662211702627E-2</v>
      </c>
    </row>
    <row r="76" spans="1:32" x14ac:dyDescent="0.45">
      <c r="A76" s="5" t="s">
        <v>61</v>
      </c>
      <c r="B76" s="2">
        <f t="shared" si="4"/>
        <v>47487592.224982813</v>
      </c>
      <c r="C76" s="8">
        <v>40428718.6489916</v>
      </c>
      <c r="D76" s="7">
        <v>2.2271610465974808E-2</v>
      </c>
      <c r="E76" s="5">
        <v>49038054.094246097</v>
      </c>
      <c r="F76" s="5">
        <v>35400949.419760101</v>
      </c>
      <c r="G76" s="5">
        <v>48798992.961988203</v>
      </c>
      <c r="H76" s="5">
        <v>69518064.805211201</v>
      </c>
      <c r="I76" s="5">
        <v>45535380.895784497</v>
      </c>
      <c r="J76" s="5">
        <v>30088934.994455699</v>
      </c>
      <c r="K76" s="5">
        <v>2729346.43423894</v>
      </c>
      <c r="L76" s="5">
        <v>49859455.7242302</v>
      </c>
      <c r="M76" s="5">
        <v>56535935.420533702</v>
      </c>
      <c r="N76" s="5">
        <v>30019562.074512899</v>
      </c>
      <c r="O76" s="5">
        <v>55325566.990788497</v>
      </c>
      <c r="P76" s="5">
        <v>35803704.556827202</v>
      </c>
      <c r="Q76" s="5">
        <v>27625863.999618299</v>
      </c>
      <c r="R76" s="5">
        <v>70814956.640788704</v>
      </c>
      <c r="S76" s="5">
        <v>72604458.235390097</v>
      </c>
      <c r="T76" s="5">
        <v>65710143.784920797</v>
      </c>
      <c r="U76" s="5">
        <v>55138165.3411486</v>
      </c>
      <c r="V76" s="5">
        <v>40713203.552562997</v>
      </c>
      <c r="W76" s="5">
        <v>35171261.116104104</v>
      </c>
      <c r="X76" s="5">
        <v>42852821.521140203</v>
      </c>
      <c r="Y76" s="5">
        <v>77954614.160387993</v>
      </c>
      <c r="Z76" s="5">
        <v>39761724.940356202</v>
      </c>
      <c r="AA76" s="5">
        <v>41343291.273627102</v>
      </c>
      <c r="AB76" s="5">
        <v>41053346.719608396</v>
      </c>
      <c r="AC76" s="5">
        <v>39556511.662374698</v>
      </c>
      <c r="AD76">
        <f t="shared" si="5"/>
        <v>40428718.6489916</v>
      </c>
      <c r="AE76">
        <f t="shared" si="6"/>
        <v>900412.67338883225</v>
      </c>
      <c r="AF76">
        <f t="shared" si="7"/>
        <v>2.2271610465974808E-2</v>
      </c>
    </row>
    <row r="77" spans="1:32" x14ac:dyDescent="0.45">
      <c r="A77" s="5" t="s">
        <v>62</v>
      </c>
      <c r="B77" s="2">
        <f t="shared" si="4"/>
        <v>5537813.820508359</v>
      </c>
      <c r="C77" s="7">
        <v>5131965.7994890902</v>
      </c>
      <c r="D77" s="8">
        <v>6.4751292878222913E-2</v>
      </c>
      <c r="E77" s="5">
        <v>4427451.5909067104</v>
      </c>
      <c r="F77" s="5">
        <v>10183173.258001899</v>
      </c>
      <c r="G77" s="5">
        <v>3451143.8339314102</v>
      </c>
      <c r="H77" s="5">
        <v>1844389.3248655901</v>
      </c>
      <c r="I77" s="5">
        <v>3778324.4122512499</v>
      </c>
      <c r="J77" s="5">
        <v>11482364.696105899</v>
      </c>
      <c r="K77" s="5">
        <v>7541255.9519961998</v>
      </c>
      <c r="L77" s="5">
        <v>2576967.2778710402</v>
      </c>
      <c r="M77" s="5">
        <v>4097377.0685987798</v>
      </c>
      <c r="N77" s="5">
        <v>11179887.2618604</v>
      </c>
      <c r="O77" s="5">
        <v>3201820.1196362399</v>
      </c>
      <c r="P77" s="5">
        <v>8058682.3677965999</v>
      </c>
      <c r="Q77" s="5">
        <v>4006711.6409360799</v>
      </c>
      <c r="R77" s="5">
        <v>4793167.3277133303</v>
      </c>
      <c r="S77" s="5">
        <v>4468586.4622171596</v>
      </c>
      <c r="T77" s="5">
        <v>3341208.9103493099</v>
      </c>
      <c r="U77" s="5">
        <v>4830255.4604937797</v>
      </c>
      <c r="V77" s="5">
        <v>3161312.1535088802</v>
      </c>
      <c r="W77" s="5">
        <v>6673210.9284087699</v>
      </c>
      <c r="X77" s="5">
        <v>7521844.2019800199</v>
      </c>
      <c r="Y77" s="5">
        <v>5674955.9812461799</v>
      </c>
      <c r="Z77" s="5">
        <v>5488379.4457824398</v>
      </c>
      <c r="AA77" s="5">
        <v>5317785.8741349</v>
      </c>
      <c r="AB77" s="5">
        <v>4967395.19840723</v>
      </c>
      <c r="AC77" s="5">
        <v>4754302.6796317901</v>
      </c>
      <c r="AD77">
        <f t="shared" si="5"/>
        <v>5131965.7994890902</v>
      </c>
      <c r="AE77">
        <f t="shared" si="6"/>
        <v>332301.42052374152</v>
      </c>
      <c r="AF77">
        <f t="shared" si="7"/>
        <v>6.4751292878222913E-2</v>
      </c>
    </row>
    <row r="78" spans="1:32" x14ac:dyDescent="0.45">
      <c r="A78" s="5" t="s">
        <v>126</v>
      </c>
      <c r="B78" s="2">
        <f t="shared" si="4"/>
        <v>250141626.59207752</v>
      </c>
      <c r="C78" s="2">
        <v>225120402.33067673</v>
      </c>
      <c r="D78" s="2">
        <v>1.7547155566976017E-2</v>
      </c>
      <c r="E78" s="5">
        <v>323848985.843409</v>
      </c>
      <c r="F78" s="5">
        <v>194317941.22406301</v>
      </c>
      <c r="G78" s="5">
        <v>215893103.143951</v>
      </c>
      <c r="H78" s="5">
        <v>360534604.22087699</v>
      </c>
      <c r="I78" s="5">
        <v>278818116.93568599</v>
      </c>
      <c r="J78" s="5">
        <v>181496857.267221</v>
      </c>
      <c r="K78" s="5">
        <v>198169209.582495</v>
      </c>
      <c r="L78" s="5">
        <v>275127120.25181001</v>
      </c>
      <c r="M78" s="5">
        <v>291313122.40633601</v>
      </c>
      <c r="N78" s="5">
        <v>175062847.20866299</v>
      </c>
      <c r="O78" s="5">
        <v>292789517.76641601</v>
      </c>
      <c r="P78" s="5">
        <v>189412027.45989001</v>
      </c>
      <c r="Q78" s="5">
        <v>290152810.97879201</v>
      </c>
      <c r="R78" s="5">
        <v>215043714.41202301</v>
      </c>
      <c r="S78" s="5">
        <v>264146702.12623501</v>
      </c>
      <c r="T78" s="5">
        <v>290038315.34481901</v>
      </c>
      <c r="U78" s="5">
        <v>287787588.16417801</v>
      </c>
      <c r="V78" s="5">
        <v>278977138.97290999</v>
      </c>
      <c r="W78" s="5">
        <v>199371961.14541501</v>
      </c>
      <c r="X78" s="5">
        <v>194752556.259424</v>
      </c>
      <c r="Y78" s="5">
        <v>255919917.71901399</v>
      </c>
      <c r="Z78" s="5">
        <v>223958737.03975499</v>
      </c>
      <c r="AA78" s="5">
        <v>220061205.70974699</v>
      </c>
      <c r="AB78" s="5">
        <v>228739891.47380301</v>
      </c>
      <c r="AC78" s="5">
        <v>227721775.09940201</v>
      </c>
      <c r="AD78">
        <f t="shared" si="5"/>
        <v>225120402.33067673</v>
      </c>
      <c r="AE78">
        <f t="shared" si="6"/>
        <v>3950222.7209966145</v>
      </c>
      <c r="AF78">
        <f t="shared" si="7"/>
        <v>1.7547155566976017E-2</v>
      </c>
    </row>
    <row r="79" spans="1:32" x14ac:dyDescent="0.45">
      <c r="A79" s="5" t="s">
        <v>63</v>
      </c>
      <c r="B79" s="2">
        <f t="shared" si="4"/>
        <v>3497430.5435111602</v>
      </c>
      <c r="C79" s="7">
        <v>4022520.5054110698</v>
      </c>
      <c r="D79" s="8">
        <v>9.5119884176529806E-2</v>
      </c>
      <c r="E79" s="5">
        <v>4080721.5962777901</v>
      </c>
      <c r="F79" s="5">
        <v>2540852.3372593601</v>
      </c>
      <c r="G79" s="5">
        <v>1871163.6470447399</v>
      </c>
      <c r="H79" s="5">
        <v>3483126.1271391702</v>
      </c>
      <c r="I79" s="5">
        <v>3010525.7640473498</v>
      </c>
      <c r="J79" s="5">
        <v>2682043.7938273102</v>
      </c>
      <c r="K79" s="5">
        <v>6042595.7183218496</v>
      </c>
      <c r="L79" s="5">
        <v>1391330.3931004601</v>
      </c>
      <c r="M79" s="5">
        <v>3845580.0645909901</v>
      </c>
      <c r="N79" s="5">
        <v>1784050.72516622</v>
      </c>
      <c r="O79" s="5">
        <v>9050663.2917422298</v>
      </c>
      <c r="P79" s="5">
        <v>3981662.2784026698</v>
      </c>
      <c r="Q79" s="5">
        <v>3090455.36007943</v>
      </c>
      <c r="R79" s="5">
        <v>3989752.22467463</v>
      </c>
      <c r="S79" s="5">
        <v>3825265.8698633802</v>
      </c>
      <c r="T79" s="5">
        <v>1590224.7800539299</v>
      </c>
      <c r="U79" s="5">
        <v>2073890.67195782</v>
      </c>
      <c r="V79" s="5">
        <v>4006870.8442501002</v>
      </c>
      <c r="W79" s="5">
        <v>4048254.3126228899</v>
      </c>
      <c r="X79" s="5">
        <v>2700775.1327576502</v>
      </c>
      <c r="Y79" s="5">
        <v>4356236.4805543898</v>
      </c>
      <c r="Z79" s="5">
        <v>3929534.8490168201</v>
      </c>
      <c r="AA79" s="5">
        <v>3593743.6748839901</v>
      </c>
      <c r="AB79" s="5">
        <v>4048259.1204054998</v>
      </c>
      <c r="AC79" s="5">
        <v>4518544.3773379698</v>
      </c>
      <c r="AD79">
        <f t="shared" si="5"/>
        <v>4022520.5054110698</v>
      </c>
      <c r="AE79">
        <f t="shared" si="6"/>
        <v>382621.68457241711</v>
      </c>
      <c r="AF79">
        <f t="shared" si="7"/>
        <v>9.5119884176529806E-2</v>
      </c>
    </row>
    <row r="80" spans="1:32" x14ac:dyDescent="0.45">
      <c r="A80" s="5" t="s">
        <v>242</v>
      </c>
      <c r="B80" s="2">
        <f t="shared" si="4"/>
        <v>8151515.6915313704</v>
      </c>
      <c r="C80" s="2">
        <v>7474283.880006345</v>
      </c>
      <c r="D80" s="2">
        <v>3.4065556143824435E-2</v>
      </c>
      <c r="E80" s="5">
        <v>6081770.9648662498</v>
      </c>
      <c r="F80" s="5">
        <v>5604655.9371106997</v>
      </c>
      <c r="G80" s="5">
        <v>7447967.0827806601</v>
      </c>
      <c r="H80" s="5">
        <v>5993862.3381087398</v>
      </c>
      <c r="I80" s="5">
        <v>6148652.6789783603</v>
      </c>
      <c r="J80" s="5">
        <v>7486166.1902624303</v>
      </c>
      <c r="K80" s="5">
        <v>40562864.4942827</v>
      </c>
      <c r="L80" s="5">
        <v>6753177.9575285902</v>
      </c>
      <c r="M80" s="5">
        <v>6248481.0872896696</v>
      </c>
      <c r="N80" s="5">
        <v>6560109.7132745804</v>
      </c>
      <c r="O80" s="5">
        <v>5855395.8483819403</v>
      </c>
      <c r="P80" s="5">
        <v>6588168.2141759899</v>
      </c>
      <c r="Q80" s="5">
        <v>3110454.5651998199</v>
      </c>
      <c r="R80" s="5">
        <v>11313579.841588501</v>
      </c>
      <c r="S80" s="5">
        <v>8256892.5108735599</v>
      </c>
      <c r="T80" s="5">
        <v>6041361.7966381898</v>
      </c>
      <c r="U80" s="5">
        <v>6679730.5024901396</v>
      </c>
      <c r="V80" s="5">
        <v>5408886.0033240803</v>
      </c>
      <c r="W80" s="5">
        <v>5905945.5882523302</v>
      </c>
      <c r="X80" s="5">
        <v>6364661.6338241696</v>
      </c>
      <c r="Y80" s="5">
        <v>6769044.5729273995</v>
      </c>
      <c r="Z80" s="5">
        <v>7265716.3498298097</v>
      </c>
      <c r="AA80" s="5">
        <v>7293588.7352641998</v>
      </c>
      <c r="AB80" s="5">
        <v>7523015.4179062098</v>
      </c>
      <c r="AC80" s="5">
        <v>7814815.0170251597</v>
      </c>
      <c r="AD80">
        <f t="shared" si="5"/>
        <v>7474283.880006345</v>
      </c>
      <c r="AE80">
        <f t="shared" si="6"/>
        <v>254615.63714923809</v>
      </c>
      <c r="AF80">
        <f t="shared" si="7"/>
        <v>3.4065556143824435E-2</v>
      </c>
    </row>
    <row r="81" spans="1:32" x14ac:dyDescent="0.45">
      <c r="A81" s="5" t="s">
        <v>64</v>
      </c>
      <c r="B81" s="2">
        <f t="shared" si="4"/>
        <v>30673005.868658021</v>
      </c>
      <c r="C81" s="7">
        <v>24248342.910066772</v>
      </c>
      <c r="D81" s="8">
        <v>3.9695595513262037E-2</v>
      </c>
      <c r="E81" s="5">
        <v>49967799.782867797</v>
      </c>
      <c r="F81" s="5">
        <v>20318871.864263501</v>
      </c>
      <c r="G81" s="5">
        <v>25629900.269099299</v>
      </c>
      <c r="H81" s="5">
        <v>33374044.481678199</v>
      </c>
      <c r="I81" s="5">
        <v>37228421.141860202</v>
      </c>
      <c r="J81" s="5">
        <v>24046657.740989499</v>
      </c>
      <c r="K81" s="5">
        <v>18722990.294516198</v>
      </c>
      <c r="L81" s="5">
        <v>43220306.027625203</v>
      </c>
      <c r="M81" s="5">
        <v>38068666.165773198</v>
      </c>
      <c r="N81" s="5">
        <v>15573346.0219742</v>
      </c>
      <c r="O81" s="5">
        <v>23240848.932700101</v>
      </c>
      <c r="P81" s="5">
        <v>20517728.1138038</v>
      </c>
      <c r="Q81" s="5">
        <v>35712563.086119398</v>
      </c>
      <c r="R81" s="5">
        <v>27173609.592444099</v>
      </c>
      <c r="S81" s="5">
        <v>34359791.586475499</v>
      </c>
      <c r="T81" s="5">
        <v>35346264.369371302</v>
      </c>
      <c r="U81" s="5">
        <v>39319561.185874701</v>
      </c>
      <c r="V81" s="5">
        <v>41633474.866856597</v>
      </c>
      <c r="W81" s="5">
        <v>20264115.3793942</v>
      </c>
      <c r="X81" s="5">
        <v>19488403.338113099</v>
      </c>
      <c r="Y81" s="5">
        <v>40925759.000018403</v>
      </c>
      <c r="Z81" s="5">
        <v>23771281.801646799</v>
      </c>
      <c r="AA81" s="5">
        <v>25629825.8630796</v>
      </c>
      <c r="AB81" s="5">
        <v>24138513.0259168</v>
      </c>
      <c r="AC81" s="5">
        <v>23453750.949623901</v>
      </c>
      <c r="AD81">
        <f t="shared" si="5"/>
        <v>24248342.910066772</v>
      </c>
      <c r="AE81">
        <f t="shared" si="6"/>
        <v>962552.41202488588</v>
      </c>
      <c r="AF81">
        <f t="shared" si="7"/>
        <v>3.9695595513262037E-2</v>
      </c>
    </row>
    <row r="82" spans="1:32" x14ac:dyDescent="0.45">
      <c r="A82" s="5" t="s">
        <v>65</v>
      </c>
      <c r="B82" s="2">
        <f t="shared" si="4"/>
        <v>204904585.9223128</v>
      </c>
      <c r="C82" s="8">
        <v>169956100.21802598</v>
      </c>
      <c r="D82" s="8">
        <v>3.2157687126749414E-2</v>
      </c>
      <c r="E82" s="5">
        <v>275554673.35254502</v>
      </c>
      <c r="F82" s="5">
        <v>165770503.39383999</v>
      </c>
      <c r="G82" s="5">
        <v>179965960.927331</v>
      </c>
      <c r="H82" s="5">
        <v>260945964.53529599</v>
      </c>
      <c r="I82" s="5">
        <v>151417820.88790801</v>
      </c>
      <c r="J82" s="5">
        <v>120073722.135958</v>
      </c>
      <c r="K82" s="5">
        <v>127674952.524281</v>
      </c>
      <c r="L82" s="5">
        <v>209227411.221459</v>
      </c>
      <c r="M82" s="5">
        <v>226893802.94001299</v>
      </c>
      <c r="N82" s="5">
        <v>163630799.73101199</v>
      </c>
      <c r="O82" s="5">
        <v>201490592.08852899</v>
      </c>
      <c r="P82" s="5">
        <v>110984589.858209</v>
      </c>
      <c r="Q82" s="5">
        <v>481504564.01034099</v>
      </c>
      <c r="R82" s="5">
        <v>151400330.88460201</v>
      </c>
      <c r="S82" s="5">
        <v>183067823.85381901</v>
      </c>
      <c r="T82" s="5">
        <v>226918864.846156</v>
      </c>
      <c r="U82" s="5">
        <v>276327633.955796</v>
      </c>
      <c r="V82" s="5">
        <v>208431980.98296601</v>
      </c>
      <c r="W82" s="5">
        <v>151683362.65818599</v>
      </c>
      <c r="X82" s="5">
        <v>143247010.69690701</v>
      </c>
      <c r="Y82" s="5">
        <v>286783938.88341397</v>
      </c>
      <c r="Z82" s="5">
        <v>171668082.370157</v>
      </c>
      <c r="AA82" s="5">
        <v>176689857.65618601</v>
      </c>
      <c r="AB82" s="5">
        <v>167417273.16736799</v>
      </c>
      <c r="AC82" s="5">
        <v>164049187.67839301</v>
      </c>
      <c r="AD82">
        <f t="shared" si="5"/>
        <v>169956100.21802598</v>
      </c>
      <c r="AE82">
        <f t="shared" si="6"/>
        <v>5465395.0960937478</v>
      </c>
      <c r="AF82">
        <f t="shared" si="7"/>
        <v>3.2157687126749414E-2</v>
      </c>
    </row>
    <row r="83" spans="1:32" x14ac:dyDescent="0.45">
      <c r="A83" s="5" t="s">
        <v>66</v>
      </c>
      <c r="B83" s="2">
        <f t="shared" si="4"/>
        <v>273034078.31288332</v>
      </c>
      <c r="C83" s="8">
        <v>232137304.35381621</v>
      </c>
      <c r="D83" s="7">
        <v>4.1482001420864785E-2</v>
      </c>
      <c r="E83" s="5">
        <v>347754770.65239102</v>
      </c>
      <c r="F83" s="5">
        <v>185004133.86799601</v>
      </c>
      <c r="G83" s="5">
        <v>221550481.82065099</v>
      </c>
      <c r="H83" s="5">
        <v>402642800.57976902</v>
      </c>
      <c r="I83" s="5">
        <v>303894735.31424201</v>
      </c>
      <c r="J83" s="5">
        <v>177766599.932928</v>
      </c>
      <c r="K83" s="5">
        <v>195731939.879282</v>
      </c>
      <c r="L83" s="5">
        <v>331653944.37360799</v>
      </c>
      <c r="M83" s="5">
        <v>341765420.26474202</v>
      </c>
      <c r="N83" s="5">
        <v>181230781.04504001</v>
      </c>
      <c r="O83" s="5">
        <v>328375043.44404203</v>
      </c>
      <c r="P83" s="5">
        <v>184585343.655231</v>
      </c>
      <c r="Q83" s="5">
        <v>360276899.31733203</v>
      </c>
      <c r="R83" s="5">
        <v>216266368.395834</v>
      </c>
      <c r="S83" s="5">
        <v>315308974.39067203</v>
      </c>
      <c r="T83" s="5">
        <v>322901485.30427301</v>
      </c>
      <c r="U83" s="5">
        <v>308484878.55997998</v>
      </c>
      <c r="V83" s="5">
        <v>302012380.65496701</v>
      </c>
      <c r="W83" s="5">
        <v>205850532.834465</v>
      </c>
      <c r="X83" s="5">
        <v>190805466.23309401</v>
      </c>
      <c r="Y83" s="5">
        <v>309852664.05001003</v>
      </c>
      <c r="Z83" s="5">
        <v>242417632.233138</v>
      </c>
      <c r="AA83" s="5">
        <v>237594214.36640799</v>
      </c>
      <c r="AB83" s="5">
        <v>227341927.11921099</v>
      </c>
      <c r="AC83" s="5">
        <v>221195443.69650799</v>
      </c>
      <c r="AD83">
        <f t="shared" si="5"/>
        <v>232137304.35381621</v>
      </c>
      <c r="AE83">
        <f t="shared" si="6"/>
        <v>9629519.9890407249</v>
      </c>
      <c r="AF83">
        <f t="shared" si="7"/>
        <v>4.1482001420864785E-2</v>
      </c>
    </row>
    <row r="84" spans="1:32" x14ac:dyDescent="0.45">
      <c r="A84" s="5" t="s">
        <v>186</v>
      </c>
      <c r="B84" s="2">
        <f t="shared" si="4"/>
        <v>3327410.2724853358</v>
      </c>
      <c r="C84" s="7">
        <v>3094414.6112654023</v>
      </c>
      <c r="D84" s="8">
        <v>3.294383362707147E-2</v>
      </c>
      <c r="E84" s="5">
        <v>2774709.3288648399</v>
      </c>
      <c r="F84" s="5">
        <v>5924951.0879765302</v>
      </c>
      <c r="G84" s="5">
        <v>2082512.72730345</v>
      </c>
      <c r="H84" s="5">
        <v>1409137.26020106</v>
      </c>
      <c r="I84" s="5">
        <v>2238758.7927333498</v>
      </c>
      <c r="J84" s="5">
        <v>6393237.6118251504</v>
      </c>
      <c r="K84" s="5">
        <v>4425620.2672782</v>
      </c>
      <c r="L84" s="5">
        <v>1666525.6965906499</v>
      </c>
      <c r="M84" s="5">
        <v>2502670.3887321302</v>
      </c>
      <c r="N84" s="5">
        <v>6584516.0901146298</v>
      </c>
      <c r="O84" s="5">
        <v>1945456.8829886499</v>
      </c>
      <c r="P84" s="5">
        <v>4397761.3787275096</v>
      </c>
      <c r="Q84" s="5">
        <v>2432967.94485112</v>
      </c>
      <c r="R84" s="5">
        <v>2893056.28715256</v>
      </c>
      <c r="S84" s="5">
        <v>2767033.8123818901</v>
      </c>
      <c r="T84" s="5">
        <v>2410757.5946574798</v>
      </c>
      <c r="U84" s="5">
        <v>3021814.5981959202</v>
      </c>
      <c r="V84" s="5">
        <v>2196776.5035146698</v>
      </c>
      <c r="W84" s="5">
        <v>3899414.6412637401</v>
      </c>
      <c r="X84" s="5">
        <v>4258022.0020733196</v>
      </c>
      <c r="Y84" s="5">
        <v>3649914.82476521</v>
      </c>
      <c r="Z84" s="5">
        <v>3233808.76561841</v>
      </c>
      <c r="AA84" s="5">
        <v>3022704.0620015902</v>
      </c>
      <c r="AB84" s="5">
        <v>3014135.9029837698</v>
      </c>
      <c r="AC84" s="5">
        <v>3107009.7144578402</v>
      </c>
      <c r="AD84">
        <f t="shared" si="5"/>
        <v>3094414.6112654023</v>
      </c>
      <c r="AE84">
        <f t="shared" si="6"/>
        <v>101941.88012670646</v>
      </c>
      <c r="AF84">
        <f t="shared" si="7"/>
        <v>3.294383362707147E-2</v>
      </c>
    </row>
    <row r="85" spans="1:32" x14ac:dyDescent="0.45">
      <c r="A85" s="5" t="s">
        <v>67</v>
      </c>
      <c r="B85" s="2">
        <f t="shared" si="4"/>
        <v>24682657.965048511</v>
      </c>
      <c r="C85" s="7">
        <v>22232128.503390927</v>
      </c>
      <c r="D85" s="8">
        <v>0.14049142010240342</v>
      </c>
      <c r="E85" s="5">
        <v>13264164.357609499</v>
      </c>
      <c r="F85" s="5">
        <v>27772800.0889103</v>
      </c>
      <c r="G85" s="5">
        <v>41944641.511411503</v>
      </c>
      <c r="H85" s="5">
        <v>24441872.217843398</v>
      </c>
      <c r="I85" s="5">
        <v>32126648.842984602</v>
      </c>
      <c r="J85" s="5">
        <v>27676841.614918198</v>
      </c>
      <c r="K85" s="5">
        <v>19204206.191495098</v>
      </c>
      <c r="L85" s="5">
        <v>15207014.4812357</v>
      </c>
      <c r="M85" s="5">
        <v>17605450.5899988</v>
      </c>
      <c r="N85" s="5">
        <v>23874058.638355698</v>
      </c>
      <c r="O85" s="5">
        <v>28273937.630038999</v>
      </c>
      <c r="P85" s="5">
        <v>18953953.726927701</v>
      </c>
      <c r="Q85" s="5">
        <v>18161409.014808699</v>
      </c>
      <c r="R85" s="5">
        <v>27295533.867874399</v>
      </c>
      <c r="S85" s="5">
        <v>18245565.945544198</v>
      </c>
      <c r="T85" s="5">
        <v>25025121.1168136</v>
      </c>
      <c r="U85" s="5">
        <v>27281072.835071001</v>
      </c>
      <c r="V85" s="5">
        <v>27816768.261317998</v>
      </c>
      <c r="W85" s="5">
        <v>34733502.986227699</v>
      </c>
      <c r="X85" s="5">
        <v>27390958.6309264</v>
      </c>
      <c r="Y85" s="5">
        <v>22040294.7157051</v>
      </c>
      <c r="Z85" s="5">
        <v>17591404.228188999</v>
      </c>
      <c r="AA85" s="5">
        <v>23188394.601946302</v>
      </c>
      <c r="AB85" s="5">
        <v>23954073.021611702</v>
      </c>
      <c r="AC85" s="5">
        <v>24194642.161816701</v>
      </c>
      <c r="AD85">
        <f t="shared" si="5"/>
        <v>22232128.503390927</v>
      </c>
      <c r="AE85">
        <f t="shared" si="6"/>
        <v>3123423.3053405122</v>
      </c>
      <c r="AF85">
        <f t="shared" si="7"/>
        <v>0.14049142010240342</v>
      </c>
    </row>
    <row r="86" spans="1:32" x14ac:dyDescent="0.45">
      <c r="A86" s="5" t="s">
        <v>243</v>
      </c>
      <c r="B86" s="2">
        <f t="shared" si="4"/>
        <v>8986224.1074678097</v>
      </c>
      <c r="C86" s="2">
        <v>9056878.5493052825</v>
      </c>
      <c r="D86" s="2">
        <v>8.5282740545974928E-2</v>
      </c>
      <c r="E86" s="5">
        <v>6619422.0685290303</v>
      </c>
      <c r="F86" s="5">
        <v>17652156.391325802</v>
      </c>
      <c r="G86" s="5">
        <v>4005390.3905762699</v>
      </c>
      <c r="H86" s="5">
        <v>393886.21937554999</v>
      </c>
      <c r="I86" s="5">
        <v>6351517.5383581501</v>
      </c>
      <c r="J86" s="5">
        <v>19766878.912726801</v>
      </c>
      <c r="K86" s="5">
        <v>24043418.2273832</v>
      </c>
      <c r="L86" s="5">
        <v>4768040.7451439304</v>
      </c>
      <c r="M86" s="5">
        <v>5700474.0427443599</v>
      </c>
      <c r="N86" s="5">
        <v>17335259.202745799</v>
      </c>
      <c r="O86" s="5">
        <v>656556.59051928797</v>
      </c>
      <c r="P86" s="5">
        <v>22060382.009041</v>
      </c>
      <c r="Q86" s="5">
        <v>4599132.6404216504</v>
      </c>
      <c r="R86" s="5">
        <v>2814629.5014773798</v>
      </c>
      <c r="S86" s="5">
        <v>6058822.8538895799</v>
      </c>
      <c r="T86" s="5">
        <v>1331999.3332898901</v>
      </c>
      <c r="U86" s="5">
        <v>3299700.8293176</v>
      </c>
      <c r="V86" s="5">
        <v>2622493.33631666</v>
      </c>
      <c r="W86" s="5">
        <v>15804183.763790701</v>
      </c>
      <c r="X86" s="5">
        <v>19960782.149494201</v>
      </c>
      <c r="Y86" s="5">
        <v>2865579.5103571699</v>
      </c>
      <c r="Z86" s="5">
        <v>8005055.7136846501</v>
      </c>
      <c r="AA86" s="5">
        <v>9848181.1224501692</v>
      </c>
      <c r="AB86" s="5">
        <v>9295207.2403669804</v>
      </c>
      <c r="AC86" s="5">
        <v>9079070.1207193304</v>
      </c>
      <c r="AD86">
        <f t="shared" si="5"/>
        <v>9056878.5493052825</v>
      </c>
      <c r="AE86">
        <f t="shared" si="6"/>
        <v>772395.42347680824</v>
      </c>
      <c r="AF86">
        <f t="shared" si="7"/>
        <v>8.5282740545974928E-2</v>
      </c>
    </row>
    <row r="87" spans="1:32" x14ac:dyDescent="0.45">
      <c r="A87" s="5" t="s">
        <v>187</v>
      </c>
      <c r="B87" s="2">
        <f t="shared" si="4"/>
        <v>1127364.240036295</v>
      </c>
      <c r="C87" s="7">
        <v>949640.4775990129</v>
      </c>
      <c r="D87" s="8">
        <v>0.12530581511930933</v>
      </c>
      <c r="E87" s="5">
        <v>919203.90841846506</v>
      </c>
      <c r="F87" s="5">
        <v>1384499.19867429</v>
      </c>
      <c r="G87" s="5">
        <v>481710.06988047698</v>
      </c>
      <c r="H87" s="5">
        <v>98912.409295936493</v>
      </c>
      <c r="I87" s="5">
        <v>1494975.5657683299</v>
      </c>
      <c r="J87" s="5">
        <v>2831694.8000417501</v>
      </c>
      <c r="K87" s="5">
        <v>1911327.0075135201</v>
      </c>
      <c r="L87" s="5">
        <v>727978.84732472699</v>
      </c>
      <c r="M87" s="5">
        <v>690894.90946286905</v>
      </c>
      <c r="N87" s="5">
        <v>2532865.0070905602</v>
      </c>
      <c r="O87" s="5">
        <v>119077.996713823</v>
      </c>
      <c r="P87" s="5">
        <v>3465308.7935613398</v>
      </c>
      <c r="Q87" s="5">
        <v>636980.10241451894</v>
      </c>
      <c r="R87" s="5">
        <v>359575.591996376</v>
      </c>
      <c r="S87" s="5">
        <v>481652.31943668099</v>
      </c>
      <c r="T87" s="5">
        <v>183037.946865484</v>
      </c>
      <c r="U87" s="5">
        <v>307657.03684536897</v>
      </c>
      <c r="V87" s="5">
        <v>393598.39899183402</v>
      </c>
      <c r="W87" s="5">
        <v>2505661.5851984001</v>
      </c>
      <c r="X87" s="5">
        <v>1846819.7423624699</v>
      </c>
      <c r="Y87" s="5">
        <v>301217.80290497601</v>
      </c>
      <c r="Z87" s="5">
        <v>805272.84546122502</v>
      </c>
      <c r="AA87" s="5">
        <v>920719.37000205705</v>
      </c>
      <c r="AB87" s="5">
        <v>982494.36853645998</v>
      </c>
      <c r="AC87" s="5">
        <v>1090075.32639631</v>
      </c>
      <c r="AD87">
        <f t="shared" si="5"/>
        <v>949640.4775990129</v>
      </c>
      <c r="AE87">
        <f t="shared" si="6"/>
        <v>118995.47411583453</v>
      </c>
      <c r="AF87">
        <f t="shared" si="7"/>
        <v>0.12530581511930933</v>
      </c>
    </row>
    <row r="88" spans="1:32" x14ac:dyDescent="0.45">
      <c r="A88" s="5" t="s">
        <v>244</v>
      </c>
      <c r="B88" s="2">
        <f t="shared" si="4"/>
        <v>1260785.6870892737</v>
      </c>
      <c r="C88" s="2">
        <v>1237652.9301082799</v>
      </c>
      <c r="D88" s="2">
        <v>7.7402366169315506E-2</v>
      </c>
      <c r="E88" s="5">
        <v>1494379.8665628601</v>
      </c>
      <c r="F88" s="5">
        <v>1051930.3277714299</v>
      </c>
      <c r="G88" s="5">
        <v>857872.362637755</v>
      </c>
      <c r="H88" s="5">
        <v>1309967.32847727</v>
      </c>
      <c r="I88" s="5">
        <v>1214201.01436446</v>
      </c>
      <c r="J88" s="5">
        <v>834038.12533563899</v>
      </c>
      <c r="K88" s="5">
        <v>1037665.2269851801</v>
      </c>
      <c r="L88" s="5">
        <v>1163361.4894151699</v>
      </c>
      <c r="M88" s="5">
        <v>1634475.1105998999</v>
      </c>
      <c r="N88" s="5">
        <v>1184349.20774403</v>
      </c>
      <c r="O88" s="5">
        <v>1746434.4321129499</v>
      </c>
      <c r="P88" s="5">
        <v>1362266.1813355</v>
      </c>
      <c r="Q88" s="5">
        <v>2084368.4990006101</v>
      </c>
      <c r="R88" s="5">
        <v>1192418.2894444801</v>
      </c>
      <c r="S88" s="5">
        <v>996070.97425867303</v>
      </c>
      <c r="T88" s="5">
        <v>1173403.11661721</v>
      </c>
      <c r="U88" s="5">
        <v>1338848.5576426301</v>
      </c>
      <c r="V88" s="5">
        <v>1569701.9688629501</v>
      </c>
      <c r="W88" s="5">
        <v>916002.05039281596</v>
      </c>
      <c r="X88" s="5">
        <v>932333.08287550998</v>
      </c>
      <c r="Y88" s="5">
        <v>1382412.21643772</v>
      </c>
      <c r="Z88" s="5">
        <v>1099808.4046084201</v>
      </c>
      <c r="AA88" s="5">
        <v>1303894.7010055401</v>
      </c>
      <c r="AB88" s="5">
        <v>1245358.1737428</v>
      </c>
      <c r="AC88" s="5">
        <v>1301550.4410763599</v>
      </c>
      <c r="AD88">
        <f t="shared" si="5"/>
        <v>1237652.9301082799</v>
      </c>
      <c r="AE88">
        <f t="shared" si="6"/>
        <v>95797.265286767331</v>
      </c>
      <c r="AF88">
        <f t="shared" si="7"/>
        <v>7.7402366169315506E-2</v>
      </c>
    </row>
    <row r="89" spans="1:32" x14ac:dyDescent="0.45">
      <c r="A89" s="5" t="s">
        <v>188</v>
      </c>
      <c r="B89" s="2">
        <f t="shared" si="4"/>
        <v>1350373.6045445339</v>
      </c>
      <c r="C89" s="2">
        <v>588248.38765488425</v>
      </c>
      <c r="D89" s="2">
        <v>9.6809986634030717E-2</v>
      </c>
      <c r="E89" s="5">
        <v>1385193.87116565</v>
      </c>
      <c r="F89" s="5">
        <v>334303.75661983801</v>
      </c>
      <c r="G89" s="5">
        <v>1419647.0548840701</v>
      </c>
      <c r="H89" s="5">
        <v>1829928.1874539701</v>
      </c>
      <c r="I89" s="5">
        <v>1756738.85594148</v>
      </c>
      <c r="J89" s="5">
        <v>318378.54771742201</v>
      </c>
      <c r="K89" s="5">
        <v>402615.968067993</v>
      </c>
      <c r="L89" s="5">
        <v>1524623.34208011</v>
      </c>
      <c r="M89" s="5">
        <v>1819330.15434068</v>
      </c>
      <c r="N89" s="5">
        <v>249097.178302674</v>
      </c>
      <c r="O89" s="5">
        <v>2219127.8592215199</v>
      </c>
      <c r="P89" s="5">
        <v>261609.39849509401</v>
      </c>
      <c r="Q89" s="5">
        <v>2021507.19572955</v>
      </c>
      <c r="R89" s="5">
        <v>2579135.5716133402</v>
      </c>
      <c r="S89" s="5">
        <v>1896129.00384226</v>
      </c>
      <c r="T89" s="5">
        <v>1837433.0350155099</v>
      </c>
      <c r="U89" s="5">
        <v>1978523.26411844</v>
      </c>
      <c r="V89" s="5">
        <v>1666874.31918689</v>
      </c>
      <c r="W89" s="5">
        <v>312486.63955499697</v>
      </c>
      <c r="X89" s="5">
        <v>320940.25823765498</v>
      </c>
      <c r="Y89" s="5">
        <v>2224222.2338460698</v>
      </c>
      <c r="Z89" s="5">
        <v>520627.487766515</v>
      </c>
      <c r="AA89" s="5">
        <v>572711.78379278805</v>
      </c>
      <c r="AB89" s="5">
        <v>656825.06148244499</v>
      </c>
      <c r="AC89" s="5">
        <v>602829.21757778898</v>
      </c>
      <c r="AD89">
        <f t="shared" si="5"/>
        <v>588248.38765488425</v>
      </c>
      <c r="AE89">
        <f t="shared" si="6"/>
        <v>56948.318546359464</v>
      </c>
      <c r="AF89">
        <f t="shared" si="7"/>
        <v>9.6809986634030717E-2</v>
      </c>
    </row>
    <row r="90" spans="1:32" x14ac:dyDescent="0.45">
      <c r="A90" s="5" t="s">
        <v>189</v>
      </c>
      <c r="B90" s="2">
        <f t="shared" si="4"/>
        <v>476830.7071030782</v>
      </c>
      <c r="C90" s="2">
        <v>539858.26505031879</v>
      </c>
      <c r="D90" s="2">
        <v>6.3871845293231005E-2</v>
      </c>
      <c r="E90" s="5">
        <v>568992.24010306795</v>
      </c>
      <c r="F90" s="5">
        <v>468292.73975040199</v>
      </c>
      <c r="G90" s="5">
        <v>368494.77976786101</v>
      </c>
      <c r="H90" s="5">
        <v>378832.24189732602</v>
      </c>
      <c r="I90" s="5">
        <v>450852.24085912498</v>
      </c>
      <c r="J90" s="5">
        <v>626005.05285700201</v>
      </c>
      <c r="K90" s="5">
        <v>593834.958291132</v>
      </c>
      <c r="L90" s="5">
        <v>420210.84947941802</v>
      </c>
      <c r="M90" s="5">
        <v>472883.15319241502</v>
      </c>
      <c r="N90" s="5">
        <v>717395.390109887</v>
      </c>
      <c r="O90" s="5">
        <v>402637.87289224402</v>
      </c>
      <c r="P90" s="5">
        <v>629618.81542855804</v>
      </c>
      <c r="Q90" s="5">
        <v>430798.47806792799</v>
      </c>
      <c r="R90" s="5">
        <v>417830.15599505597</v>
      </c>
      <c r="S90" s="5">
        <v>399651.111803754</v>
      </c>
      <c r="T90" s="5">
        <v>357849.27350168303</v>
      </c>
      <c r="U90" s="5">
        <v>381585.11236324802</v>
      </c>
      <c r="V90" s="5">
        <v>490398.92904676002</v>
      </c>
      <c r="W90" s="5">
        <v>570722.493769711</v>
      </c>
      <c r="X90" s="5">
        <v>500873.86772919702</v>
      </c>
      <c r="Y90" s="5">
        <v>365685.09225886798</v>
      </c>
      <c r="Z90" s="5">
        <v>493566.448301622</v>
      </c>
      <c r="AA90" s="5">
        <v>535281.32088806003</v>
      </c>
      <c r="AB90" s="5">
        <v>572684.39049716503</v>
      </c>
      <c r="AC90" s="5">
        <v>557900.90051442804</v>
      </c>
      <c r="AD90">
        <f t="shared" si="5"/>
        <v>539858.26505031879</v>
      </c>
      <c r="AE90">
        <f t="shared" si="6"/>
        <v>34481.743585566059</v>
      </c>
      <c r="AF90">
        <f t="shared" si="7"/>
        <v>6.3871845293231005E-2</v>
      </c>
    </row>
    <row r="91" spans="1:32" x14ac:dyDescent="0.45">
      <c r="A91" s="5" t="s">
        <v>127</v>
      </c>
      <c r="B91" s="2">
        <f t="shared" si="4"/>
        <v>4702466.7044646274</v>
      </c>
      <c r="C91" s="2">
        <v>4655041.3838835778</v>
      </c>
      <c r="D91" s="2">
        <v>4.6682185258407116E-2</v>
      </c>
      <c r="E91" s="5">
        <v>3362034.7812791299</v>
      </c>
      <c r="F91" s="5">
        <v>4669205.07099659</v>
      </c>
      <c r="G91" s="5">
        <v>3733525.7446808098</v>
      </c>
      <c r="H91" s="5">
        <v>1930582.69775335</v>
      </c>
      <c r="I91" s="5">
        <v>9435111.8231936507</v>
      </c>
      <c r="J91" s="5">
        <v>5346339.1150909904</v>
      </c>
      <c r="K91" s="5">
        <v>14083705.3720043</v>
      </c>
      <c r="L91" s="5">
        <v>4794211.7986894101</v>
      </c>
      <c r="M91" s="5">
        <v>3329267.0575870802</v>
      </c>
      <c r="N91" s="5">
        <v>5302732.2026733002</v>
      </c>
      <c r="O91" s="5">
        <v>1767886.5410249999</v>
      </c>
      <c r="P91" s="5">
        <v>5623701.7506181002</v>
      </c>
      <c r="Q91" s="5">
        <v>6715394.6623627404</v>
      </c>
      <c r="R91" s="5">
        <v>3552833.5105236601</v>
      </c>
      <c r="S91" s="5">
        <v>3926588.2822042601</v>
      </c>
      <c r="T91" s="5">
        <v>1343609.6947138601</v>
      </c>
      <c r="U91" s="5">
        <v>2464428.15357967</v>
      </c>
      <c r="V91" s="5">
        <v>1690582.7830118199</v>
      </c>
      <c r="W91" s="5">
        <v>8959981.4796482008</v>
      </c>
      <c r="X91" s="5">
        <v>4172688.3765176302</v>
      </c>
      <c r="Y91" s="5">
        <v>2547389.89560364</v>
      </c>
      <c r="Z91" s="5">
        <v>4376722.5762785599</v>
      </c>
      <c r="AA91" s="5">
        <v>4591784.5523788501</v>
      </c>
      <c r="AB91" s="5">
        <v>4856389.8825723901</v>
      </c>
      <c r="AC91" s="5">
        <v>4795268.5243045101</v>
      </c>
      <c r="AD91">
        <f t="shared" si="5"/>
        <v>4655041.3838835778</v>
      </c>
      <c r="AE91">
        <f t="shared" si="6"/>
        <v>217307.50426800502</v>
      </c>
      <c r="AF91">
        <f t="shared" si="7"/>
        <v>4.6682185258407116E-2</v>
      </c>
    </row>
    <row r="92" spans="1:32" x14ac:dyDescent="0.45">
      <c r="A92" s="5" t="s">
        <v>190</v>
      </c>
      <c r="B92" s="2">
        <f t="shared" si="4"/>
        <v>318172.24434509838</v>
      </c>
      <c r="C92" s="7">
        <v>234388.1390739425</v>
      </c>
      <c r="D92" s="8">
        <v>0.10356601870681761</v>
      </c>
      <c r="E92" s="5">
        <v>419767.92292589799</v>
      </c>
      <c r="F92" s="5">
        <v>120239.141567901</v>
      </c>
      <c r="G92" s="5">
        <v>321022.689893712</v>
      </c>
      <c r="H92" s="5">
        <v>315111.32702122099</v>
      </c>
      <c r="I92" s="5">
        <v>496224.19184393901</v>
      </c>
      <c r="J92" s="5">
        <v>168047.00740566899</v>
      </c>
      <c r="K92" s="5">
        <v>49080.088485075197</v>
      </c>
      <c r="L92" s="5">
        <v>588369.11460109404</v>
      </c>
      <c r="M92" s="5">
        <v>408770.06534123502</v>
      </c>
      <c r="N92" s="5">
        <v>109160.84231993101</v>
      </c>
      <c r="O92" s="5">
        <v>367185.15263079503</v>
      </c>
      <c r="P92" s="5">
        <v>132555.49371885799</v>
      </c>
      <c r="Q92" s="5">
        <v>339122.56209298701</v>
      </c>
      <c r="R92" s="5">
        <v>358735.11086725799</v>
      </c>
      <c r="S92" s="5">
        <v>499636.99983679102</v>
      </c>
      <c r="T92" s="5">
        <v>379988.11668481701</v>
      </c>
      <c r="U92" s="5">
        <v>367558.04374745901</v>
      </c>
      <c r="V92" s="5">
        <v>493814.77642348298</v>
      </c>
      <c r="W92" s="5">
        <v>237268.76287079099</v>
      </c>
      <c r="X92" s="5">
        <v>123919.923508376</v>
      </c>
      <c r="Y92" s="5">
        <v>386039.79745977599</v>
      </c>
      <c r="Z92" s="5">
        <v>211818.87985778201</v>
      </c>
      <c r="AA92" s="5">
        <v>265049.41067182802</v>
      </c>
      <c r="AB92" s="5">
        <v>242290.982266854</v>
      </c>
      <c r="AC92" s="5">
        <v>218393.28349930601</v>
      </c>
      <c r="AD92">
        <f t="shared" si="5"/>
        <v>234388.1390739425</v>
      </c>
      <c r="AE92">
        <f t="shared" si="6"/>
        <v>24274.646395988097</v>
      </c>
      <c r="AF92">
        <f t="shared" si="7"/>
        <v>0.10356601870681761</v>
      </c>
    </row>
    <row r="93" spans="1:32" x14ac:dyDescent="0.45">
      <c r="A93" s="5" t="s">
        <v>191</v>
      </c>
      <c r="B93" s="2">
        <f t="shared" si="4"/>
        <v>87178681.295537308</v>
      </c>
      <c r="C93" s="7">
        <v>79435743.058595076</v>
      </c>
      <c r="D93" s="8">
        <v>0.11182368082724214</v>
      </c>
      <c r="E93" s="5">
        <v>86622151.871775806</v>
      </c>
      <c r="F93" s="5">
        <v>70279889.883359194</v>
      </c>
      <c r="G93" s="5">
        <v>110031302.427724</v>
      </c>
      <c r="H93" s="5">
        <v>115919186.537802</v>
      </c>
      <c r="I93" s="5">
        <v>103630550.343345</v>
      </c>
      <c r="J93" s="5">
        <v>72349049.328518003</v>
      </c>
      <c r="K93" s="5">
        <v>70445878.654438004</v>
      </c>
      <c r="L93" s="5">
        <v>50289229.433644801</v>
      </c>
      <c r="M93" s="5">
        <v>90142332.902020499</v>
      </c>
      <c r="N93" s="5">
        <v>65941064.042206898</v>
      </c>
      <c r="O93" s="5">
        <v>115585050.76773199</v>
      </c>
      <c r="P93" s="5">
        <v>71283435.710921898</v>
      </c>
      <c r="Q93" s="5">
        <v>126862767.70782299</v>
      </c>
      <c r="R93" s="5">
        <v>104732202.694103</v>
      </c>
      <c r="S93" s="5">
        <v>72162978.235684097</v>
      </c>
      <c r="T93" s="5">
        <v>108275050.33913399</v>
      </c>
      <c r="U93" s="5">
        <v>92616555.965724602</v>
      </c>
      <c r="V93" s="5">
        <v>95290773.406798095</v>
      </c>
      <c r="W93" s="5">
        <v>76064931.228222907</v>
      </c>
      <c r="X93" s="5">
        <v>74216204.225421593</v>
      </c>
      <c r="Y93" s="5">
        <v>58011721.499884002</v>
      </c>
      <c r="Z93" s="5">
        <v>68109158.038992107</v>
      </c>
      <c r="AA93" s="5">
        <v>79163803.768667996</v>
      </c>
      <c r="AB93" s="5">
        <v>80702682.693033099</v>
      </c>
      <c r="AC93" s="5">
        <v>89767327.733687103</v>
      </c>
      <c r="AD93">
        <f t="shared" si="5"/>
        <v>79435743.058595076</v>
      </c>
      <c r="AE93">
        <f t="shared" si="6"/>
        <v>8882797.1780591514</v>
      </c>
      <c r="AF93">
        <f t="shared" si="7"/>
        <v>0.11182368082724214</v>
      </c>
    </row>
    <row r="94" spans="1:32" x14ac:dyDescent="0.45">
      <c r="A94" s="5" t="s">
        <v>68</v>
      </c>
      <c r="B94" s="2">
        <f t="shared" si="4"/>
        <v>1580969.934675402</v>
      </c>
      <c r="C94" s="7">
        <v>1207453.0165297275</v>
      </c>
      <c r="D94" s="8">
        <v>0.11500064246467828</v>
      </c>
      <c r="E94" s="5">
        <v>1594664.5490794899</v>
      </c>
      <c r="F94" s="5">
        <v>608528.30301383499</v>
      </c>
      <c r="G94" s="5">
        <v>2374283.1712965998</v>
      </c>
      <c r="H94" s="5">
        <v>3494157.3414876699</v>
      </c>
      <c r="I94" s="5">
        <v>1397291.9170474301</v>
      </c>
      <c r="J94" s="5">
        <v>469023.16082838998</v>
      </c>
      <c r="K94" s="5">
        <v>297308.19615574699</v>
      </c>
      <c r="L94" s="5">
        <v>1948640.7947893599</v>
      </c>
      <c r="M94" s="5">
        <v>1487591.4908204</v>
      </c>
      <c r="N94" s="5">
        <v>336051.17100826802</v>
      </c>
      <c r="O94" s="5">
        <v>1479663.91448355</v>
      </c>
      <c r="P94" s="5">
        <v>409765.20054490701</v>
      </c>
      <c r="Q94" s="5">
        <v>3433274.88577807</v>
      </c>
      <c r="R94" s="5">
        <v>1429048.8034305</v>
      </c>
      <c r="S94" s="5">
        <v>2105852.8211667701</v>
      </c>
      <c r="T94" s="5">
        <v>1688304.35144986</v>
      </c>
      <c r="U94" s="5">
        <v>3045700.32616936</v>
      </c>
      <c r="V94" s="5">
        <v>1730189.7871892001</v>
      </c>
      <c r="W94" s="5">
        <v>689448.74836031999</v>
      </c>
      <c r="X94" s="5">
        <v>412259.05294355698</v>
      </c>
      <c r="Y94" s="5">
        <v>2769320.6411401602</v>
      </c>
      <c r="Z94" s="5">
        <v>1036656.48586887</v>
      </c>
      <c r="AA94" s="5">
        <v>1163783.1515885801</v>
      </c>
      <c r="AB94" s="5">
        <v>1271280.58694792</v>
      </c>
      <c r="AC94" s="5">
        <v>1358091.84171354</v>
      </c>
      <c r="AD94">
        <f t="shared" si="5"/>
        <v>1207453.0165297275</v>
      </c>
      <c r="AE94">
        <f t="shared" si="6"/>
        <v>138857.87264683246</v>
      </c>
      <c r="AF94">
        <f t="shared" si="7"/>
        <v>0.11500064246467828</v>
      </c>
    </row>
    <row r="95" spans="1:32" x14ac:dyDescent="0.45">
      <c r="A95" s="5" t="s">
        <v>245</v>
      </c>
      <c r="B95" s="2">
        <f t="shared" si="4"/>
        <v>180182838.93259111</v>
      </c>
      <c r="C95" s="2">
        <v>156618479.44295976</v>
      </c>
      <c r="D95" s="2">
        <v>0.10598436615509807</v>
      </c>
      <c r="E95" s="5">
        <v>185024153.96035099</v>
      </c>
      <c r="F95" s="5">
        <v>81667097.668015793</v>
      </c>
      <c r="G95" s="5">
        <v>344510107.85977399</v>
      </c>
      <c r="H95" s="5">
        <v>200178276.757844</v>
      </c>
      <c r="I95" s="5">
        <v>211926197.706705</v>
      </c>
      <c r="J95" s="5">
        <v>73658110.101836503</v>
      </c>
      <c r="K95" s="5">
        <v>58673223.379810601</v>
      </c>
      <c r="L95" s="5">
        <v>125805519.891976</v>
      </c>
      <c r="M95" s="5">
        <v>161622733.767923</v>
      </c>
      <c r="N95" s="5">
        <v>89878968.426489204</v>
      </c>
      <c r="O95" s="5">
        <v>228707032.048704</v>
      </c>
      <c r="P95" s="5">
        <v>73597853.6561867</v>
      </c>
      <c r="Q95" s="5">
        <v>151857912.52552399</v>
      </c>
      <c r="R95" s="5">
        <v>546522366.51409197</v>
      </c>
      <c r="S95" s="5">
        <v>301128613.25789601</v>
      </c>
      <c r="T95" s="5">
        <v>168998894.884561</v>
      </c>
      <c r="U95" s="5">
        <v>177368267.09210399</v>
      </c>
      <c r="V95" s="5">
        <v>167211691.87070599</v>
      </c>
      <c r="W95" s="5">
        <v>79853608.566136405</v>
      </c>
      <c r="X95" s="5">
        <v>78817751.2508775</v>
      </c>
      <c r="Y95" s="5">
        <v>276831236.39690101</v>
      </c>
      <c r="Z95" s="5">
        <v>132209436.78883</v>
      </c>
      <c r="AA95" s="5">
        <v>160179783.64896801</v>
      </c>
      <c r="AB95" s="5">
        <v>167672045.14958501</v>
      </c>
      <c r="AC95" s="5">
        <v>166412652.18445599</v>
      </c>
      <c r="AD95">
        <f t="shared" si="5"/>
        <v>156618479.44295976</v>
      </c>
      <c r="AE95">
        <f t="shared" si="6"/>
        <v>16599110.271937346</v>
      </c>
      <c r="AF95">
        <f t="shared" si="7"/>
        <v>0.10598436615509807</v>
      </c>
    </row>
    <row r="96" spans="1:32" x14ac:dyDescent="0.45">
      <c r="A96" s="5" t="s">
        <v>246</v>
      </c>
      <c r="B96" s="2">
        <f t="shared" si="4"/>
        <v>6051750.7028174419</v>
      </c>
      <c r="C96" s="2">
        <v>5354335.41320292</v>
      </c>
      <c r="D96" s="2">
        <v>0.10873183811084357</v>
      </c>
      <c r="E96" s="5">
        <v>6651853.9481990403</v>
      </c>
      <c r="F96" s="5">
        <v>4788549.6917871404</v>
      </c>
      <c r="G96" s="5">
        <v>5345117.9668540796</v>
      </c>
      <c r="H96" s="5">
        <v>7899641.7034245199</v>
      </c>
      <c r="I96" s="5">
        <v>4756139.9572647698</v>
      </c>
      <c r="J96" s="5">
        <v>4718631.8605755996</v>
      </c>
      <c r="K96" s="5">
        <v>4393738.1532424903</v>
      </c>
      <c r="L96" s="5">
        <v>7971465.0558604598</v>
      </c>
      <c r="M96" s="5">
        <v>5241633.9982048804</v>
      </c>
      <c r="N96" s="5">
        <v>3788996.3435573699</v>
      </c>
      <c r="O96" s="5">
        <v>5826357.1478782799</v>
      </c>
      <c r="P96" s="5">
        <v>5226835.4600661397</v>
      </c>
      <c r="Q96" s="5">
        <v>11669786.082141099</v>
      </c>
      <c r="R96" s="5">
        <v>6171363.5354035096</v>
      </c>
      <c r="S96" s="5">
        <v>7487981.6607117001</v>
      </c>
      <c r="T96" s="5">
        <v>4749091.74448861</v>
      </c>
      <c r="U96" s="5">
        <v>6196593.3439950701</v>
      </c>
      <c r="V96" s="5">
        <v>6538767.9611967104</v>
      </c>
      <c r="W96" s="5">
        <v>6749290.9389384398</v>
      </c>
      <c r="X96" s="5">
        <v>3830222.52430525</v>
      </c>
      <c r="Y96" s="5">
        <v>7084705.6810711101</v>
      </c>
      <c r="Z96" s="5">
        <v>4497436.2016449803</v>
      </c>
      <c r="AA96" s="5">
        <v>5620789.5066107698</v>
      </c>
      <c r="AB96" s="5">
        <v>5513107.5985016599</v>
      </c>
      <c r="AC96" s="5">
        <v>5786008.3460542699</v>
      </c>
      <c r="AD96">
        <f t="shared" si="5"/>
        <v>5354335.41320292</v>
      </c>
      <c r="AE96">
        <f t="shared" si="6"/>
        <v>582186.73133953661</v>
      </c>
      <c r="AF96">
        <f t="shared" si="7"/>
        <v>0.10873183811084357</v>
      </c>
    </row>
    <row r="97" spans="1:32" x14ac:dyDescent="0.45">
      <c r="A97" s="5" t="s">
        <v>192</v>
      </c>
      <c r="B97" s="2">
        <f t="shared" si="4"/>
        <v>312949086.47161347</v>
      </c>
      <c r="C97" s="8">
        <v>253099847.43670028</v>
      </c>
      <c r="D97" s="8">
        <v>3.3463948927151856E-2</v>
      </c>
      <c r="E97" s="5">
        <v>321700834.66317803</v>
      </c>
      <c r="F97" s="5">
        <v>217405766.55799201</v>
      </c>
      <c r="G97" s="5">
        <v>164966588.3001</v>
      </c>
      <c r="H97" s="5">
        <v>325697329.43559098</v>
      </c>
      <c r="I97" s="5">
        <v>22997993.8499569</v>
      </c>
      <c r="J97" s="5">
        <v>106238388.506237</v>
      </c>
      <c r="K97" s="5">
        <v>378057564.92404401</v>
      </c>
      <c r="L97" s="5">
        <v>101018688.96462899</v>
      </c>
      <c r="M97" s="5">
        <v>497501604.22643203</v>
      </c>
      <c r="N97" s="5">
        <v>108683258.96886501</v>
      </c>
      <c r="O97" s="5">
        <v>500290139.63063502</v>
      </c>
      <c r="P97" s="5">
        <v>259227732.60916001</v>
      </c>
      <c r="Q97" s="5">
        <v>528990212.19806498</v>
      </c>
      <c r="R97" s="5">
        <v>331114307.37273502</v>
      </c>
      <c r="S97" s="5">
        <v>361342979.687594</v>
      </c>
      <c r="T97" s="5">
        <v>511122422.223795</v>
      </c>
      <c r="U97" s="5">
        <v>532340088.61013198</v>
      </c>
      <c r="V97" s="5">
        <v>356753398.06201601</v>
      </c>
      <c r="W97" s="5">
        <v>101928363.207715</v>
      </c>
      <c r="X97" s="5">
        <v>317901302.123698</v>
      </c>
      <c r="Y97" s="5">
        <v>526651851.781313</v>
      </c>
      <c r="Z97" s="5">
        <v>244463741.433644</v>
      </c>
      <c r="AA97" s="5">
        <v>263933420.24858001</v>
      </c>
      <c r="AB97" s="5">
        <v>255229537.206745</v>
      </c>
      <c r="AC97" s="5">
        <v>248772690.85783201</v>
      </c>
      <c r="AD97">
        <f t="shared" si="5"/>
        <v>253099847.43670028</v>
      </c>
      <c r="AE97">
        <f t="shared" si="6"/>
        <v>8469720.3680916652</v>
      </c>
      <c r="AF97">
        <f t="shared" si="7"/>
        <v>3.3463948927151856E-2</v>
      </c>
    </row>
    <row r="98" spans="1:32" x14ac:dyDescent="0.45">
      <c r="A98" s="5" t="s">
        <v>193</v>
      </c>
      <c r="B98" s="2">
        <f t="shared" si="4"/>
        <v>84906930.399287701</v>
      </c>
      <c r="C98" s="7">
        <v>70399588.614648595</v>
      </c>
      <c r="D98" s="7">
        <v>4.4955333841774775E-2</v>
      </c>
      <c r="E98" s="5">
        <v>14606046.1819236</v>
      </c>
      <c r="F98" s="5">
        <v>124525492.45853101</v>
      </c>
      <c r="G98" s="5">
        <v>13320347.168955499</v>
      </c>
      <c r="H98" s="5">
        <v>11827196.7527612</v>
      </c>
      <c r="I98" s="5">
        <v>11757831.178488201</v>
      </c>
      <c r="J98" s="5">
        <v>225788962.850375</v>
      </c>
      <c r="K98" s="5">
        <v>416636433.86190999</v>
      </c>
      <c r="L98" s="5">
        <v>14474669.9438102</v>
      </c>
      <c r="M98" s="5">
        <v>18785603.092139199</v>
      </c>
      <c r="N98" s="5">
        <v>198095872.42234701</v>
      </c>
      <c r="O98" s="5">
        <v>13471490.373016</v>
      </c>
      <c r="P98" s="5">
        <v>284355373.53649098</v>
      </c>
      <c r="Q98" s="5">
        <v>17184018.1401827</v>
      </c>
      <c r="R98" s="5">
        <v>10847406.9834137</v>
      </c>
      <c r="S98" s="5">
        <v>12088911.171097999</v>
      </c>
      <c r="T98" s="5">
        <v>11086184.398003699</v>
      </c>
      <c r="U98" s="5">
        <v>20639207.191456102</v>
      </c>
      <c r="V98" s="5">
        <v>17189516.388297498</v>
      </c>
      <c r="W98" s="5">
        <v>142285947.13528401</v>
      </c>
      <c r="X98" s="5">
        <v>189412632.24214199</v>
      </c>
      <c r="Y98" s="5">
        <v>14666394.914415799</v>
      </c>
      <c r="Z98" s="5">
        <v>70603110.758875802</v>
      </c>
      <c r="AA98" s="5">
        <v>72492422.410595</v>
      </c>
      <c r="AB98" s="5">
        <v>72641881.114009202</v>
      </c>
      <c r="AC98" s="5">
        <v>65860940.175114401</v>
      </c>
      <c r="AD98">
        <f t="shared" si="5"/>
        <v>70399588.614648595</v>
      </c>
      <c r="AE98">
        <f t="shared" si="6"/>
        <v>3164837.0084951343</v>
      </c>
      <c r="AF98">
        <f t="shared" si="7"/>
        <v>4.4955333841774775E-2</v>
      </c>
    </row>
    <row r="99" spans="1:32" x14ac:dyDescent="0.45">
      <c r="A99" s="5" t="s">
        <v>69</v>
      </c>
      <c r="B99" s="2">
        <f t="shared" si="4"/>
        <v>187217786.69782376</v>
      </c>
      <c r="C99" s="8">
        <v>158162073.22973651</v>
      </c>
      <c r="D99" s="8">
        <v>8.4154383562397836E-2</v>
      </c>
      <c r="E99" s="5">
        <v>250263587.08652899</v>
      </c>
      <c r="F99" s="5">
        <v>129195333.545002</v>
      </c>
      <c r="G99" s="5">
        <v>152975823.95076799</v>
      </c>
      <c r="H99" s="5">
        <v>274871318.80082399</v>
      </c>
      <c r="I99" s="5">
        <v>205195114.74162501</v>
      </c>
      <c r="J99" s="5">
        <v>118950202.33810399</v>
      </c>
      <c r="K99" s="5">
        <v>129244381.67817301</v>
      </c>
      <c r="L99" s="5">
        <v>236023693.689677</v>
      </c>
      <c r="M99" s="5">
        <v>242872853.90743601</v>
      </c>
      <c r="N99" s="5">
        <v>124504611.956027</v>
      </c>
      <c r="O99" s="5">
        <v>225586902.33297399</v>
      </c>
      <c r="P99" s="5">
        <v>125656877.086394</v>
      </c>
      <c r="Q99" s="5">
        <v>244582677.72418499</v>
      </c>
      <c r="R99" s="5">
        <v>145917444.24277401</v>
      </c>
      <c r="S99" s="5">
        <v>209789411.463552</v>
      </c>
      <c r="T99" s="5">
        <v>226231859.38369799</v>
      </c>
      <c r="U99" s="5">
        <v>214966220.640827</v>
      </c>
      <c r="V99" s="5">
        <v>205341735.90308601</v>
      </c>
      <c r="W99" s="5">
        <v>137818144.269474</v>
      </c>
      <c r="X99" s="5">
        <v>126806759.628114</v>
      </c>
      <c r="Y99" s="5">
        <v>204778566.28505501</v>
      </c>
      <c r="Z99" s="5">
        <v>175750584.63446301</v>
      </c>
      <c r="AA99" s="5">
        <v>160739451.23201701</v>
      </c>
      <c r="AB99" s="5">
        <v>150542934.42501399</v>
      </c>
      <c r="AC99" s="5">
        <v>145615322.62745199</v>
      </c>
      <c r="AD99">
        <f t="shared" si="5"/>
        <v>158162073.22973651</v>
      </c>
      <c r="AE99">
        <f t="shared" si="6"/>
        <v>13310031.775599301</v>
      </c>
      <c r="AF99">
        <f t="shared" si="7"/>
        <v>8.4154383562397836E-2</v>
      </c>
    </row>
    <row r="100" spans="1:32" x14ac:dyDescent="0.45">
      <c r="A100" s="5" t="s">
        <v>70</v>
      </c>
      <c r="B100" s="2">
        <f t="shared" si="4"/>
        <v>13395274.350579154</v>
      </c>
      <c r="C100" s="7">
        <v>10905474.0936676</v>
      </c>
      <c r="D100" s="7">
        <v>4.2177285632607642E-2</v>
      </c>
      <c r="E100" s="5">
        <v>19183845.495694499</v>
      </c>
      <c r="F100" s="5">
        <v>10299031.1740708</v>
      </c>
      <c r="G100" s="5">
        <v>10836790.6138165</v>
      </c>
      <c r="H100" s="5">
        <v>13387368.396143399</v>
      </c>
      <c r="I100" s="5">
        <v>11127587.239047199</v>
      </c>
      <c r="J100" s="5">
        <v>8162947.9409190901</v>
      </c>
      <c r="K100" s="5">
        <v>11959790.756127801</v>
      </c>
      <c r="L100" s="5">
        <v>16157875.0622056</v>
      </c>
      <c r="M100" s="5">
        <v>15699274.198818</v>
      </c>
      <c r="N100" s="5">
        <v>12569263.6269526</v>
      </c>
      <c r="O100" s="5">
        <v>15366207.3840292</v>
      </c>
      <c r="P100" s="5">
        <v>9814612.2659613602</v>
      </c>
      <c r="Q100" s="5">
        <v>15149808.4403506</v>
      </c>
      <c r="R100" s="5">
        <v>8863978.7782937996</v>
      </c>
      <c r="S100" s="5">
        <v>13428033.2699033</v>
      </c>
      <c r="T100" s="5">
        <v>18520207.093179401</v>
      </c>
      <c r="U100" s="5">
        <v>17356376.089666501</v>
      </c>
      <c r="V100" s="5">
        <v>13556801.662232401</v>
      </c>
      <c r="W100" s="5">
        <v>10728381.161259299</v>
      </c>
      <c r="X100" s="5">
        <v>11540052.3698896</v>
      </c>
      <c r="Y100" s="5">
        <v>17592528.343601301</v>
      </c>
      <c r="Z100" s="5">
        <v>11494488.6376159</v>
      </c>
      <c r="AA100" s="5">
        <v>10604264.5306862</v>
      </c>
      <c r="AB100" s="5">
        <v>11040513.8132581</v>
      </c>
      <c r="AC100" s="5">
        <v>10482629.393110201</v>
      </c>
      <c r="AD100">
        <f t="shared" si="5"/>
        <v>10905474.0936676</v>
      </c>
      <c r="AE100">
        <f t="shared" si="6"/>
        <v>459963.29580762133</v>
      </c>
      <c r="AF100">
        <f t="shared" si="7"/>
        <v>4.2177285632607642E-2</v>
      </c>
    </row>
    <row r="101" spans="1:32" x14ac:dyDescent="0.45">
      <c r="A101" s="5" t="s">
        <v>128</v>
      </c>
      <c r="B101" s="2">
        <f t="shared" si="4"/>
        <v>210913354.53539604</v>
      </c>
      <c r="C101" s="2">
        <v>195961106.301882</v>
      </c>
      <c r="D101" s="2">
        <v>4.4505541664988199E-2</v>
      </c>
      <c r="E101" s="5">
        <v>195686915.655294</v>
      </c>
      <c r="F101" s="5">
        <v>187844863.294209</v>
      </c>
      <c r="G101" s="5">
        <v>253396984.09752801</v>
      </c>
      <c r="H101" s="5">
        <v>199526570.506782</v>
      </c>
      <c r="I101" s="5">
        <v>227684701.40568399</v>
      </c>
      <c r="J101" s="5">
        <v>240870136.47961399</v>
      </c>
      <c r="K101" s="5">
        <v>197850796.65055701</v>
      </c>
      <c r="L101" s="5">
        <v>290744009.18362403</v>
      </c>
      <c r="M101" s="5">
        <v>200295702.19892099</v>
      </c>
      <c r="N101" s="5">
        <v>286015064.80176902</v>
      </c>
      <c r="O101" s="5">
        <v>146597204.24228299</v>
      </c>
      <c r="P101" s="5">
        <v>193158988.282258</v>
      </c>
      <c r="Q101" s="5">
        <v>151898164.63314301</v>
      </c>
      <c r="R101" s="5">
        <v>258627688.01371399</v>
      </c>
      <c r="S101" s="5">
        <v>275148955.49863499</v>
      </c>
      <c r="T101" s="5">
        <v>172030939.153074</v>
      </c>
      <c r="U101" s="5">
        <v>196331658.45153299</v>
      </c>
      <c r="V101" s="5">
        <v>115475987.17897899</v>
      </c>
      <c r="W101" s="5">
        <v>255446711.35765699</v>
      </c>
      <c r="X101" s="5">
        <v>193809905.216708</v>
      </c>
      <c r="Y101" s="5">
        <v>190738498.941351</v>
      </c>
      <c r="Z101" s="5">
        <v>185020785.16516</v>
      </c>
      <c r="AA101" s="5">
        <v>192891241.947788</v>
      </c>
      <c r="AB101" s="5">
        <v>203647655.62005001</v>
      </c>
      <c r="AC101" s="5">
        <v>202284742.47453001</v>
      </c>
      <c r="AD101">
        <f t="shared" si="5"/>
        <v>195961106.301882</v>
      </c>
      <c r="AE101">
        <f t="shared" si="6"/>
        <v>8721355.1812355909</v>
      </c>
      <c r="AF101">
        <f t="shared" si="7"/>
        <v>4.4505541664988199E-2</v>
      </c>
    </row>
    <row r="102" spans="1:32" x14ac:dyDescent="0.45">
      <c r="A102" s="5" t="s">
        <v>194</v>
      </c>
      <c r="B102" s="2">
        <f t="shared" si="4"/>
        <v>52253.972472259389</v>
      </c>
      <c r="C102" s="7">
        <v>40205.866922738773</v>
      </c>
      <c r="D102" s="8">
        <v>3.1150147049406527E-2</v>
      </c>
      <c r="E102" s="5">
        <v>44081.490236334597</v>
      </c>
      <c r="F102" s="5">
        <v>22856.083580800499</v>
      </c>
      <c r="G102" s="5">
        <v>57177.759369244501</v>
      </c>
      <c r="H102" s="5">
        <v>58525.721530671202</v>
      </c>
      <c r="I102" s="5">
        <v>65332.697637802703</v>
      </c>
      <c r="J102" s="5">
        <v>25276.404066863801</v>
      </c>
      <c r="K102" s="5">
        <v>33072.467971958104</v>
      </c>
      <c r="L102" s="5">
        <v>52505.744496313702</v>
      </c>
      <c r="M102" s="5">
        <v>73696.838581255201</v>
      </c>
      <c r="N102" s="5">
        <v>24534.915446262701</v>
      </c>
      <c r="O102" s="5">
        <v>92726.399048585401</v>
      </c>
      <c r="P102" s="5">
        <v>27402.483870272801</v>
      </c>
      <c r="Q102" s="5">
        <v>66705.662054474</v>
      </c>
      <c r="R102" s="5">
        <v>65588.751936051805</v>
      </c>
      <c r="S102" s="5">
        <v>71345.975941588404</v>
      </c>
      <c r="T102" s="5">
        <v>73251.277152227995</v>
      </c>
      <c r="U102" s="5">
        <v>64539.535837677002</v>
      </c>
      <c r="V102" s="5">
        <v>34940.073090349397</v>
      </c>
      <c r="W102" s="5">
        <v>25156.853049899499</v>
      </c>
      <c r="X102" s="5">
        <v>31532.9721048885</v>
      </c>
      <c r="Y102" s="5">
        <v>87083.314913925293</v>
      </c>
      <c r="Z102" s="5">
        <v>41606.949517520203</v>
      </c>
      <c r="AA102" s="5">
        <v>40832.229714087902</v>
      </c>
      <c r="AB102" s="5">
        <v>39576.219333580797</v>
      </c>
      <c r="AC102" s="5">
        <v>38808.069125766197</v>
      </c>
      <c r="AD102">
        <f t="shared" si="5"/>
        <v>40205.866922738773</v>
      </c>
      <c r="AE102">
        <f t="shared" si="6"/>
        <v>1252.4186668921827</v>
      </c>
      <c r="AF102">
        <f t="shared" si="7"/>
        <v>3.1150147049406527E-2</v>
      </c>
    </row>
    <row r="103" spans="1:32" x14ac:dyDescent="0.45">
      <c r="A103" s="5" t="s">
        <v>71</v>
      </c>
      <c r="B103" s="2">
        <f t="shared" si="4"/>
        <v>14099519.249088421</v>
      </c>
      <c r="C103" s="8">
        <v>12318781.700771825</v>
      </c>
      <c r="D103" s="8">
        <v>3.8044683815041017E-2</v>
      </c>
      <c r="E103" s="5">
        <v>15966095.681325199</v>
      </c>
      <c r="F103" s="5">
        <v>11670781.577832799</v>
      </c>
      <c r="G103" s="5">
        <v>11955675.8470506</v>
      </c>
      <c r="H103" s="5">
        <v>17673880.798025701</v>
      </c>
      <c r="I103" s="5">
        <v>12541462.403023601</v>
      </c>
      <c r="J103" s="5">
        <v>11260236.344340101</v>
      </c>
      <c r="K103" s="5">
        <v>16277717.8288661</v>
      </c>
      <c r="L103" s="5">
        <v>14703698.759105399</v>
      </c>
      <c r="M103" s="5">
        <v>16086578.081091501</v>
      </c>
      <c r="N103" s="5">
        <v>15927337.109456399</v>
      </c>
      <c r="O103" s="5">
        <v>13962553.150161199</v>
      </c>
      <c r="P103" s="5">
        <v>12531813.1787528</v>
      </c>
      <c r="Q103" s="5">
        <v>15893525.1881912</v>
      </c>
      <c r="R103" s="5">
        <v>9564960.8185183108</v>
      </c>
      <c r="S103" s="5">
        <v>12776560.5454721</v>
      </c>
      <c r="T103" s="5">
        <v>17126241.436561</v>
      </c>
      <c r="U103" s="5">
        <v>18001381.778047901</v>
      </c>
      <c r="V103" s="5">
        <v>11229681.1640078</v>
      </c>
      <c r="W103" s="5">
        <v>12472688.0173494</v>
      </c>
      <c r="X103" s="5">
        <v>12546292.911481701</v>
      </c>
      <c r="Y103" s="5">
        <v>15920741.612196</v>
      </c>
      <c r="Z103" s="5">
        <v>12953690.753219301</v>
      </c>
      <c r="AA103" s="5">
        <v>12354322.7657356</v>
      </c>
      <c r="AB103" s="5">
        <v>12105650.699691599</v>
      </c>
      <c r="AC103" s="5">
        <v>11861462.584440799</v>
      </c>
      <c r="AD103">
        <f t="shared" si="5"/>
        <v>12318781.700771825</v>
      </c>
      <c r="AE103">
        <f t="shared" si="6"/>
        <v>468664.15479237732</v>
      </c>
      <c r="AF103">
        <f t="shared" si="7"/>
        <v>3.8044683815041017E-2</v>
      </c>
    </row>
    <row r="104" spans="1:32" x14ac:dyDescent="0.45">
      <c r="A104" s="5" t="s">
        <v>72</v>
      </c>
      <c r="B104" s="2">
        <f t="shared" si="4"/>
        <v>495249130.95051557</v>
      </c>
      <c r="C104" s="7">
        <v>420122128.1073513</v>
      </c>
      <c r="D104" s="7">
        <v>2.625292035614132E-2</v>
      </c>
      <c r="E104" s="5">
        <v>596653823.45951402</v>
      </c>
      <c r="F104" s="5">
        <v>410201936.65987498</v>
      </c>
      <c r="G104" s="5">
        <v>514514774.59530401</v>
      </c>
      <c r="H104" s="5">
        <v>920935778.74935603</v>
      </c>
      <c r="I104" s="5">
        <v>502113621.03520101</v>
      </c>
      <c r="J104" s="5">
        <v>404434612.66376603</v>
      </c>
      <c r="K104" s="5">
        <v>290637860.09880102</v>
      </c>
      <c r="L104" s="5">
        <v>701995385.82776296</v>
      </c>
      <c r="M104" s="5">
        <v>463846411.78651202</v>
      </c>
      <c r="N104" s="5">
        <v>377702282.05848497</v>
      </c>
      <c r="O104" s="5">
        <v>359814330.56791598</v>
      </c>
      <c r="P104" s="5">
        <v>386470537.19017798</v>
      </c>
      <c r="Q104" s="5">
        <v>901795887.56556404</v>
      </c>
      <c r="R104" s="5">
        <v>230079403.629742</v>
      </c>
      <c r="S104" s="5">
        <v>504568145.61471099</v>
      </c>
      <c r="T104" s="5">
        <v>400722267.75392598</v>
      </c>
      <c r="U104" s="5">
        <v>702097408.39949405</v>
      </c>
      <c r="V104" s="5">
        <v>413114294.95796198</v>
      </c>
      <c r="W104" s="5">
        <v>381839969.79501301</v>
      </c>
      <c r="X104" s="5">
        <v>356612138.36377001</v>
      </c>
      <c r="Y104" s="5">
        <v>580080879.18797302</v>
      </c>
      <c r="Z104" s="5">
        <v>408648088.06751001</v>
      </c>
      <c r="AA104" s="5">
        <v>430523008.19867498</v>
      </c>
      <c r="AB104" s="5">
        <v>428549760.73552698</v>
      </c>
      <c r="AC104" s="5">
        <v>412767655.42769301</v>
      </c>
      <c r="AD104">
        <f t="shared" si="5"/>
        <v>420122128.1073513</v>
      </c>
      <c r="AE104">
        <f t="shared" si="6"/>
        <v>11029432.769054895</v>
      </c>
      <c r="AF104">
        <f t="shared" si="7"/>
        <v>2.625292035614132E-2</v>
      </c>
    </row>
    <row r="105" spans="1:32" x14ac:dyDescent="0.45">
      <c r="A105" s="5" t="s">
        <v>73</v>
      </c>
      <c r="B105" s="2">
        <f t="shared" si="4"/>
        <v>91204608.180564284</v>
      </c>
      <c r="C105" s="7">
        <v>74990333.154519573</v>
      </c>
      <c r="D105" s="8">
        <v>4.3823231133708243E-2</v>
      </c>
      <c r="E105" s="5">
        <v>120157576.744047</v>
      </c>
      <c r="F105" s="5">
        <v>52733644.898921803</v>
      </c>
      <c r="G105" s="5">
        <v>100528946.722206</v>
      </c>
      <c r="H105" s="5">
        <v>121167001.577638</v>
      </c>
      <c r="I105" s="5">
        <v>92039002.521173403</v>
      </c>
      <c r="J105" s="5">
        <v>40020028.877116099</v>
      </c>
      <c r="K105" s="5">
        <v>42321916.199452199</v>
      </c>
      <c r="L105" s="5">
        <v>119263116.295158</v>
      </c>
      <c r="M105" s="5">
        <v>115502659.80570599</v>
      </c>
      <c r="N105" s="5">
        <v>55359020.333698802</v>
      </c>
      <c r="O105" s="5">
        <v>106207565.47249</v>
      </c>
      <c r="P105" s="5">
        <v>56006602.938992701</v>
      </c>
      <c r="Q105" s="5">
        <v>114385107.07939699</v>
      </c>
      <c r="R105" s="5">
        <v>75769819.063060895</v>
      </c>
      <c r="S105" s="5">
        <v>109021978.672571</v>
      </c>
      <c r="T105" s="5">
        <v>137885213.52073699</v>
      </c>
      <c r="U105" s="5">
        <v>121509985.712084</v>
      </c>
      <c r="V105" s="5">
        <v>92597139.114111498</v>
      </c>
      <c r="W105" s="5">
        <v>58408691.051850401</v>
      </c>
      <c r="X105" s="5">
        <v>65077747.447695598</v>
      </c>
      <c r="Y105" s="5">
        <v>119334007.743743</v>
      </c>
      <c r="Z105" s="5">
        <v>78588019.425695404</v>
      </c>
      <c r="AA105" s="5">
        <v>75885057.717035994</v>
      </c>
      <c r="AB105" s="5">
        <v>74813537.768061295</v>
      </c>
      <c r="AC105" s="5">
        <v>70674717.707285598</v>
      </c>
      <c r="AD105">
        <f t="shared" si="5"/>
        <v>74990333.154519573</v>
      </c>
      <c r="AE105">
        <f t="shared" si="6"/>
        <v>3286318.7026242954</v>
      </c>
      <c r="AF105">
        <f t="shared" si="7"/>
        <v>4.3823231133708243E-2</v>
      </c>
    </row>
    <row r="106" spans="1:32" x14ac:dyDescent="0.45">
      <c r="A106" s="5" t="s">
        <v>247</v>
      </c>
      <c r="B106" s="2">
        <f t="shared" si="4"/>
        <v>25883211.873215891</v>
      </c>
      <c r="C106" s="2">
        <v>23662637.209834725</v>
      </c>
      <c r="D106" s="2">
        <v>0.24189481107352626</v>
      </c>
      <c r="E106" s="5">
        <v>33745005.886546999</v>
      </c>
      <c r="F106" s="5">
        <v>13010830.8718218</v>
      </c>
      <c r="G106" s="5">
        <v>30021686.511007801</v>
      </c>
      <c r="H106" s="5">
        <v>27100722.2870657</v>
      </c>
      <c r="I106" s="5">
        <v>25596827.398058198</v>
      </c>
      <c r="J106" s="5">
        <v>9479580.16280628</v>
      </c>
      <c r="K106" s="5">
        <v>10235954.161263799</v>
      </c>
      <c r="L106" s="5">
        <v>28031130.137926102</v>
      </c>
      <c r="M106" s="5">
        <v>44643373.6453458</v>
      </c>
      <c r="N106" s="5">
        <v>20550721.857825801</v>
      </c>
      <c r="O106" s="5">
        <v>28638738.8226512</v>
      </c>
      <c r="P106" s="5">
        <v>13061603.846655799</v>
      </c>
      <c r="Q106" s="5">
        <v>39575883.188619502</v>
      </c>
      <c r="R106" s="5">
        <v>33503242.479057401</v>
      </c>
      <c r="S106" s="5">
        <v>19440423.287118599</v>
      </c>
      <c r="T106" s="5">
        <v>31427717.949593</v>
      </c>
      <c r="U106" s="5">
        <v>29933544.322803799</v>
      </c>
      <c r="V106" s="5">
        <v>49775866.707523197</v>
      </c>
      <c r="W106" s="5">
        <v>10578203.513395101</v>
      </c>
      <c r="X106" s="5">
        <v>22839624.707920801</v>
      </c>
      <c r="Y106" s="5">
        <v>22356767.592527099</v>
      </c>
      <c r="Z106" s="5">
        <v>27505698.932865001</v>
      </c>
      <c r="AA106" s="5">
        <v>16109389.255453</v>
      </c>
      <c r="AB106" s="5">
        <v>28646996.644408301</v>
      </c>
      <c r="AC106" s="5">
        <v>22388464.006612599</v>
      </c>
      <c r="AD106">
        <f t="shared" si="5"/>
        <v>23662637.209834725</v>
      </c>
      <c r="AE106">
        <f t="shared" si="6"/>
        <v>5723869.1573743634</v>
      </c>
      <c r="AF106">
        <f t="shared" si="7"/>
        <v>0.24189481107352626</v>
      </c>
    </row>
    <row r="107" spans="1:32" x14ac:dyDescent="0.45">
      <c r="A107" s="5" t="s">
        <v>74</v>
      </c>
      <c r="B107" s="2">
        <f t="shared" si="4"/>
        <v>317590254.1302799</v>
      </c>
      <c r="C107" s="2">
        <v>284870696.159814</v>
      </c>
      <c r="D107" s="2">
        <v>2.0647685170330367E-2</v>
      </c>
      <c r="E107" s="5">
        <v>297269841.86491501</v>
      </c>
      <c r="F107" s="5">
        <v>261019595.73919699</v>
      </c>
      <c r="G107" s="5">
        <v>344481555.06894797</v>
      </c>
      <c r="H107" s="5">
        <v>345216449.95884699</v>
      </c>
      <c r="I107" s="5">
        <v>329295517.85779101</v>
      </c>
      <c r="J107" s="5">
        <v>294089179.90713501</v>
      </c>
      <c r="K107" s="5">
        <v>344963409.01476097</v>
      </c>
      <c r="L107" s="5">
        <v>281135063.88802701</v>
      </c>
      <c r="M107" s="5">
        <v>304540000.57095402</v>
      </c>
      <c r="N107" s="5">
        <v>259291235.16715801</v>
      </c>
      <c r="O107" s="5">
        <v>379745566.10140598</v>
      </c>
      <c r="P107" s="5">
        <v>291792275.95367402</v>
      </c>
      <c r="Q107" s="5">
        <v>339911343.677284</v>
      </c>
      <c r="R107" s="5">
        <v>403160652.50095302</v>
      </c>
      <c r="S107" s="5">
        <v>323577599.17852402</v>
      </c>
      <c r="T107" s="5">
        <v>344272936.42921698</v>
      </c>
      <c r="U107" s="5">
        <v>341692265.76215702</v>
      </c>
      <c r="V107" s="5">
        <v>312287694.77666301</v>
      </c>
      <c r="W107" s="5">
        <v>242404164.181494</v>
      </c>
      <c r="X107" s="5">
        <v>288934845.356516</v>
      </c>
      <c r="Y107" s="5">
        <v>340314143.78025699</v>
      </c>
      <c r="Z107" s="5">
        <v>281996886.024315</v>
      </c>
      <c r="AA107" s="5">
        <v>277977015.43900102</v>
      </c>
      <c r="AB107" s="5">
        <v>290146492.03122598</v>
      </c>
      <c r="AC107" s="5">
        <v>289362391.144714</v>
      </c>
      <c r="AD107">
        <f t="shared" si="5"/>
        <v>284870696.159814</v>
      </c>
      <c r="AE107">
        <f t="shared" si="6"/>
        <v>5881920.4485606793</v>
      </c>
      <c r="AF107">
        <f t="shared" si="7"/>
        <v>2.0647685170330367E-2</v>
      </c>
    </row>
    <row r="108" spans="1:32" x14ac:dyDescent="0.45">
      <c r="A108" s="5" t="s">
        <v>75</v>
      </c>
      <c r="B108" s="2">
        <f t="shared" si="4"/>
        <v>1223844.871268684</v>
      </c>
      <c r="C108" s="7">
        <v>921674.20034311095</v>
      </c>
      <c r="D108" s="8">
        <v>5.6948740300579677E-2</v>
      </c>
      <c r="E108" s="5">
        <v>1711125.7626221101</v>
      </c>
      <c r="F108" s="5">
        <v>439005.688640557</v>
      </c>
      <c r="G108" s="5">
        <v>815757.43898729701</v>
      </c>
      <c r="H108" s="5">
        <v>2232254.9750268199</v>
      </c>
      <c r="I108" s="5">
        <v>1079505.97197133</v>
      </c>
      <c r="J108" s="5">
        <v>433058.53293418</v>
      </c>
      <c r="K108" s="5">
        <v>357519.254628542</v>
      </c>
      <c r="L108" s="5">
        <v>1387023.5052809599</v>
      </c>
      <c r="M108" s="5">
        <v>1528901.4433977499</v>
      </c>
      <c r="N108" s="5">
        <v>521964.825646515</v>
      </c>
      <c r="O108" s="5">
        <v>1459933.9405666899</v>
      </c>
      <c r="P108" s="5">
        <v>463381.10457563499</v>
      </c>
      <c r="Q108" s="5">
        <v>3132731.2392132999</v>
      </c>
      <c r="R108" s="5">
        <v>1148436.91170673</v>
      </c>
      <c r="S108" s="5">
        <v>1611622.8759540799</v>
      </c>
      <c r="T108" s="5">
        <v>1479250.87700368</v>
      </c>
      <c r="U108" s="5">
        <v>1502140.1601029299</v>
      </c>
      <c r="V108" s="5">
        <v>1544958.98158051</v>
      </c>
      <c r="W108" s="5">
        <v>431438.887968947</v>
      </c>
      <c r="X108" s="5">
        <v>587476.57958598202</v>
      </c>
      <c r="Y108" s="5">
        <v>1833253.33924782</v>
      </c>
      <c r="Z108" s="5">
        <v>848508.69747582998</v>
      </c>
      <c r="AA108" s="5">
        <v>940173.70297596697</v>
      </c>
      <c r="AB108" s="5">
        <v>972195.77947874204</v>
      </c>
      <c r="AC108" s="5">
        <v>925818.62144190504</v>
      </c>
      <c r="AD108">
        <f t="shared" si="5"/>
        <v>921674.20034311095</v>
      </c>
      <c r="AE108">
        <f t="shared" si="6"/>
        <v>52488.184677084268</v>
      </c>
      <c r="AF108">
        <f t="shared" si="7"/>
        <v>5.6948740300579677E-2</v>
      </c>
    </row>
    <row r="109" spans="1:32" x14ac:dyDescent="0.45">
      <c r="A109" s="5" t="s">
        <v>248</v>
      </c>
      <c r="B109" s="2">
        <f t="shared" si="4"/>
        <v>13599306.061568672</v>
      </c>
      <c r="C109" s="2">
        <v>13984723.805297075</v>
      </c>
      <c r="D109" s="2">
        <v>3.6360973355387113E-2</v>
      </c>
      <c r="E109" s="5">
        <v>16495485.258021301</v>
      </c>
      <c r="F109" s="5">
        <v>21130300.705812201</v>
      </c>
      <c r="G109" s="5">
        <v>18905982.678393099</v>
      </c>
      <c r="H109" s="5">
        <v>3443794.8030437599</v>
      </c>
      <c r="I109" s="5">
        <v>10983186.982388699</v>
      </c>
      <c r="J109" s="5">
        <v>20137680.7225978</v>
      </c>
      <c r="K109" s="5">
        <v>19550233.279885601</v>
      </c>
      <c r="L109" s="5">
        <v>11823788.472478</v>
      </c>
      <c r="M109" s="5">
        <v>7503157.5195788601</v>
      </c>
      <c r="N109" s="5">
        <v>19652509.9329454</v>
      </c>
      <c r="O109" s="5">
        <v>15032032.2242433</v>
      </c>
      <c r="P109" s="5">
        <v>12900234.8520135</v>
      </c>
      <c r="Q109" s="5">
        <v>12727487.4796257</v>
      </c>
      <c r="R109" s="5">
        <v>12553183.773947001</v>
      </c>
      <c r="S109" s="5">
        <v>10746173.102684399</v>
      </c>
      <c r="T109" s="5">
        <v>4110341.2210146901</v>
      </c>
      <c r="U109" s="5">
        <v>5835091.8253037799</v>
      </c>
      <c r="V109" s="5">
        <v>9673756.6034769006</v>
      </c>
      <c r="W109" s="5">
        <v>23026498.752966601</v>
      </c>
      <c r="X109" s="5">
        <v>20810629.079034202</v>
      </c>
      <c r="Y109" s="5">
        <v>8543878.0234872699</v>
      </c>
      <c r="Z109" s="5">
        <v>13230884.332668399</v>
      </c>
      <c r="AA109" s="5">
        <v>14344535.645888999</v>
      </c>
      <c r="AB109" s="5">
        <v>14194848.0586871</v>
      </c>
      <c r="AC109" s="5">
        <v>14168627.183943801</v>
      </c>
      <c r="AD109">
        <f t="shared" si="5"/>
        <v>13984723.805297075</v>
      </c>
      <c r="AE109">
        <f t="shared" si="6"/>
        <v>508498.16966685484</v>
      </c>
      <c r="AF109">
        <f t="shared" si="7"/>
        <v>3.6360973355387113E-2</v>
      </c>
    </row>
    <row r="110" spans="1:32" x14ac:dyDescent="0.45">
      <c r="A110" s="5" t="s">
        <v>249</v>
      </c>
      <c r="B110" s="2">
        <f t="shared" si="4"/>
        <v>1911568.9400250162</v>
      </c>
      <c r="C110" s="2">
        <v>1033205.7937803988</v>
      </c>
      <c r="D110" s="2">
        <v>3.953327570829656E-2</v>
      </c>
      <c r="E110" s="5">
        <v>848182.61883097095</v>
      </c>
      <c r="F110" s="5">
        <v>3561616.8888481501</v>
      </c>
      <c r="G110" s="5">
        <v>1062024.31406771</v>
      </c>
      <c r="H110" s="5">
        <v>3443794.8030437599</v>
      </c>
      <c r="I110" s="5">
        <v>548612.59296182904</v>
      </c>
      <c r="J110" s="5">
        <v>3982457.8925323202</v>
      </c>
      <c r="K110" s="5">
        <v>5347750.9746885402</v>
      </c>
      <c r="L110" s="5">
        <v>769473.76314391405</v>
      </c>
      <c r="M110" s="5">
        <v>489825.02927244402</v>
      </c>
      <c r="N110" s="5">
        <v>3712729.0650843498</v>
      </c>
      <c r="O110" s="5">
        <v>575256.63899153704</v>
      </c>
      <c r="P110" s="5">
        <v>2554104.5703038601</v>
      </c>
      <c r="Q110" s="5">
        <v>671945.19766085898</v>
      </c>
      <c r="R110" s="5">
        <v>536152.83692928695</v>
      </c>
      <c r="S110" s="5">
        <v>2645570.0702383299</v>
      </c>
      <c r="T110" s="5">
        <v>188621.13450894499</v>
      </c>
      <c r="U110" s="5">
        <v>412263.30545284599</v>
      </c>
      <c r="V110" s="5">
        <v>668207.77902968996</v>
      </c>
      <c r="W110" s="5">
        <v>3741924.97300083</v>
      </c>
      <c r="X110" s="5">
        <v>3943727.3813822102</v>
      </c>
      <c r="Y110" s="5">
        <v>438705.91055294598</v>
      </c>
      <c r="Z110" s="5">
        <v>1032434.43984447</v>
      </c>
      <c r="AA110" s="5">
        <v>1060020.99006975</v>
      </c>
      <c r="AB110" s="5">
        <v>975763.16303475504</v>
      </c>
      <c r="AC110" s="5">
        <v>1064604.5821726201</v>
      </c>
      <c r="AD110">
        <f t="shared" si="5"/>
        <v>1033205.7937803988</v>
      </c>
      <c r="AE110">
        <f t="shared" si="6"/>
        <v>40846.009508929907</v>
      </c>
      <c r="AF110">
        <f t="shared" si="7"/>
        <v>3.953327570829656E-2</v>
      </c>
    </row>
    <row r="111" spans="1:32" x14ac:dyDescent="0.45">
      <c r="A111" s="5" t="s">
        <v>250</v>
      </c>
      <c r="B111" s="2">
        <f t="shared" si="4"/>
        <v>2367416.9847183609</v>
      </c>
      <c r="C111" s="2">
        <v>2121316.7438564226</v>
      </c>
      <c r="D111" s="2">
        <v>6.2323905872886332E-2</v>
      </c>
      <c r="E111" s="5">
        <v>1705285.4343594599</v>
      </c>
      <c r="F111" s="5">
        <v>1456316.7122374</v>
      </c>
      <c r="G111" s="5">
        <v>1978792.29114271</v>
      </c>
      <c r="H111" s="5">
        <v>1493778.3894182299</v>
      </c>
      <c r="I111" s="5">
        <v>1666872.7678510901</v>
      </c>
      <c r="J111" s="5">
        <v>1908672.14526422</v>
      </c>
      <c r="K111" s="5">
        <v>2208210.2279298799</v>
      </c>
      <c r="L111" s="5">
        <v>3387954.9097703299</v>
      </c>
      <c r="M111" s="5">
        <v>2084791.1441001</v>
      </c>
      <c r="N111" s="5">
        <v>2920073.56470535</v>
      </c>
      <c r="O111" s="5">
        <v>2115942.52078884</v>
      </c>
      <c r="P111" s="5">
        <v>2490625.6067509302</v>
      </c>
      <c r="Q111" s="5">
        <v>4999469.49500388</v>
      </c>
      <c r="R111" s="5">
        <v>1602833.6491328799</v>
      </c>
      <c r="S111" s="5">
        <v>2162478.7010429199</v>
      </c>
      <c r="T111" s="5">
        <v>1678301.6460013399</v>
      </c>
      <c r="U111" s="5">
        <v>5746541.3746272204</v>
      </c>
      <c r="V111" s="5">
        <v>1396310.9852254901</v>
      </c>
      <c r="W111" s="5">
        <v>1348209.34654052</v>
      </c>
      <c r="X111" s="5">
        <v>1575103.4680072099</v>
      </c>
      <c r="Y111" s="5">
        <v>3789192.2991855899</v>
      </c>
      <c r="Z111" s="5">
        <v>1996253.7696733</v>
      </c>
      <c r="AA111" s="5">
        <v>2018827.84817269</v>
      </c>
      <c r="AB111" s="5">
        <v>2220900.9764686702</v>
      </c>
      <c r="AC111" s="5">
        <v>2249284.38111103</v>
      </c>
      <c r="AD111">
        <f t="shared" si="5"/>
        <v>2121316.7438564226</v>
      </c>
      <c r="AE111">
        <f t="shared" si="6"/>
        <v>132208.7450706854</v>
      </c>
      <c r="AF111">
        <f t="shared" si="7"/>
        <v>6.2323905872886332E-2</v>
      </c>
    </row>
    <row r="112" spans="1:32" x14ac:dyDescent="0.45">
      <c r="A112" s="5" t="s">
        <v>251</v>
      </c>
      <c r="B112" s="2">
        <f t="shared" si="4"/>
        <v>13166560.518653469</v>
      </c>
      <c r="C112" s="2">
        <v>15501330.088025849</v>
      </c>
      <c r="D112" s="2">
        <v>6.1508100257682781E-2</v>
      </c>
      <c r="E112" s="5">
        <v>1282782.80428808</v>
      </c>
      <c r="F112" s="5">
        <v>35234347.494868003</v>
      </c>
      <c r="G112" s="5">
        <v>2376398.0582631198</v>
      </c>
      <c r="H112" s="5">
        <v>577501.21173982206</v>
      </c>
      <c r="I112" s="5">
        <v>3680049.8285926101</v>
      </c>
      <c r="J112" s="5">
        <v>30343395.931092702</v>
      </c>
      <c r="K112" s="5">
        <v>42428904.529536203</v>
      </c>
      <c r="L112" s="5">
        <v>2748061.7095815102</v>
      </c>
      <c r="M112" s="5">
        <v>2551818.9354011002</v>
      </c>
      <c r="N112" s="5">
        <v>23866593.402005799</v>
      </c>
      <c r="O112" s="5">
        <v>857513.31549603899</v>
      </c>
      <c r="P112" s="5">
        <v>29936776.146221399</v>
      </c>
      <c r="Q112" s="5">
        <v>2017513.86480966</v>
      </c>
      <c r="R112" s="5">
        <v>1377198.7683311801</v>
      </c>
      <c r="S112" s="5">
        <v>2343992.4860497401</v>
      </c>
      <c r="T112" s="5">
        <v>590833.88126134698</v>
      </c>
      <c r="U112" s="5">
        <v>2515587.74678778</v>
      </c>
      <c r="V112" s="5">
        <v>1275533.5553866799</v>
      </c>
      <c r="W112" s="5">
        <v>35653243.871511899</v>
      </c>
      <c r="X112" s="5">
        <v>53554318.022791997</v>
      </c>
      <c r="Y112" s="5">
        <v>1285405.32770615</v>
      </c>
      <c r="Z112" s="5">
        <v>14220849.7706651</v>
      </c>
      <c r="AA112" s="5">
        <v>15558233.3813635</v>
      </c>
      <c r="AB112" s="5">
        <v>16522877.460135801</v>
      </c>
      <c r="AC112" s="5">
        <v>15703359.739939</v>
      </c>
      <c r="AD112">
        <f t="shared" si="5"/>
        <v>15501330.088025849</v>
      </c>
      <c r="AE112">
        <f t="shared" si="6"/>
        <v>953457.36518172862</v>
      </c>
      <c r="AF112">
        <f t="shared" si="7"/>
        <v>6.1508100257682781E-2</v>
      </c>
    </row>
    <row r="113" spans="1:32" x14ac:dyDescent="0.45">
      <c r="A113" s="5" t="s">
        <v>129</v>
      </c>
      <c r="B113" s="2">
        <f t="shared" si="4"/>
        <v>14535309.94262632</v>
      </c>
      <c r="C113" s="2">
        <v>13884413.08845605</v>
      </c>
      <c r="D113" s="2">
        <v>6.6018971934455786E-2</v>
      </c>
      <c r="E113" s="5">
        <v>17418754.194152702</v>
      </c>
      <c r="F113" s="5">
        <v>11204675.246707</v>
      </c>
      <c r="G113" s="5">
        <v>15376585.997299099</v>
      </c>
      <c r="H113" s="5">
        <v>22702961.603939001</v>
      </c>
      <c r="I113" s="5">
        <v>12962969.9336037</v>
      </c>
      <c r="J113" s="5">
        <v>8250713.6260289503</v>
      </c>
      <c r="K113" s="5">
        <v>15123635.858957101</v>
      </c>
      <c r="L113" s="5">
        <v>15086427.5960995</v>
      </c>
      <c r="M113" s="5">
        <v>15319398.457394401</v>
      </c>
      <c r="N113" s="5">
        <v>10191843.846604399</v>
      </c>
      <c r="O113" s="5">
        <v>17381378.982977699</v>
      </c>
      <c r="P113" s="5">
        <v>10824066.050322</v>
      </c>
      <c r="Q113" s="5">
        <v>12341450.7131915</v>
      </c>
      <c r="R113" s="5">
        <v>13505713.3864042</v>
      </c>
      <c r="S113" s="5">
        <v>15964650.067364899</v>
      </c>
      <c r="T113" s="5">
        <v>18497313.2314847</v>
      </c>
      <c r="U113" s="5">
        <v>17230331.536172502</v>
      </c>
      <c r="V113" s="5">
        <v>14884798.2336796</v>
      </c>
      <c r="W113" s="5">
        <v>12778925.6514559</v>
      </c>
      <c r="X113" s="5">
        <v>9719344.0081619397</v>
      </c>
      <c r="Y113" s="5">
        <v>18475570.573151901</v>
      </c>
      <c r="Z113" s="5">
        <v>14254046.217794299</v>
      </c>
      <c r="AA113" s="5">
        <v>13219031.499232</v>
      </c>
      <c r="AB113" s="5">
        <v>15006341.3501302</v>
      </c>
      <c r="AC113" s="5">
        <v>13058233.286667701</v>
      </c>
      <c r="AD113">
        <f t="shared" si="5"/>
        <v>13884413.08845605</v>
      </c>
      <c r="AE113">
        <f t="shared" si="6"/>
        <v>916634.67801317049</v>
      </c>
      <c r="AF113">
        <f t="shared" si="7"/>
        <v>6.6018971934455786E-2</v>
      </c>
    </row>
    <row r="114" spans="1:32" x14ac:dyDescent="0.45">
      <c r="A114" s="5" t="s">
        <v>130</v>
      </c>
      <c r="B114" s="2">
        <f t="shared" si="4"/>
        <v>267266066.67388117</v>
      </c>
      <c r="C114" s="2">
        <v>356591748.10074371</v>
      </c>
      <c r="D114" s="2">
        <v>0.11415598609936223</v>
      </c>
      <c r="E114" s="5">
        <v>263941244.894126</v>
      </c>
      <c r="F114" s="5">
        <v>230256356.174236</v>
      </c>
      <c r="G114" s="5">
        <v>300956206.70877701</v>
      </c>
      <c r="H114" s="5">
        <v>457687296.40969199</v>
      </c>
      <c r="I114" s="5">
        <v>289211002.909944</v>
      </c>
      <c r="J114" s="5">
        <v>161818167.39720199</v>
      </c>
      <c r="K114" s="5">
        <v>166925990.70138499</v>
      </c>
      <c r="L114" s="5">
        <v>248341568.299716</v>
      </c>
      <c r="M114" s="5">
        <v>178349969.752446</v>
      </c>
      <c r="N114" s="5">
        <v>198385421.95597401</v>
      </c>
      <c r="O114" s="5">
        <v>390793744.40578997</v>
      </c>
      <c r="P114" s="5">
        <v>221842237.09529901</v>
      </c>
      <c r="Q114" s="5">
        <v>269084515.561584</v>
      </c>
      <c r="R114" s="5">
        <v>320604770.44602603</v>
      </c>
      <c r="S114" s="5">
        <v>257649352.465716</v>
      </c>
      <c r="T114" s="5">
        <v>508764278.07024598</v>
      </c>
      <c r="U114" s="5">
        <v>139864033.51817</v>
      </c>
      <c r="V114" s="5">
        <v>399488905.34627801</v>
      </c>
      <c r="W114" s="5">
        <v>193259250.681059</v>
      </c>
      <c r="X114" s="5">
        <v>217034664.586027</v>
      </c>
      <c r="Y114" s="5">
        <v>198328422.77181101</v>
      </c>
      <c r="Z114" s="5">
        <v>306339727.71115798</v>
      </c>
      <c r="AA114" s="5">
        <v>405915617.94777697</v>
      </c>
      <c r="AB114" s="5">
        <v>354539942.87208599</v>
      </c>
      <c r="AC114" s="5">
        <v>359571703.87195402</v>
      </c>
      <c r="AD114">
        <f t="shared" si="5"/>
        <v>356591748.10074371</v>
      </c>
      <c r="AE114">
        <f t="shared" si="6"/>
        <v>40707082.639335774</v>
      </c>
      <c r="AF114">
        <f t="shared" si="7"/>
        <v>0.11415598609936223</v>
      </c>
    </row>
    <row r="115" spans="1:32" x14ac:dyDescent="0.45">
      <c r="A115" s="5" t="s">
        <v>76</v>
      </c>
      <c r="B115" s="2">
        <f t="shared" si="4"/>
        <v>11383329.188237777</v>
      </c>
      <c r="C115" s="7">
        <v>10677069.535275999</v>
      </c>
      <c r="D115" s="8">
        <v>3.629421515622102E-2</v>
      </c>
      <c r="E115" s="5">
        <v>15326053.584274201</v>
      </c>
      <c r="F115" s="5">
        <v>8394812.6214183904</v>
      </c>
      <c r="G115" s="5">
        <v>10723778.847172299</v>
      </c>
      <c r="H115" s="5">
        <v>8624621.0999972392</v>
      </c>
      <c r="I115" s="5">
        <v>6449302.07382451</v>
      </c>
      <c r="J115" s="5">
        <v>4510234.4125617202</v>
      </c>
      <c r="K115" s="5">
        <v>1646800.62518476</v>
      </c>
      <c r="L115" s="5">
        <v>22780975.303298801</v>
      </c>
      <c r="M115" s="5">
        <v>10124735.596798001</v>
      </c>
      <c r="N115" s="5">
        <v>7996821.0243408298</v>
      </c>
      <c r="O115" s="5">
        <v>11384027.3942088</v>
      </c>
      <c r="P115" s="5">
        <v>2605028.2719417298</v>
      </c>
      <c r="Q115" s="5">
        <v>42050219.479493402</v>
      </c>
      <c r="R115" s="5">
        <v>2977445.70917087</v>
      </c>
      <c r="S115" s="5">
        <v>7148785.1224823203</v>
      </c>
      <c r="T115" s="5">
        <v>15056717.059479199</v>
      </c>
      <c r="U115" s="5">
        <v>28303680.4080492</v>
      </c>
      <c r="V115" s="5">
        <v>7053751.5997938402</v>
      </c>
      <c r="W115" s="5">
        <v>9124468.7976111807</v>
      </c>
      <c r="X115" s="5">
        <v>2958468.2275346098</v>
      </c>
      <c r="Y115" s="5">
        <v>13809185.694357401</v>
      </c>
      <c r="Z115" s="5">
        <v>10946778.129342301</v>
      </c>
      <c r="AA115" s="5">
        <v>10962921.6656626</v>
      </c>
      <c r="AB115" s="5">
        <v>10665491.725046201</v>
      </c>
      <c r="AC115" s="5">
        <v>10133086.6210529</v>
      </c>
      <c r="AD115">
        <f t="shared" si="5"/>
        <v>10677069.535275999</v>
      </c>
      <c r="AE115">
        <f t="shared" si="6"/>
        <v>387515.8589512399</v>
      </c>
      <c r="AF115">
        <f t="shared" si="7"/>
        <v>3.629421515622102E-2</v>
      </c>
    </row>
    <row r="116" spans="1:32" x14ac:dyDescent="0.45">
      <c r="A116" s="5" t="s">
        <v>77</v>
      </c>
      <c r="B116" s="2">
        <f t="shared" si="4"/>
        <v>220066.45944045205</v>
      </c>
      <c r="C116" s="7">
        <v>279007.73550024402</v>
      </c>
      <c r="D116" s="8">
        <v>0.18029272804068872</v>
      </c>
      <c r="E116" s="5">
        <v>50961.493282515999</v>
      </c>
      <c r="F116" s="5">
        <v>467374.80104199197</v>
      </c>
      <c r="G116" s="5">
        <v>54035.050174228098</v>
      </c>
      <c r="H116" s="5">
        <v>58664.241041101901</v>
      </c>
      <c r="I116" s="5">
        <v>23862.395540604299</v>
      </c>
      <c r="J116" s="5">
        <v>593173.69536003703</v>
      </c>
      <c r="K116" s="5">
        <v>791540.56414859497</v>
      </c>
      <c r="L116" s="5">
        <v>23698.568163847402</v>
      </c>
      <c r="M116" s="5">
        <v>31075.135077532599</v>
      </c>
      <c r="N116" s="5">
        <v>696756.97335573903</v>
      </c>
      <c r="O116" s="5">
        <v>28219.740390270599</v>
      </c>
      <c r="P116" s="5">
        <v>661135.70217474003</v>
      </c>
      <c r="Q116" s="5">
        <v>29260.223067074501</v>
      </c>
      <c r="R116" s="5">
        <v>29431.398550731501</v>
      </c>
      <c r="S116" s="5">
        <v>26092.149425708601</v>
      </c>
      <c r="T116" s="5">
        <v>28953.966377589899</v>
      </c>
      <c r="U116" s="5">
        <v>25090.5348266367</v>
      </c>
      <c r="V116" s="5">
        <v>58201.424597692203</v>
      </c>
      <c r="W116" s="5">
        <v>419757.82756996102</v>
      </c>
      <c r="X116" s="5">
        <v>495163.04645455198</v>
      </c>
      <c r="Y116" s="5">
        <v>28946.7176283433</v>
      </c>
      <c r="Z116" s="5">
        <v>352695.628689943</v>
      </c>
      <c r="AA116" s="5">
        <v>269748.42484844697</v>
      </c>
      <c r="AB116" s="5">
        <v>246663.59907236299</v>
      </c>
      <c r="AC116" s="5">
        <v>246923.28939022301</v>
      </c>
      <c r="AD116">
        <f t="shared" si="5"/>
        <v>279007.73550024402</v>
      </c>
      <c r="AE116">
        <f t="shared" si="6"/>
        <v>50303.065777793905</v>
      </c>
      <c r="AF116">
        <f t="shared" si="7"/>
        <v>0.18029272804068872</v>
      </c>
    </row>
    <row r="117" spans="1:32" x14ac:dyDescent="0.45">
      <c r="A117" s="5" t="s">
        <v>78</v>
      </c>
      <c r="B117" s="2">
        <f t="shared" si="4"/>
        <v>1725308.9177774128</v>
      </c>
      <c r="C117" s="7">
        <v>784388.15506130178</v>
      </c>
      <c r="D117" s="8">
        <v>0.20265612219631071</v>
      </c>
      <c r="E117" s="5">
        <v>2090936.02058434</v>
      </c>
      <c r="F117" s="5">
        <v>403268.27984949201</v>
      </c>
      <c r="G117" s="5">
        <v>1541418.0661486799</v>
      </c>
      <c r="H117" s="5">
        <v>2306437.7375664501</v>
      </c>
      <c r="I117" s="5">
        <v>1710275.7449076599</v>
      </c>
      <c r="J117" s="5">
        <v>381891.20177159301</v>
      </c>
      <c r="K117" s="5">
        <v>480653.96612965898</v>
      </c>
      <c r="L117" s="5">
        <v>2469196.1915262402</v>
      </c>
      <c r="M117" s="5">
        <v>2167228.57026221</v>
      </c>
      <c r="N117" s="5">
        <v>566419.38420323504</v>
      </c>
      <c r="O117" s="5">
        <v>1824965.2648936899</v>
      </c>
      <c r="P117" s="5">
        <v>443516.302720854</v>
      </c>
      <c r="Q117" s="5">
        <v>2309473.38809975</v>
      </c>
      <c r="R117" s="5">
        <v>1422320.7289718499</v>
      </c>
      <c r="S117" s="5">
        <v>2131576.835641</v>
      </c>
      <c r="T117" s="5">
        <v>1711922.1033993401</v>
      </c>
      <c r="U117" s="5">
        <v>1364306.7712857199</v>
      </c>
      <c r="V117" s="5">
        <v>1721598.86258636</v>
      </c>
      <c r="W117" s="5">
        <v>536941.03868450003</v>
      </c>
      <c r="X117" s="5">
        <v>6852480.4016961996</v>
      </c>
      <c r="Y117" s="5">
        <v>1794660.4123968501</v>
      </c>
      <c r="Z117" s="5">
        <v>987364.84869056498</v>
      </c>
      <c r="AA117" s="5">
        <v>822617.63916960696</v>
      </c>
      <c r="AB117" s="5">
        <v>708810.70225624903</v>
      </c>
      <c r="AC117" s="5">
        <v>618759.43012878601</v>
      </c>
      <c r="AD117">
        <f t="shared" si="5"/>
        <v>784388.15506130178</v>
      </c>
      <c r="AE117">
        <f t="shared" si="6"/>
        <v>158961.06180144189</v>
      </c>
      <c r="AF117">
        <f t="shared" si="7"/>
        <v>0.20265612219631071</v>
      </c>
    </row>
    <row r="118" spans="1:32" x14ac:dyDescent="0.45">
      <c r="A118" s="5" t="s">
        <v>252</v>
      </c>
      <c r="B118" s="2">
        <f t="shared" si="4"/>
        <v>320465.14015031792</v>
      </c>
      <c r="C118" s="2">
        <v>165563.46021721698</v>
      </c>
      <c r="D118" s="2">
        <v>2.6944901449141315E-2</v>
      </c>
      <c r="E118" s="5">
        <v>61377.100495388098</v>
      </c>
      <c r="F118" s="5">
        <v>576221.183385866</v>
      </c>
      <c r="G118" s="5">
        <v>74121.716199119997</v>
      </c>
      <c r="H118" s="5">
        <v>68533.581247053895</v>
      </c>
      <c r="I118" s="5">
        <v>58675.380998348999</v>
      </c>
      <c r="J118" s="5">
        <v>743878.47831962805</v>
      </c>
      <c r="K118" s="5">
        <v>1151756.77994928</v>
      </c>
      <c r="L118" s="5">
        <v>59225.280752271698</v>
      </c>
      <c r="M118" s="5">
        <v>59475.394209177299</v>
      </c>
      <c r="N118" s="5">
        <v>826809.48933745397</v>
      </c>
      <c r="O118" s="5">
        <v>63613.743900962698</v>
      </c>
      <c r="P118" s="5">
        <v>969209.92234770302</v>
      </c>
      <c r="Q118" s="5">
        <v>65999.297332998001</v>
      </c>
      <c r="R118" s="5">
        <v>83595.011096300499</v>
      </c>
      <c r="S118" s="5">
        <v>58037.796313866202</v>
      </c>
      <c r="T118" s="5">
        <v>63688.541456957799</v>
      </c>
      <c r="U118" s="5">
        <v>58877.490859323501</v>
      </c>
      <c r="V118" s="5">
        <v>49360.013157373898</v>
      </c>
      <c r="W118" s="5">
        <v>837150.35672144196</v>
      </c>
      <c r="X118" s="5">
        <v>733152.30195448198</v>
      </c>
      <c r="Y118" s="5">
        <v>67009.083121678705</v>
      </c>
      <c r="Z118" s="5">
        <v>170961.179068728</v>
      </c>
      <c r="AA118" s="5">
        <v>165474.97649143901</v>
      </c>
      <c r="AB118" s="5">
        <v>165778.23413511299</v>
      </c>
      <c r="AC118" s="5">
        <v>160039.45117358799</v>
      </c>
      <c r="AD118">
        <f t="shared" si="5"/>
        <v>165563.46021721698</v>
      </c>
      <c r="AE118">
        <f t="shared" si="6"/>
        <v>4461.09111913174</v>
      </c>
      <c r="AF118">
        <f t="shared" si="7"/>
        <v>2.6944901449141315E-2</v>
      </c>
    </row>
    <row r="119" spans="1:32" x14ac:dyDescent="0.45">
      <c r="A119" s="5" t="s">
        <v>195</v>
      </c>
      <c r="B119" s="2">
        <f t="shared" si="4"/>
        <v>1697676.8456190052</v>
      </c>
      <c r="C119" s="2">
        <v>1449037.8469984522</v>
      </c>
      <c r="D119" s="2">
        <v>6.6036629354076698E-2</v>
      </c>
      <c r="E119" s="5">
        <v>64296.994131133702</v>
      </c>
      <c r="F119" s="5">
        <v>3144207.1844476</v>
      </c>
      <c r="G119" s="5">
        <v>236759.36856523101</v>
      </c>
      <c r="H119" s="5">
        <v>12753.0708753403</v>
      </c>
      <c r="I119" s="5">
        <v>150314.867485803</v>
      </c>
      <c r="J119" s="5">
        <v>4601026.5875869803</v>
      </c>
      <c r="K119" s="5">
        <v>8013736.00496059</v>
      </c>
      <c r="L119" s="5">
        <v>87278.645269487301</v>
      </c>
      <c r="M119" s="5">
        <v>203667.54288776699</v>
      </c>
      <c r="N119" s="5">
        <v>4570185.5552863702</v>
      </c>
      <c r="O119" s="5">
        <v>15248.2081723663</v>
      </c>
      <c r="P119" s="5">
        <v>5331969.1793229701</v>
      </c>
      <c r="Q119" s="5">
        <v>130267.28388929499</v>
      </c>
      <c r="R119" s="5">
        <v>58897.270351571402</v>
      </c>
      <c r="S119" s="5">
        <v>46376.457509202097</v>
      </c>
      <c r="T119" s="5">
        <v>21154.8949754762</v>
      </c>
      <c r="U119" s="5">
        <v>231761.47489159499</v>
      </c>
      <c r="V119" s="5">
        <v>112749.460457416</v>
      </c>
      <c r="W119" s="5">
        <v>3411600.43284918</v>
      </c>
      <c r="X119" s="5">
        <v>5140723.1656103302</v>
      </c>
      <c r="Y119" s="5">
        <v>66240.108473415996</v>
      </c>
      <c r="Z119" s="5">
        <v>1358218.22624278</v>
      </c>
      <c r="AA119" s="5">
        <v>1555341.6813571199</v>
      </c>
      <c r="AB119" s="5">
        <v>1378842.1763689299</v>
      </c>
      <c r="AC119" s="5">
        <v>1503749.3040249799</v>
      </c>
      <c r="AD119">
        <f t="shared" si="5"/>
        <v>1449037.8469984522</v>
      </c>
      <c r="AE119">
        <f t="shared" si="6"/>
        <v>95689.575222266096</v>
      </c>
      <c r="AF119">
        <f t="shared" si="7"/>
        <v>6.6036629354076698E-2</v>
      </c>
    </row>
    <row r="120" spans="1:32" x14ac:dyDescent="0.45">
      <c r="A120" s="5" t="s">
        <v>79</v>
      </c>
      <c r="B120" s="2">
        <f t="shared" si="4"/>
        <v>4888159.3225945449</v>
      </c>
      <c r="C120" s="7">
        <v>3741121.55902834</v>
      </c>
      <c r="D120" s="8">
        <v>1.6847454615416479E-2</v>
      </c>
      <c r="E120" s="5">
        <v>7260273.4568776302</v>
      </c>
      <c r="F120" s="5">
        <v>2740695.1951623098</v>
      </c>
      <c r="G120" s="5">
        <v>2983602.1890303902</v>
      </c>
      <c r="H120" s="5">
        <v>9924258.9063178394</v>
      </c>
      <c r="I120" s="5">
        <v>4744320.3175332798</v>
      </c>
      <c r="J120" s="5">
        <v>1687448.07423841</v>
      </c>
      <c r="K120" s="5">
        <v>967438.96716481005</v>
      </c>
      <c r="L120" s="5">
        <v>15666797.339403</v>
      </c>
      <c r="M120" s="5">
        <v>5202273.5787730096</v>
      </c>
      <c r="N120" s="5">
        <v>3246346.3894853899</v>
      </c>
      <c r="O120" s="5">
        <v>6047221.1026390102</v>
      </c>
      <c r="P120" s="5">
        <v>1861152.68711433</v>
      </c>
      <c r="Q120" s="5">
        <v>5641660.1367660798</v>
      </c>
      <c r="R120" s="5">
        <v>1821843.5897780899</v>
      </c>
      <c r="S120" s="5">
        <v>6222437.1983026098</v>
      </c>
      <c r="T120" s="5">
        <v>4946106.6013735998</v>
      </c>
      <c r="U120" s="5">
        <v>7450722.9947276497</v>
      </c>
      <c r="V120" s="5">
        <v>4107658.78674288</v>
      </c>
      <c r="W120" s="5">
        <v>3924387.5329189701</v>
      </c>
      <c r="X120" s="5">
        <v>1279267.4703027101</v>
      </c>
      <c r="Y120" s="5">
        <v>4925433.2598334299</v>
      </c>
      <c r="Z120" s="5">
        <v>3658966.1836493602</v>
      </c>
      <c r="AA120" s="5">
        <v>3805567.1405329499</v>
      </c>
      <c r="AB120" s="5">
        <v>3729262.0727670798</v>
      </c>
      <c r="AC120" s="5">
        <v>3770690.8391639702</v>
      </c>
      <c r="AD120">
        <f t="shared" si="5"/>
        <v>3741121.55902834</v>
      </c>
      <c r="AE120">
        <f t="shared" si="6"/>
        <v>63028.375676486103</v>
      </c>
      <c r="AF120">
        <f t="shared" si="7"/>
        <v>1.6847454615416479E-2</v>
      </c>
    </row>
    <row r="121" spans="1:32" x14ac:dyDescent="0.45">
      <c r="A121" s="5" t="s">
        <v>131</v>
      </c>
      <c r="B121" s="2">
        <f t="shared" si="4"/>
        <v>55377461.444489844</v>
      </c>
      <c r="C121" s="2">
        <v>47906053.05678305</v>
      </c>
      <c r="D121" s="2">
        <v>1.8213733164167176E-2</v>
      </c>
      <c r="E121" s="5">
        <v>65602860.505880997</v>
      </c>
      <c r="F121" s="5">
        <v>28160108.267233498</v>
      </c>
      <c r="G121" s="5">
        <v>24423095.0730104</v>
      </c>
      <c r="H121" s="5">
        <v>29140717.764691699</v>
      </c>
      <c r="I121" s="5">
        <v>65581165.644308597</v>
      </c>
      <c r="J121" s="5">
        <v>37276405.596277602</v>
      </c>
      <c r="K121" s="5">
        <v>47757214.304227002</v>
      </c>
      <c r="L121" s="5">
        <v>125800594.548013</v>
      </c>
      <c r="M121" s="5">
        <v>88026955.699608907</v>
      </c>
      <c r="N121" s="5">
        <v>51184107.229226001</v>
      </c>
      <c r="O121" s="5">
        <v>55553853.848953202</v>
      </c>
      <c r="P121" s="5">
        <v>41228184.1597443</v>
      </c>
      <c r="Q121" s="5">
        <v>15707398.7826955</v>
      </c>
      <c r="R121" s="5">
        <v>44527479.832337096</v>
      </c>
      <c r="S121" s="5">
        <v>134054327.630017</v>
      </c>
      <c r="T121" s="5">
        <v>33435609.191245101</v>
      </c>
      <c r="U121" s="5">
        <v>58267702.392232999</v>
      </c>
      <c r="V121" s="5">
        <v>62955505.283625104</v>
      </c>
      <c r="W121" s="5">
        <v>57588550.953868203</v>
      </c>
      <c r="X121" s="5">
        <v>27493682.1232506</v>
      </c>
      <c r="Y121" s="5">
        <v>69161171.503839701</v>
      </c>
      <c r="Z121" s="5">
        <v>46760161.422882698</v>
      </c>
      <c r="AA121" s="5">
        <v>47800437.162194103</v>
      </c>
      <c r="AB121" s="5">
        <v>48829012.5482696</v>
      </c>
      <c r="AC121" s="5">
        <v>48234601.0937858</v>
      </c>
      <c r="AD121">
        <f t="shared" si="5"/>
        <v>47906053.05678305</v>
      </c>
      <c r="AE121">
        <f t="shared" si="6"/>
        <v>872548.06732468167</v>
      </c>
      <c r="AF121">
        <f t="shared" si="7"/>
        <v>1.8213733164167176E-2</v>
      </c>
    </row>
    <row r="122" spans="1:32" x14ac:dyDescent="0.45">
      <c r="A122" s="5" t="s">
        <v>253</v>
      </c>
      <c r="B122" s="2">
        <f t="shared" si="4"/>
        <v>823325.77175035758</v>
      </c>
      <c r="C122" s="2">
        <v>1029013.3909159307</v>
      </c>
      <c r="D122" s="2">
        <v>6.1832704003498738E-2</v>
      </c>
      <c r="E122" s="5">
        <v>202464.63871961701</v>
      </c>
      <c r="F122" s="5">
        <v>1236950.5664397201</v>
      </c>
      <c r="G122" s="5">
        <v>455463.83296172199</v>
      </c>
      <c r="H122" s="5">
        <v>102802.80935243001</v>
      </c>
      <c r="I122" s="5">
        <v>360093.387656665</v>
      </c>
      <c r="J122" s="5">
        <v>2344778.2711395998</v>
      </c>
      <c r="K122" s="5">
        <v>1845954.90685763</v>
      </c>
      <c r="L122" s="5">
        <v>581830.43427725404</v>
      </c>
      <c r="M122" s="5">
        <v>315296.62624901498</v>
      </c>
      <c r="N122" s="5">
        <v>2006790.39019997</v>
      </c>
      <c r="O122" s="5">
        <v>134733.595458558</v>
      </c>
      <c r="P122" s="5">
        <v>2399817.15662933</v>
      </c>
      <c r="Q122" s="5">
        <v>75912.629125944004</v>
      </c>
      <c r="R122" s="5">
        <v>277254.48270761</v>
      </c>
      <c r="S122" s="5">
        <v>529745.75401211798</v>
      </c>
      <c r="T122" s="5">
        <v>29436.170773754598</v>
      </c>
      <c r="U122" s="5">
        <v>209350.458832665</v>
      </c>
      <c r="V122" s="5">
        <v>273500.28677993198</v>
      </c>
      <c r="W122" s="5">
        <v>1657775.4579238701</v>
      </c>
      <c r="X122" s="5">
        <v>2060345.55382397</v>
      </c>
      <c r="Y122" s="5">
        <v>189543.79683613399</v>
      </c>
      <c r="Z122" s="5">
        <v>1046117.35500134</v>
      </c>
      <c r="AA122" s="5">
        <v>936904.34805545304</v>
      </c>
      <c r="AB122" s="5">
        <v>1049849.1805123701</v>
      </c>
      <c r="AC122" s="5">
        <v>1083182.6800945599</v>
      </c>
      <c r="AD122">
        <f t="shared" si="5"/>
        <v>1029013.3909159307</v>
      </c>
      <c r="AE122">
        <f t="shared" si="6"/>
        <v>63626.68041614128</v>
      </c>
      <c r="AF122">
        <f t="shared" si="7"/>
        <v>6.1832704003498738E-2</v>
      </c>
    </row>
    <row r="123" spans="1:32" x14ac:dyDescent="0.45">
      <c r="A123" s="5" t="s">
        <v>196</v>
      </c>
      <c r="B123" s="2">
        <f t="shared" si="4"/>
        <v>5175380.7928065648</v>
      </c>
      <c r="C123" s="2">
        <v>4729545.8085089773</v>
      </c>
      <c r="D123" s="2">
        <v>4.955051793259041E-2</v>
      </c>
      <c r="E123" s="5">
        <v>5199015.3338683099</v>
      </c>
      <c r="F123" s="5">
        <v>4068858.7010209602</v>
      </c>
      <c r="G123" s="5">
        <v>4452378.4987557204</v>
      </c>
      <c r="H123" s="5">
        <v>3159258.7981271101</v>
      </c>
      <c r="I123" s="5">
        <v>8086013.2097498998</v>
      </c>
      <c r="J123" s="5">
        <v>5818349.0599790504</v>
      </c>
      <c r="K123" s="5">
        <v>3376569.94639201</v>
      </c>
      <c r="L123" s="5">
        <v>10085108.178608101</v>
      </c>
      <c r="M123" s="5">
        <v>5918061.67657011</v>
      </c>
      <c r="N123" s="5">
        <v>7406638.5861971797</v>
      </c>
      <c r="O123" s="5">
        <v>3719672.9973715902</v>
      </c>
      <c r="P123" s="5">
        <v>2511445.3651256701</v>
      </c>
      <c r="Q123" s="5">
        <v>2854937.2063848102</v>
      </c>
      <c r="R123" s="5">
        <v>6447585.0650448604</v>
      </c>
      <c r="S123" s="5">
        <v>10760836.1319292</v>
      </c>
      <c r="T123" s="5">
        <v>2798765.2449199599</v>
      </c>
      <c r="U123" s="5">
        <v>4017202.4802726498</v>
      </c>
      <c r="V123" s="5">
        <v>4387970.4713760801</v>
      </c>
      <c r="W123" s="5">
        <v>5453275.4241644302</v>
      </c>
      <c r="X123" s="5">
        <v>3064510.3484331002</v>
      </c>
      <c r="Y123" s="5">
        <v>5096543.92464705</v>
      </c>
      <c r="Z123" s="5">
        <v>4407690.0428182101</v>
      </c>
      <c r="AA123" s="5">
        <v>4714646.1714399997</v>
      </c>
      <c r="AB123" s="5">
        <v>4944002.5980770504</v>
      </c>
      <c r="AC123" s="5">
        <v>4851844.4217006499</v>
      </c>
      <c r="AD123">
        <f t="shared" si="5"/>
        <v>4729545.8085089773</v>
      </c>
      <c r="AE123">
        <f t="shared" si="6"/>
        <v>234351.44439753189</v>
      </c>
      <c r="AF123">
        <f t="shared" si="7"/>
        <v>4.955051793259041E-2</v>
      </c>
    </row>
    <row r="124" spans="1:32" x14ac:dyDescent="0.45">
      <c r="A124" s="5" t="s">
        <v>80</v>
      </c>
      <c r="B124" s="2">
        <f t="shared" si="4"/>
        <v>262505540.44212592</v>
      </c>
      <c r="C124" s="8">
        <v>216077887.29719523</v>
      </c>
      <c r="D124" s="7">
        <v>3.075654769534E-2</v>
      </c>
      <c r="E124" s="5">
        <v>271901661.749336</v>
      </c>
      <c r="F124" s="5">
        <v>255547749.29238701</v>
      </c>
      <c r="G124" s="5">
        <v>138443377.47541299</v>
      </c>
      <c r="H124" s="5">
        <v>253198289.089351</v>
      </c>
      <c r="I124" s="5">
        <v>295212591.45800602</v>
      </c>
      <c r="J124" s="5">
        <v>362899679.29296702</v>
      </c>
      <c r="K124" s="5">
        <v>353989299.28844303</v>
      </c>
      <c r="L124" s="5">
        <v>247652148.79435799</v>
      </c>
      <c r="M124" s="5">
        <v>245445233.64002401</v>
      </c>
      <c r="N124" s="5">
        <v>390456732.62477499</v>
      </c>
      <c r="O124" s="5">
        <v>259864984.17688099</v>
      </c>
      <c r="P124" s="5">
        <v>307737904.15286601</v>
      </c>
      <c r="Q124" s="5">
        <v>231283146.26726601</v>
      </c>
      <c r="R124" s="5">
        <v>137425532.532114</v>
      </c>
      <c r="S124" s="5">
        <v>192600781.88288099</v>
      </c>
      <c r="T124" s="5">
        <v>277844342.25693202</v>
      </c>
      <c r="U124" s="5">
        <v>251357442.28431901</v>
      </c>
      <c r="V124" s="5">
        <v>228928544.36072701</v>
      </c>
      <c r="W124" s="5">
        <v>334273737.16496402</v>
      </c>
      <c r="X124" s="5">
        <v>279280206.55856597</v>
      </c>
      <c r="Y124" s="5">
        <v>197272964.94206801</v>
      </c>
      <c r="Z124" s="5">
        <v>213815521.76631299</v>
      </c>
      <c r="AA124" s="5">
        <v>209809936.479009</v>
      </c>
      <c r="AB124" s="5">
        <v>225427910.84792</v>
      </c>
      <c r="AC124" s="5">
        <v>215258180.095539</v>
      </c>
      <c r="AD124">
        <f t="shared" si="5"/>
        <v>216077887.29719523</v>
      </c>
      <c r="AE124">
        <f t="shared" si="6"/>
        <v>6645809.8465644857</v>
      </c>
      <c r="AF124">
        <f t="shared" si="7"/>
        <v>3.075654769534E-2</v>
      </c>
    </row>
    <row r="125" spans="1:32" x14ac:dyDescent="0.45">
      <c r="A125" s="5" t="s">
        <v>81</v>
      </c>
      <c r="B125" s="2">
        <f t="shared" si="4"/>
        <v>4928877.4965371359</v>
      </c>
      <c r="C125" s="7">
        <v>4000582.1336988425</v>
      </c>
      <c r="D125" s="8">
        <v>3.8002509191394876E-2</v>
      </c>
      <c r="E125" s="5">
        <v>5958201.5929944301</v>
      </c>
      <c r="F125" s="5">
        <v>4161966.7308404199</v>
      </c>
      <c r="G125" s="5">
        <v>2673352.5056189899</v>
      </c>
      <c r="H125" s="5">
        <v>6002533.4487304799</v>
      </c>
      <c r="I125" s="5">
        <v>4542876.0341563299</v>
      </c>
      <c r="J125" s="5">
        <v>3820506.2203813498</v>
      </c>
      <c r="K125" s="5">
        <v>4790836.1642785296</v>
      </c>
      <c r="L125" s="5">
        <v>4867405.9744698899</v>
      </c>
      <c r="M125" s="5">
        <v>5497532.4130435605</v>
      </c>
      <c r="N125" s="5">
        <v>4211165.8533858601</v>
      </c>
      <c r="O125" s="5">
        <v>5256402.6813988797</v>
      </c>
      <c r="P125" s="5">
        <v>4010267.4997670599</v>
      </c>
      <c r="Q125" s="5">
        <v>6394293.1921431003</v>
      </c>
      <c r="R125" s="5">
        <v>3727157.4686121801</v>
      </c>
      <c r="S125" s="5">
        <v>5358823.6847256999</v>
      </c>
      <c r="T125" s="5">
        <v>5832200.8551284103</v>
      </c>
      <c r="U125" s="5">
        <v>6585827.3698528903</v>
      </c>
      <c r="V125" s="5">
        <v>4907959.6675402597</v>
      </c>
      <c r="W125" s="5">
        <v>4409032.0807079803</v>
      </c>
      <c r="X125" s="5">
        <v>4212131.7327130698</v>
      </c>
      <c r="Y125" s="5">
        <v>6285954.2567904899</v>
      </c>
      <c r="Z125" s="5">
        <v>4219997.9995448003</v>
      </c>
      <c r="AA125" s="5">
        <v>3942963.4790602699</v>
      </c>
      <c r="AB125" s="5">
        <v>3968616.80954014</v>
      </c>
      <c r="AC125" s="5">
        <v>3870750.2466501598</v>
      </c>
      <c r="AD125">
        <f t="shared" si="5"/>
        <v>4000582.1336988425</v>
      </c>
      <c r="AE125">
        <f t="shared" si="6"/>
        <v>152032.15930682039</v>
      </c>
      <c r="AF125">
        <f t="shared" si="7"/>
        <v>3.8002509191394876E-2</v>
      </c>
    </row>
    <row r="126" spans="1:32" x14ac:dyDescent="0.45">
      <c r="A126" s="5" t="s">
        <v>82</v>
      </c>
      <c r="B126" s="2">
        <f t="shared" si="4"/>
        <v>1915203.895642506</v>
      </c>
      <c r="C126" s="7">
        <v>1537116.6235648475</v>
      </c>
      <c r="D126" s="8">
        <v>0.22979577901305887</v>
      </c>
      <c r="E126" s="5">
        <v>3817331.48818549</v>
      </c>
      <c r="F126" s="5">
        <v>2061332.5327750701</v>
      </c>
      <c r="G126" s="5">
        <v>912876.53436819697</v>
      </c>
      <c r="H126" s="5">
        <v>222182.91630456501</v>
      </c>
      <c r="I126" s="5">
        <v>6177017.2384781605</v>
      </c>
      <c r="J126" s="5">
        <v>2238714.0286912201</v>
      </c>
      <c r="K126" s="5">
        <v>1769067.2145023099</v>
      </c>
      <c r="L126" s="5">
        <v>2830826.2436436401</v>
      </c>
      <c r="M126" s="5">
        <v>2471613.8364964002</v>
      </c>
      <c r="N126" s="5">
        <v>1486090.0234030499</v>
      </c>
      <c r="O126" s="5">
        <v>316576.31740947202</v>
      </c>
      <c r="P126" s="5">
        <v>1325424.69735772</v>
      </c>
      <c r="Q126" s="5">
        <v>2894423.9244425399</v>
      </c>
      <c r="R126" s="5">
        <v>1015917.90471001</v>
      </c>
      <c r="S126" s="5">
        <v>1964796.2250552899</v>
      </c>
      <c r="T126" s="5">
        <v>633690.91466403403</v>
      </c>
      <c r="U126" s="5">
        <v>1036886.30555078</v>
      </c>
      <c r="V126" s="5">
        <v>1415573.7235566101</v>
      </c>
      <c r="W126" s="5">
        <v>2935261.9254704202</v>
      </c>
      <c r="X126" s="5">
        <v>1947750.09321573</v>
      </c>
      <c r="Y126" s="5">
        <v>745927.720211918</v>
      </c>
      <c r="Z126" s="5">
        <v>1023452.55706513</v>
      </c>
      <c r="AA126" s="5">
        <v>1685330.5591754401</v>
      </c>
      <c r="AB126" s="5">
        <v>1824015.1826755099</v>
      </c>
      <c r="AC126" s="5">
        <v>1615668.19534331</v>
      </c>
      <c r="AD126">
        <f t="shared" si="5"/>
        <v>1537116.6235648475</v>
      </c>
      <c r="AE126">
        <f t="shared" si="6"/>
        <v>353222.91194600688</v>
      </c>
      <c r="AF126">
        <f t="shared" si="7"/>
        <v>0.22979577901305887</v>
      </c>
    </row>
    <row r="127" spans="1:32" x14ac:dyDescent="0.45">
      <c r="A127" s="5" t="s">
        <v>197</v>
      </c>
      <c r="B127" s="2">
        <f t="shared" si="4"/>
        <v>2382843.2789945812</v>
      </c>
      <c r="C127" s="7">
        <v>1971895.7772735124</v>
      </c>
      <c r="D127" s="7">
        <v>0.10252059660385661</v>
      </c>
      <c r="E127" s="5">
        <v>1327236.6618250201</v>
      </c>
      <c r="F127" s="5">
        <v>4502250.3721924704</v>
      </c>
      <c r="G127" s="5">
        <v>672410.48298986605</v>
      </c>
      <c r="H127" s="5">
        <v>54900.030418896</v>
      </c>
      <c r="I127" s="5">
        <v>785934.34515457996</v>
      </c>
      <c r="J127" s="5">
        <v>5325958.7987109898</v>
      </c>
      <c r="K127" s="5">
        <v>9131868.7896382995</v>
      </c>
      <c r="L127" s="5">
        <v>579144.29663952498</v>
      </c>
      <c r="M127" s="5">
        <v>754265.620910628</v>
      </c>
      <c r="N127" s="5">
        <v>5958095.9808247201</v>
      </c>
      <c r="O127" s="5">
        <v>91538.5283961479</v>
      </c>
      <c r="P127" s="5">
        <v>6359785.5957612004</v>
      </c>
      <c r="Q127" s="5">
        <v>549421.92280944297</v>
      </c>
      <c r="R127" s="5">
        <v>747348.12271127698</v>
      </c>
      <c r="S127" s="5">
        <v>1195758.0404618001</v>
      </c>
      <c r="T127" s="5">
        <v>278593.91768379201</v>
      </c>
      <c r="U127" s="5">
        <v>596121.97112851299</v>
      </c>
      <c r="V127" s="5">
        <v>390279.372479757</v>
      </c>
      <c r="W127" s="5">
        <v>4451364.62938789</v>
      </c>
      <c r="X127" s="5">
        <v>5938793.3551680297</v>
      </c>
      <c r="Y127" s="5">
        <v>348638.023593347</v>
      </c>
      <c r="Z127" s="5">
        <v>2142603.3317736899</v>
      </c>
      <c r="AA127" s="5">
        <v>1971126.74501205</v>
      </c>
      <c r="AB127" s="5">
        <v>2085703.6558109301</v>
      </c>
      <c r="AC127" s="5">
        <v>1688149.37649738</v>
      </c>
      <c r="AD127">
        <f t="shared" si="5"/>
        <v>1971895.7772735124</v>
      </c>
      <c r="AE127">
        <f t="shared" si="6"/>
        <v>202159.93152670606</v>
      </c>
      <c r="AF127">
        <f t="shared" si="7"/>
        <v>0.10252059660385661</v>
      </c>
    </row>
    <row r="128" spans="1:32" x14ac:dyDescent="0.45">
      <c r="A128" s="5" t="s">
        <v>198</v>
      </c>
      <c r="B128" s="2">
        <f t="shared" si="4"/>
        <v>3472267.6311754351</v>
      </c>
      <c r="C128" s="7">
        <v>2693525.1897374452</v>
      </c>
      <c r="D128" s="8">
        <v>0.15529790219510273</v>
      </c>
      <c r="E128" s="5">
        <v>7606818.4743095599</v>
      </c>
      <c r="F128" s="5">
        <v>3879767.1552091399</v>
      </c>
      <c r="G128" s="5">
        <v>1728630.1200800501</v>
      </c>
      <c r="H128" s="5">
        <v>445264.39389373001</v>
      </c>
      <c r="I128" s="5">
        <v>10800100.447420301</v>
      </c>
      <c r="J128" s="5">
        <v>3871114.0779098701</v>
      </c>
      <c r="K128" s="5">
        <v>3223579.3815412</v>
      </c>
      <c r="L128" s="5">
        <v>5723965.9973688498</v>
      </c>
      <c r="M128" s="5">
        <v>4654543.71351997</v>
      </c>
      <c r="N128" s="5">
        <v>2657658.7135159401</v>
      </c>
      <c r="O128" s="5">
        <v>679173.83263491397</v>
      </c>
      <c r="P128" s="5">
        <v>2434438.91873476</v>
      </c>
      <c r="Q128" s="5">
        <v>4737752.0207197899</v>
      </c>
      <c r="R128" s="5">
        <v>1731715.4713004299</v>
      </c>
      <c r="S128" s="5">
        <v>3439347.0956808599</v>
      </c>
      <c r="T128" s="5">
        <v>1305299.7485634801</v>
      </c>
      <c r="U128" s="5">
        <v>2008377.67481737</v>
      </c>
      <c r="V128" s="5">
        <v>2431452.9718072</v>
      </c>
      <c r="W128" s="5">
        <v>4770568.0246270997</v>
      </c>
      <c r="X128" s="5">
        <v>3325280.4274855298</v>
      </c>
      <c r="Y128" s="5">
        <v>1462771.5935440999</v>
      </c>
      <c r="Z128" s="5">
        <v>2077007.8245627501</v>
      </c>
      <c r="AA128" s="5">
        <v>2984939.63774744</v>
      </c>
      <c r="AB128" s="5">
        <v>2915489.1537417099</v>
      </c>
      <c r="AC128" s="5">
        <v>2796664.1428978802</v>
      </c>
      <c r="AD128">
        <f t="shared" si="5"/>
        <v>2693525.1897374452</v>
      </c>
      <c r="AE128">
        <f t="shared" si="6"/>
        <v>418298.81147589127</v>
      </c>
      <c r="AF128">
        <f t="shared" si="7"/>
        <v>0.15529790219510273</v>
      </c>
    </row>
    <row r="129" spans="1:32" x14ac:dyDescent="0.45">
      <c r="A129" s="5" t="s">
        <v>254</v>
      </c>
      <c r="B129" s="2">
        <f t="shared" si="4"/>
        <v>3015631.195235793</v>
      </c>
      <c r="C129" s="2">
        <v>2824793.0924620475</v>
      </c>
      <c r="D129" s="2">
        <v>6.2771977218332928E-2</v>
      </c>
      <c r="E129" s="5">
        <v>7693875.3134938804</v>
      </c>
      <c r="F129" s="5">
        <v>3128004.37924289</v>
      </c>
      <c r="G129" s="5">
        <v>1581570.0937738901</v>
      </c>
      <c r="H129" s="5">
        <v>382461.92611731001</v>
      </c>
      <c r="I129" s="5">
        <v>8801609.0481851306</v>
      </c>
      <c r="J129" s="5">
        <v>3281732.66419798</v>
      </c>
      <c r="K129" s="5">
        <v>2780733.7666493398</v>
      </c>
      <c r="L129" s="5">
        <v>5229569.2813806599</v>
      </c>
      <c r="M129" s="5">
        <v>4204157.9041502103</v>
      </c>
      <c r="N129" s="5">
        <v>2126124.6890369998</v>
      </c>
      <c r="O129" s="5">
        <v>520074.05354714597</v>
      </c>
      <c r="P129" s="5">
        <v>1988885.3880079701</v>
      </c>
      <c r="Q129" s="5">
        <v>3758921.7504485901</v>
      </c>
      <c r="R129" s="5">
        <v>1667192.65836536</v>
      </c>
      <c r="S129" s="5">
        <v>3186189.2142236698</v>
      </c>
      <c r="T129" s="5">
        <v>1152096.06627787</v>
      </c>
      <c r="U129" s="5">
        <v>1552492.4157336999</v>
      </c>
      <c r="V129" s="5">
        <v>2095875.6465861599</v>
      </c>
      <c r="W129" s="5">
        <v>3891350.60412713</v>
      </c>
      <c r="X129" s="5">
        <v>3048223.8843292599</v>
      </c>
      <c r="Y129" s="5">
        <v>1257114.35207651</v>
      </c>
      <c r="Z129" s="5">
        <v>2590627.1712459298</v>
      </c>
      <c r="AA129" s="5">
        <v>2783980.8474185001</v>
      </c>
      <c r="AB129" s="5">
        <v>2959196.4570576898</v>
      </c>
      <c r="AC129" s="5">
        <v>2965367.8941260702</v>
      </c>
      <c r="AD129">
        <f t="shared" si="5"/>
        <v>2824793.0924620475</v>
      </c>
      <c r="AE129">
        <f t="shared" si="6"/>
        <v>177317.84764653188</v>
      </c>
      <c r="AF129">
        <f t="shared" si="7"/>
        <v>6.2771977218332928E-2</v>
      </c>
    </row>
    <row r="130" spans="1:32" x14ac:dyDescent="0.45">
      <c r="A130" s="5" t="s">
        <v>199</v>
      </c>
      <c r="B130" s="2">
        <f t="shared" ref="B130:B193" si="8">AVERAGE(E130:Y130)</f>
        <v>480757.7299052985</v>
      </c>
      <c r="C130" s="7">
        <v>371281.98996735195</v>
      </c>
      <c r="D130" s="8">
        <v>0.2410808097368595</v>
      </c>
      <c r="E130" s="5">
        <v>114555.578011077</v>
      </c>
      <c r="F130" s="5">
        <v>980643.56653871504</v>
      </c>
      <c r="G130" s="5">
        <v>478651.50440305</v>
      </c>
      <c r="H130" s="5">
        <v>22010.70466068</v>
      </c>
      <c r="I130" s="5">
        <v>272107.78250319901</v>
      </c>
      <c r="J130" s="5">
        <v>1368156.15549988</v>
      </c>
      <c r="K130" s="5">
        <v>560967.43528582598</v>
      </c>
      <c r="L130" s="5">
        <v>62802.082372278397</v>
      </c>
      <c r="M130" s="5">
        <v>402575.39913617098</v>
      </c>
      <c r="N130" s="5">
        <v>1317750.7476373301</v>
      </c>
      <c r="O130" s="5">
        <v>21976.922528695999</v>
      </c>
      <c r="P130" s="5">
        <v>1105765.72003281</v>
      </c>
      <c r="Q130" s="5">
        <v>22307.022737536499</v>
      </c>
      <c r="R130" s="5">
        <v>63852.0437258702</v>
      </c>
      <c r="S130" s="5">
        <v>137156.70499500199</v>
      </c>
      <c r="T130" s="5">
        <v>35402.880494534002</v>
      </c>
      <c r="U130" s="5">
        <v>599402.06226415897</v>
      </c>
      <c r="V130" s="5">
        <v>249224.44409263</v>
      </c>
      <c r="W130" s="5">
        <v>835381.47758669499</v>
      </c>
      <c r="X130" s="5">
        <v>1354155.4798819099</v>
      </c>
      <c r="Y130" s="5">
        <v>91066.613623217607</v>
      </c>
      <c r="Z130" s="5">
        <v>241141.85110690299</v>
      </c>
      <c r="AA130" s="5">
        <v>435541.14992185298</v>
      </c>
      <c r="AB130" s="5">
        <v>424218.93139902299</v>
      </c>
      <c r="AC130" s="5">
        <v>384226.02744162898</v>
      </c>
      <c r="AD130">
        <f t="shared" ref="AD130:AD193" si="9">AVERAGE(Z130:AC130)</f>
        <v>371281.98996735195</v>
      </c>
      <c r="AE130">
        <f t="shared" ref="AE130:AE193" si="10">STDEV(Z130:AC130)</f>
        <v>89508.962782041752</v>
      </c>
      <c r="AF130">
        <f t="shared" ref="AF130:AF193" si="11">AE130/AD130</f>
        <v>0.2410808097368595</v>
      </c>
    </row>
    <row r="131" spans="1:32" x14ac:dyDescent="0.45">
      <c r="A131" s="5" t="s">
        <v>200</v>
      </c>
      <c r="B131" s="2">
        <f t="shared" si="8"/>
        <v>11491550.668880051</v>
      </c>
      <c r="C131" s="7">
        <v>9100029.5322933719</v>
      </c>
      <c r="D131" s="7">
        <v>5.0119351687680551E-2</v>
      </c>
      <c r="E131" s="5">
        <v>13248928.406089401</v>
      </c>
      <c r="F131" s="5">
        <v>5508598.9076607404</v>
      </c>
      <c r="G131" s="5">
        <v>12607435.087302599</v>
      </c>
      <c r="H131" s="5">
        <v>22310993.188751101</v>
      </c>
      <c r="I131" s="5">
        <v>11729896.6964486</v>
      </c>
      <c r="J131" s="5">
        <v>2501285.4705204102</v>
      </c>
      <c r="K131" s="5">
        <v>4927003.0268530203</v>
      </c>
      <c r="L131" s="5">
        <v>19294444.321309999</v>
      </c>
      <c r="M131" s="5">
        <v>13452749.3044431</v>
      </c>
      <c r="N131" s="5">
        <v>4245553.4838356301</v>
      </c>
      <c r="O131" s="5">
        <v>13803689.142287999</v>
      </c>
      <c r="P131" s="5">
        <v>4613166.8351722797</v>
      </c>
      <c r="Q131" s="5">
        <v>13293307.0731005</v>
      </c>
      <c r="R131" s="5">
        <v>12881505.3165306</v>
      </c>
      <c r="S131" s="5">
        <v>15189892.568282301</v>
      </c>
      <c r="T131" s="5">
        <v>11187602.4646006</v>
      </c>
      <c r="U131" s="5">
        <v>9057796.8608388007</v>
      </c>
      <c r="V131" s="5">
        <v>19172221.962430902</v>
      </c>
      <c r="W131" s="5">
        <v>11659734.8328193</v>
      </c>
      <c r="X131" s="5">
        <v>3850423.3883243599</v>
      </c>
      <c r="Y131" s="5">
        <v>16786335.7088788</v>
      </c>
      <c r="Z131" s="5">
        <v>9005528.27826038</v>
      </c>
      <c r="AA131" s="5">
        <v>9635719.0231392998</v>
      </c>
      <c r="AB131" s="5">
        <v>9219163.5371590201</v>
      </c>
      <c r="AC131" s="5">
        <v>8539707.2906147894</v>
      </c>
      <c r="AD131">
        <f t="shared" si="9"/>
        <v>9100029.5322933719</v>
      </c>
      <c r="AE131">
        <f t="shared" si="10"/>
        <v>456087.58049729065</v>
      </c>
      <c r="AF131">
        <f t="shared" si="11"/>
        <v>5.0119351687680551E-2</v>
      </c>
    </row>
    <row r="132" spans="1:32" x14ac:dyDescent="0.45">
      <c r="A132" s="5" t="s">
        <v>255</v>
      </c>
      <c r="B132" s="2">
        <f t="shared" si="8"/>
        <v>12284870.685473099</v>
      </c>
      <c r="C132" s="2">
        <v>9002664.6216223277</v>
      </c>
      <c r="D132" s="2">
        <v>6.3101450212062177E-2</v>
      </c>
      <c r="E132" s="5">
        <v>11482150.313389201</v>
      </c>
      <c r="F132" s="5">
        <v>6886130.50091305</v>
      </c>
      <c r="G132" s="5">
        <v>6920243.87765247</v>
      </c>
      <c r="H132" s="5">
        <v>15654388.957139</v>
      </c>
      <c r="I132" s="5">
        <v>9828483.8981065992</v>
      </c>
      <c r="J132" s="5">
        <v>7359740.9422214096</v>
      </c>
      <c r="K132" s="5">
        <v>9189021.26100697</v>
      </c>
      <c r="L132" s="5">
        <v>22275686.261404801</v>
      </c>
      <c r="M132" s="5">
        <v>15058898.2647507</v>
      </c>
      <c r="N132" s="5">
        <v>7887571.32460442</v>
      </c>
      <c r="O132" s="5">
        <v>13841260.2312741</v>
      </c>
      <c r="P132" s="5">
        <v>11603821.878042599</v>
      </c>
      <c r="Q132" s="5">
        <v>4221465.16052189</v>
      </c>
      <c r="R132" s="5">
        <v>15458235.420628499</v>
      </c>
      <c r="S132" s="5">
        <v>18695214.5931498</v>
      </c>
      <c r="T132" s="5">
        <v>13067475.9046055</v>
      </c>
      <c r="U132" s="5">
        <v>12457428.5929677</v>
      </c>
      <c r="V132" s="5">
        <v>22438914.3555949</v>
      </c>
      <c r="W132" s="5">
        <v>12366215.524513001</v>
      </c>
      <c r="X132" s="5">
        <v>7925948.7581976801</v>
      </c>
      <c r="Y132" s="5">
        <v>13363988.374250799</v>
      </c>
      <c r="Z132" s="5">
        <v>8836135.9099188894</v>
      </c>
      <c r="AA132" s="5">
        <v>9743986.0647009108</v>
      </c>
      <c r="AB132" s="5">
        <v>9051174.5606271308</v>
      </c>
      <c r="AC132" s="5">
        <v>8379361.9512423798</v>
      </c>
      <c r="AD132">
        <f t="shared" si="9"/>
        <v>9002664.6216223277</v>
      </c>
      <c r="AE132">
        <f t="shared" si="10"/>
        <v>568081.19339719485</v>
      </c>
      <c r="AF132">
        <f t="shared" si="11"/>
        <v>6.3101450212062177E-2</v>
      </c>
    </row>
    <row r="133" spans="1:32" x14ac:dyDescent="0.45">
      <c r="A133" s="5" t="s">
        <v>83</v>
      </c>
      <c r="B133" s="2">
        <f t="shared" si="8"/>
        <v>3462832.9043917549</v>
      </c>
      <c r="C133" s="7">
        <v>2909027.2915434525</v>
      </c>
      <c r="D133" s="8">
        <v>2.7311378238843463E-2</v>
      </c>
      <c r="E133" s="5">
        <v>2335907.8953517098</v>
      </c>
      <c r="F133" s="5">
        <v>2004257.75242849</v>
      </c>
      <c r="G133" s="5">
        <v>1507868.70503488</v>
      </c>
      <c r="H133" s="5">
        <v>570605.82436683797</v>
      </c>
      <c r="I133" s="5">
        <v>2524515.1757165999</v>
      </c>
      <c r="J133" s="5">
        <v>19047051.433453299</v>
      </c>
      <c r="K133" s="5">
        <v>4867578.8593863603</v>
      </c>
      <c r="L133" s="5">
        <v>5498684.8637772398</v>
      </c>
      <c r="M133" s="5">
        <v>1661383.56558163</v>
      </c>
      <c r="N133" s="5">
        <v>1937569.46646095</v>
      </c>
      <c r="O133" s="5">
        <v>1055647.52635008</v>
      </c>
      <c r="P133" s="5">
        <v>1491719.4032395701</v>
      </c>
      <c r="Q133" s="5">
        <v>2455873.4931776999</v>
      </c>
      <c r="R133" s="5">
        <v>1625581.1241174201</v>
      </c>
      <c r="S133" s="5">
        <v>1387545.0745710901</v>
      </c>
      <c r="T133" s="5">
        <v>1091435.4097988601</v>
      </c>
      <c r="U133" s="5">
        <v>1545389.7000818399</v>
      </c>
      <c r="V133" s="5">
        <v>1402203.7011021799</v>
      </c>
      <c r="W133" s="5">
        <v>16092834.4112812</v>
      </c>
      <c r="X133" s="5">
        <v>1091971.2049533301</v>
      </c>
      <c r="Y133" s="5">
        <v>1523866.4019955799</v>
      </c>
      <c r="Z133" s="5">
        <v>2995606.8251708499</v>
      </c>
      <c r="AA133" s="5">
        <v>2906227.2599942</v>
      </c>
      <c r="AB133" s="5">
        <v>2930079.3077939898</v>
      </c>
      <c r="AC133" s="5">
        <v>2804195.77321477</v>
      </c>
      <c r="AD133">
        <f t="shared" si="9"/>
        <v>2909027.2915434525</v>
      </c>
      <c r="AE133">
        <f t="shared" si="10"/>
        <v>79449.544666461588</v>
      </c>
      <c r="AF133">
        <f t="shared" si="11"/>
        <v>2.7311378238843463E-2</v>
      </c>
    </row>
    <row r="134" spans="1:32" x14ac:dyDescent="0.45">
      <c r="A134" s="5" t="s">
        <v>201</v>
      </c>
      <c r="B134" s="2">
        <f t="shared" si="8"/>
        <v>15716359.474417172</v>
      </c>
      <c r="C134" s="7">
        <v>11872717.045297951</v>
      </c>
      <c r="D134" s="8">
        <v>4.6665395876864316E-2</v>
      </c>
      <c r="E134" s="5">
        <v>14404008.478018399</v>
      </c>
      <c r="F134" s="5">
        <v>12033657.993961601</v>
      </c>
      <c r="G134" s="5">
        <v>15735598.338361699</v>
      </c>
      <c r="H134" s="5">
        <v>17248943.3494443</v>
      </c>
      <c r="I134" s="5">
        <v>16833238.909796901</v>
      </c>
      <c r="J134" s="5">
        <v>13106138.030362001</v>
      </c>
      <c r="K134" s="5">
        <v>13049692.679515401</v>
      </c>
      <c r="L134" s="5">
        <v>14581666.5343842</v>
      </c>
      <c r="M134" s="5">
        <v>15729211.7025855</v>
      </c>
      <c r="N134" s="5">
        <v>11273542.3884368</v>
      </c>
      <c r="O134" s="5">
        <v>18734680.824965701</v>
      </c>
      <c r="P134" s="5">
        <v>13003430.883051701</v>
      </c>
      <c r="Q134" s="5">
        <v>19037712.719236299</v>
      </c>
      <c r="R134" s="5">
        <v>19732136.047267798</v>
      </c>
      <c r="S134" s="5">
        <v>18996949.753536101</v>
      </c>
      <c r="T134" s="5">
        <v>18195235.7683198</v>
      </c>
      <c r="U134" s="5">
        <v>17474689.846326001</v>
      </c>
      <c r="V134" s="5">
        <v>15440876.2809324</v>
      </c>
      <c r="W134" s="5">
        <v>10981473.060737399</v>
      </c>
      <c r="X134" s="5">
        <v>14521203.310427001</v>
      </c>
      <c r="Y134" s="5">
        <v>19929462.063093599</v>
      </c>
      <c r="Z134" s="5">
        <v>11197161.471377101</v>
      </c>
      <c r="AA134" s="5">
        <v>11745145.628660001</v>
      </c>
      <c r="AB134" s="5">
        <v>12525020.885620899</v>
      </c>
      <c r="AC134" s="5">
        <v>12023540.195533801</v>
      </c>
      <c r="AD134">
        <f t="shared" si="9"/>
        <v>11872717.045297951</v>
      </c>
      <c r="AE134">
        <f t="shared" si="10"/>
        <v>554045.04105282365</v>
      </c>
      <c r="AF134">
        <f t="shared" si="11"/>
        <v>4.6665395876864316E-2</v>
      </c>
    </row>
    <row r="135" spans="1:32" x14ac:dyDescent="0.45">
      <c r="A135" s="5" t="s">
        <v>84</v>
      </c>
      <c r="B135" s="2">
        <f t="shared" si="8"/>
        <v>158636483.88990417</v>
      </c>
      <c r="C135" s="7">
        <v>161509835.63130426</v>
      </c>
      <c r="D135" s="7">
        <v>5.2009131717773521E-2</v>
      </c>
      <c r="E135" s="5">
        <v>9798387.5825121291</v>
      </c>
      <c r="F135" s="5">
        <v>211626082.645271</v>
      </c>
      <c r="G135" s="5">
        <v>283166882.05496901</v>
      </c>
      <c r="H135" s="5">
        <v>4766174.5107802097</v>
      </c>
      <c r="I135" s="5">
        <v>2745356.21282579</v>
      </c>
      <c r="J135" s="5">
        <v>293074371.58816499</v>
      </c>
      <c r="K135" s="5">
        <v>452316797.39209801</v>
      </c>
      <c r="L135" s="5">
        <v>56242483.049944997</v>
      </c>
      <c r="M135" s="5">
        <v>3099711.6746671498</v>
      </c>
      <c r="N135" s="5">
        <v>92415121.298370302</v>
      </c>
      <c r="O135" s="5">
        <v>2032597.97516984</v>
      </c>
      <c r="P135" s="5">
        <v>207078958.79392299</v>
      </c>
      <c r="Q135" s="5">
        <v>4508653.6640287004</v>
      </c>
      <c r="R135" s="5">
        <v>444960193.04672903</v>
      </c>
      <c r="S135" s="5">
        <v>508747964.77663302</v>
      </c>
      <c r="T135" s="5">
        <v>1188303.82025409</v>
      </c>
      <c r="U135" s="5">
        <v>1893286.7222589599</v>
      </c>
      <c r="V135" s="5">
        <v>2677045.3261359101</v>
      </c>
      <c r="W135" s="5">
        <v>249568667.661724</v>
      </c>
      <c r="X135" s="5">
        <v>372218622.74692702</v>
      </c>
      <c r="Y135" s="5">
        <v>127240499.14459901</v>
      </c>
      <c r="Z135" s="5">
        <v>153770487.797268</v>
      </c>
      <c r="AA135" s="5">
        <v>172426660.50293601</v>
      </c>
      <c r="AB135" s="5">
        <v>163633007.66796899</v>
      </c>
      <c r="AC135" s="5">
        <v>156209186.557044</v>
      </c>
      <c r="AD135">
        <f t="shared" si="9"/>
        <v>161509835.63130426</v>
      </c>
      <c r="AE135">
        <f t="shared" si="10"/>
        <v>8399986.3150644545</v>
      </c>
      <c r="AF135">
        <f t="shared" si="11"/>
        <v>5.2009131717773521E-2</v>
      </c>
    </row>
    <row r="136" spans="1:32" x14ac:dyDescent="0.45">
      <c r="A136" s="5" t="s">
        <v>202</v>
      </c>
      <c r="B136" s="2">
        <f t="shared" si="8"/>
        <v>16450775.992299501</v>
      </c>
      <c r="C136" s="7">
        <v>13946383.186987726</v>
      </c>
      <c r="D136" s="8">
        <v>0.10596283666285088</v>
      </c>
      <c r="E136" s="5">
        <v>17383865.8977319</v>
      </c>
      <c r="F136" s="5">
        <v>10006744.203588299</v>
      </c>
      <c r="G136" s="5">
        <v>16855515.286508601</v>
      </c>
      <c r="H136" s="5">
        <v>27895466.683508299</v>
      </c>
      <c r="I136" s="5">
        <v>17946128.1013324</v>
      </c>
      <c r="J136" s="5">
        <v>8741122.1053736992</v>
      </c>
      <c r="K136" s="5">
        <v>8727187.2030931804</v>
      </c>
      <c r="L136" s="5">
        <v>19929995.6655288</v>
      </c>
      <c r="M136" s="5">
        <v>18649515.279874701</v>
      </c>
      <c r="N136" s="5">
        <v>10014177.4972053</v>
      </c>
      <c r="O136" s="5">
        <v>21655244.974272698</v>
      </c>
      <c r="P136" s="5">
        <v>9895802.2851288095</v>
      </c>
      <c r="Q136" s="5">
        <v>16095272.2009202</v>
      </c>
      <c r="R136" s="5">
        <v>15892224.108408401</v>
      </c>
      <c r="S136" s="5">
        <v>23336315.889441501</v>
      </c>
      <c r="T136" s="5">
        <v>20293095.611139301</v>
      </c>
      <c r="U136" s="5">
        <v>20185904.833461601</v>
      </c>
      <c r="V136" s="5">
        <v>17700446.763925701</v>
      </c>
      <c r="W136" s="5">
        <v>10621328.4526507</v>
      </c>
      <c r="X136" s="5">
        <v>10177991.4878616</v>
      </c>
      <c r="Y136" s="5">
        <v>23462951.307333801</v>
      </c>
      <c r="Z136" s="5">
        <v>11761941.691720599</v>
      </c>
      <c r="AA136" s="5">
        <v>14321185.189870801</v>
      </c>
      <c r="AB136" s="5">
        <v>14882864.6025053</v>
      </c>
      <c r="AC136" s="5">
        <v>14819541.2638542</v>
      </c>
      <c r="AD136">
        <f t="shared" si="9"/>
        <v>13946383.186987726</v>
      </c>
      <c r="AE136">
        <f t="shared" si="10"/>
        <v>1477798.32368031</v>
      </c>
      <c r="AF136">
        <f t="shared" si="11"/>
        <v>0.10596283666285088</v>
      </c>
    </row>
    <row r="137" spans="1:32" x14ac:dyDescent="0.45">
      <c r="A137" s="5" t="s">
        <v>256</v>
      </c>
      <c r="B137" s="2">
        <f t="shared" si="8"/>
        <v>4585956.0473498832</v>
      </c>
      <c r="C137" s="2">
        <v>3739890.7289673151</v>
      </c>
      <c r="D137" s="2">
        <v>7.0102264782330892E-2</v>
      </c>
      <c r="E137" s="5">
        <v>10265647.939507499</v>
      </c>
      <c r="F137" s="5">
        <v>2755627.7715200898</v>
      </c>
      <c r="G137" s="5">
        <v>307384.72313806799</v>
      </c>
      <c r="H137" s="5">
        <v>4356998.93933459</v>
      </c>
      <c r="I137" s="5">
        <v>6901061.0214074701</v>
      </c>
      <c r="J137" s="5">
        <v>3335073.9435701198</v>
      </c>
      <c r="K137" s="5">
        <v>992188.04405872501</v>
      </c>
      <c r="L137" s="5">
        <v>6854642.2841392197</v>
      </c>
      <c r="M137" s="5">
        <v>3946384.43140226</v>
      </c>
      <c r="N137" s="5">
        <v>190530.00289573401</v>
      </c>
      <c r="O137" s="5">
        <v>4018921.1618685699</v>
      </c>
      <c r="P137" s="5">
        <v>2335325.5989711802</v>
      </c>
      <c r="Q137" s="5">
        <v>12881434.877404699</v>
      </c>
      <c r="R137" s="5">
        <v>852728.909255423</v>
      </c>
      <c r="S137" s="5">
        <v>4663530.7860215101</v>
      </c>
      <c r="T137" s="5">
        <v>4190079.7718749801</v>
      </c>
      <c r="U137" s="5">
        <v>7356507.7736356296</v>
      </c>
      <c r="V137" s="5">
        <v>8686805.6535754595</v>
      </c>
      <c r="W137" s="5">
        <v>3521261.7701698099</v>
      </c>
      <c r="X137" s="5">
        <v>2570210.6961544799</v>
      </c>
      <c r="Y137" s="5">
        <v>5322730.8944420498</v>
      </c>
      <c r="Z137" s="5">
        <v>3903715.4304010901</v>
      </c>
      <c r="AA137" s="5">
        <v>3831926.5920023001</v>
      </c>
      <c r="AB137" s="5">
        <v>3874796.3709373199</v>
      </c>
      <c r="AC137" s="5">
        <v>3349124.5225285501</v>
      </c>
      <c r="AD137">
        <f t="shared" si="9"/>
        <v>3739890.7289673151</v>
      </c>
      <c r="AE137">
        <f t="shared" si="10"/>
        <v>262174.81013905123</v>
      </c>
      <c r="AF137">
        <f t="shared" si="11"/>
        <v>7.0102264782330892E-2</v>
      </c>
    </row>
    <row r="138" spans="1:32" x14ac:dyDescent="0.45">
      <c r="A138" s="5" t="s">
        <v>257</v>
      </c>
      <c r="B138" s="2">
        <f t="shared" si="8"/>
        <v>11747065.878856506</v>
      </c>
      <c r="C138" s="2">
        <v>11426839.054901998</v>
      </c>
      <c r="D138" s="2">
        <v>2.9355146328860545E-2</v>
      </c>
      <c r="E138" s="5">
        <v>7248516.2754948502</v>
      </c>
      <c r="F138" s="5">
        <v>9969538.5819119606</v>
      </c>
      <c r="G138" s="5">
        <v>28388133.157404698</v>
      </c>
      <c r="H138" s="5">
        <v>2844499.2187181199</v>
      </c>
      <c r="I138" s="5">
        <v>4877599.6926372303</v>
      </c>
      <c r="J138" s="5">
        <v>12140117.016380999</v>
      </c>
      <c r="K138" s="5">
        <v>14904809.139099199</v>
      </c>
      <c r="L138" s="5">
        <v>12482662.393856799</v>
      </c>
      <c r="M138" s="5">
        <v>4921907.4365038602</v>
      </c>
      <c r="N138" s="5">
        <v>3066729.84629102</v>
      </c>
      <c r="O138" s="5">
        <v>5324983.0703873904</v>
      </c>
      <c r="P138" s="5">
        <v>7203610.2383067599</v>
      </c>
      <c r="Q138" s="5">
        <v>1754337.5682906499</v>
      </c>
      <c r="R138" s="5">
        <v>25646579.734976299</v>
      </c>
      <c r="S138" s="5">
        <v>57920178.943626001</v>
      </c>
      <c r="T138" s="5">
        <v>3123437.6151390099</v>
      </c>
      <c r="U138" s="5">
        <v>3346124.6830762201</v>
      </c>
      <c r="V138" s="5">
        <v>4063412.01289867</v>
      </c>
      <c r="W138" s="5">
        <v>13686481.882195501</v>
      </c>
      <c r="X138" s="5">
        <v>13094808.762709999</v>
      </c>
      <c r="Y138" s="5">
        <v>10679916.1860814</v>
      </c>
      <c r="Z138" s="5">
        <v>11450447.5095382</v>
      </c>
      <c r="AA138" s="5">
        <v>11285107.614255499</v>
      </c>
      <c r="AB138" s="5">
        <v>11092243.7673462</v>
      </c>
      <c r="AC138" s="5">
        <v>11879557.328468099</v>
      </c>
      <c r="AD138">
        <f t="shared" si="9"/>
        <v>11426839.054901998</v>
      </c>
      <c r="AE138">
        <f t="shared" si="10"/>
        <v>335436.53253298672</v>
      </c>
      <c r="AF138">
        <f t="shared" si="11"/>
        <v>2.9355146328860545E-2</v>
      </c>
    </row>
    <row r="139" spans="1:32" x14ac:dyDescent="0.45">
      <c r="A139" s="5" t="s">
        <v>258</v>
      </c>
      <c r="B139" s="2">
        <f t="shared" si="8"/>
        <v>2229411.9466729788</v>
      </c>
      <c r="C139" s="2">
        <v>1757992.152649475</v>
      </c>
      <c r="D139" s="2">
        <v>0.16453236073575983</v>
      </c>
      <c r="E139" s="5">
        <v>541825.93248777499</v>
      </c>
      <c r="F139" s="5">
        <v>4915826.79078143</v>
      </c>
      <c r="G139" s="5">
        <v>2372432.3823320498</v>
      </c>
      <c r="H139" s="5">
        <v>48362.438470562702</v>
      </c>
      <c r="I139" s="5">
        <v>1156550.6572743601</v>
      </c>
      <c r="J139" s="5">
        <v>6186545.9079758096</v>
      </c>
      <c r="K139" s="5">
        <v>8752954.5729784891</v>
      </c>
      <c r="L139" s="5">
        <v>568276.46772173</v>
      </c>
      <c r="M139" s="5">
        <v>311543.50262293301</v>
      </c>
      <c r="N139" s="5">
        <v>4327769.5829971004</v>
      </c>
      <c r="O139" s="5">
        <v>51494.632698242298</v>
      </c>
      <c r="P139" s="5">
        <v>2392610.7179528102</v>
      </c>
      <c r="Q139" s="5">
        <v>6757606.74580424</v>
      </c>
      <c r="R139" s="5">
        <v>1675520.56846079</v>
      </c>
      <c r="S139" s="5">
        <v>157324.92121514701</v>
      </c>
      <c r="T139" s="5">
        <v>68494.964588957504</v>
      </c>
      <c r="U139" s="5">
        <v>196063.403373357</v>
      </c>
      <c r="V139" s="5">
        <v>352264.27453266701</v>
      </c>
      <c r="W139" s="5">
        <v>3076206.5445508701</v>
      </c>
      <c r="X139" s="5">
        <v>2632313.5402413802</v>
      </c>
      <c r="Y139" s="5">
        <v>275662.33107184299</v>
      </c>
      <c r="Z139" s="5">
        <v>1516999.87342646</v>
      </c>
      <c r="AA139" s="5">
        <v>1679877.5825592601</v>
      </c>
      <c r="AB139" s="5">
        <v>1656876.2179568401</v>
      </c>
      <c r="AC139" s="5">
        <v>2178214.9366553398</v>
      </c>
      <c r="AD139">
        <f t="shared" si="9"/>
        <v>1757992.152649475</v>
      </c>
      <c r="AE139">
        <f t="shared" si="10"/>
        <v>289246.59903035837</v>
      </c>
      <c r="AF139">
        <f t="shared" si="11"/>
        <v>0.16453236073575983</v>
      </c>
    </row>
    <row r="140" spans="1:32" x14ac:dyDescent="0.45">
      <c r="A140" s="5" t="s">
        <v>259</v>
      </c>
      <c r="B140" s="2">
        <f t="shared" si="8"/>
        <v>34405916.447859392</v>
      </c>
      <c r="C140" s="2">
        <v>32253631.879818097</v>
      </c>
      <c r="D140" s="2">
        <v>7.2003702521875046E-2</v>
      </c>
      <c r="E140" s="5">
        <v>48432845.968585901</v>
      </c>
      <c r="F140" s="5">
        <v>30207296.3291706</v>
      </c>
      <c r="G140" s="5">
        <v>36048286.316983297</v>
      </c>
      <c r="H140" s="5">
        <v>42752553.507318497</v>
      </c>
      <c r="I140" s="5">
        <v>43560298.101821303</v>
      </c>
      <c r="J140" s="5">
        <v>21658834.818319499</v>
      </c>
      <c r="K140" s="5">
        <v>17007782.853417199</v>
      </c>
      <c r="L140" s="5">
        <v>56518838.707197897</v>
      </c>
      <c r="M140" s="5">
        <v>42402583.022204801</v>
      </c>
      <c r="N140" s="5">
        <v>21527990.493044201</v>
      </c>
      <c r="O140" s="5">
        <v>31198407.091005299</v>
      </c>
      <c r="P140" s="5">
        <v>24528914.4251188</v>
      </c>
      <c r="Q140" s="5">
        <v>49966099.946239702</v>
      </c>
      <c r="R140" s="5">
        <v>23561455.582049899</v>
      </c>
      <c r="S140" s="5">
        <v>34403179.155827403</v>
      </c>
      <c r="T140" s="5">
        <v>34740222.146774799</v>
      </c>
      <c r="U140" s="5">
        <v>37368672.335487597</v>
      </c>
      <c r="V140" s="5">
        <v>42745178.209367603</v>
      </c>
      <c r="W140" s="5">
        <v>34655437.778078601</v>
      </c>
      <c r="X140" s="5">
        <v>23443195.516431201</v>
      </c>
      <c r="Y140" s="5">
        <v>25796173.1006032</v>
      </c>
      <c r="Z140" s="5">
        <v>31184853.984762002</v>
      </c>
      <c r="AA140" s="5">
        <v>35654228.0414709</v>
      </c>
      <c r="AB140" s="5">
        <v>31702267.572784699</v>
      </c>
      <c r="AC140" s="5">
        <v>30473177.9202548</v>
      </c>
      <c r="AD140">
        <f t="shared" si="9"/>
        <v>32253631.879818097</v>
      </c>
      <c r="AE140">
        <f t="shared" si="10"/>
        <v>2322380.9151244876</v>
      </c>
      <c r="AF140">
        <f t="shared" si="11"/>
        <v>7.2003702521875046E-2</v>
      </c>
    </row>
    <row r="141" spans="1:32" x14ac:dyDescent="0.45">
      <c r="A141" s="5" t="s">
        <v>85</v>
      </c>
      <c r="B141" s="2">
        <f t="shared" si="8"/>
        <v>51177085.860815369</v>
      </c>
      <c r="C141" s="7">
        <v>40233769.435339876</v>
      </c>
      <c r="D141" s="7">
        <v>4.0123593720762248E-2</v>
      </c>
      <c r="E141" s="5">
        <v>64219914.485548697</v>
      </c>
      <c r="F141" s="5">
        <v>52493626.380338803</v>
      </c>
      <c r="G141" s="5">
        <v>34887080.419091202</v>
      </c>
      <c r="H141" s="5">
        <v>49997850.429141201</v>
      </c>
      <c r="I141" s="5">
        <v>37948667.102324098</v>
      </c>
      <c r="J141" s="5">
        <v>42739634.778640501</v>
      </c>
      <c r="K141" s="5">
        <v>60145977.727599896</v>
      </c>
      <c r="L141" s="5">
        <v>81739643.917994604</v>
      </c>
      <c r="M141" s="5">
        <v>57121560.069562599</v>
      </c>
      <c r="N141" s="5">
        <v>46162336.690043703</v>
      </c>
      <c r="O141" s="5">
        <v>38655597.124475896</v>
      </c>
      <c r="P141" s="5">
        <v>47334614.586535797</v>
      </c>
      <c r="Q141" s="5">
        <v>59990361.132868104</v>
      </c>
      <c r="R141" s="5">
        <v>34423727.743930399</v>
      </c>
      <c r="S141" s="5">
        <v>70863162.255552307</v>
      </c>
      <c r="T141" s="5">
        <v>38630548.994254902</v>
      </c>
      <c r="U141" s="5">
        <v>64042600.781485803</v>
      </c>
      <c r="V141" s="5">
        <v>38911527.698803499</v>
      </c>
      <c r="W141" s="5">
        <v>40826926.580809303</v>
      </c>
      <c r="X141" s="5">
        <v>39722338.0888891</v>
      </c>
      <c r="Y141" s="5">
        <v>73861106.089232102</v>
      </c>
      <c r="Z141" s="5">
        <v>40496222.800341196</v>
      </c>
      <c r="AA141" s="5">
        <v>41808442.390583701</v>
      </c>
      <c r="AB141" s="5">
        <v>40653512.4915286</v>
      </c>
      <c r="AC141" s="5">
        <v>37976900.058905996</v>
      </c>
      <c r="AD141">
        <f t="shared" si="9"/>
        <v>40233769.435339876</v>
      </c>
      <c r="AE141">
        <f t="shared" si="10"/>
        <v>1614323.4186783989</v>
      </c>
      <c r="AF141">
        <f t="shared" si="11"/>
        <v>4.0123593720762248E-2</v>
      </c>
    </row>
    <row r="142" spans="1:32" x14ac:dyDescent="0.45">
      <c r="A142" s="5" t="s">
        <v>86</v>
      </c>
      <c r="B142" s="2">
        <f t="shared" si="8"/>
        <v>41549815.614422515</v>
      </c>
      <c r="C142" s="7">
        <v>33316912.59622195</v>
      </c>
      <c r="D142" s="8">
        <v>4.2676187368244946E-2</v>
      </c>
      <c r="E142" s="5">
        <v>52423975.914278097</v>
      </c>
      <c r="F142" s="5">
        <v>27286905.239941601</v>
      </c>
      <c r="G142" s="5">
        <v>32246151.335876599</v>
      </c>
      <c r="H142" s="5">
        <v>42042246.628573999</v>
      </c>
      <c r="I142" s="5">
        <v>34873623.293730997</v>
      </c>
      <c r="J142" s="5">
        <v>23181737.920157</v>
      </c>
      <c r="K142" s="5">
        <v>23495979.889733002</v>
      </c>
      <c r="L142" s="5">
        <v>48745983.599147096</v>
      </c>
      <c r="M142" s="5">
        <v>53235807.696136497</v>
      </c>
      <c r="N142" s="5">
        <v>35980888.898759</v>
      </c>
      <c r="O142" s="5">
        <v>39676794.116836399</v>
      </c>
      <c r="P142" s="5">
        <v>26726927.1725621</v>
      </c>
      <c r="Q142" s="5">
        <v>65605197.112760603</v>
      </c>
      <c r="R142" s="5">
        <v>39779308.371073604</v>
      </c>
      <c r="S142" s="5">
        <v>41019603.605635002</v>
      </c>
      <c r="T142" s="5">
        <v>62270687.545855701</v>
      </c>
      <c r="U142" s="5">
        <v>63028331.631047897</v>
      </c>
      <c r="V142" s="5">
        <v>34223608.7122721</v>
      </c>
      <c r="W142" s="5">
        <v>29634246.306816101</v>
      </c>
      <c r="X142" s="5">
        <v>34725614.170797899</v>
      </c>
      <c r="Y142" s="5">
        <v>62342508.740881503</v>
      </c>
      <c r="Z142" s="5">
        <v>34528778.306596197</v>
      </c>
      <c r="AA142" s="5">
        <v>33994771.4130973</v>
      </c>
      <c r="AB142" s="5">
        <v>33456309.593060501</v>
      </c>
      <c r="AC142" s="5">
        <v>31287791.072133798</v>
      </c>
      <c r="AD142">
        <f t="shared" si="9"/>
        <v>33316912.59622195</v>
      </c>
      <c r="AE142">
        <f t="shared" si="10"/>
        <v>1421838.8044878081</v>
      </c>
      <c r="AF142">
        <f t="shared" si="11"/>
        <v>4.2676187368244946E-2</v>
      </c>
    </row>
    <row r="143" spans="1:32" x14ac:dyDescent="0.45">
      <c r="A143" s="5" t="s">
        <v>203</v>
      </c>
      <c r="B143" s="2">
        <f t="shared" si="8"/>
        <v>8745026.1782450434</v>
      </c>
      <c r="C143" s="7">
        <v>8481210.3227983546</v>
      </c>
      <c r="D143" s="8">
        <v>9.7358030781352814E-2</v>
      </c>
      <c r="E143" s="5">
        <v>13138507.3605968</v>
      </c>
      <c r="F143" s="5">
        <v>7228048.0012558401</v>
      </c>
      <c r="G143" s="5">
        <v>4764078.9432232399</v>
      </c>
      <c r="H143" s="5">
        <v>11139725.4514452</v>
      </c>
      <c r="I143" s="5">
        <v>18091460.664967999</v>
      </c>
      <c r="J143" s="5">
        <v>13440114.31098</v>
      </c>
      <c r="K143" s="5">
        <v>7894543.9655644698</v>
      </c>
      <c r="L143" s="5">
        <v>10472430.0901931</v>
      </c>
      <c r="M143" s="5">
        <v>6992174.1718047597</v>
      </c>
      <c r="N143" s="5">
        <v>17851249.818690501</v>
      </c>
      <c r="O143" s="5">
        <v>6141569.7646517903</v>
      </c>
      <c r="P143" s="5">
        <v>5669621.4876838401</v>
      </c>
      <c r="Q143" s="5">
        <v>6356250.5187540296</v>
      </c>
      <c r="R143" s="5">
        <v>3123842.16817362</v>
      </c>
      <c r="S143" s="5">
        <v>11107792.5845006</v>
      </c>
      <c r="T143" s="5">
        <v>6320441.9185552802</v>
      </c>
      <c r="U143" s="5">
        <v>2276649.5649567898</v>
      </c>
      <c r="V143" s="5">
        <v>5924806.5939363101</v>
      </c>
      <c r="W143" s="5">
        <v>13793617.3780044</v>
      </c>
      <c r="X143" s="5">
        <v>7346263.9068279397</v>
      </c>
      <c r="Y143" s="5">
        <v>4572361.0783793498</v>
      </c>
      <c r="Z143" s="5">
        <v>8962962.2928963304</v>
      </c>
      <c r="AA143" s="5">
        <v>9270247.3390842397</v>
      </c>
      <c r="AB143" s="5">
        <v>8283590.7791865095</v>
      </c>
      <c r="AC143" s="5">
        <v>7408040.8800263396</v>
      </c>
      <c r="AD143">
        <f t="shared" si="9"/>
        <v>8481210.3227983546</v>
      </c>
      <c r="AE143">
        <f t="shared" si="10"/>
        <v>825713.93567012949</v>
      </c>
      <c r="AF143">
        <f t="shared" si="11"/>
        <v>9.7358030781352814E-2</v>
      </c>
    </row>
    <row r="144" spans="1:32" x14ac:dyDescent="0.45">
      <c r="A144" s="5" t="s">
        <v>204</v>
      </c>
      <c r="B144" s="2">
        <f t="shared" si="8"/>
        <v>2717702.9853302054</v>
      </c>
      <c r="C144" s="7">
        <v>2006143.8475993928</v>
      </c>
      <c r="D144" s="8">
        <v>6.2371703223473143E-2</v>
      </c>
      <c r="E144" s="5">
        <v>2813988.2573324302</v>
      </c>
      <c r="F144" s="5">
        <v>1441701.8818021601</v>
      </c>
      <c r="G144" s="5">
        <v>2495189.71042204</v>
      </c>
      <c r="H144" s="5">
        <v>4988652.4294498097</v>
      </c>
      <c r="I144" s="5">
        <v>2761620.3254197598</v>
      </c>
      <c r="J144" s="5">
        <v>1390437.6918792699</v>
      </c>
      <c r="K144" s="5">
        <v>2261640.5716565801</v>
      </c>
      <c r="L144" s="5">
        <v>3783960.7146830098</v>
      </c>
      <c r="M144" s="5">
        <v>2596195.1577202701</v>
      </c>
      <c r="N144" s="5">
        <v>1791397.3752991101</v>
      </c>
      <c r="O144" s="5">
        <v>4515765.90521596</v>
      </c>
      <c r="P144" s="5">
        <v>1798962.1199087501</v>
      </c>
      <c r="Q144" s="5">
        <v>4411673.62617689</v>
      </c>
      <c r="R144" s="5">
        <v>1948314.82223813</v>
      </c>
      <c r="S144" s="5">
        <v>3168004.6721604201</v>
      </c>
      <c r="T144" s="5">
        <v>2214454.8926840802</v>
      </c>
      <c r="U144" s="5">
        <v>3252971.6912532002</v>
      </c>
      <c r="V144" s="5">
        <v>2439792.61736855</v>
      </c>
      <c r="W144" s="5">
        <v>2086345.45160649</v>
      </c>
      <c r="X144" s="5">
        <v>1744287.41278265</v>
      </c>
      <c r="Y144" s="5">
        <v>3166405.3648747602</v>
      </c>
      <c r="Z144" s="5">
        <v>1957517.6394286801</v>
      </c>
      <c r="AA144" s="5">
        <v>2042146.0812667101</v>
      </c>
      <c r="AB144" s="5">
        <v>1865436.0176705499</v>
      </c>
      <c r="AC144" s="5">
        <v>2159475.6520316298</v>
      </c>
      <c r="AD144">
        <f t="shared" si="9"/>
        <v>2006143.8475993928</v>
      </c>
      <c r="AE144">
        <f t="shared" si="10"/>
        <v>125126.60868606585</v>
      </c>
      <c r="AF144">
        <f t="shared" si="11"/>
        <v>6.2371703223473143E-2</v>
      </c>
    </row>
    <row r="145" spans="1:32" x14ac:dyDescent="0.45">
      <c r="A145" s="5" t="s">
        <v>205</v>
      </c>
      <c r="B145" s="2">
        <f t="shared" si="8"/>
        <v>4907393.3960290626</v>
      </c>
      <c r="C145" s="8">
        <v>3927780.0953516173</v>
      </c>
      <c r="D145" s="7">
        <v>0.11503535464685942</v>
      </c>
      <c r="E145" s="5">
        <v>5799965.8621108402</v>
      </c>
      <c r="F145" s="5">
        <v>4804079.3379095998</v>
      </c>
      <c r="G145" s="5">
        <v>7255441.6732078902</v>
      </c>
      <c r="H145" s="5">
        <v>4157463.7580504301</v>
      </c>
      <c r="I145" s="5">
        <v>4530324.2593870796</v>
      </c>
      <c r="J145" s="5">
        <v>2033011.82984377</v>
      </c>
      <c r="K145" s="5">
        <v>1644249.1548196899</v>
      </c>
      <c r="L145" s="5">
        <v>6354490.55500264</v>
      </c>
      <c r="M145" s="5">
        <v>5980171.4934957903</v>
      </c>
      <c r="N145" s="5">
        <v>1918804.5234459999</v>
      </c>
      <c r="O145" s="5">
        <v>3896495.21272024</v>
      </c>
      <c r="P145" s="5">
        <v>1969661.95040697</v>
      </c>
      <c r="Q145" s="5">
        <v>18916373.422487799</v>
      </c>
      <c r="R145" s="5">
        <v>6601829.4103698498</v>
      </c>
      <c r="S145" s="5">
        <v>5766001.5662475601</v>
      </c>
      <c r="T145" s="5">
        <v>5299906.86594644</v>
      </c>
      <c r="U145" s="5">
        <v>2144367.4307159199</v>
      </c>
      <c r="V145" s="5">
        <v>5400760.4420432299</v>
      </c>
      <c r="W145" s="5">
        <v>2430897.3366907798</v>
      </c>
      <c r="X145" s="5">
        <v>2653638.8232271201</v>
      </c>
      <c r="Y145" s="5">
        <v>3497326.4084806899</v>
      </c>
      <c r="Z145" s="5">
        <v>3259641.05402862</v>
      </c>
      <c r="AA145" s="5">
        <v>4254441.51707811</v>
      </c>
      <c r="AB145" s="5">
        <v>4121320.1829248099</v>
      </c>
      <c r="AC145" s="5">
        <v>4075717.6273749298</v>
      </c>
      <c r="AD145">
        <f t="shared" si="9"/>
        <v>3927780.0953516173</v>
      </c>
      <c r="AE145">
        <f t="shared" si="10"/>
        <v>451833.5762436486</v>
      </c>
      <c r="AF145">
        <f t="shared" si="11"/>
        <v>0.11503535464685942</v>
      </c>
    </row>
    <row r="146" spans="1:32" x14ac:dyDescent="0.45">
      <c r="A146" s="5" t="s">
        <v>132</v>
      </c>
      <c r="B146" s="2">
        <f t="shared" si="8"/>
        <v>10132772.70502875</v>
      </c>
      <c r="C146" s="2">
        <v>10065930.432734255</v>
      </c>
      <c r="D146" s="2">
        <v>1.2460569087102111E-2</v>
      </c>
      <c r="E146" s="5">
        <v>7710345.0713089099</v>
      </c>
      <c r="F146" s="5">
        <v>21204217.388634</v>
      </c>
      <c r="G146" s="5">
        <v>5282157.1512344303</v>
      </c>
      <c r="H146" s="5">
        <v>3498062.0997832799</v>
      </c>
      <c r="I146" s="5">
        <v>6679372.1439427603</v>
      </c>
      <c r="J146" s="5">
        <v>21348377.995446101</v>
      </c>
      <c r="K146" s="5">
        <v>14887886.8800986</v>
      </c>
      <c r="L146" s="5">
        <v>4646777.7675766796</v>
      </c>
      <c r="M146" s="5">
        <v>7670023.5852856403</v>
      </c>
      <c r="N146" s="5">
        <v>19568142.410399199</v>
      </c>
      <c r="O146" s="5">
        <v>5408326.0740291104</v>
      </c>
      <c r="P146" s="5">
        <v>15726024.2561129</v>
      </c>
      <c r="Q146" s="5">
        <v>6540294.0552058201</v>
      </c>
      <c r="R146" s="5">
        <v>7078961.5922729103</v>
      </c>
      <c r="S146" s="5">
        <v>7110950.0132457903</v>
      </c>
      <c r="T146" s="5">
        <v>6079289.9606885398</v>
      </c>
      <c r="U146" s="5">
        <v>8499852.3475729208</v>
      </c>
      <c r="V146" s="5">
        <v>5949598.6435773401</v>
      </c>
      <c r="W146" s="5">
        <v>12607634.2644004</v>
      </c>
      <c r="X146" s="5">
        <v>16537117.7333366</v>
      </c>
      <c r="Y146" s="5">
        <v>8754815.3714518398</v>
      </c>
      <c r="Z146" s="5">
        <v>10104697.6201199</v>
      </c>
      <c r="AA146" s="5">
        <v>10098635.0084539</v>
      </c>
      <c r="AB146" s="5">
        <v>9885161.1529751197</v>
      </c>
      <c r="AC146" s="5">
        <v>10175227.9493881</v>
      </c>
      <c r="AD146">
        <f t="shared" si="9"/>
        <v>10065930.432734255</v>
      </c>
      <c r="AE146">
        <f t="shared" si="10"/>
        <v>125427.22158304884</v>
      </c>
      <c r="AF146">
        <f t="shared" si="11"/>
        <v>1.2460569087102111E-2</v>
      </c>
    </row>
    <row r="147" spans="1:32" x14ac:dyDescent="0.45">
      <c r="A147" s="5" t="s">
        <v>260</v>
      </c>
      <c r="B147" s="2">
        <f t="shared" si="8"/>
        <v>4828284.706056999</v>
      </c>
      <c r="C147" s="2">
        <v>4170781.2114602197</v>
      </c>
      <c r="D147" s="2">
        <v>4.3454946053875565E-2</v>
      </c>
      <c r="E147" s="5">
        <v>3761276.5385200302</v>
      </c>
      <c r="F147" s="5">
        <v>716903.03382151702</v>
      </c>
      <c r="G147" s="5">
        <v>12733701.2777551</v>
      </c>
      <c r="H147" s="5">
        <v>17950586.2233507</v>
      </c>
      <c r="I147" s="5">
        <v>5349227.2987439902</v>
      </c>
      <c r="J147" s="5">
        <v>206476.182421406</v>
      </c>
      <c r="K147" s="5">
        <v>44819.485264381299</v>
      </c>
      <c r="L147" s="5">
        <v>3015114.7331226701</v>
      </c>
      <c r="M147" s="5">
        <v>4858802.79755159</v>
      </c>
      <c r="N147" s="5">
        <v>134814.48127769399</v>
      </c>
      <c r="O147" s="5">
        <v>7817995.8906405596</v>
      </c>
      <c r="P147" s="5">
        <v>526830.44376954797</v>
      </c>
      <c r="Q147" s="5">
        <v>9384729.9415160902</v>
      </c>
      <c r="R147" s="5">
        <v>5644480.7581249196</v>
      </c>
      <c r="S147" s="5">
        <v>4449183.8674788997</v>
      </c>
      <c r="T147" s="5">
        <v>6068321.52035351</v>
      </c>
      <c r="U147" s="5">
        <v>6348801.6367750699</v>
      </c>
      <c r="V147" s="5">
        <v>5898391.2111328105</v>
      </c>
      <c r="W147" s="5">
        <v>524165.89579014701</v>
      </c>
      <c r="X147" s="5">
        <v>444846.30841604999</v>
      </c>
      <c r="Y147" s="5">
        <v>5514509.3013702799</v>
      </c>
      <c r="Z147" s="5">
        <v>4115254.88389481</v>
      </c>
      <c r="AA147" s="5">
        <v>3944064.0526713701</v>
      </c>
      <c r="AB147" s="5">
        <v>4265911.4163039401</v>
      </c>
      <c r="AC147" s="5">
        <v>4357894.49297076</v>
      </c>
      <c r="AD147">
        <f t="shared" si="9"/>
        <v>4170781.2114602197</v>
      </c>
      <c r="AE147">
        <f t="shared" si="10"/>
        <v>181241.07254652161</v>
      </c>
      <c r="AF147">
        <f t="shared" si="11"/>
        <v>4.3454946053875565E-2</v>
      </c>
    </row>
    <row r="148" spans="1:32" x14ac:dyDescent="0.45">
      <c r="A148" s="5" t="s">
        <v>206</v>
      </c>
      <c r="B148" s="2">
        <f t="shared" si="8"/>
        <v>240468171.73273677</v>
      </c>
      <c r="C148" s="7">
        <v>299778128.86705124</v>
      </c>
      <c r="D148" s="7">
        <v>6.7249456059180743E-2</v>
      </c>
      <c r="E148" s="5">
        <v>78300925.664219201</v>
      </c>
      <c r="F148" s="5">
        <v>475832342.18065</v>
      </c>
      <c r="G148" s="5">
        <v>107253775.847626</v>
      </c>
      <c r="H148" s="5">
        <v>56420969.672813803</v>
      </c>
      <c r="I148" s="5">
        <v>90353313.433298796</v>
      </c>
      <c r="J148" s="5">
        <v>523983837.42313802</v>
      </c>
      <c r="K148" s="5">
        <v>819130776.89037502</v>
      </c>
      <c r="L148" s="5">
        <v>91471713.381520703</v>
      </c>
      <c r="M148" s="5">
        <v>136480230.88725901</v>
      </c>
      <c r="N148" s="5">
        <v>490315728.49774897</v>
      </c>
      <c r="O148" s="5">
        <v>52021486.924816303</v>
      </c>
      <c r="P148" s="5">
        <v>573113473.160918</v>
      </c>
      <c r="Q148" s="5">
        <v>46474814.560951903</v>
      </c>
      <c r="R148" s="5">
        <v>60370220.025249504</v>
      </c>
      <c r="S148" s="5">
        <v>85177753.897388399</v>
      </c>
      <c r="T148" s="5">
        <v>80411061.870750397</v>
      </c>
      <c r="U148" s="5">
        <v>111466441.151363</v>
      </c>
      <c r="V148" s="5">
        <v>85496304.475444004</v>
      </c>
      <c r="W148" s="5">
        <v>438572269.65693402</v>
      </c>
      <c r="X148" s="5">
        <v>567094665.22742403</v>
      </c>
      <c r="Y148" s="5">
        <v>80089501.557584599</v>
      </c>
      <c r="Z148" s="5">
        <v>323483796.32115299</v>
      </c>
      <c r="AA148" s="5">
        <v>303035627.63560402</v>
      </c>
      <c r="AB148" s="5">
        <v>298195926.36995399</v>
      </c>
      <c r="AC148" s="5">
        <v>274397165.14149398</v>
      </c>
      <c r="AD148">
        <f t="shared" si="9"/>
        <v>299778128.86705124</v>
      </c>
      <c r="AE148">
        <f t="shared" si="10"/>
        <v>20159916.104748186</v>
      </c>
      <c r="AF148">
        <f t="shared" si="11"/>
        <v>6.7249456059180743E-2</v>
      </c>
    </row>
    <row r="149" spans="1:32" x14ac:dyDescent="0.45">
      <c r="A149" s="5" t="s">
        <v>87</v>
      </c>
      <c r="B149" s="2">
        <f t="shared" si="8"/>
        <v>1104249.8844739967</v>
      </c>
      <c r="C149" s="2">
        <v>1265047.7026971376</v>
      </c>
      <c r="D149" s="2">
        <v>6.4336822131155533E-2</v>
      </c>
      <c r="E149" s="5">
        <v>93207.155697909693</v>
      </c>
      <c r="F149" s="5">
        <v>2024008.35789743</v>
      </c>
      <c r="G149" s="5">
        <v>350877.19512515201</v>
      </c>
      <c r="H149" s="5">
        <v>73609.074532620594</v>
      </c>
      <c r="I149" s="5">
        <v>98509.146552344493</v>
      </c>
      <c r="J149" s="5">
        <v>3692093.3916584202</v>
      </c>
      <c r="K149" s="5">
        <v>4707220.69663224</v>
      </c>
      <c r="L149" s="5">
        <v>108650.501955716</v>
      </c>
      <c r="M149" s="5">
        <v>184125.83274406299</v>
      </c>
      <c r="N149" s="5">
        <v>2025249.58517093</v>
      </c>
      <c r="O149" s="5">
        <v>84860.930626759102</v>
      </c>
      <c r="P149" s="5">
        <v>3548413.25399883</v>
      </c>
      <c r="Q149" s="5">
        <v>70966.022568367</v>
      </c>
      <c r="R149" s="5">
        <v>102537.310189565</v>
      </c>
      <c r="S149" s="5">
        <v>74404.857823160506</v>
      </c>
      <c r="T149" s="5">
        <v>69375.3352636692</v>
      </c>
      <c r="U149" s="5">
        <v>217331.620387837</v>
      </c>
      <c r="V149" s="5">
        <v>131773.61482322801</v>
      </c>
      <c r="W149" s="5">
        <v>1964528.43739468</v>
      </c>
      <c r="X149" s="5">
        <v>3492641.5688612</v>
      </c>
      <c r="Y149" s="5">
        <v>74863.684049805699</v>
      </c>
      <c r="Z149" s="5">
        <v>1143454.37936085</v>
      </c>
      <c r="AA149" s="5">
        <v>1308689.9887805199</v>
      </c>
      <c r="AB149" s="5">
        <v>1295514.01385779</v>
      </c>
      <c r="AC149" s="5">
        <v>1312532.42878939</v>
      </c>
      <c r="AD149">
        <f t="shared" si="9"/>
        <v>1265047.7026971376</v>
      </c>
      <c r="AE149">
        <f t="shared" si="10"/>
        <v>81389.149035852664</v>
      </c>
      <c r="AF149">
        <f t="shared" si="11"/>
        <v>6.4336822131155533E-2</v>
      </c>
    </row>
    <row r="150" spans="1:32" x14ac:dyDescent="0.45">
      <c r="A150" s="5" t="s">
        <v>88</v>
      </c>
      <c r="B150" s="2">
        <f t="shared" si="8"/>
        <v>38579813.824796543</v>
      </c>
      <c r="C150" s="8">
        <v>36848218.898251168</v>
      </c>
      <c r="D150" s="8">
        <v>4.0536899271361441E-2</v>
      </c>
      <c r="E150" s="5">
        <v>36306875.971767999</v>
      </c>
      <c r="F150" s="5">
        <v>41894699.785229199</v>
      </c>
      <c r="G150" s="5">
        <v>38289390.029210404</v>
      </c>
      <c r="H150" s="5">
        <v>21162236.897693001</v>
      </c>
      <c r="I150" s="5">
        <v>29876392.510655802</v>
      </c>
      <c r="J150" s="5">
        <v>44724276.181408197</v>
      </c>
      <c r="K150" s="5">
        <v>44440061.870621704</v>
      </c>
      <c r="L150" s="5">
        <v>33542583.992501199</v>
      </c>
      <c r="M150" s="5">
        <v>39437335.882415801</v>
      </c>
      <c r="N150" s="5">
        <v>61073944.908766396</v>
      </c>
      <c r="O150" s="5">
        <v>23941923.226418599</v>
      </c>
      <c r="P150" s="5">
        <v>41551243.379271798</v>
      </c>
      <c r="Q150" s="5">
        <v>23522130.447323501</v>
      </c>
      <c r="R150" s="5">
        <v>44731476.077957101</v>
      </c>
      <c r="S150" s="5">
        <v>40160917.393026903</v>
      </c>
      <c r="T150" s="5">
        <v>39384282.910805397</v>
      </c>
      <c r="U150" s="5">
        <v>44130330.420058303</v>
      </c>
      <c r="V150" s="5">
        <v>21718180.964668099</v>
      </c>
      <c r="W150" s="5">
        <v>55121055.493619002</v>
      </c>
      <c r="X150" s="5">
        <v>33828516.848925903</v>
      </c>
      <c r="Y150" s="5">
        <v>51338235.128383197</v>
      </c>
      <c r="Z150" s="5">
        <v>38287725.892828703</v>
      </c>
      <c r="AA150" s="5">
        <v>37684916.280116297</v>
      </c>
      <c r="AB150" s="5">
        <v>36525817.439122297</v>
      </c>
      <c r="AC150" s="5">
        <v>34894415.980937399</v>
      </c>
      <c r="AD150">
        <f t="shared" si="9"/>
        <v>36848218.898251168</v>
      </c>
      <c r="AE150">
        <f t="shared" si="10"/>
        <v>1493712.5378074846</v>
      </c>
      <c r="AF150">
        <f t="shared" si="11"/>
        <v>4.0536899271361441E-2</v>
      </c>
    </row>
    <row r="151" spans="1:32" x14ac:dyDescent="0.45">
      <c r="A151" s="5" t="s">
        <v>207</v>
      </c>
      <c r="B151" s="2">
        <f t="shared" si="8"/>
        <v>208107609.7057853</v>
      </c>
      <c r="C151" s="8">
        <v>94522101.709435552</v>
      </c>
      <c r="D151" s="8">
        <v>0.15177780516663764</v>
      </c>
      <c r="E151" s="5">
        <v>5024667.2615748802</v>
      </c>
      <c r="F151" s="5">
        <v>472865653.055592</v>
      </c>
      <c r="G151" s="5">
        <v>7119258.9039583998</v>
      </c>
      <c r="H151" s="5">
        <v>3006384.5549843102</v>
      </c>
      <c r="I151" s="5">
        <v>5034388.7783415196</v>
      </c>
      <c r="J151" s="5">
        <v>710028239.03636503</v>
      </c>
      <c r="K151" s="5">
        <v>809598695.23364305</v>
      </c>
      <c r="L151" s="5">
        <v>5295415.1750850296</v>
      </c>
      <c r="M151" s="5">
        <v>1550020.75740736</v>
      </c>
      <c r="N151" s="5">
        <v>580263086.75605702</v>
      </c>
      <c r="O151" s="5">
        <v>6953151.2512085102</v>
      </c>
      <c r="P151" s="5">
        <v>639061012.22388005</v>
      </c>
      <c r="Q151" s="5">
        <v>835938.47551611601</v>
      </c>
      <c r="R151" s="5">
        <v>7915199.48289074</v>
      </c>
      <c r="S151" s="5">
        <v>9925795.9835173003</v>
      </c>
      <c r="T151" s="5">
        <v>2164858.9861244</v>
      </c>
      <c r="U151" s="5">
        <v>1435127.00688596</v>
      </c>
      <c r="V151" s="5">
        <v>2929763.75545647</v>
      </c>
      <c r="W151" s="5">
        <v>577174080.78691196</v>
      </c>
      <c r="X151" s="5">
        <v>518796405.56788599</v>
      </c>
      <c r="Y151" s="5">
        <v>3282660.7882054499</v>
      </c>
      <c r="Z151" s="5">
        <v>115080111.97574501</v>
      </c>
      <c r="AA151" s="5">
        <v>91948518.818901703</v>
      </c>
      <c r="AB151" s="5">
        <v>89168497.666899607</v>
      </c>
      <c r="AC151" s="5">
        <v>81891278.376195893</v>
      </c>
      <c r="AD151">
        <f t="shared" si="9"/>
        <v>94522101.709435552</v>
      </c>
      <c r="AE151">
        <f t="shared" si="10"/>
        <v>14346357.137195816</v>
      </c>
      <c r="AF151">
        <f t="shared" si="11"/>
        <v>0.15177780516663764</v>
      </c>
    </row>
    <row r="152" spans="1:32" x14ac:dyDescent="0.45">
      <c r="A152" s="5" t="s">
        <v>208</v>
      </c>
      <c r="B152" s="2">
        <f t="shared" si="8"/>
        <v>58857750.820812292</v>
      </c>
      <c r="C152" s="8">
        <v>62608144.29852847</v>
      </c>
      <c r="D152" s="8">
        <v>1.8569529232082216E-2</v>
      </c>
      <c r="E152" s="5">
        <v>12720181.737880301</v>
      </c>
      <c r="F152" s="5">
        <v>84145488.887080595</v>
      </c>
      <c r="G152" s="5">
        <v>37908331.174755901</v>
      </c>
      <c r="H152" s="5">
        <v>6043612.1707285801</v>
      </c>
      <c r="I152" s="5">
        <v>27891417.9948957</v>
      </c>
      <c r="J152" s="5">
        <v>141432749.921242</v>
      </c>
      <c r="K152" s="5">
        <v>188756307.05713201</v>
      </c>
      <c r="L152" s="5">
        <v>50914711.194385797</v>
      </c>
      <c r="M152" s="5">
        <v>24274325.544972301</v>
      </c>
      <c r="N152" s="5">
        <v>149052940.141828</v>
      </c>
      <c r="O152" s="5">
        <v>8670856.4892669395</v>
      </c>
      <c r="P152" s="5">
        <v>163110148.33287799</v>
      </c>
      <c r="Q152" s="5">
        <v>3661955.97283345</v>
      </c>
      <c r="R152" s="5">
        <v>13932941.582137899</v>
      </c>
      <c r="S152" s="5">
        <v>35606864.912989303</v>
      </c>
      <c r="T152" s="5">
        <v>2559422.3440651</v>
      </c>
      <c r="U152" s="5">
        <v>15223185.8576374</v>
      </c>
      <c r="V152" s="5">
        <v>17747177.840853099</v>
      </c>
      <c r="W152" s="5">
        <v>102675595.76626401</v>
      </c>
      <c r="X152" s="5">
        <v>139393452.42561799</v>
      </c>
      <c r="Y152" s="5">
        <v>10291099.887614001</v>
      </c>
      <c r="Z152" s="5">
        <v>63989629.995137803</v>
      </c>
      <c r="AA152" s="5">
        <v>62324952.903721198</v>
      </c>
      <c r="AB152" s="5">
        <v>61203685.1386301</v>
      </c>
      <c r="AC152" s="5">
        <v>62914309.156624801</v>
      </c>
      <c r="AD152">
        <f t="shared" si="9"/>
        <v>62608144.29852847</v>
      </c>
      <c r="AE152">
        <f t="shared" si="10"/>
        <v>1162603.765717946</v>
      </c>
      <c r="AF152">
        <f t="shared" si="11"/>
        <v>1.8569529232082216E-2</v>
      </c>
    </row>
    <row r="153" spans="1:32" x14ac:dyDescent="0.45">
      <c r="A153" s="5" t="s">
        <v>89</v>
      </c>
      <c r="B153" s="2">
        <f t="shared" si="8"/>
        <v>246925258.3110086</v>
      </c>
      <c r="C153" s="7">
        <v>187874622.80919924</v>
      </c>
      <c r="D153" s="8">
        <v>7.0181171591703478E-2</v>
      </c>
      <c r="E153" s="5">
        <v>368021629.090119</v>
      </c>
      <c r="F153" s="5">
        <v>247182994.56250399</v>
      </c>
      <c r="G153" s="5">
        <v>160141391.31526101</v>
      </c>
      <c r="H153" s="5">
        <v>350820311.75587702</v>
      </c>
      <c r="I153" s="5">
        <v>218302836.18803999</v>
      </c>
      <c r="J153" s="5">
        <v>143655495.09417501</v>
      </c>
      <c r="K153" s="5">
        <v>198772071.76267201</v>
      </c>
      <c r="L153" s="5">
        <v>450728689.21267802</v>
      </c>
      <c r="M153" s="5">
        <v>243802860.74028999</v>
      </c>
      <c r="N153" s="5">
        <v>245974559.12964499</v>
      </c>
      <c r="O153" s="5">
        <v>268490691.63349003</v>
      </c>
      <c r="P153" s="5">
        <v>174428546.84553</v>
      </c>
      <c r="Q153" s="5">
        <v>226553884.70244601</v>
      </c>
      <c r="R153" s="5">
        <v>136515832.43679801</v>
      </c>
      <c r="S153" s="5">
        <v>252545832.48296401</v>
      </c>
      <c r="T153" s="5">
        <v>273860194.26757902</v>
      </c>
      <c r="U153" s="5">
        <v>277332434.75844401</v>
      </c>
      <c r="V153" s="5">
        <v>232889830.206361</v>
      </c>
      <c r="W153" s="5">
        <v>270368328.87797099</v>
      </c>
      <c r="X153" s="5">
        <v>179109803.02171999</v>
      </c>
      <c r="Y153" s="5">
        <v>265932206.44661599</v>
      </c>
      <c r="Z153" s="5">
        <v>203756048.24623799</v>
      </c>
      <c r="AA153" s="5">
        <v>173665427.139568</v>
      </c>
      <c r="AB153" s="5">
        <v>192784560.58751199</v>
      </c>
      <c r="AC153" s="5">
        <v>181292455.26347899</v>
      </c>
      <c r="AD153">
        <f t="shared" si="9"/>
        <v>187874622.80919924</v>
      </c>
      <c r="AE153">
        <f t="shared" si="10"/>
        <v>13185261.14109898</v>
      </c>
      <c r="AF153">
        <f t="shared" si="11"/>
        <v>7.0181171591703478E-2</v>
      </c>
    </row>
    <row r="154" spans="1:32" x14ac:dyDescent="0.45">
      <c r="A154" s="5" t="s">
        <v>133</v>
      </c>
      <c r="B154" s="2">
        <f t="shared" si="8"/>
        <v>432097355.72956729</v>
      </c>
      <c r="C154" s="2">
        <v>367802501.89018202</v>
      </c>
      <c r="D154" s="2">
        <v>0.18989540066651808</v>
      </c>
      <c r="E154" s="5">
        <v>501336324.079669</v>
      </c>
      <c r="F154" s="5">
        <v>383058421.33846402</v>
      </c>
      <c r="G154" s="5">
        <v>571051930.66368401</v>
      </c>
      <c r="H154" s="5">
        <v>522717445.52827901</v>
      </c>
      <c r="I154" s="5">
        <v>728849714.08654797</v>
      </c>
      <c r="J154" s="5">
        <v>302835047.39004397</v>
      </c>
      <c r="K154" s="5">
        <v>117394142.403855</v>
      </c>
      <c r="L154" s="5">
        <v>406031673.21071202</v>
      </c>
      <c r="M154" s="5">
        <v>752192830.77281499</v>
      </c>
      <c r="N154" s="5">
        <v>161268364.23258501</v>
      </c>
      <c r="O154" s="5">
        <v>680632727.29682195</v>
      </c>
      <c r="P154" s="5">
        <v>152816974.6577</v>
      </c>
      <c r="Q154" s="5">
        <v>571431790.66222703</v>
      </c>
      <c r="R154" s="5">
        <v>544778748.62114203</v>
      </c>
      <c r="S154" s="5">
        <v>430666997.00560099</v>
      </c>
      <c r="T154" s="5">
        <v>616399840.90299296</v>
      </c>
      <c r="U154" s="5">
        <v>422103700.37435299</v>
      </c>
      <c r="V154" s="5">
        <v>706497600.74337196</v>
      </c>
      <c r="W154" s="5">
        <v>152090366.49853399</v>
      </c>
      <c r="X154" s="5">
        <v>163998640.748184</v>
      </c>
      <c r="Y154" s="5">
        <v>185891189.10332999</v>
      </c>
      <c r="Z154" s="5">
        <v>419422757.66891301</v>
      </c>
      <c r="AA154" s="5">
        <v>335383473.16849399</v>
      </c>
      <c r="AB154" s="5">
        <v>431463633.73015797</v>
      </c>
      <c r="AC154" s="5">
        <v>284940142.99316299</v>
      </c>
      <c r="AD154">
        <f t="shared" si="9"/>
        <v>367802501.89018202</v>
      </c>
      <c r="AE154">
        <f t="shared" si="10"/>
        <v>69844003.462583885</v>
      </c>
      <c r="AF154">
        <f t="shared" si="11"/>
        <v>0.18989540066651808</v>
      </c>
    </row>
    <row r="155" spans="1:32" x14ac:dyDescent="0.45">
      <c r="A155" s="5" t="s">
        <v>90</v>
      </c>
      <c r="B155" s="2">
        <f t="shared" si="8"/>
        <v>214194078.57356504</v>
      </c>
      <c r="C155" s="7">
        <v>172338237.41016749</v>
      </c>
      <c r="D155" s="7">
        <v>0.23236951116180954</v>
      </c>
      <c r="E155" s="5">
        <v>274618400.66367</v>
      </c>
      <c r="F155" s="5">
        <v>164788435.954759</v>
      </c>
      <c r="G155" s="5">
        <v>247172229.510097</v>
      </c>
      <c r="H155" s="5">
        <v>292920006.97467101</v>
      </c>
      <c r="I155" s="5">
        <v>220715443.74184299</v>
      </c>
      <c r="J155" s="5">
        <v>132665291.945647</v>
      </c>
      <c r="K155" s="5">
        <v>143006593.091791</v>
      </c>
      <c r="L155" s="5">
        <v>316619733.64541799</v>
      </c>
      <c r="M155" s="5">
        <v>282960106.38460898</v>
      </c>
      <c r="N155" s="5">
        <v>156613926.25115499</v>
      </c>
      <c r="O155" s="5">
        <v>253431506.54392999</v>
      </c>
      <c r="P155" s="5">
        <v>86087302.760567695</v>
      </c>
      <c r="Q155" s="5">
        <v>211900252.82348299</v>
      </c>
      <c r="R155" s="5">
        <v>213571931.03876901</v>
      </c>
      <c r="S155" s="5">
        <v>251159754.796846</v>
      </c>
      <c r="T155" s="5">
        <v>267056650.67541099</v>
      </c>
      <c r="U155" s="5">
        <v>222216734.11638999</v>
      </c>
      <c r="V155" s="5">
        <v>245412169.382824</v>
      </c>
      <c r="W155" s="5">
        <v>163675091.76964101</v>
      </c>
      <c r="X155" s="5">
        <v>95657943.837781295</v>
      </c>
      <c r="Y155" s="5">
        <v>255826144.13556299</v>
      </c>
      <c r="Z155" s="5">
        <v>204339312.78463101</v>
      </c>
      <c r="AA155" s="5">
        <v>193150782.92580599</v>
      </c>
      <c r="AB155" s="5">
        <v>177230090.78523099</v>
      </c>
      <c r="AC155" s="5">
        <v>114632763.14500199</v>
      </c>
      <c r="AD155">
        <f t="shared" si="9"/>
        <v>172338237.41016749</v>
      </c>
      <c r="AE155">
        <f t="shared" si="10"/>
        <v>40046151.981488496</v>
      </c>
      <c r="AF155">
        <f t="shared" si="11"/>
        <v>0.23236951116180954</v>
      </c>
    </row>
    <row r="156" spans="1:32" x14ac:dyDescent="0.45">
      <c r="A156" s="5" t="s">
        <v>91</v>
      </c>
      <c r="B156" s="2">
        <f t="shared" si="8"/>
        <v>30527460.445288941</v>
      </c>
      <c r="C156" s="2">
        <v>27718754.099857125</v>
      </c>
      <c r="D156" s="2">
        <v>8.3871698108588119E-2</v>
      </c>
      <c r="E156" s="5">
        <v>34428629.367053702</v>
      </c>
      <c r="F156" s="5">
        <v>25489009.786563501</v>
      </c>
      <c r="G156" s="5">
        <v>29861161.0866847</v>
      </c>
      <c r="H156" s="5">
        <v>40074069.463849701</v>
      </c>
      <c r="I156" s="5">
        <v>30435085.400394499</v>
      </c>
      <c r="J156" s="5">
        <v>24469761.524273999</v>
      </c>
      <c r="K156" s="5">
        <v>25688286.670477301</v>
      </c>
      <c r="L156" s="5">
        <v>34213527.661934704</v>
      </c>
      <c r="M156" s="5">
        <v>31920307.253525499</v>
      </c>
      <c r="N156" s="5">
        <v>24196749.003536701</v>
      </c>
      <c r="O156" s="5">
        <v>34595088.993446201</v>
      </c>
      <c r="P156" s="5">
        <v>27591752.773529999</v>
      </c>
      <c r="Q156" s="5">
        <v>32473325.827751901</v>
      </c>
      <c r="R156" s="5">
        <v>31768917.1445271</v>
      </c>
      <c r="S156" s="5">
        <v>31279350.773403101</v>
      </c>
      <c r="T156" s="5">
        <v>31227884.184116598</v>
      </c>
      <c r="U156" s="5">
        <v>35898838.466195002</v>
      </c>
      <c r="V156" s="5">
        <v>31331488.697236799</v>
      </c>
      <c r="W156" s="5">
        <v>25254845.616342202</v>
      </c>
      <c r="X156" s="5">
        <v>27279022.309339002</v>
      </c>
      <c r="Y156" s="5">
        <v>31599567.346885599</v>
      </c>
      <c r="Z156" s="5">
        <v>24339176.975107301</v>
      </c>
      <c r="AA156" s="5">
        <v>28235995.7945484</v>
      </c>
      <c r="AB156" s="5">
        <v>29612948.402085699</v>
      </c>
      <c r="AC156" s="5">
        <v>28686895.227687102</v>
      </c>
      <c r="AD156">
        <f t="shared" si="9"/>
        <v>27718754.099857125</v>
      </c>
      <c r="AE156">
        <f t="shared" si="10"/>
        <v>2324818.975809406</v>
      </c>
      <c r="AF156">
        <f t="shared" si="11"/>
        <v>8.3871698108588119E-2</v>
      </c>
    </row>
    <row r="157" spans="1:32" x14ac:dyDescent="0.45">
      <c r="A157" s="5" t="s">
        <v>134</v>
      </c>
      <c r="B157" s="2">
        <f t="shared" si="8"/>
        <v>11004829.13358843</v>
      </c>
      <c r="C157" s="2">
        <v>9797194.6341125071</v>
      </c>
      <c r="D157" s="2">
        <v>6.5375100863358376E-2</v>
      </c>
      <c r="E157" s="5">
        <v>11195065.5345394</v>
      </c>
      <c r="F157" s="5">
        <v>9076231.7821778804</v>
      </c>
      <c r="G157" s="5">
        <v>9889185.4639236704</v>
      </c>
      <c r="H157" s="5">
        <v>10276418.881743001</v>
      </c>
      <c r="I157" s="5">
        <v>9917188.1295177191</v>
      </c>
      <c r="J157" s="5">
        <v>12824546.5860488</v>
      </c>
      <c r="K157" s="5">
        <v>19336305.941470899</v>
      </c>
      <c r="L157" s="5">
        <v>10943220.827820901</v>
      </c>
      <c r="M157" s="5">
        <v>9711903.47974368</v>
      </c>
      <c r="N157" s="5">
        <v>10220195.3252248</v>
      </c>
      <c r="O157" s="5">
        <v>10313304.311106101</v>
      </c>
      <c r="P157" s="5">
        <v>16000269.784488499</v>
      </c>
      <c r="Q157" s="5">
        <v>9346597.1032935493</v>
      </c>
      <c r="R157" s="5">
        <v>8284078.7526123002</v>
      </c>
      <c r="S157" s="5">
        <v>10596410.955585999</v>
      </c>
      <c r="T157" s="5">
        <v>10126152.6063614</v>
      </c>
      <c r="U157" s="5">
        <v>10792076.529445199</v>
      </c>
      <c r="V157" s="5">
        <v>11348927.3505316</v>
      </c>
      <c r="W157" s="5">
        <v>9469473.5842496492</v>
      </c>
      <c r="X157" s="5">
        <v>11431974.093123401</v>
      </c>
      <c r="Y157" s="5">
        <v>10001884.782348599</v>
      </c>
      <c r="Z157" s="5">
        <v>9112262.1493039392</v>
      </c>
      <c r="AA157" s="5">
        <v>9534901.5097535104</v>
      </c>
      <c r="AB157" s="5">
        <v>9921419.4778887797</v>
      </c>
      <c r="AC157" s="5">
        <v>10620195.399503799</v>
      </c>
      <c r="AD157">
        <f t="shared" si="9"/>
        <v>9797194.6341125071</v>
      </c>
      <c r="AE157">
        <f t="shared" si="10"/>
        <v>640492.58738305862</v>
      </c>
      <c r="AF157">
        <f t="shared" si="11"/>
        <v>6.5375100863358376E-2</v>
      </c>
    </row>
    <row r="158" spans="1:32" x14ac:dyDescent="0.45">
      <c r="A158" s="5" t="s">
        <v>209</v>
      </c>
      <c r="B158" s="2">
        <f t="shared" si="8"/>
        <v>6815609.5499276193</v>
      </c>
      <c r="C158" s="7">
        <v>6658707.7402896257</v>
      </c>
      <c r="D158" s="8">
        <v>3.4030458538019809E-2</v>
      </c>
      <c r="E158" s="5">
        <v>1087129.87907638</v>
      </c>
      <c r="F158" s="5">
        <v>16180292.7399668</v>
      </c>
      <c r="G158" s="5">
        <v>1720554.9841544</v>
      </c>
      <c r="H158" s="5">
        <v>692682.57449129899</v>
      </c>
      <c r="I158" s="5">
        <v>1922519.46377056</v>
      </c>
      <c r="J158" s="5">
        <v>23194966.741125401</v>
      </c>
      <c r="K158" s="5">
        <v>10492188.236518599</v>
      </c>
      <c r="L158" s="5">
        <v>1556889.87000805</v>
      </c>
      <c r="M158" s="5">
        <v>3297828.01602979</v>
      </c>
      <c r="N158" s="5">
        <v>13832214.743394099</v>
      </c>
      <c r="O158" s="5">
        <v>207655.78064142301</v>
      </c>
      <c r="P158" s="5">
        <v>20331189.845043801</v>
      </c>
      <c r="Q158" s="5">
        <v>360647.174742312</v>
      </c>
      <c r="R158" s="5">
        <v>500465.41022213799</v>
      </c>
      <c r="S158" s="5">
        <v>746593.20393133</v>
      </c>
      <c r="T158" s="5">
        <v>351230.83565905201</v>
      </c>
      <c r="U158" s="5">
        <v>1912840.1720291399</v>
      </c>
      <c r="V158" s="5">
        <v>1137035.56611538</v>
      </c>
      <c r="W158" s="5">
        <v>14813785.9180305</v>
      </c>
      <c r="X158" s="5">
        <v>28372822.5085929</v>
      </c>
      <c r="Y158" s="5">
        <v>416266.884936616</v>
      </c>
      <c r="Z158" s="5">
        <v>6371718.49468459</v>
      </c>
      <c r="AA158" s="5">
        <v>6787926.3154072501</v>
      </c>
      <c r="AB158" s="5">
        <v>6883427.0472378097</v>
      </c>
      <c r="AC158" s="5">
        <v>6591759.1038288502</v>
      </c>
      <c r="AD158">
        <f t="shared" si="9"/>
        <v>6658707.7402896257</v>
      </c>
      <c r="AE158">
        <f t="shared" si="10"/>
        <v>226598.8776727177</v>
      </c>
      <c r="AF158">
        <f t="shared" si="11"/>
        <v>3.4030458538019809E-2</v>
      </c>
    </row>
    <row r="159" spans="1:32" x14ac:dyDescent="0.45">
      <c r="A159" s="5" t="s">
        <v>92</v>
      </c>
      <c r="B159" s="2">
        <f t="shared" si="8"/>
        <v>65317070.210664406</v>
      </c>
      <c r="C159" s="8">
        <v>53933669.989305474</v>
      </c>
      <c r="D159" s="8">
        <v>5.3499915600336664E-2</v>
      </c>
      <c r="E159" s="5">
        <v>78993673.095376506</v>
      </c>
      <c r="F159" s="5">
        <v>40828645.688396603</v>
      </c>
      <c r="G159" s="5">
        <v>59596454.188245103</v>
      </c>
      <c r="H159" s="5">
        <v>82421494.582187697</v>
      </c>
      <c r="I159" s="5">
        <v>47109940.799685501</v>
      </c>
      <c r="J159" s="5">
        <v>39539898.135522</v>
      </c>
      <c r="K159" s="5">
        <v>45367849.713527702</v>
      </c>
      <c r="L159" s="5">
        <v>76677230.301937893</v>
      </c>
      <c r="M159" s="5">
        <v>83527527.927723601</v>
      </c>
      <c r="N159" s="5">
        <v>50896217.2158866</v>
      </c>
      <c r="O159" s="5">
        <v>58711088.764398798</v>
      </c>
      <c r="P159" s="5">
        <v>48769797.107697897</v>
      </c>
      <c r="Q159" s="5">
        <v>92958778.176270097</v>
      </c>
      <c r="R159" s="5">
        <v>74296463.979290307</v>
      </c>
      <c r="S159" s="5">
        <v>79279954.962174505</v>
      </c>
      <c r="T159" s="5">
        <v>88936353.063397303</v>
      </c>
      <c r="U159" s="5">
        <v>78316408.853836</v>
      </c>
      <c r="V159" s="5">
        <v>65467664.070359901</v>
      </c>
      <c r="W159" s="5">
        <v>36201489.4282673</v>
      </c>
      <c r="X159" s="5">
        <v>53403345.164208703</v>
      </c>
      <c r="Y159" s="5">
        <v>90358199.205562606</v>
      </c>
      <c r="Z159" s="5">
        <v>57071070.954415202</v>
      </c>
      <c r="AA159" s="5">
        <v>54309926.801498301</v>
      </c>
      <c r="AB159" s="5">
        <v>54276800.6340129</v>
      </c>
      <c r="AC159" s="5">
        <v>50076881.567295499</v>
      </c>
      <c r="AD159">
        <f t="shared" si="9"/>
        <v>53933669.989305474</v>
      </c>
      <c r="AE159">
        <f t="shared" si="10"/>
        <v>2885446.7924442533</v>
      </c>
      <c r="AF159">
        <f t="shared" si="11"/>
        <v>5.3499915600336664E-2</v>
      </c>
    </row>
    <row r="160" spans="1:32" x14ac:dyDescent="0.45">
      <c r="A160" s="5" t="s">
        <v>210</v>
      </c>
      <c r="B160" s="2">
        <f t="shared" si="8"/>
        <v>986053.42239858489</v>
      </c>
      <c r="C160" s="7">
        <v>522424.3628525777</v>
      </c>
      <c r="D160" s="8">
        <v>0.19772967191192251</v>
      </c>
      <c r="E160" s="5">
        <v>2939549.44339548</v>
      </c>
      <c r="F160" s="5">
        <v>383863.80731802201</v>
      </c>
      <c r="G160" s="5">
        <v>648818.15206545405</v>
      </c>
      <c r="H160" s="5">
        <v>306121.14980190998</v>
      </c>
      <c r="I160" s="5">
        <v>2828445.30282749</v>
      </c>
      <c r="J160" s="5">
        <v>359251.33065990702</v>
      </c>
      <c r="K160" s="5">
        <v>157295.55691608001</v>
      </c>
      <c r="L160" s="5">
        <v>2498701.4333941299</v>
      </c>
      <c r="M160" s="5">
        <v>1212076.4677375499</v>
      </c>
      <c r="N160" s="5">
        <v>132974.71770974499</v>
      </c>
      <c r="O160" s="5">
        <v>213273.60459096401</v>
      </c>
      <c r="P160" s="5">
        <v>226479.66188071301</v>
      </c>
      <c r="Q160" s="5">
        <v>755048.89204968803</v>
      </c>
      <c r="R160" s="5">
        <v>727318.83480582002</v>
      </c>
      <c r="S160" s="5">
        <v>3455624.0347603899</v>
      </c>
      <c r="T160" s="5">
        <v>686218.55169379595</v>
      </c>
      <c r="U160" s="5">
        <v>430559.143696838</v>
      </c>
      <c r="V160" s="5">
        <v>842669.83702056098</v>
      </c>
      <c r="W160" s="5">
        <v>451216.13819523901</v>
      </c>
      <c r="X160" s="5">
        <v>340091.24762022501</v>
      </c>
      <c r="Y160" s="5">
        <v>1111524.5622302799</v>
      </c>
      <c r="Z160" s="5">
        <v>481376.02098048799</v>
      </c>
      <c r="AA160" s="5">
        <v>445351.59593365702</v>
      </c>
      <c r="AB160" s="5">
        <v>488183.12471583602</v>
      </c>
      <c r="AC160" s="5">
        <v>674786.70978032995</v>
      </c>
      <c r="AD160">
        <f t="shared" si="9"/>
        <v>522424.3628525777</v>
      </c>
      <c r="AE160">
        <f t="shared" si="10"/>
        <v>103298.79786563535</v>
      </c>
      <c r="AF160">
        <f t="shared" si="11"/>
        <v>0.19772967191192251</v>
      </c>
    </row>
    <row r="161" spans="1:32" x14ac:dyDescent="0.45">
      <c r="A161" s="5" t="s">
        <v>261</v>
      </c>
      <c r="B161" s="2">
        <f t="shared" si="8"/>
        <v>23126030.023978241</v>
      </c>
      <c r="C161" s="2">
        <v>28180849.890440375</v>
      </c>
      <c r="D161" s="2">
        <v>0.19719634859854657</v>
      </c>
      <c r="E161" s="5">
        <v>21748227.068365499</v>
      </c>
      <c r="F161" s="5">
        <v>9597926.0252467692</v>
      </c>
      <c r="G161" s="5">
        <v>10703011.1296813</v>
      </c>
      <c r="H161" s="5">
        <v>68587455.878312707</v>
      </c>
      <c r="I161" s="5">
        <v>42094583.900234498</v>
      </c>
      <c r="J161" s="5">
        <v>5452343.2009319896</v>
      </c>
      <c r="K161" s="5">
        <v>14341885.8863746</v>
      </c>
      <c r="L161" s="5">
        <v>27561416.036911201</v>
      </c>
      <c r="M161" s="5">
        <v>28609087.503691498</v>
      </c>
      <c r="N161" s="5">
        <v>6962434.8802768197</v>
      </c>
      <c r="O161" s="5">
        <v>43479157.789607897</v>
      </c>
      <c r="P161" s="5">
        <v>19102318.006237801</v>
      </c>
      <c r="Q161" s="5">
        <v>10244873.7967974</v>
      </c>
      <c r="R161" s="5">
        <v>45814770.266625203</v>
      </c>
      <c r="S161" s="5">
        <v>28248891.352044299</v>
      </c>
      <c r="T161" s="5">
        <v>14354856.399414301</v>
      </c>
      <c r="U161" s="5">
        <v>13398665.979422901</v>
      </c>
      <c r="V161" s="5">
        <v>13690354.9772864</v>
      </c>
      <c r="W161" s="5">
        <v>22536581.5262991</v>
      </c>
      <c r="X161" s="5">
        <v>25017810.750486199</v>
      </c>
      <c r="Y161" s="5">
        <v>14099978.1492946</v>
      </c>
      <c r="Z161" s="5">
        <v>29467741.8000287</v>
      </c>
      <c r="AA161" s="5">
        <v>31160424.4585586</v>
      </c>
      <c r="AB161" s="5">
        <v>32089585.7677022</v>
      </c>
      <c r="AC161" s="5">
        <v>20005647.535471998</v>
      </c>
      <c r="AD161">
        <f t="shared" si="9"/>
        <v>28180849.890440375</v>
      </c>
      <c r="AE161">
        <f t="shared" si="10"/>
        <v>5557160.6987985931</v>
      </c>
      <c r="AF161">
        <f t="shared" si="11"/>
        <v>0.19719634859854657</v>
      </c>
    </row>
    <row r="162" spans="1:32" x14ac:dyDescent="0.45">
      <c r="A162" s="5" t="s">
        <v>211</v>
      </c>
      <c r="B162" s="2">
        <f t="shared" si="8"/>
        <v>17010534.739782371</v>
      </c>
      <c r="C162" s="8">
        <v>14681588.845621599</v>
      </c>
      <c r="D162" s="7">
        <v>5.869122825445966E-2</v>
      </c>
      <c r="E162" s="5">
        <v>29826269.275114901</v>
      </c>
      <c r="F162" s="5">
        <v>11090759.213349801</v>
      </c>
      <c r="G162" s="5">
        <v>18875486.502740901</v>
      </c>
      <c r="H162" s="5">
        <v>28225865.663865902</v>
      </c>
      <c r="I162" s="5">
        <v>15491295.790985299</v>
      </c>
      <c r="J162" s="5">
        <v>7012872.9596553296</v>
      </c>
      <c r="K162" s="5">
        <v>10030500.8982246</v>
      </c>
      <c r="L162" s="5">
        <v>26101336.126791801</v>
      </c>
      <c r="M162" s="5">
        <v>14514566.712407099</v>
      </c>
      <c r="N162" s="5">
        <v>13953731.3376079</v>
      </c>
      <c r="O162" s="5">
        <v>20279559.0093721</v>
      </c>
      <c r="P162" s="5">
        <v>11050477.2256107</v>
      </c>
      <c r="Q162" s="5">
        <v>37170659.179063298</v>
      </c>
      <c r="R162" s="5">
        <v>9607953.0771510899</v>
      </c>
      <c r="S162" s="5">
        <v>15373610.1820681</v>
      </c>
      <c r="T162" s="5">
        <v>14319475.2856417</v>
      </c>
      <c r="U162" s="5">
        <v>14788796.1569968</v>
      </c>
      <c r="V162" s="5">
        <v>22733476.6867119</v>
      </c>
      <c r="W162" s="5">
        <v>14636023.508427201</v>
      </c>
      <c r="X162" s="5">
        <v>6860852.2070631497</v>
      </c>
      <c r="Y162" s="5">
        <v>15277662.536580199</v>
      </c>
      <c r="Z162" s="5">
        <v>15109846.7277782</v>
      </c>
      <c r="AA162" s="5">
        <v>15686106.080927899</v>
      </c>
      <c r="AB162" s="5">
        <v>14030767.2891616</v>
      </c>
      <c r="AC162" s="5">
        <v>13899635.2846187</v>
      </c>
      <c r="AD162">
        <f t="shared" si="9"/>
        <v>14681588.845621599</v>
      </c>
      <c r="AE162">
        <f t="shared" si="10"/>
        <v>861680.48207650613</v>
      </c>
      <c r="AF162">
        <f t="shared" si="11"/>
        <v>5.869122825445966E-2</v>
      </c>
    </row>
    <row r="163" spans="1:32" x14ac:dyDescent="0.45">
      <c r="A163" s="5" t="s">
        <v>93</v>
      </c>
      <c r="B163" s="2">
        <f t="shared" si="8"/>
        <v>34506340.039789163</v>
      </c>
      <c r="C163" s="8">
        <v>29754952.719379172</v>
      </c>
      <c r="D163" s="7">
        <v>2.7778743298272658E-2</v>
      </c>
      <c r="E163" s="5">
        <v>43449393.401913598</v>
      </c>
      <c r="F163" s="5">
        <v>28881181.6327435</v>
      </c>
      <c r="G163" s="5">
        <v>33602816.413231701</v>
      </c>
      <c r="H163" s="5">
        <v>53755708.852649003</v>
      </c>
      <c r="I163" s="5">
        <v>27002868.360527098</v>
      </c>
      <c r="J163" s="5">
        <v>28894715.146694802</v>
      </c>
      <c r="K163" s="5">
        <v>41374236.641106002</v>
      </c>
      <c r="L163" s="5">
        <v>28957763.124961201</v>
      </c>
      <c r="M163" s="5">
        <v>35093132.442817897</v>
      </c>
      <c r="N163" s="5">
        <v>26099131.575781699</v>
      </c>
      <c r="O163" s="5">
        <v>45262190.634660497</v>
      </c>
      <c r="P163" s="5">
        <v>28238109.978925601</v>
      </c>
      <c r="Q163" s="5">
        <v>68441568.454303995</v>
      </c>
      <c r="R163" s="5">
        <v>18758067.732104</v>
      </c>
      <c r="S163" s="5">
        <v>25709038.3708716</v>
      </c>
      <c r="T163" s="5">
        <v>32245216.2900308</v>
      </c>
      <c r="U163" s="5">
        <v>34600997.225693598</v>
      </c>
      <c r="V163" s="5">
        <v>45637971.128369197</v>
      </c>
      <c r="W163" s="5">
        <v>21973364.341425002</v>
      </c>
      <c r="X163" s="5">
        <v>25842053.575037099</v>
      </c>
      <c r="Y163" s="5">
        <v>30813615.511724502</v>
      </c>
      <c r="Z163" s="5">
        <v>29977280.563263699</v>
      </c>
      <c r="AA163" s="5">
        <v>30797627.214309499</v>
      </c>
      <c r="AB163" s="5">
        <v>28884896.048794601</v>
      </c>
      <c r="AC163" s="5">
        <v>29360007.051148899</v>
      </c>
      <c r="AD163">
        <f t="shared" si="9"/>
        <v>29754952.719379172</v>
      </c>
      <c r="AE163">
        <f t="shared" si="10"/>
        <v>826555.19344387401</v>
      </c>
      <c r="AF163">
        <f t="shared" si="11"/>
        <v>2.7778743298272658E-2</v>
      </c>
    </row>
    <row r="164" spans="1:32" x14ac:dyDescent="0.45">
      <c r="A164" s="5" t="s">
        <v>94</v>
      </c>
      <c r="B164" s="2">
        <f t="shared" si="8"/>
        <v>275901632.53765637</v>
      </c>
      <c r="C164" s="8">
        <v>324136948.68890178</v>
      </c>
      <c r="D164" s="7">
        <v>1.6571965957279649E-2</v>
      </c>
      <c r="E164" s="5">
        <v>35420634.275148101</v>
      </c>
      <c r="F164" s="5">
        <v>546218725.39128399</v>
      </c>
      <c r="G164" s="5">
        <v>61056606.253671803</v>
      </c>
      <c r="H164" s="5">
        <v>30993268.214318901</v>
      </c>
      <c r="I164" s="5">
        <v>31811140.429123901</v>
      </c>
      <c r="J164" s="5">
        <v>722765053.95175505</v>
      </c>
      <c r="K164" s="5">
        <v>1253623329.0494699</v>
      </c>
      <c r="L164" s="5">
        <v>36042461.094391704</v>
      </c>
      <c r="M164" s="5">
        <v>56433693.401855797</v>
      </c>
      <c r="N164" s="5">
        <v>713970706.36278999</v>
      </c>
      <c r="O164" s="5">
        <v>23855321.3060681</v>
      </c>
      <c r="P164" s="5">
        <v>774114170.64391696</v>
      </c>
      <c r="Q164" s="5">
        <v>43923525.742443897</v>
      </c>
      <c r="R164" s="5">
        <v>20228433.570144799</v>
      </c>
      <c r="S164" s="5">
        <v>25850408.568257701</v>
      </c>
      <c r="T164" s="5">
        <v>22521031.461946599</v>
      </c>
      <c r="U164" s="5">
        <v>61539389.998869203</v>
      </c>
      <c r="V164" s="5">
        <v>54978441.3721423</v>
      </c>
      <c r="W164" s="5">
        <v>584173307.56260502</v>
      </c>
      <c r="X164" s="5">
        <v>665972682.62444603</v>
      </c>
      <c r="Y164" s="5">
        <v>28441952.016135499</v>
      </c>
      <c r="Z164" s="5">
        <v>318609739.35913599</v>
      </c>
      <c r="AA164" s="5">
        <v>330814451.30062902</v>
      </c>
      <c r="AB164" s="5">
        <v>325881408.96371901</v>
      </c>
      <c r="AC164" s="5">
        <v>321242195.13212299</v>
      </c>
      <c r="AD164">
        <f t="shared" si="9"/>
        <v>324136948.68890178</v>
      </c>
      <c r="AE164">
        <f t="shared" si="10"/>
        <v>5371586.4791689804</v>
      </c>
      <c r="AF164">
        <f t="shared" si="11"/>
        <v>1.6571965957279649E-2</v>
      </c>
    </row>
    <row r="165" spans="1:32" x14ac:dyDescent="0.45">
      <c r="A165" s="5" t="s">
        <v>95</v>
      </c>
      <c r="B165" s="2">
        <f t="shared" si="8"/>
        <v>2918255.004127129</v>
      </c>
      <c r="C165" s="7">
        <v>2253085.6141993077</v>
      </c>
      <c r="D165" s="8">
        <v>0.11977647696794956</v>
      </c>
      <c r="E165" s="5">
        <v>5071837.15903138</v>
      </c>
      <c r="F165" s="5">
        <v>2601968.7547226502</v>
      </c>
      <c r="G165" s="5">
        <v>5749848.7710439302</v>
      </c>
      <c r="H165" s="5">
        <v>4384143.9953089803</v>
      </c>
      <c r="I165" s="5">
        <v>1803168.1588349801</v>
      </c>
      <c r="J165" s="5">
        <v>1245965.0224493099</v>
      </c>
      <c r="K165" s="5">
        <v>643994.30642449099</v>
      </c>
      <c r="L165" s="5">
        <v>2644707.5085847699</v>
      </c>
      <c r="M165" s="5">
        <v>1780700.7430270901</v>
      </c>
      <c r="N165" s="5">
        <v>975180.424985772</v>
      </c>
      <c r="O165" s="5">
        <v>6135538.1928033195</v>
      </c>
      <c r="P165" s="5">
        <v>539028.68739159603</v>
      </c>
      <c r="Q165" s="5">
        <v>7925939.6521946704</v>
      </c>
      <c r="R165" s="5">
        <v>2429120.0664660698</v>
      </c>
      <c r="S165" s="5">
        <v>2639823.2989232098</v>
      </c>
      <c r="T165" s="5">
        <v>2061853.5319463301</v>
      </c>
      <c r="U165" s="5">
        <v>2359785.3585920599</v>
      </c>
      <c r="V165" s="5">
        <v>4985516.9278546805</v>
      </c>
      <c r="W165" s="5">
        <v>1604107.68511635</v>
      </c>
      <c r="X165" s="5">
        <v>958023.10157748498</v>
      </c>
      <c r="Y165" s="5">
        <v>2743103.73939058</v>
      </c>
      <c r="Z165" s="5">
        <v>1853329.7753315701</v>
      </c>
      <c r="AA165" s="5">
        <v>2443155.0130564799</v>
      </c>
      <c r="AB165" s="5">
        <v>2374791.94947227</v>
      </c>
      <c r="AC165" s="5">
        <v>2341065.7189369099</v>
      </c>
      <c r="AD165">
        <f t="shared" si="9"/>
        <v>2253085.6141993077</v>
      </c>
      <c r="AE165">
        <f t="shared" si="10"/>
        <v>269866.65717596188</v>
      </c>
      <c r="AF165">
        <f t="shared" si="11"/>
        <v>0.11977647696794956</v>
      </c>
    </row>
    <row r="166" spans="1:32" x14ac:dyDescent="0.45">
      <c r="A166" s="5" t="s">
        <v>135</v>
      </c>
      <c r="B166" s="2">
        <f t="shared" si="8"/>
        <v>1293547.5724774594</v>
      </c>
      <c r="C166" s="2">
        <v>1451423.4995828301</v>
      </c>
      <c r="D166" s="2">
        <v>0.12328952926620677</v>
      </c>
      <c r="E166" s="5">
        <v>929338.93216382503</v>
      </c>
      <c r="F166" s="5">
        <v>1993962.09842049</v>
      </c>
      <c r="G166" s="5">
        <v>2503947.6610261602</v>
      </c>
      <c r="H166" s="5">
        <v>710699.55228117004</v>
      </c>
      <c r="I166" s="5">
        <v>1165814.8898198199</v>
      </c>
      <c r="J166" s="5">
        <v>2077027.1083557301</v>
      </c>
      <c r="K166" s="5">
        <v>1781421.70770846</v>
      </c>
      <c r="L166" s="5">
        <v>442961.70273531001</v>
      </c>
      <c r="M166" s="5">
        <v>597552.83346884896</v>
      </c>
      <c r="N166" s="5">
        <v>1609343.8303930999</v>
      </c>
      <c r="O166" s="5">
        <v>919200.22754388803</v>
      </c>
      <c r="P166" s="5">
        <v>1464926.1913358299</v>
      </c>
      <c r="Q166" s="5">
        <v>464632.42153297702</v>
      </c>
      <c r="R166" s="5">
        <v>2968972.9281404</v>
      </c>
      <c r="S166" s="5">
        <v>821061.76806449995</v>
      </c>
      <c r="T166" s="5">
        <v>1179962.907803</v>
      </c>
      <c r="U166" s="5">
        <v>643976.54194396897</v>
      </c>
      <c r="V166" s="5">
        <v>989976.85231737199</v>
      </c>
      <c r="W166" s="5">
        <v>1777098.9044560799</v>
      </c>
      <c r="X166" s="5">
        <v>1179083.5166515601</v>
      </c>
      <c r="Y166" s="5">
        <v>943536.44586416404</v>
      </c>
      <c r="Z166" s="5">
        <v>1215480.2061131101</v>
      </c>
      <c r="AA166" s="5">
        <v>1650316.4864044101</v>
      </c>
      <c r="AB166" s="5">
        <v>1478616.4706787099</v>
      </c>
      <c r="AC166" s="5">
        <v>1461280.8351350899</v>
      </c>
      <c r="AD166">
        <f t="shared" si="9"/>
        <v>1451423.4995828301</v>
      </c>
      <c r="AE166">
        <f t="shared" si="10"/>
        <v>178945.32002947759</v>
      </c>
      <c r="AF166">
        <f t="shared" si="11"/>
        <v>0.12328952926620677</v>
      </c>
    </row>
    <row r="167" spans="1:32" x14ac:dyDescent="0.45">
      <c r="A167" s="5" t="s">
        <v>96</v>
      </c>
      <c r="B167" s="2">
        <f t="shared" si="8"/>
        <v>702993.51825113676</v>
      </c>
      <c r="C167" s="2">
        <v>671285.17901393934</v>
      </c>
      <c r="D167" s="2">
        <v>4.266827496598094E-2</v>
      </c>
      <c r="E167" s="5">
        <v>347816.01925902697</v>
      </c>
      <c r="F167" s="5">
        <v>917078.81160829205</v>
      </c>
      <c r="G167" s="5">
        <v>277651.739063252</v>
      </c>
      <c r="H167" s="5">
        <v>221879.82150479199</v>
      </c>
      <c r="I167" s="5">
        <v>236134.975710564</v>
      </c>
      <c r="J167" s="5">
        <v>1073568.7622138499</v>
      </c>
      <c r="K167" s="5">
        <v>4497961.3036856297</v>
      </c>
      <c r="L167" s="5">
        <v>257431.81334449901</v>
      </c>
      <c r="M167" s="5">
        <v>242914.89920086</v>
      </c>
      <c r="N167" s="5">
        <v>1398274.36863982</v>
      </c>
      <c r="O167" s="5">
        <v>198681.928143075</v>
      </c>
      <c r="P167" s="5">
        <v>1513086.0657009799</v>
      </c>
      <c r="Q167" s="5">
        <v>504918.88692440599</v>
      </c>
      <c r="R167" s="5">
        <v>203218.89949073899</v>
      </c>
      <c r="S167" s="5">
        <v>251999.05101042101</v>
      </c>
      <c r="T167" s="5">
        <v>158130.146740367</v>
      </c>
      <c r="U167" s="5">
        <v>247201.13967355201</v>
      </c>
      <c r="V167" s="5">
        <v>292107.12714413297</v>
      </c>
      <c r="W167" s="5">
        <v>836665.16647109203</v>
      </c>
      <c r="X167" s="5">
        <v>917916.163525949</v>
      </c>
      <c r="Y167" s="5">
        <v>168226.794218572</v>
      </c>
      <c r="Z167" s="5">
        <v>705921.92448447098</v>
      </c>
      <c r="AA167" s="5">
        <v>653928.25675204606</v>
      </c>
      <c r="AB167" s="5">
        <v>682781.41944782902</v>
      </c>
      <c r="AC167" s="5">
        <v>642509.11537141097</v>
      </c>
      <c r="AD167">
        <f t="shared" si="9"/>
        <v>671285.17901393934</v>
      </c>
      <c r="AE167">
        <f t="shared" si="10"/>
        <v>28642.580598754503</v>
      </c>
      <c r="AF167">
        <f t="shared" si="11"/>
        <v>4.266827496598094E-2</v>
      </c>
    </row>
    <row r="168" spans="1:32" x14ac:dyDescent="0.45">
      <c r="A168" s="5" t="s">
        <v>97</v>
      </c>
      <c r="B168" s="2">
        <f t="shared" si="8"/>
        <v>41639442.522723451</v>
      </c>
      <c r="C168" s="7">
        <v>34282339.291157752</v>
      </c>
      <c r="D168" s="7">
        <v>3.0775439921310262E-2</v>
      </c>
      <c r="E168" s="5">
        <v>45763150.093362197</v>
      </c>
      <c r="F168" s="5">
        <v>25136406.585384101</v>
      </c>
      <c r="G168" s="5">
        <v>37369444.999741003</v>
      </c>
      <c r="H168" s="5">
        <v>53198191.054537699</v>
      </c>
      <c r="I168" s="5">
        <v>30772861.7563335</v>
      </c>
      <c r="J168" s="5">
        <v>26714807.503438</v>
      </c>
      <c r="K168" s="5">
        <v>31163336.673770599</v>
      </c>
      <c r="L168" s="5">
        <v>44771141.102547102</v>
      </c>
      <c r="M168" s="5">
        <v>50386732.462200999</v>
      </c>
      <c r="N168" s="5">
        <v>31402020.315551098</v>
      </c>
      <c r="O168" s="5">
        <v>38194018.007687099</v>
      </c>
      <c r="P168" s="5">
        <v>31028799.328804899</v>
      </c>
      <c r="Q168" s="5">
        <v>60672322.511498198</v>
      </c>
      <c r="R168" s="5">
        <v>49510341.6865343</v>
      </c>
      <c r="S168" s="5">
        <v>52670285.601611599</v>
      </c>
      <c r="T168" s="5">
        <v>54247079.539658703</v>
      </c>
      <c r="U168" s="5">
        <v>48092181.581040896</v>
      </c>
      <c r="V168" s="5">
        <v>42357639.323581301</v>
      </c>
      <c r="W168" s="5">
        <v>24407341.879869599</v>
      </c>
      <c r="X168" s="5">
        <v>35562342.813085303</v>
      </c>
      <c r="Y168" s="5">
        <v>61007848.156954199</v>
      </c>
      <c r="Z168" s="5">
        <v>33380780.312927298</v>
      </c>
      <c r="AA168" s="5">
        <v>34209017.623984903</v>
      </c>
      <c r="AB168" s="5">
        <v>35781223.259778298</v>
      </c>
      <c r="AC168" s="5">
        <v>33758335.967940502</v>
      </c>
      <c r="AD168">
        <f t="shared" si="9"/>
        <v>34282339.291157752</v>
      </c>
      <c r="AE168">
        <f t="shared" si="10"/>
        <v>1055054.0732169996</v>
      </c>
      <c r="AF168">
        <f t="shared" si="11"/>
        <v>3.0775439921310262E-2</v>
      </c>
    </row>
    <row r="169" spans="1:32" x14ac:dyDescent="0.45">
      <c r="A169" s="5" t="s">
        <v>98</v>
      </c>
      <c r="B169" s="2">
        <f t="shared" si="8"/>
        <v>510790.73265891511</v>
      </c>
      <c r="C169" s="7">
        <v>338324.70497426199</v>
      </c>
      <c r="D169" s="8">
        <v>4.643369785800492E-2</v>
      </c>
      <c r="E169" s="5">
        <v>656857.248465123</v>
      </c>
      <c r="F169" s="5">
        <v>159410.885953391</v>
      </c>
      <c r="G169" s="5">
        <v>518258.294223784</v>
      </c>
      <c r="H169" s="5">
        <v>762604.56623592402</v>
      </c>
      <c r="I169" s="5">
        <v>498866.65063442499</v>
      </c>
      <c r="J169" s="5">
        <v>134086.98410537399</v>
      </c>
      <c r="K169" s="5">
        <v>249913.46470804099</v>
      </c>
      <c r="L169" s="5">
        <v>898535.908762265</v>
      </c>
      <c r="M169" s="5">
        <v>660922.88245025103</v>
      </c>
      <c r="N169" s="5">
        <v>281210.58544340398</v>
      </c>
      <c r="O169" s="5">
        <v>639177.72831498098</v>
      </c>
      <c r="P169" s="5">
        <v>184703.26566777501</v>
      </c>
      <c r="Q169" s="5">
        <v>1009934.39085636</v>
      </c>
      <c r="R169" s="5">
        <v>378903.033723086</v>
      </c>
      <c r="S169" s="5">
        <v>764151.96924224403</v>
      </c>
      <c r="T169" s="5">
        <v>614343.998765531</v>
      </c>
      <c r="U169" s="5">
        <v>634121.97830900596</v>
      </c>
      <c r="V169" s="5">
        <v>593685.804140892</v>
      </c>
      <c r="W169" s="5">
        <v>176869.076651671</v>
      </c>
      <c r="X169" s="5">
        <v>153736.09454533699</v>
      </c>
      <c r="Y169" s="5">
        <v>756310.57463835296</v>
      </c>
      <c r="Z169" s="5">
        <v>336238.06092434499</v>
      </c>
      <c r="AA169" s="5">
        <v>357650.45845412201</v>
      </c>
      <c r="AB169" s="5">
        <v>319362.31104665098</v>
      </c>
      <c r="AC169" s="5">
        <v>340047.98947193002</v>
      </c>
      <c r="AD169">
        <f t="shared" si="9"/>
        <v>338324.70497426199</v>
      </c>
      <c r="AE169">
        <f t="shared" si="10"/>
        <v>15709.667128673536</v>
      </c>
      <c r="AF169">
        <f t="shared" si="11"/>
        <v>4.643369785800492E-2</v>
      </c>
    </row>
    <row r="170" spans="1:32" x14ac:dyDescent="0.45">
      <c r="A170" s="5" t="s">
        <v>99</v>
      </c>
      <c r="B170" s="2">
        <f t="shared" si="8"/>
        <v>37717871.62772087</v>
      </c>
      <c r="C170" s="7">
        <v>37798697.607289322</v>
      </c>
      <c r="D170" s="7">
        <v>8.8128756219765153E-2</v>
      </c>
      <c r="E170" s="5">
        <v>7574671.50271047</v>
      </c>
      <c r="F170" s="5">
        <v>57928357.338516504</v>
      </c>
      <c r="G170" s="5">
        <v>19592073.961296301</v>
      </c>
      <c r="H170" s="5">
        <v>13180187.597064501</v>
      </c>
      <c r="I170" s="5">
        <v>23262963.494684301</v>
      </c>
      <c r="J170" s="5">
        <v>106537486.803082</v>
      </c>
      <c r="K170" s="5">
        <v>41561169.117755704</v>
      </c>
      <c r="L170" s="5">
        <v>12680636.6557514</v>
      </c>
      <c r="M170" s="5">
        <v>17726429.368466899</v>
      </c>
      <c r="N170" s="5">
        <v>90027235.368651003</v>
      </c>
      <c r="O170" s="5">
        <v>12873907.6793372</v>
      </c>
      <c r="P170" s="5">
        <v>123822158.295817</v>
      </c>
      <c r="Q170" s="5">
        <v>15952541.5037216</v>
      </c>
      <c r="R170" s="5">
        <v>22609341.788054701</v>
      </c>
      <c r="S170" s="5">
        <v>12823946.257266499</v>
      </c>
      <c r="T170" s="5">
        <v>14415943.491750499</v>
      </c>
      <c r="U170" s="5">
        <v>15138603.9768485</v>
      </c>
      <c r="V170" s="5">
        <v>13462666.1030643</v>
      </c>
      <c r="W170" s="5">
        <v>93427011.421246603</v>
      </c>
      <c r="X170" s="5">
        <v>58706188.969110698</v>
      </c>
      <c r="Y170" s="5">
        <v>18771783.4879415</v>
      </c>
      <c r="Z170" s="5">
        <v>35323289.579232</v>
      </c>
      <c r="AA170" s="5">
        <v>34687820.447987497</v>
      </c>
      <c r="AB170" s="5">
        <v>41561693.894281097</v>
      </c>
      <c r="AC170" s="5">
        <v>39621986.507656701</v>
      </c>
      <c r="AD170">
        <f t="shared" si="9"/>
        <v>37798697.607289322</v>
      </c>
      <c r="AE170">
        <f t="shared" si="10"/>
        <v>3331152.206857421</v>
      </c>
      <c r="AF170">
        <f t="shared" si="11"/>
        <v>8.8128756219765153E-2</v>
      </c>
    </row>
    <row r="171" spans="1:32" x14ac:dyDescent="0.45">
      <c r="A171" s="5" t="s">
        <v>262</v>
      </c>
      <c r="B171" s="2">
        <f t="shared" si="8"/>
        <v>4694995.6845292412</v>
      </c>
      <c r="C171" s="2">
        <v>4331321.4658266045</v>
      </c>
      <c r="D171" s="2">
        <v>3.4207186405365485E-2</v>
      </c>
      <c r="E171" s="5">
        <v>6386630.5866645398</v>
      </c>
      <c r="F171" s="5">
        <v>4131564.2766576</v>
      </c>
      <c r="G171" s="5">
        <v>4139985.78587618</v>
      </c>
      <c r="H171" s="5">
        <v>3906532.3269605399</v>
      </c>
      <c r="I171" s="5">
        <v>3861849.5009361901</v>
      </c>
      <c r="J171" s="5">
        <v>3477554.4437826499</v>
      </c>
      <c r="K171" s="5">
        <v>3956132.3493301701</v>
      </c>
      <c r="L171" s="5">
        <v>6498623.9075097404</v>
      </c>
      <c r="M171" s="5">
        <v>5050196.6335541196</v>
      </c>
      <c r="N171" s="5">
        <v>3790841.6320599099</v>
      </c>
      <c r="O171" s="5">
        <v>5583706.1073361998</v>
      </c>
      <c r="P171" s="5">
        <v>4252071.0683421101</v>
      </c>
      <c r="Q171" s="5">
        <v>4164900.79337407</v>
      </c>
      <c r="R171" s="5">
        <v>5024961.3446335103</v>
      </c>
      <c r="S171" s="5">
        <v>6307839.4019354498</v>
      </c>
      <c r="T171" s="5">
        <v>4406276.8016913598</v>
      </c>
      <c r="U171" s="5">
        <v>5248216.8230021996</v>
      </c>
      <c r="V171" s="5">
        <v>4790491.7499037003</v>
      </c>
      <c r="W171" s="5">
        <v>5185735.8803285202</v>
      </c>
      <c r="X171" s="5">
        <v>3505544.0204511299</v>
      </c>
      <c r="Y171" s="5">
        <v>4925253.9407841899</v>
      </c>
      <c r="Z171" s="5">
        <v>4125538.49181754</v>
      </c>
      <c r="AA171" s="5">
        <v>4458416.4750073804</v>
      </c>
      <c r="AB171" s="5">
        <v>4324510.5556147797</v>
      </c>
      <c r="AC171" s="5">
        <v>4416820.3408667203</v>
      </c>
      <c r="AD171">
        <f t="shared" si="9"/>
        <v>4331321.4658266045</v>
      </c>
      <c r="AE171">
        <f t="shared" si="10"/>
        <v>148162.32076309153</v>
      </c>
      <c r="AF171">
        <f t="shared" si="11"/>
        <v>3.4207186405365485E-2</v>
      </c>
    </row>
    <row r="172" spans="1:32" x14ac:dyDescent="0.45">
      <c r="A172" s="5" t="s">
        <v>100</v>
      </c>
      <c r="B172" s="2">
        <f t="shared" si="8"/>
        <v>2358195.3519682535</v>
      </c>
      <c r="C172" s="7">
        <v>1955922.2161750125</v>
      </c>
      <c r="D172" s="8">
        <v>0.10358484682628893</v>
      </c>
      <c r="E172" s="5">
        <v>2844843.0035283002</v>
      </c>
      <c r="F172" s="5">
        <v>2105784.7074480602</v>
      </c>
      <c r="G172" s="5">
        <v>3332296.0465855999</v>
      </c>
      <c r="H172" s="5">
        <v>3807372.7539612502</v>
      </c>
      <c r="I172" s="5">
        <v>2414724.3123361999</v>
      </c>
      <c r="J172" s="5">
        <v>1416901.2336170101</v>
      </c>
      <c r="K172" s="5">
        <v>1512707.81124379</v>
      </c>
      <c r="L172" s="5">
        <v>2937986.1670757602</v>
      </c>
      <c r="M172" s="5">
        <v>1885271.3183327401</v>
      </c>
      <c r="N172" s="5">
        <v>2337227.3764279699</v>
      </c>
      <c r="O172" s="5">
        <v>3709555.3228835398</v>
      </c>
      <c r="P172" s="5">
        <v>1303785.3504890299</v>
      </c>
      <c r="Q172" s="5">
        <v>3968349.3919889401</v>
      </c>
      <c r="R172" s="5">
        <v>1500785.2688270099</v>
      </c>
      <c r="S172" s="5">
        <v>2122889.1495268098</v>
      </c>
      <c r="T172" s="5">
        <v>2001957.75167125</v>
      </c>
      <c r="U172" s="5">
        <v>2426308.6238158299</v>
      </c>
      <c r="V172" s="5">
        <v>1973186.14665694</v>
      </c>
      <c r="W172" s="5">
        <v>2057551.58205052</v>
      </c>
      <c r="X172" s="5">
        <v>1464278.67381548</v>
      </c>
      <c r="Y172" s="5">
        <v>2398340.3990512998</v>
      </c>
      <c r="Z172" s="5">
        <v>2059145.7138548801</v>
      </c>
      <c r="AA172" s="5">
        <v>2051947.7917564199</v>
      </c>
      <c r="AB172" s="5">
        <v>1652068.7314269401</v>
      </c>
      <c r="AC172" s="5">
        <v>2060526.62766181</v>
      </c>
      <c r="AD172">
        <f t="shared" si="9"/>
        <v>1955922.2161750125</v>
      </c>
      <c r="AE172">
        <f t="shared" si="10"/>
        <v>202603.90316662425</v>
      </c>
      <c r="AF172">
        <f t="shared" si="11"/>
        <v>0.10358484682628893</v>
      </c>
    </row>
    <row r="173" spans="1:32" x14ac:dyDescent="0.45">
      <c r="A173" s="5" t="s">
        <v>212</v>
      </c>
      <c r="B173" s="2">
        <f t="shared" si="8"/>
        <v>6505910.1144183418</v>
      </c>
      <c r="C173" s="7">
        <v>5852523.1067699399</v>
      </c>
      <c r="D173" s="7">
        <v>5.9437486882946262E-2</v>
      </c>
      <c r="E173" s="5">
        <v>16253347.792053901</v>
      </c>
      <c r="F173" s="5">
        <v>7278989.41047257</v>
      </c>
      <c r="G173" s="5">
        <v>4011431.3063870901</v>
      </c>
      <c r="H173" s="5">
        <v>1772185.24958654</v>
      </c>
      <c r="I173" s="5">
        <v>10265803.8148594</v>
      </c>
      <c r="J173" s="5">
        <v>10165991.651990499</v>
      </c>
      <c r="K173" s="5">
        <v>3067747.0096415998</v>
      </c>
      <c r="L173" s="5">
        <v>9965029.45129296</v>
      </c>
      <c r="M173" s="5">
        <v>12296373.2989711</v>
      </c>
      <c r="N173" s="5">
        <v>5373373.13459545</v>
      </c>
      <c r="O173" s="5">
        <v>2205596.3315019701</v>
      </c>
      <c r="P173" s="5">
        <v>4604563.4720514398</v>
      </c>
      <c r="Q173" s="5">
        <v>1841719.0418664999</v>
      </c>
      <c r="R173" s="5">
        <v>2855531.79549838</v>
      </c>
      <c r="S173" s="5">
        <v>11347108.931585601</v>
      </c>
      <c r="T173" s="5">
        <v>4328812.7295306204</v>
      </c>
      <c r="U173" s="5">
        <v>4743485.8654327802</v>
      </c>
      <c r="V173" s="5">
        <v>4260265.6257954296</v>
      </c>
      <c r="W173" s="5">
        <v>8139885.6360266404</v>
      </c>
      <c r="X173" s="5">
        <v>5922709.1168671697</v>
      </c>
      <c r="Y173" s="5">
        <v>5924161.7367775198</v>
      </c>
      <c r="Z173" s="5">
        <v>6333291.0894980803</v>
      </c>
      <c r="AA173" s="5">
        <v>5877898.1783213997</v>
      </c>
      <c r="AB173" s="5">
        <v>5559790.1223689197</v>
      </c>
      <c r="AC173" s="5">
        <v>5639113.0368913598</v>
      </c>
      <c r="AD173">
        <f t="shared" si="9"/>
        <v>5852523.1067699399</v>
      </c>
      <c r="AE173">
        <f t="shared" si="10"/>
        <v>347859.26539077819</v>
      </c>
      <c r="AF173">
        <f t="shared" si="11"/>
        <v>5.9437486882946262E-2</v>
      </c>
    </row>
    <row r="174" spans="1:32" x14ac:dyDescent="0.45">
      <c r="A174" s="5" t="s">
        <v>101</v>
      </c>
      <c r="B174" s="2">
        <f t="shared" si="8"/>
        <v>2613731.0258639432</v>
      </c>
      <c r="C174" s="7">
        <v>2049338.1073028576</v>
      </c>
      <c r="D174" s="8">
        <v>4.0305244402155778E-2</v>
      </c>
      <c r="E174" s="5">
        <v>3282054.1935155299</v>
      </c>
      <c r="F174" s="5">
        <v>1250930.6950968599</v>
      </c>
      <c r="G174" s="5">
        <v>1035755.902285</v>
      </c>
      <c r="H174" s="5">
        <v>4787622.42432159</v>
      </c>
      <c r="I174" s="5">
        <v>3616585.3410264798</v>
      </c>
      <c r="J174" s="5">
        <v>1061159.0418056799</v>
      </c>
      <c r="K174" s="5">
        <v>1365300.6782947001</v>
      </c>
      <c r="L174" s="5">
        <v>2888784.3305904302</v>
      </c>
      <c r="M174" s="5">
        <v>3452985.8946949202</v>
      </c>
      <c r="N174" s="5">
        <v>1179914.44506751</v>
      </c>
      <c r="O174" s="5">
        <v>4540046.6434147405</v>
      </c>
      <c r="P174" s="5">
        <v>2107637.7754223798</v>
      </c>
      <c r="Q174" s="5">
        <v>1735035.36434566</v>
      </c>
      <c r="R174" s="5">
        <v>1662547.13164536</v>
      </c>
      <c r="S174" s="5">
        <v>3808305.99371946</v>
      </c>
      <c r="T174" s="5">
        <v>2123815.9846529602</v>
      </c>
      <c r="U174" s="5">
        <v>2271474.7225516601</v>
      </c>
      <c r="V174" s="5">
        <v>6855623.1747089503</v>
      </c>
      <c r="W174" s="5">
        <v>1799016.6168701099</v>
      </c>
      <c r="X174" s="5">
        <v>1211887.25181591</v>
      </c>
      <c r="Y174" s="5">
        <v>2851867.9372969298</v>
      </c>
      <c r="Z174" s="5">
        <v>1954269.5375948499</v>
      </c>
      <c r="AA174" s="5">
        <v>2136669.2073303601</v>
      </c>
      <c r="AB174" s="5">
        <v>2009772.22160814</v>
      </c>
      <c r="AC174" s="5">
        <v>2096641.46267808</v>
      </c>
      <c r="AD174">
        <f t="shared" si="9"/>
        <v>2049338.1073028576</v>
      </c>
      <c r="AE174">
        <f t="shared" si="10"/>
        <v>82599.073277493022</v>
      </c>
      <c r="AF174">
        <f t="shared" si="11"/>
        <v>4.0305244402155778E-2</v>
      </c>
    </row>
    <row r="175" spans="1:32" x14ac:dyDescent="0.45">
      <c r="A175" s="5" t="s">
        <v>136</v>
      </c>
      <c r="B175" s="2">
        <f t="shared" si="8"/>
        <v>223020089.60539174</v>
      </c>
      <c r="C175" s="2">
        <v>201654695.31849924</v>
      </c>
      <c r="D175" s="2">
        <v>7.3082917410423498E-2</v>
      </c>
      <c r="E175" s="5">
        <v>214607246.79714999</v>
      </c>
      <c r="F175" s="5">
        <v>160756652.73508599</v>
      </c>
      <c r="G175" s="5">
        <v>282665587.790703</v>
      </c>
      <c r="H175" s="5">
        <v>386592653.21519703</v>
      </c>
      <c r="I175" s="5">
        <v>422903194.73768401</v>
      </c>
      <c r="J175" s="5">
        <v>153449040.25143099</v>
      </c>
      <c r="K175" s="5">
        <v>121048076.534851</v>
      </c>
      <c r="L175" s="5">
        <v>191683445.795414</v>
      </c>
      <c r="M175" s="5">
        <v>134092963.26293001</v>
      </c>
      <c r="N175" s="5">
        <v>149574283.83083099</v>
      </c>
      <c r="O175" s="5">
        <v>338275985.706321</v>
      </c>
      <c r="P175" s="5">
        <v>94846819.199968904</v>
      </c>
      <c r="Q175" s="5">
        <v>247706524.869205</v>
      </c>
      <c r="R175" s="5">
        <v>268267194.64197299</v>
      </c>
      <c r="S175" s="5">
        <v>230815540.845741</v>
      </c>
      <c r="T175" s="5">
        <v>305651131.13507402</v>
      </c>
      <c r="U175" s="5">
        <v>120563712.987391</v>
      </c>
      <c r="V175" s="5">
        <v>361124791.03157502</v>
      </c>
      <c r="W175" s="5">
        <v>149473460.47549999</v>
      </c>
      <c r="X175" s="5">
        <v>191217397.18982399</v>
      </c>
      <c r="Y175" s="5">
        <v>158106178.67937699</v>
      </c>
      <c r="Z175" s="5">
        <v>186254876.80178499</v>
      </c>
      <c r="AA175" s="5">
        <v>221123984.122852</v>
      </c>
      <c r="AB175" s="5">
        <v>203300652.79808199</v>
      </c>
      <c r="AC175" s="5">
        <v>195939267.551278</v>
      </c>
      <c r="AD175">
        <f t="shared" si="9"/>
        <v>201654695.31849924</v>
      </c>
      <c r="AE175">
        <f t="shared" si="10"/>
        <v>14737513.443385994</v>
      </c>
      <c r="AF175">
        <f t="shared" si="11"/>
        <v>7.3082917410423498E-2</v>
      </c>
    </row>
    <row r="176" spans="1:32" x14ac:dyDescent="0.45">
      <c r="A176" s="5" t="s">
        <v>137</v>
      </c>
      <c r="B176" s="2">
        <f t="shared" si="8"/>
        <v>37813226.248433739</v>
      </c>
      <c r="C176" s="2">
        <v>34767061.304978922</v>
      </c>
      <c r="D176" s="2">
        <v>3.8272774777392896E-2</v>
      </c>
      <c r="E176" s="5">
        <v>50637354.152227797</v>
      </c>
      <c r="F176" s="5">
        <v>29812621.136905499</v>
      </c>
      <c r="G176" s="5">
        <v>32880703.545958199</v>
      </c>
      <c r="H176" s="5">
        <v>55578171.477693297</v>
      </c>
      <c r="I176" s="5">
        <v>32308496.054028202</v>
      </c>
      <c r="J176" s="5">
        <v>30567680.623750199</v>
      </c>
      <c r="K176" s="5">
        <v>39125980.262525298</v>
      </c>
      <c r="L176" s="5">
        <v>29686096.088340901</v>
      </c>
      <c r="M176" s="5">
        <v>37793119.469378203</v>
      </c>
      <c r="N176" s="5">
        <v>31243177.630669199</v>
      </c>
      <c r="O176" s="5">
        <v>35723393.394355603</v>
      </c>
      <c r="P176" s="5">
        <v>35508827.092695102</v>
      </c>
      <c r="Q176" s="5">
        <v>65047551.307138197</v>
      </c>
      <c r="R176" s="5">
        <v>25640259.4811791</v>
      </c>
      <c r="S176" s="5">
        <v>32004432.380633499</v>
      </c>
      <c r="T176" s="5">
        <v>40268964.906753197</v>
      </c>
      <c r="U176" s="5">
        <v>42481918.4744002</v>
      </c>
      <c r="V176" s="5">
        <v>43421781.319930702</v>
      </c>
      <c r="W176" s="5">
        <v>28741308.922270902</v>
      </c>
      <c r="X176" s="5">
        <v>37583004.958799198</v>
      </c>
      <c r="Y176" s="5">
        <v>38022908.537476003</v>
      </c>
      <c r="Z176" s="5">
        <v>33003179.422062598</v>
      </c>
      <c r="AA176" s="5">
        <v>34847993.424225397</v>
      </c>
      <c r="AB176" s="5">
        <v>36232136.4423595</v>
      </c>
      <c r="AC176" s="5">
        <v>34984935.9312682</v>
      </c>
      <c r="AD176">
        <f t="shared" si="9"/>
        <v>34767061.304978922</v>
      </c>
      <c r="AE176">
        <f t="shared" si="10"/>
        <v>1330631.9069972697</v>
      </c>
      <c r="AF176">
        <f t="shared" si="11"/>
        <v>3.8272774777392896E-2</v>
      </c>
    </row>
    <row r="177" spans="1:32" x14ac:dyDescent="0.45">
      <c r="A177" s="5" t="s">
        <v>263</v>
      </c>
      <c r="B177" s="2">
        <f t="shared" si="8"/>
        <v>105577102.27128804</v>
      </c>
      <c r="C177" s="2">
        <v>90670093.812769622</v>
      </c>
      <c r="D177" s="2">
        <v>0.2460312768787275</v>
      </c>
      <c r="E177" s="5">
        <v>123332071.54549</v>
      </c>
      <c r="F177" s="5">
        <v>95798955.4474608</v>
      </c>
      <c r="G177" s="5">
        <v>115945684.317063</v>
      </c>
      <c r="H177" s="5">
        <v>344039026.45169997</v>
      </c>
      <c r="I177" s="5">
        <v>187868887.996398</v>
      </c>
      <c r="J177" s="5">
        <v>83627193.820366994</v>
      </c>
      <c r="K177" s="5">
        <v>65787799.2192384</v>
      </c>
      <c r="L177" s="5">
        <v>140781169.24343401</v>
      </c>
      <c r="M177" s="5">
        <v>155098963.73502299</v>
      </c>
      <c r="N177" s="5">
        <v>32296149.633485101</v>
      </c>
      <c r="O177" s="5">
        <v>173088203.10271999</v>
      </c>
      <c r="P177" s="5">
        <v>51463229.938211598</v>
      </c>
      <c r="Q177" s="5">
        <v>34273261.109415703</v>
      </c>
      <c r="R177" s="5">
        <v>99695813.603411198</v>
      </c>
      <c r="S177" s="5">
        <v>69098933.300029099</v>
      </c>
      <c r="T177" s="5">
        <v>79040741.044553295</v>
      </c>
      <c r="U177" s="5">
        <v>79218422.204209596</v>
      </c>
      <c r="V177" s="5">
        <v>54557428.5184028</v>
      </c>
      <c r="W177" s="5">
        <v>61975979.977967598</v>
      </c>
      <c r="X177" s="5">
        <v>109051659.460885</v>
      </c>
      <c r="Y177" s="5">
        <v>61079574.027583599</v>
      </c>
      <c r="Z177" s="5">
        <v>123150525.107783</v>
      </c>
      <c r="AA177" s="5">
        <v>85515387.564641997</v>
      </c>
      <c r="AB177" s="5">
        <v>72648298.9167528</v>
      </c>
      <c r="AC177" s="5">
        <v>81366163.661900699</v>
      </c>
      <c r="AD177">
        <f t="shared" si="9"/>
        <v>90670093.812769622</v>
      </c>
      <c r="AE177">
        <f t="shared" si="10"/>
        <v>22307678.95546972</v>
      </c>
      <c r="AF177">
        <f t="shared" si="11"/>
        <v>0.2460312768787275</v>
      </c>
    </row>
    <row r="178" spans="1:32" x14ac:dyDescent="0.45">
      <c r="A178" s="5" t="s">
        <v>213</v>
      </c>
      <c r="B178" s="2">
        <f t="shared" si="8"/>
        <v>10287661.907772405</v>
      </c>
      <c r="C178" s="7">
        <v>8392375.0412897449</v>
      </c>
      <c r="D178" s="7">
        <v>3.7698924625191407E-2</v>
      </c>
      <c r="E178" s="5">
        <v>9239428.5984381009</v>
      </c>
      <c r="F178" s="5">
        <v>8562691.1873197202</v>
      </c>
      <c r="G178" s="5">
        <v>10373893.878371401</v>
      </c>
      <c r="H178" s="5">
        <v>11384379.5027906</v>
      </c>
      <c r="I178" s="5">
        <v>10731308.5984757</v>
      </c>
      <c r="J178" s="5">
        <v>8811610.9865399394</v>
      </c>
      <c r="K178" s="5">
        <v>13679314.9422525</v>
      </c>
      <c r="L178" s="5">
        <v>8402909.1234585308</v>
      </c>
      <c r="M178" s="5">
        <v>9326239.4259939492</v>
      </c>
      <c r="N178" s="5">
        <v>9472582.0631908402</v>
      </c>
      <c r="O178" s="5">
        <v>14032500.3367416</v>
      </c>
      <c r="P178" s="5">
        <v>13584992.626056399</v>
      </c>
      <c r="Q178" s="5">
        <v>14868032.6682449</v>
      </c>
      <c r="R178" s="5">
        <v>7898509.5088096699</v>
      </c>
      <c r="S178" s="5">
        <v>7199612.4494906198</v>
      </c>
      <c r="T178" s="5">
        <v>10831611.019848701</v>
      </c>
      <c r="U178" s="5">
        <v>9508102.9401092306</v>
      </c>
      <c r="V178" s="5">
        <v>9620876.0922292508</v>
      </c>
      <c r="W178" s="5">
        <v>8721794.9700832404</v>
      </c>
      <c r="X178" s="5">
        <v>10344057.4184172</v>
      </c>
      <c r="Y178" s="5">
        <v>9446451.7263584808</v>
      </c>
      <c r="Z178" s="5">
        <v>8532808.0210979506</v>
      </c>
      <c r="AA178" s="5">
        <v>7918235.6260460299</v>
      </c>
      <c r="AB178" s="5">
        <v>8552671.4088937696</v>
      </c>
      <c r="AC178" s="5">
        <v>8565785.1091212295</v>
      </c>
      <c r="AD178">
        <f t="shared" si="9"/>
        <v>8392375.0412897449</v>
      </c>
      <c r="AE178">
        <f t="shared" si="10"/>
        <v>316383.51410791971</v>
      </c>
      <c r="AF178">
        <f t="shared" si="11"/>
        <v>3.7698924625191407E-2</v>
      </c>
    </row>
    <row r="179" spans="1:32" x14ac:dyDescent="0.45">
      <c r="A179" s="5" t="s">
        <v>214</v>
      </c>
      <c r="B179" s="2">
        <f t="shared" si="8"/>
        <v>6982246.2226344403</v>
      </c>
      <c r="C179" s="7">
        <v>6874719.231452493</v>
      </c>
      <c r="D179" s="7">
        <v>8.346974134904829E-2</v>
      </c>
      <c r="E179" s="5">
        <v>3456347.32270345</v>
      </c>
      <c r="F179" s="5">
        <v>6437076.0626502903</v>
      </c>
      <c r="G179" s="5">
        <v>2334845.6619633101</v>
      </c>
      <c r="H179" s="5">
        <v>5841532.3226405298</v>
      </c>
      <c r="I179" s="5">
        <v>1949464.8673481201</v>
      </c>
      <c r="J179" s="5">
        <v>10397092.397585601</v>
      </c>
      <c r="K179" s="5">
        <v>36589964.716819599</v>
      </c>
      <c r="L179" s="5">
        <v>1772400.8576041099</v>
      </c>
      <c r="M179" s="5">
        <v>2152040.3421927299</v>
      </c>
      <c r="N179" s="5">
        <v>14990144.972322499</v>
      </c>
      <c r="O179" s="5">
        <v>2710412.1324179801</v>
      </c>
      <c r="P179" s="5">
        <v>19308371.083363</v>
      </c>
      <c r="Q179" s="5">
        <v>1958016.7354071401</v>
      </c>
      <c r="R179" s="5">
        <v>2553961.1767880898</v>
      </c>
      <c r="S179" s="5">
        <v>2285492.7542409599</v>
      </c>
      <c r="T179" s="5">
        <v>2363277.7023496898</v>
      </c>
      <c r="U179" s="5">
        <v>2698502.0681465901</v>
      </c>
      <c r="V179" s="5">
        <v>4542446.1787970504</v>
      </c>
      <c r="W179" s="5">
        <v>8210654.0070916899</v>
      </c>
      <c r="X179" s="5">
        <v>11327580.3736692</v>
      </c>
      <c r="Y179" s="5">
        <v>2747546.9392216299</v>
      </c>
      <c r="Z179" s="5">
        <v>7713024.9901954699</v>
      </c>
      <c r="AA179" s="5">
        <v>6579117.5959813502</v>
      </c>
      <c r="AB179" s="5">
        <v>6444550.5787116997</v>
      </c>
      <c r="AC179" s="5">
        <v>6762183.7609214503</v>
      </c>
      <c r="AD179">
        <f t="shared" si="9"/>
        <v>6874719.231452493</v>
      </c>
      <c r="AE179">
        <f t="shared" si="10"/>
        <v>573831.03609666764</v>
      </c>
      <c r="AF179">
        <f t="shared" si="11"/>
        <v>8.346974134904829E-2</v>
      </c>
    </row>
    <row r="180" spans="1:32" x14ac:dyDescent="0.45">
      <c r="A180" s="5" t="s">
        <v>138</v>
      </c>
      <c r="B180" s="2">
        <f t="shared" si="8"/>
        <v>24854208.651109163</v>
      </c>
      <c r="C180" s="2">
        <v>22384611.759856973</v>
      </c>
      <c r="D180" s="2">
        <v>2.3129814091285904E-2</v>
      </c>
      <c r="E180" s="5">
        <v>29423105.1309621</v>
      </c>
      <c r="F180" s="5">
        <v>21795775.280508999</v>
      </c>
      <c r="G180" s="5">
        <v>29808509.019347701</v>
      </c>
      <c r="H180" s="5">
        <v>36228248.434772499</v>
      </c>
      <c r="I180" s="5">
        <v>25029309.627934799</v>
      </c>
      <c r="J180" s="5">
        <v>14600416.535595199</v>
      </c>
      <c r="K180" s="5">
        <v>15396318.6090737</v>
      </c>
      <c r="L180" s="5">
        <v>32359940.604484402</v>
      </c>
      <c r="M180" s="5">
        <v>22646683.372828599</v>
      </c>
      <c r="N180" s="5">
        <v>15285575.054563999</v>
      </c>
      <c r="O180" s="5">
        <v>26946317.816424701</v>
      </c>
      <c r="P180" s="5">
        <v>20557816.739984099</v>
      </c>
      <c r="Q180" s="5">
        <v>34903477.5385499</v>
      </c>
      <c r="R180" s="5">
        <v>27106913.658468001</v>
      </c>
      <c r="S180" s="5">
        <v>26475257.5799792</v>
      </c>
      <c r="T180" s="5">
        <v>25321441.529045701</v>
      </c>
      <c r="U180" s="5">
        <v>37843887.894529097</v>
      </c>
      <c r="V180" s="5">
        <v>19499417.999898002</v>
      </c>
      <c r="W180" s="5">
        <v>16013847.739060501</v>
      </c>
      <c r="X180" s="5">
        <v>11986785.313859399</v>
      </c>
      <c r="Y180" s="5">
        <v>32709336.193421699</v>
      </c>
      <c r="Z180" s="5">
        <v>22002635.429886401</v>
      </c>
      <c r="AA180" s="5">
        <v>22191989.691759098</v>
      </c>
      <c r="AB180" s="5">
        <v>22194359.768445</v>
      </c>
      <c r="AC180" s="5">
        <v>23149462.1493374</v>
      </c>
      <c r="AD180">
        <f t="shared" si="9"/>
        <v>22384611.759856973</v>
      </c>
      <c r="AE180">
        <f t="shared" si="10"/>
        <v>517751.908511104</v>
      </c>
      <c r="AF180">
        <f t="shared" si="11"/>
        <v>2.3129814091285904E-2</v>
      </c>
    </row>
    <row r="181" spans="1:32" x14ac:dyDescent="0.45">
      <c r="A181" s="5" t="s">
        <v>264</v>
      </c>
      <c r="B181" s="2">
        <f t="shared" si="8"/>
        <v>2457108.9140990586</v>
      </c>
      <c r="C181" s="2">
        <v>2357414.2179095526</v>
      </c>
      <c r="D181" s="2">
        <v>0.24678751630211321</v>
      </c>
      <c r="E181" s="5">
        <v>2582147.5743545499</v>
      </c>
      <c r="F181" s="5">
        <v>1823658.0359418399</v>
      </c>
      <c r="G181" s="5">
        <v>2374085.6623512199</v>
      </c>
      <c r="H181" s="5">
        <v>3556497.9406318902</v>
      </c>
      <c r="I181" s="5">
        <v>2994512.6464521098</v>
      </c>
      <c r="J181" s="5">
        <v>1765972.4259649301</v>
      </c>
      <c r="K181" s="5">
        <v>2072057.2489356999</v>
      </c>
      <c r="L181" s="5">
        <v>2659546.0266960901</v>
      </c>
      <c r="M181" s="5">
        <v>1375433.93134107</v>
      </c>
      <c r="N181" s="5">
        <v>1763615.5915532301</v>
      </c>
      <c r="O181" s="5">
        <v>3110576.5331775402</v>
      </c>
      <c r="P181" s="5">
        <v>1867894.71372744</v>
      </c>
      <c r="Q181" s="5">
        <v>2389010.2357455301</v>
      </c>
      <c r="R181" s="5">
        <v>4601216.0113728102</v>
      </c>
      <c r="S181" s="5">
        <v>2293071.9673824101</v>
      </c>
      <c r="T181" s="5">
        <v>3777771.55359845</v>
      </c>
      <c r="U181" s="5">
        <v>3140433.54503563</v>
      </c>
      <c r="V181" s="5">
        <v>1783828.6712111901</v>
      </c>
      <c r="W181" s="5">
        <v>1848661.7820644199</v>
      </c>
      <c r="X181" s="5">
        <v>1835232.76987278</v>
      </c>
      <c r="Y181" s="5">
        <v>1984062.3286694</v>
      </c>
      <c r="Z181" s="5">
        <v>2413512.2015813799</v>
      </c>
      <c r="AA181" s="5">
        <v>2719405.15861553</v>
      </c>
      <c r="AB181" s="5">
        <v>2778378.36727774</v>
      </c>
      <c r="AC181" s="5">
        <v>1518361.1441635599</v>
      </c>
      <c r="AD181">
        <f t="shared" si="9"/>
        <v>2357414.2179095526</v>
      </c>
      <c r="AE181">
        <f t="shared" si="10"/>
        <v>581780.39973318717</v>
      </c>
      <c r="AF181">
        <f t="shared" si="11"/>
        <v>0.24678751630211321</v>
      </c>
    </row>
    <row r="182" spans="1:32" x14ac:dyDescent="0.45">
      <c r="A182" s="5" t="s">
        <v>139</v>
      </c>
      <c r="B182" s="2">
        <f t="shared" si="8"/>
        <v>742251.82557878701</v>
      </c>
      <c r="C182" s="7">
        <v>371948.05335738999</v>
      </c>
      <c r="D182" s="8">
        <v>8.7572783846467592E-2</v>
      </c>
      <c r="E182" s="5">
        <v>735456.59021046502</v>
      </c>
      <c r="F182" s="5">
        <v>207453.969984564</v>
      </c>
      <c r="G182" s="5">
        <v>670209.81454587402</v>
      </c>
      <c r="H182" s="5">
        <v>1188953.5527246101</v>
      </c>
      <c r="I182" s="5">
        <v>1030115.4267569199</v>
      </c>
      <c r="J182" s="5">
        <v>207641.425057452</v>
      </c>
      <c r="K182" s="5">
        <v>230452.434524093</v>
      </c>
      <c r="L182" s="5">
        <v>924377.77664665703</v>
      </c>
      <c r="M182" s="5">
        <v>861961.71912269096</v>
      </c>
      <c r="N182" s="5">
        <v>199047.60375101</v>
      </c>
      <c r="O182" s="5">
        <v>1207601.8411648001</v>
      </c>
      <c r="P182" s="5">
        <v>292491.02894594998</v>
      </c>
      <c r="Q182" s="5">
        <v>968410.17497112905</v>
      </c>
      <c r="R182" s="5">
        <v>1123198.1796299</v>
      </c>
      <c r="S182" s="5">
        <v>1254220.01852499</v>
      </c>
      <c r="T182" s="5">
        <v>974982.55533147801</v>
      </c>
      <c r="U182" s="5">
        <v>829403.31063428801</v>
      </c>
      <c r="V182" s="5">
        <v>919591.53609028202</v>
      </c>
      <c r="W182" s="5">
        <v>245720.820008448</v>
      </c>
      <c r="X182" s="5">
        <v>258411.40989743799</v>
      </c>
      <c r="Y182" s="5">
        <v>1257587.1486314901</v>
      </c>
      <c r="Z182" s="5">
        <v>324254.26982858701</v>
      </c>
      <c r="AA182" s="5">
        <v>382960.09474999999</v>
      </c>
      <c r="AB182" s="5">
        <v>397844.42896306497</v>
      </c>
      <c r="AC182" s="5">
        <v>382733.41988790798</v>
      </c>
      <c r="AD182">
        <f t="shared" si="9"/>
        <v>371948.05335738999</v>
      </c>
      <c r="AE182">
        <f t="shared" si="10"/>
        <v>32572.52647878111</v>
      </c>
      <c r="AF182">
        <f t="shared" si="11"/>
        <v>8.7572783846467592E-2</v>
      </c>
    </row>
    <row r="183" spans="1:32" x14ac:dyDescent="0.45">
      <c r="A183" s="5" t="s">
        <v>215</v>
      </c>
      <c r="B183" s="2">
        <f t="shared" si="8"/>
        <v>1538352.9913671839</v>
      </c>
      <c r="C183" s="7">
        <v>1088116.9294570235</v>
      </c>
      <c r="D183" s="8">
        <v>0.11853513727949444</v>
      </c>
      <c r="E183" s="5">
        <v>1392705.6747377701</v>
      </c>
      <c r="F183" s="5">
        <v>921611.94852954196</v>
      </c>
      <c r="G183" s="5">
        <v>1883035.27032904</v>
      </c>
      <c r="H183" s="5">
        <v>2223228.99852151</v>
      </c>
      <c r="I183" s="5">
        <v>1404209.4500297001</v>
      </c>
      <c r="J183" s="5">
        <v>1263922.80578313</v>
      </c>
      <c r="K183" s="5">
        <v>855368.38295155996</v>
      </c>
      <c r="L183" s="5">
        <v>1790782.5652564899</v>
      </c>
      <c r="M183" s="5">
        <v>1392158.7492742201</v>
      </c>
      <c r="N183" s="5">
        <v>938860.76036442595</v>
      </c>
      <c r="O183" s="5">
        <v>1616010.6546189999</v>
      </c>
      <c r="P183" s="5">
        <v>860960.38889025897</v>
      </c>
      <c r="Q183" s="5">
        <v>1886223.84177157</v>
      </c>
      <c r="R183" s="5">
        <v>2727751.33525234</v>
      </c>
      <c r="S183" s="5">
        <v>2047601.8934301999</v>
      </c>
      <c r="T183" s="5">
        <v>1881334.04035666</v>
      </c>
      <c r="U183" s="5">
        <v>1719413.98355891</v>
      </c>
      <c r="V183" s="5">
        <v>1388304.2011271</v>
      </c>
      <c r="W183" s="5">
        <v>1137910.6754624101</v>
      </c>
      <c r="X183" s="5">
        <v>1036227.62650237</v>
      </c>
      <c r="Y183" s="5">
        <v>1937789.5719626599</v>
      </c>
      <c r="Z183" s="5">
        <v>906140.20794198394</v>
      </c>
      <c r="AA183" s="5">
        <v>1098199.57006217</v>
      </c>
      <c r="AB183" s="5">
        <v>1205020.52177122</v>
      </c>
      <c r="AC183" s="5">
        <v>1143107.4180527199</v>
      </c>
      <c r="AD183">
        <f t="shared" si="9"/>
        <v>1088116.9294570235</v>
      </c>
      <c r="AE183">
        <f t="shared" si="10"/>
        <v>128980.08960933024</v>
      </c>
      <c r="AF183">
        <f t="shared" si="11"/>
        <v>0.11853513727949444</v>
      </c>
    </row>
    <row r="184" spans="1:32" x14ac:dyDescent="0.45">
      <c r="A184" s="5" t="s">
        <v>265</v>
      </c>
      <c r="B184" s="2">
        <f t="shared" si="8"/>
        <v>4036491.7905284734</v>
      </c>
      <c r="C184" s="2">
        <v>2937143.1794177899</v>
      </c>
      <c r="D184" s="2">
        <v>0.10484145674143831</v>
      </c>
      <c r="E184" s="5">
        <v>7263006.1333568497</v>
      </c>
      <c r="F184" s="5">
        <v>5821775.3245438896</v>
      </c>
      <c r="G184" s="5">
        <v>2098720.8856489202</v>
      </c>
      <c r="H184" s="5">
        <v>5562323.1844426896</v>
      </c>
      <c r="I184" s="5">
        <v>3945998.5303850998</v>
      </c>
      <c r="J184" s="5">
        <v>1811612.43457974</v>
      </c>
      <c r="K184" s="5">
        <v>851734.36692244303</v>
      </c>
      <c r="L184" s="5">
        <v>4314755.8239178499</v>
      </c>
      <c r="M184" s="5">
        <v>1475783.0123012899</v>
      </c>
      <c r="N184" s="5">
        <v>1439637.6466582001</v>
      </c>
      <c r="O184" s="5">
        <v>3010447.4739791499</v>
      </c>
      <c r="P184" s="5">
        <v>9200000.42088053</v>
      </c>
      <c r="Q184" s="5">
        <v>2278050.8456818098</v>
      </c>
      <c r="R184" s="5">
        <v>1051446.60398089</v>
      </c>
      <c r="S184" s="5">
        <v>1334567.99647465</v>
      </c>
      <c r="T184" s="5">
        <v>1682692.7928318901</v>
      </c>
      <c r="U184" s="5">
        <v>9291029.8798980694</v>
      </c>
      <c r="V184" s="5">
        <v>17922910.560247201</v>
      </c>
      <c r="W184" s="5">
        <v>1755048.7181975101</v>
      </c>
      <c r="X184" s="5">
        <v>972900.83927872102</v>
      </c>
      <c r="Y184" s="5">
        <v>1681884.1268905301</v>
      </c>
      <c r="Z184" s="5">
        <v>2961199.7278931802</v>
      </c>
      <c r="AA184" s="5">
        <v>3298699.0644985</v>
      </c>
      <c r="AB184" s="5">
        <v>2942857.5886509102</v>
      </c>
      <c r="AC184" s="5">
        <v>2545816.3366285702</v>
      </c>
      <c r="AD184">
        <f t="shared" si="9"/>
        <v>2937143.1794177899</v>
      </c>
      <c r="AE184">
        <f t="shared" si="10"/>
        <v>307934.36958834081</v>
      </c>
      <c r="AF184">
        <f t="shared" si="11"/>
        <v>0.10484145674143831</v>
      </c>
    </row>
    <row r="185" spans="1:32" x14ac:dyDescent="0.45">
      <c r="A185" s="5" t="s">
        <v>216</v>
      </c>
      <c r="B185" s="2">
        <f t="shared" si="8"/>
        <v>38446224.970791481</v>
      </c>
      <c r="C185" s="2">
        <v>40159791.421147972</v>
      </c>
      <c r="D185" s="2">
        <v>9.9954642200638516E-2</v>
      </c>
      <c r="E185" s="5">
        <v>1686135.60887782</v>
      </c>
      <c r="F185" s="5">
        <v>101843787.022688</v>
      </c>
      <c r="G185" s="5">
        <v>13864605.0360387</v>
      </c>
      <c r="H185" s="5">
        <v>412040.00006982603</v>
      </c>
      <c r="I185" s="5">
        <v>3765370.1522122002</v>
      </c>
      <c r="J185" s="5">
        <v>116270158.522383</v>
      </c>
      <c r="K185" s="5">
        <v>103157980.53369799</v>
      </c>
      <c r="L185" s="5">
        <v>1915028.0842580199</v>
      </c>
      <c r="M185" s="5">
        <v>7285797.8697285196</v>
      </c>
      <c r="N185" s="5">
        <v>107038533.79032101</v>
      </c>
      <c r="O185" s="5">
        <v>432573.68524203397</v>
      </c>
      <c r="P185" s="5">
        <v>101341969.173107</v>
      </c>
      <c r="Q185" s="5">
        <v>192736.09711818601</v>
      </c>
      <c r="R185" s="5">
        <v>1623822.7805024299</v>
      </c>
      <c r="S185" s="5">
        <v>1435289.2323088199</v>
      </c>
      <c r="T185" s="5">
        <v>552176.88893195195</v>
      </c>
      <c r="U185" s="5">
        <v>11683662.5788144</v>
      </c>
      <c r="V185" s="5">
        <v>5656085.0671713501</v>
      </c>
      <c r="W185" s="5">
        <v>98207296.698595405</v>
      </c>
      <c r="X185" s="5">
        <v>127260801.064364</v>
      </c>
      <c r="Y185" s="5">
        <v>1744874.5001904799</v>
      </c>
      <c r="Z185" s="5">
        <v>34544983.696502604</v>
      </c>
      <c r="AA185" s="5">
        <v>40763516.909714296</v>
      </c>
      <c r="AB185" s="5">
        <v>44060746.5367584</v>
      </c>
      <c r="AC185" s="5">
        <v>41269918.541616596</v>
      </c>
      <c r="AD185">
        <f t="shared" si="9"/>
        <v>40159791.421147972</v>
      </c>
      <c r="AE185">
        <f t="shared" si="10"/>
        <v>4014157.5823531179</v>
      </c>
      <c r="AF185">
        <f t="shared" si="11"/>
        <v>9.9954642200638516E-2</v>
      </c>
    </row>
    <row r="186" spans="1:32" x14ac:dyDescent="0.45">
      <c r="A186" s="5" t="s">
        <v>102</v>
      </c>
      <c r="B186" s="2">
        <f t="shared" si="8"/>
        <v>24931106.081782624</v>
      </c>
      <c r="C186" s="7">
        <v>25568037.256219678</v>
      </c>
      <c r="D186" s="8">
        <v>0.1044816890180635</v>
      </c>
      <c r="E186" s="5">
        <v>11435201.0770273</v>
      </c>
      <c r="F186" s="5">
        <v>37276573.783176497</v>
      </c>
      <c r="G186" s="5">
        <v>6588293.0393205304</v>
      </c>
      <c r="H186" s="5">
        <v>12728545.864024401</v>
      </c>
      <c r="I186" s="5">
        <v>11189761.377364401</v>
      </c>
      <c r="J186" s="5">
        <v>50058566.902027197</v>
      </c>
      <c r="K186" s="5">
        <v>82381556.808670893</v>
      </c>
      <c r="L186" s="5">
        <v>11719854.0295466</v>
      </c>
      <c r="M186" s="5">
        <v>12437463.8471111</v>
      </c>
      <c r="N186" s="5">
        <v>47066542.564458899</v>
      </c>
      <c r="O186" s="5">
        <v>11522352.1032956</v>
      </c>
      <c r="P186" s="5">
        <v>52284298.111086197</v>
      </c>
      <c r="Q186" s="5">
        <v>20925547.176977701</v>
      </c>
      <c r="R186" s="5">
        <v>8122277.2965267701</v>
      </c>
      <c r="S186" s="5">
        <v>9858480.9176900797</v>
      </c>
      <c r="T186" s="5">
        <v>10221198.6438732</v>
      </c>
      <c r="U186" s="5">
        <v>14250947.0277321</v>
      </c>
      <c r="V186" s="5">
        <v>15672699.496271901</v>
      </c>
      <c r="W186" s="5">
        <v>40899062.133098401</v>
      </c>
      <c r="X186" s="5">
        <v>45955214.521986</v>
      </c>
      <c r="Y186" s="5">
        <v>10958790.996169301</v>
      </c>
      <c r="Z186" s="5">
        <v>21568445.8227784</v>
      </c>
      <c r="AA186" s="5">
        <v>26701139.986922201</v>
      </c>
      <c r="AB186" s="5">
        <v>27101203.950533599</v>
      </c>
      <c r="AC186" s="5">
        <v>26901359.2646445</v>
      </c>
      <c r="AD186">
        <f t="shared" si="9"/>
        <v>25568037.256219678</v>
      </c>
      <c r="AE186">
        <f t="shared" si="10"/>
        <v>2671391.7174066058</v>
      </c>
      <c r="AF186">
        <f t="shared" si="11"/>
        <v>0.1044816890180635</v>
      </c>
    </row>
    <row r="187" spans="1:32" x14ac:dyDescent="0.45">
      <c r="A187" s="5" t="s">
        <v>103</v>
      </c>
      <c r="B187" s="2">
        <f t="shared" si="8"/>
        <v>6928875.820678887</v>
      </c>
      <c r="C187" s="7">
        <v>6581450.9402788822</v>
      </c>
      <c r="D187" s="7">
        <v>2.4630820970666517E-2</v>
      </c>
      <c r="E187" s="5">
        <v>3258255.3741390002</v>
      </c>
      <c r="F187" s="5">
        <v>8658670.4578468408</v>
      </c>
      <c r="G187" s="5">
        <v>3680701.3024159102</v>
      </c>
      <c r="H187" s="5">
        <v>2900833.5783637101</v>
      </c>
      <c r="I187" s="5">
        <v>2439588.4009658401</v>
      </c>
      <c r="J187" s="5">
        <v>11987727.5485128</v>
      </c>
      <c r="K187" s="5">
        <v>37901899.565770097</v>
      </c>
      <c r="L187" s="5">
        <v>2666824.76428694</v>
      </c>
      <c r="M187" s="5">
        <v>3328024.0095957802</v>
      </c>
      <c r="N187" s="5">
        <v>11434806.653107099</v>
      </c>
      <c r="O187" s="5">
        <v>2943718.0451505501</v>
      </c>
      <c r="P187" s="5">
        <v>13898615.077672901</v>
      </c>
      <c r="Q187" s="5">
        <v>3295840.0518171298</v>
      </c>
      <c r="R187" s="5">
        <v>2792716.1963607301</v>
      </c>
      <c r="S187" s="5">
        <v>3234486.7946104398</v>
      </c>
      <c r="T187" s="5">
        <v>2259862.2339178701</v>
      </c>
      <c r="U187" s="5">
        <v>2785737.8410954801</v>
      </c>
      <c r="V187" s="5">
        <v>3157199.0444985898</v>
      </c>
      <c r="W187" s="5">
        <v>8911719.2305753697</v>
      </c>
      <c r="X187" s="5">
        <v>11356416.496233501</v>
      </c>
      <c r="Y187" s="5">
        <v>2612749.5673200102</v>
      </c>
      <c r="Z187" s="5">
        <v>6766653.1012046598</v>
      </c>
      <c r="AA187" s="5">
        <v>6656261.2887162101</v>
      </c>
      <c r="AB187" s="5">
        <v>6400769.6936562303</v>
      </c>
      <c r="AC187" s="5">
        <v>6502119.6775384303</v>
      </c>
      <c r="AD187">
        <f t="shared" si="9"/>
        <v>6581450.9402788822</v>
      </c>
      <c r="AE187">
        <f t="shared" si="10"/>
        <v>162106.53983723396</v>
      </c>
      <c r="AF187">
        <f t="shared" si="11"/>
        <v>2.4630820970666517E-2</v>
      </c>
    </row>
    <row r="188" spans="1:32" x14ac:dyDescent="0.45">
      <c r="A188" s="5" t="s">
        <v>217</v>
      </c>
      <c r="B188" s="2">
        <f t="shared" si="8"/>
        <v>6818424.9540337753</v>
      </c>
      <c r="C188" s="7">
        <v>6896130.8550812844</v>
      </c>
      <c r="D188" s="7">
        <v>5.8658314416247609E-2</v>
      </c>
      <c r="E188" s="5">
        <v>435654.450570655</v>
      </c>
      <c r="F188" s="5">
        <v>12285017.1886294</v>
      </c>
      <c r="G188" s="5">
        <v>924375.10992852401</v>
      </c>
      <c r="H188" s="5">
        <v>147110.91091923899</v>
      </c>
      <c r="I188" s="5">
        <v>375049.537141548</v>
      </c>
      <c r="J188" s="5">
        <v>18527367.039699499</v>
      </c>
      <c r="K188" s="5">
        <v>40260029.294826798</v>
      </c>
      <c r="L188" s="5">
        <v>428861.20707647101</v>
      </c>
      <c r="M188" s="5">
        <v>771422.27188686805</v>
      </c>
      <c r="N188" s="5">
        <v>19217468.913805299</v>
      </c>
      <c r="O188" s="5">
        <v>206636.43889404801</v>
      </c>
      <c r="P188" s="5">
        <v>20017555.420362201</v>
      </c>
      <c r="Q188" s="5">
        <v>763076.06613941898</v>
      </c>
      <c r="R188" s="5">
        <v>232621.431277675</v>
      </c>
      <c r="S188" s="5">
        <v>118230.537494501</v>
      </c>
      <c r="T188" s="5">
        <v>112264.478350554</v>
      </c>
      <c r="U188" s="5">
        <v>738168.43818886101</v>
      </c>
      <c r="V188" s="5">
        <v>660418.453775228</v>
      </c>
      <c r="W188" s="5">
        <v>11724458.1962067</v>
      </c>
      <c r="X188" s="5">
        <v>14980332.568790101</v>
      </c>
      <c r="Y188" s="5">
        <v>260806.08074567001</v>
      </c>
      <c r="Z188" s="5">
        <v>7479253.1256278204</v>
      </c>
      <c r="AA188" s="5">
        <v>6850226.1514350399</v>
      </c>
      <c r="AB188" s="5">
        <v>6580309.9216851201</v>
      </c>
      <c r="AC188" s="5">
        <v>6674734.2215771601</v>
      </c>
      <c r="AD188">
        <f t="shared" si="9"/>
        <v>6896130.8550812844</v>
      </c>
      <c r="AE188">
        <f t="shared" si="10"/>
        <v>404515.41195294447</v>
      </c>
      <c r="AF188">
        <f t="shared" si="11"/>
        <v>5.8658314416247609E-2</v>
      </c>
    </row>
    <row r="189" spans="1:32" x14ac:dyDescent="0.45">
      <c r="A189" s="5" t="s">
        <v>104</v>
      </c>
      <c r="B189" s="2">
        <f t="shared" si="8"/>
        <v>13831995.857656339</v>
      </c>
      <c r="C189" s="7">
        <v>12008421.006677726</v>
      </c>
      <c r="D189" s="7">
        <v>1.3326863241102519E-2</v>
      </c>
      <c r="E189" s="5">
        <v>12961321.085847801</v>
      </c>
      <c r="F189" s="5">
        <v>22530226.095633999</v>
      </c>
      <c r="G189" s="5">
        <v>18066717.578709599</v>
      </c>
      <c r="H189" s="5">
        <v>12278584.578157</v>
      </c>
      <c r="I189" s="5">
        <v>9041318.33420901</v>
      </c>
      <c r="J189" s="5">
        <v>9739533.4435617309</v>
      </c>
      <c r="K189" s="5">
        <v>17614427.527486999</v>
      </c>
      <c r="L189" s="5">
        <v>9953376.4113364592</v>
      </c>
      <c r="M189" s="5">
        <v>13051366.448534399</v>
      </c>
      <c r="N189" s="5">
        <v>9246287.1936179698</v>
      </c>
      <c r="O189" s="5">
        <v>12072657.160958299</v>
      </c>
      <c r="P189" s="5">
        <v>10571364.702379599</v>
      </c>
      <c r="Q189" s="5">
        <v>27193869.579668101</v>
      </c>
      <c r="R189" s="5">
        <v>17621479.442679901</v>
      </c>
      <c r="S189" s="5">
        <v>13468234.443379</v>
      </c>
      <c r="T189" s="5">
        <v>10780942.8589593</v>
      </c>
      <c r="U189" s="5">
        <v>13879317.8879779</v>
      </c>
      <c r="V189" s="5">
        <v>14347760.3979061</v>
      </c>
      <c r="W189" s="5">
        <v>8610747.8670000602</v>
      </c>
      <c r="X189" s="5">
        <v>14235183.2965704</v>
      </c>
      <c r="Y189" s="5">
        <v>13207196.6762095</v>
      </c>
      <c r="Z189" s="5">
        <v>12117840.3327317</v>
      </c>
      <c r="AA189" s="5">
        <v>12116544.365852401</v>
      </c>
      <c r="AB189" s="5">
        <v>12021114.772313399</v>
      </c>
      <c r="AC189" s="5">
        <v>11778184.5558134</v>
      </c>
      <c r="AD189">
        <f t="shared" si="9"/>
        <v>12008421.006677726</v>
      </c>
      <c r="AE189">
        <f t="shared" si="10"/>
        <v>160034.5844975767</v>
      </c>
      <c r="AF189">
        <f t="shared" si="11"/>
        <v>1.3326863241102519E-2</v>
      </c>
    </row>
    <row r="190" spans="1:32" x14ac:dyDescent="0.45">
      <c r="A190" s="5" t="s">
        <v>218</v>
      </c>
      <c r="B190" s="2">
        <f t="shared" si="8"/>
        <v>58304179.758919634</v>
      </c>
      <c r="C190" s="7">
        <v>49106874.747927047</v>
      </c>
      <c r="D190" s="7">
        <v>4.7099186229042654E-2</v>
      </c>
      <c r="E190" s="5">
        <v>72998921.939102605</v>
      </c>
      <c r="F190" s="5">
        <v>43101018.217038497</v>
      </c>
      <c r="G190" s="5">
        <v>53075020.051086098</v>
      </c>
      <c r="H190" s="5">
        <v>45239857.395447798</v>
      </c>
      <c r="I190" s="5">
        <v>53650667.435003601</v>
      </c>
      <c r="J190" s="5">
        <v>21972439.806740899</v>
      </c>
      <c r="K190" s="5">
        <v>22608330.434561301</v>
      </c>
      <c r="L190" s="5">
        <v>120650747.413352</v>
      </c>
      <c r="M190" s="5">
        <v>52291055.688244604</v>
      </c>
      <c r="N190" s="5">
        <v>59637104.477703303</v>
      </c>
      <c r="O190" s="5">
        <v>52417770.735541597</v>
      </c>
      <c r="P190" s="5">
        <v>29739910.5750397</v>
      </c>
      <c r="Q190" s="5">
        <v>54917744.8271828</v>
      </c>
      <c r="R190" s="5">
        <v>36270454.328683197</v>
      </c>
      <c r="S190" s="5">
        <v>95512386.701784894</v>
      </c>
      <c r="T190" s="5">
        <v>88251784.1903442</v>
      </c>
      <c r="U190" s="5">
        <v>105648792.70119999</v>
      </c>
      <c r="V190" s="5">
        <v>34952025.126785301</v>
      </c>
      <c r="W190" s="5">
        <v>47477204.291085899</v>
      </c>
      <c r="X190" s="5">
        <v>19773514.344739199</v>
      </c>
      <c r="Y190" s="5">
        <v>114201024.25664499</v>
      </c>
      <c r="Z190" s="5">
        <v>51535823.343935996</v>
      </c>
      <c r="AA190" s="5">
        <v>50613972.358959898</v>
      </c>
      <c r="AB190" s="5">
        <v>47394849.072667599</v>
      </c>
      <c r="AC190" s="5">
        <v>46882854.216144703</v>
      </c>
      <c r="AD190">
        <f t="shared" si="9"/>
        <v>49106874.747927047</v>
      </c>
      <c r="AE190">
        <f t="shared" si="10"/>
        <v>2312893.8388788882</v>
      </c>
      <c r="AF190">
        <f t="shared" si="11"/>
        <v>4.7099186229042654E-2</v>
      </c>
    </row>
    <row r="191" spans="1:32" x14ac:dyDescent="0.45">
      <c r="A191" s="5" t="s">
        <v>105</v>
      </c>
      <c r="B191" s="2">
        <f t="shared" si="8"/>
        <v>3155286.8832948171</v>
      </c>
      <c r="C191" s="7">
        <v>2610849.8455567248</v>
      </c>
      <c r="D191" s="8">
        <v>4.8185687448887793E-2</v>
      </c>
      <c r="E191" s="5">
        <v>3173678.43681128</v>
      </c>
      <c r="F191" s="5">
        <v>3145099.7391774398</v>
      </c>
      <c r="G191" s="5">
        <v>2793521.0418753601</v>
      </c>
      <c r="H191" s="5">
        <v>4173445.3529188801</v>
      </c>
      <c r="I191" s="5">
        <v>3374000.0400924799</v>
      </c>
      <c r="J191" s="5">
        <v>1940510.7192824299</v>
      </c>
      <c r="K191" s="5">
        <v>2357581.4642011798</v>
      </c>
      <c r="L191" s="5">
        <v>3711583.7274737</v>
      </c>
      <c r="M191" s="5">
        <v>3957160.6308784098</v>
      </c>
      <c r="N191" s="5">
        <v>1712553.86059207</v>
      </c>
      <c r="O191" s="5">
        <v>3102821.2244932898</v>
      </c>
      <c r="P191" s="5">
        <v>2266550.8580853702</v>
      </c>
      <c r="Q191" s="5">
        <v>3328812.4244259899</v>
      </c>
      <c r="R191" s="5">
        <v>2919301.2558911098</v>
      </c>
      <c r="S191" s="5">
        <v>3463418.8473185999</v>
      </c>
      <c r="T191" s="5">
        <v>4235631.4317701003</v>
      </c>
      <c r="U191" s="5">
        <v>4145437.9390522898</v>
      </c>
      <c r="V191" s="5">
        <v>3359943.8510447801</v>
      </c>
      <c r="W191" s="5">
        <v>3185051.67643434</v>
      </c>
      <c r="X191" s="5">
        <v>2145055.27867084</v>
      </c>
      <c r="Y191" s="5">
        <v>3769864.7487012199</v>
      </c>
      <c r="Z191" s="5">
        <v>2728861.5973783201</v>
      </c>
      <c r="AA191" s="5">
        <v>2701112.0426340401</v>
      </c>
      <c r="AB191" s="5">
        <v>2463596.24879392</v>
      </c>
      <c r="AC191" s="5">
        <v>2549829.49342062</v>
      </c>
      <c r="AD191">
        <f t="shared" si="9"/>
        <v>2610849.8455567248</v>
      </c>
      <c r="AE191">
        <f t="shared" si="10"/>
        <v>125805.59463397331</v>
      </c>
      <c r="AF191">
        <f t="shared" si="11"/>
        <v>4.8185687448887793E-2</v>
      </c>
    </row>
    <row r="192" spans="1:32" x14ac:dyDescent="0.45">
      <c r="A192" s="5" t="s">
        <v>140</v>
      </c>
      <c r="B192" s="2">
        <f t="shared" si="8"/>
        <v>11026117.328322377</v>
      </c>
      <c r="C192" s="2">
        <v>9810600.1261286326</v>
      </c>
      <c r="D192" s="2">
        <v>3.7942091909207241E-2</v>
      </c>
      <c r="E192" s="5">
        <v>13967688.9505983</v>
      </c>
      <c r="F192" s="5">
        <v>8722990.5665440504</v>
      </c>
      <c r="G192" s="5">
        <v>12546934.068156799</v>
      </c>
      <c r="H192" s="5">
        <v>14516994.1125907</v>
      </c>
      <c r="I192" s="5">
        <v>10314770.095716</v>
      </c>
      <c r="J192" s="5">
        <v>10067130.887041699</v>
      </c>
      <c r="K192" s="5">
        <v>9344652.6044966895</v>
      </c>
      <c r="L192" s="5">
        <v>7988021.8188082501</v>
      </c>
      <c r="M192" s="5">
        <v>10363954.120390199</v>
      </c>
      <c r="N192" s="5">
        <v>6487937.6195085002</v>
      </c>
      <c r="O192" s="5">
        <v>12265143.258004701</v>
      </c>
      <c r="P192" s="5">
        <v>10028427.4282567</v>
      </c>
      <c r="Q192" s="5">
        <v>20001322.081905901</v>
      </c>
      <c r="R192" s="5">
        <v>12198777.287311999</v>
      </c>
      <c r="S192" s="5">
        <v>10176881.167556601</v>
      </c>
      <c r="T192" s="5">
        <v>10747605.6978893</v>
      </c>
      <c r="U192" s="5">
        <v>12044338.7946428</v>
      </c>
      <c r="V192" s="5">
        <v>14955462.182997501</v>
      </c>
      <c r="W192" s="5">
        <v>5761782.3099570395</v>
      </c>
      <c r="X192" s="5">
        <v>8215799.0088317702</v>
      </c>
      <c r="Y192" s="5">
        <v>10831849.833564401</v>
      </c>
      <c r="Z192" s="5">
        <v>9261395.1350508202</v>
      </c>
      <c r="AA192" s="5">
        <v>9917208.4824941307</v>
      </c>
      <c r="AB192" s="5">
        <v>10080574.118349301</v>
      </c>
      <c r="AC192" s="5">
        <v>9983222.7686202805</v>
      </c>
      <c r="AD192">
        <f t="shared" si="9"/>
        <v>9810600.1261286326</v>
      </c>
      <c r="AE192">
        <f t="shared" si="10"/>
        <v>372234.69167005277</v>
      </c>
      <c r="AF192">
        <f t="shared" si="11"/>
        <v>3.7942091909207241E-2</v>
      </c>
    </row>
    <row r="193" spans="1:32" x14ac:dyDescent="0.45">
      <c r="A193" s="5" t="s">
        <v>219</v>
      </c>
      <c r="B193" s="2">
        <f t="shared" si="8"/>
        <v>6980423.6835416015</v>
      </c>
      <c r="C193" s="7">
        <v>5680575.9318805933</v>
      </c>
      <c r="D193" s="8">
        <v>0.15384943149479313</v>
      </c>
      <c r="E193" s="5">
        <v>21229884.003840599</v>
      </c>
      <c r="F193" s="5">
        <v>4467533.9049412804</v>
      </c>
      <c r="G193" s="5">
        <v>7889163.4810055001</v>
      </c>
      <c r="H193" s="5">
        <v>1894551.8032408201</v>
      </c>
      <c r="I193" s="5">
        <v>18450474.405767702</v>
      </c>
      <c r="J193" s="5">
        <v>2985837.19912139</v>
      </c>
      <c r="K193" s="5">
        <v>1593194.06736598</v>
      </c>
      <c r="L193" s="5">
        <v>17494500.6205214</v>
      </c>
      <c r="M193" s="5">
        <v>6941365.30909066</v>
      </c>
      <c r="N193" s="5">
        <v>1222142.4031485899</v>
      </c>
      <c r="O193" s="5">
        <v>1225706.4226748999</v>
      </c>
      <c r="P193" s="5">
        <v>2313487.90352639</v>
      </c>
      <c r="Q193" s="5">
        <v>4959306.5642860997</v>
      </c>
      <c r="R193" s="5">
        <v>6558238.3081990704</v>
      </c>
      <c r="S193" s="5">
        <v>19735262.476812899</v>
      </c>
      <c r="T193" s="5">
        <v>5411626.6279179603</v>
      </c>
      <c r="U193" s="5">
        <v>2783595.9522986799</v>
      </c>
      <c r="V193" s="5">
        <v>6313396.9726382904</v>
      </c>
      <c r="W193" s="5">
        <v>5523135.2134554395</v>
      </c>
      <c r="X193" s="5">
        <v>2965491.8562635402</v>
      </c>
      <c r="Y193" s="5">
        <v>4631001.8582563903</v>
      </c>
      <c r="Z193" s="5">
        <v>6838815.9121114602</v>
      </c>
      <c r="AA193" s="5">
        <v>5866995.87159249</v>
      </c>
      <c r="AB193" s="5">
        <v>4933895.0364338998</v>
      </c>
      <c r="AC193" s="5">
        <v>5082596.9073845204</v>
      </c>
      <c r="AD193">
        <f t="shared" si="9"/>
        <v>5680575.9318805933</v>
      </c>
      <c r="AE193">
        <f t="shared" si="10"/>
        <v>873953.37768283405</v>
      </c>
      <c r="AF193">
        <f t="shared" si="11"/>
        <v>0.15384943149479313</v>
      </c>
    </row>
    <row r="194" spans="1:32" x14ac:dyDescent="0.45">
      <c r="A194" s="5" t="s">
        <v>141</v>
      </c>
      <c r="B194" s="2">
        <f t="shared" ref="B194:B218" si="12">AVERAGE(E194:Y194)</f>
        <v>455690.9936971959</v>
      </c>
      <c r="C194" s="2">
        <v>472270.68431256799</v>
      </c>
      <c r="D194" s="2">
        <v>3.2265150855301974E-2</v>
      </c>
      <c r="E194" s="5">
        <v>165106.21829187599</v>
      </c>
      <c r="F194" s="5">
        <v>76246.749291133703</v>
      </c>
      <c r="G194" s="5">
        <v>47416.000986278297</v>
      </c>
      <c r="H194" s="5">
        <v>70645.5548886006</v>
      </c>
      <c r="I194" s="5">
        <v>1579261.95224001</v>
      </c>
      <c r="J194" s="5">
        <v>1382609.4676153499</v>
      </c>
      <c r="K194" s="5">
        <v>108606.657230888</v>
      </c>
      <c r="L194" s="5">
        <v>754976.85715392104</v>
      </c>
      <c r="M194" s="5">
        <v>33259.618571031497</v>
      </c>
      <c r="N194" s="5">
        <v>2811985.2959044501</v>
      </c>
      <c r="O194" s="5">
        <v>51006.955792524699</v>
      </c>
      <c r="P194" s="5">
        <v>236329.48881300699</v>
      </c>
      <c r="Q194" s="5">
        <v>163215.882815252</v>
      </c>
      <c r="R194" s="5">
        <v>38682.636999507798</v>
      </c>
      <c r="S194" s="5">
        <v>31817.2428693289</v>
      </c>
      <c r="T194" s="5">
        <v>39239.104397035902</v>
      </c>
      <c r="U194" s="5">
        <v>159671.75913631701</v>
      </c>
      <c r="V194" s="5">
        <v>33203.682933881799</v>
      </c>
      <c r="W194" s="5">
        <v>1522883.17222613</v>
      </c>
      <c r="X194" s="5">
        <v>147099.37660466199</v>
      </c>
      <c r="Y194" s="5">
        <v>116247.192879927</v>
      </c>
      <c r="Z194" s="5">
        <v>453415.27396672597</v>
      </c>
      <c r="AA194" s="5">
        <v>477123.17697339499</v>
      </c>
      <c r="AB194" s="5">
        <v>489747.48014509398</v>
      </c>
      <c r="AC194" s="5">
        <v>468796.806165057</v>
      </c>
      <c r="AD194">
        <f t="shared" ref="AD194:AD218" si="13">AVERAGE(Z194:AC194)</f>
        <v>472270.68431256799</v>
      </c>
      <c r="AE194">
        <f t="shared" ref="AE194:AE218" si="14">STDEV(Z194:AC194)</f>
        <v>15237.884873881703</v>
      </c>
      <c r="AF194">
        <f t="shared" ref="AF194:AF218" si="15">AE194/AD194</f>
        <v>3.2265150855301974E-2</v>
      </c>
    </row>
    <row r="195" spans="1:32" x14ac:dyDescent="0.45">
      <c r="A195" s="5" t="s">
        <v>106</v>
      </c>
      <c r="B195" s="2">
        <f t="shared" si="12"/>
        <v>551403979.63294291</v>
      </c>
      <c r="C195" s="7">
        <v>474451328.35275531</v>
      </c>
      <c r="D195" s="8">
        <v>1.6937029793921372E-2</v>
      </c>
      <c r="E195" s="5">
        <v>679425982.09742796</v>
      </c>
      <c r="F195" s="5">
        <v>600251020.09050202</v>
      </c>
      <c r="G195" s="5">
        <v>489679945.59352303</v>
      </c>
      <c r="H195" s="5">
        <v>571034170.75028598</v>
      </c>
      <c r="I195" s="5">
        <v>640756618.93078196</v>
      </c>
      <c r="J195" s="5">
        <v>534373079.35209697</v>
      </c>
      <c r="K195" s="5">
        <v>356871991.21333402</v>
      </c>
      <c r="L195" s="5">
        <v>504041817.52493</v>
      </c>
      <c r="M195" s="5">
        <v>651889271.921767</v>
      </c>
      <c r="N195" s="5">
        <v>448268198.43485498</v>
      </c>
      <c r="O195" s="5">
        <v>551977726.14505899</v>
      </c>
      <c r="P195" s="5">
        <v>427410053.09708202</v>
      </c>
      <c r="Q195" s="5">
        <v>657504098.32128501</v>
      </c>
      <c r="R195" s="5">
        <v>646718805.13004601</v>
      </c>
      <c r="S195" s="5">
        <v>643874909.72609997</v>
      </c>
      <c r="T195" s="5">
        <v>534573457.87388998</v>
      </c>
      <c r="U195" s="5">
        <v>550791432.96494401</v>
      </c>
      <c r="V195" s="5">
        <v>534352988.30942601</v>
      </c>
      <c r="W195" s="5">
        <v>494376108.44435698</v>
      </c>
      <c r="X195" s="5">
        <v>436837498.62034798</v>
      </c>
      <c r="Y195" s="5">
        <v>624474397.74976003</v>
      </c>
      <c r="Z195" s="5">
        <v>467824480.52451402</v>
      </c>
      <c r="AA195" s="5">
        <v>485530879.69003999</v>
      </c>
      <c r="AB195" s="5">
        <v>475152194.69000602</v>
      </c>
      <c r="AC195" s="5">
        <v>469297758.50646102</v>
      </c>
      <c r="AD195">
        <f t="shared" si="13"/>
        <v>474451328.35275531</v>
      </c>
      <c r="AE195">
        <f t="shared" si="14"/>
        <v>8035796.2840761887</v>
      </c>
      <c r="AF195">
        <f t="shared" si="15"/>
        <v>1.6937029793921372E-2</v>
      </c>
    </row>
    <row r="196" spans="1:32" x14ac:dyDescent="0.45">
      <c r="A196" s="5" t="s">
        <v>107</v>
      </c>
      <c r="B196" s="2">
        <f t="shared" si="12"/>
        <v>15112971.873319246</v>
      </c>
      <c r="C196" s="2">
        <v>10389064.24349805</v>
      </c>
      <c r="D196" s="2">
        <v>0.13093131964722982</v>
      </c>
      <c r="E196" s="5">
        <v>1137580.0587288099</v>
      </c>
      <c r="F196" s="5">
        <v>283366.723812218</v>
      </c>
      <c r="G196" s="5">
        <v>1748908.86143297</v>
      </c>
      <c r="H196" s="5">
        <v>143746800.71311799</v>
      </c>
      <c r="I196" s="5">
        <v>1380042.59774266</v>
      </c>
      <c r="J196" s="5">
        <v>2529658.17439073</v>
      </c>
      <c r="K196" s="5">
        <v>235111.56463643399</v>
      </c>
      <c r="L196" s="5">
        <v>1628877.71213445</v>
      </c>
      <c r="M196" s="5">
        <v>86618058.729953095</v>
      </c>
      <c r="N196" s="5">
        <v>2973147.5735485102</v>
      </c>
      <c r="O196" s="5">
        <v>733710.904972338</v>
      </c>
      <c r="P196" s="5">
        <v>1330567.0477710301</v>
      </c>
      <c r="Q196" s="5">
        <v>38256065.221831597</v>
      </c>
      <c r="R196" s="5">
        <v>529172.57664115005</v>
      </c>
      <c r="S196" s="5">
        <v>818268.88307643996</v>
      </c>
      <c r="T196" s="5">
        <v>1567104.4031754001</v>
      </c>
      <c r="U196" s="5">
        <v>229978.85129293799</v>
      </c>
      <c r="V196" s="5">
        <v>1676210.19271808</v>
      </c>
      <c r="W196" s="5">
        <v>998260.22251359897</v>
      </c>
      <c r="X196" s="5">
        <v>269934.273832192</v>
      </c>
      <c r="Y196" s="5">
        <v>28681584.052381501</v>
      </c>
      <c r="Z196" s="5">
        <v>11158778.519935399</v>
      </c>
      <c r="AA196" s="5">
        <v>9240088.8222823292</v>
      </c>
      <c r="AB196" s="5">
        <v>9243339.4600885697</v>
      </c>
      <c r="AC196" s="5">
        <v>11914050.171685901</v>
      </c>
      <c r="AD196">
        <f t="shared" si="13"/>
        <v>10389064.24349805</v>
      </c>
      <c r="AE196">
        <f t="shared" si="14"/>
        <v>1360253.8913010489</v>
      </c>
      <c r="AF196">
        <f t="shared" si="15"/>
        <v>0.13093131964722982</v>
      </c>
    </row>
    <row r="197" spans="1:32" x14ac:dyDescent="0.45">
      <c r="A197" s="5" t="s">
        <v>220</v>
      </c>
      <c r="B197" s="2">
        <f t="shared" si="12"/>
        <v>7711638.7237042459</v>
      </c>
      <c r="C197" s="8">
        <v>7014532.7556056269</v>
      </c>
      <c r="D197" s="7">
        <v>2.6690058949653473E-2</v>
      </c>
      <c r="E197" s="5">
        <v>11381067.354959</v>
      </c>
      <c r="F197" s="5">
        <v>5950321.5041553499</v>
      </c>
      <c r="G197" s="5">
        <v>9793722.0867518205</v>
      </c>
      <c r="H197" s="5">
        <v>9918071.1568509396</v>
      </c>
      <c r="I197" s="5">
        <v>7888658.9174887799</v>
      </c>
      <c r="J197" s="5">
        <v>4651090.6794912601</v>
      </c>
      <c r="K197" s="5">
        <v>3047888.6544946898</v>
      </c>
      <c r="L197" s="5">
        <v>11033183.031955799</v>
      </c>
      <c r="M197" s="5">
        <v>7224061.6478271503</v>
      </c>
      <c r="N197" s="5">
        <v>5975357.4757580403</v>
      </c>
      <c r="O197" s="5">
        <v>10081541.9867782</v>
      </c>
      <c r="P197" s="5">
        <v>5081820.6348888101</v>
      </c>
      <c r="Q197" s="5">
        <v>6051477.4282878302</v>
      </c>
      <c r="R197" s="5">
        <v>6661907.7536846101</v>
      </c>
      <c r="S197" s="5">
        <v>10821035.2099822</v>
      </c>
      <c r="T197" s="5">
        <v>9131167.8471708801</v>
      </c>
      <c r="U197" s="5">
        <v>7165066.74672997</v>
      </c>
      <c r="V197" s="5">
        <v>9194084.6948375404</v>
      </c>
      <c r="W197" s="5">
        <v>7467324.99577762</v>
      </c>
      <c r="X197" s="5">
        <v>4766340.4937455496</v>
      </c>
      <c r="Y197" s="5">
        <v>8659222.8961731605</v>
      </c>
      <c r="Z197" s="5">
        <v>7265585.6323052105</v>
      </c>
      <c r="AA197" s="5">
        <v>6900466.7654130496</v>
      </c>
      <c r="AB197" s="5">
        <v>6846714.6757632</v>
      </c>
      <c r="AC197" s="5">
        <v>7045363.9489410501</v>
      </c>
      <c r="AD197">
        <f t="shared" si="13"/>
        <v>7014532.7556056269</v>
      </c>
      <c r="AE197">
        <f t="shared" si="14"/>
        <v>187218.29275138941</v>
      </c>
      <c r="AF197">
        <f t="shared" si="15"/>
        <v>2.6690058949653473E-2</v>
      </c>
    </row>
    <row r="198" spans="1:32" x14ac:dyDescent="0.45">
      <c r="A198" s="5" t="s">
        <v>221</v>
      </c>
      <c r="B198" s="2">
        <f t="shared" si="12"/>
        <v>3074245.1710361727</v>
      </c>
      <c r="C198" s="7">
        <v>2581278.4548482252</v>
      </c>
      <c r="D198" s="7">
        <v>0.15423490968925352</v>
      </c>
      <c r="E198" s="5">
        <v>2952231.2739377199</v>
      </c>
      <c r="F198" s="5">
        <v>3098236.2388451998</v>
      </c>
      <c r="G198" s="5">
        <v>4857972.1585423704</v>
      </c>
      <c r="H198" s="5">
        <v>2669048.8728171</v>
      </c>
      <c r="I198" s="5">
        <v>3651269.6287447698</v>
      </c>
      <c r="J198" s="5">
        <v>3631179.6942676902</v>
      </c>
      <c r="K198" s="5">
        <v>3697399.8809776301</v>
      </c>
      <c r="L198" s="5">
        <v>2557260.7260742602</v>
      </c>
      <c r="M198" s="5">
        <v>2252524.25327776</v>
      </c>
      <c r="N198" s="5">
        <v>3215752.4134178502</v>
      </c>
      <c r="O198" s="5">
        <v>3339530.6948064798</v>
      </c>
      <c r="P198" s="5">
        <v>3509124.03623561</v>
      </c>
      <c r="Q198" s="5">
        <v>2708516.02497544</v>
      </c>
      <c r="R198" s="5">
        <v>2940184.6414370402</v>
      </c>
      <c r="S198" s="5">
        <v>2390971.1482998799</v>
      </c>
      <c r="T198" s="5">
        <v>2463770.25056651</v>
      </c>
      <c r="U198" s="5">
        <v>2710428.5769768902</v>
      </c>
      <c r="V198" s="5">
        <v>3047985.6800227799</v>
      </c>
      <c r="W198" s="5">
        <v>3029176.98695692</v>
      </c>
      <c r="X198" s="5">
        <v>3407825.0109143499</v>
      </c>
      <c r="Y198" s="5">
        <v>2428760.3996653701</v>
      </c>
      <c r="Z198" s="5">
        <v>2072465.4651290399</v>
      </c>
      <c r="AA198" s="5">
        <v>3014174.5319725401</v>
      </c>
      <c r="AB198" s="5">
        <v>2504487.1744303601</v>
      </c>
      <c r="AC198" s="5">
        <v>2733986.6478609601</v>
      </c>
      <c r="AD198">
        <f t="shared" si="13"/>
        <v>2581278.4548482252</v>
      </c>
      <c r="AE198">
        <f t="shared" si="14"/>
        <v>398123.2493663319</v>
      </c>
      <c r="AF198">
        <f t="shared" si="15"/>
        <v>0.15423490968925352</v>
      </c>
    </row>
    <row r="199" spans="1:32" x14ac:dyDescent="0.45">
      <c r="A199" s="5" t="s">
        <v>108</v>
      </c>
      <c r="B199" s="2">
        <f t="shared" si="12"/>
        <v>1866298.8591952766</v>
      </c>
      <c r="C199" s="2">
        <v>1836709.28505792</v>
      </c>
      <c r="D199" s="2">
        <v>0.15464619674268948</v>
      </c>
      <c r="E199" s="5">
        <v>2506875.3155467799</v>
      </c>
      <c r="F199" s="5">
        <v>1323103.41393136</v>
      </c>
      <c r="G199" s="5">
        <v>1449579.68135699</v>
      </c>
      <c r="H199" s="5">
        <v>2052372.60199528</v>
      </c>
      <c r="I199" s="5">
        <v>1524326.5751654899</v>
      </c>
      <c r="J199" s="5">
        <v>1038910.99995626</v>
      </c>
      <c r="K199" s="5">
        <v>1429461.54775482</v>
      </c>
      <c r="L199" s="5">
        <v>1757568.2254439399</v>
      </c>
      <c r="M199" s="5">
        <v>2272463.35521399</v>
      </c>
      <c r="N199" s="5">
        <v>2159170.6060834001</v>
      </c>
      <c r="O199" s="5">
        <v>2903699.2791613801</v>
      </c>
      <c r="P199" s="5">
        <v>1770652.1235447801</v>
      </c>
      <c r="Q199" s="5">
        <v>3023062.37784694</v>
      </c>
      <c r="R199" s="5">
        <v>1805750.7301586999</v>
      </c>
      <c r="S199" s="5">
        <v>1771078.0426741501</v>
      </c>
      <c r="T199" s="5">
        <v>1717592.8771488999</v>
      </c>
      <c r="U199" s="5">
        <v>1983318.45911921</v>
      </c>
      <c r="V199" s="5">
        <v>1923200.3493065301</v>
      </c>
      <c r="W199" s="5">
        <v>1042069.64783883</v>
      </c>
      <c r="X199" s="5">
        <v>1282576.7249548</v>
      </c>
      <c r="Y199" s="5">
        <v>2455443.1088982802</v>
      </c>
      <c r="Z199" s="5">
        <v>1502787.61295376</v>
      </c>
      <c r="AA199" s="5">
        <v>1768980.84252006</v>
      </c>
      <c r="AB199" s="5">
        <v>1887061.5671049999</v>
      </c>
      <c r="AC199" s="5">
        <v>2188007.11765286</v>
      </c>
      <c r="AD199">
        <f t="shared" si="13"/>
        <v>1836709.28505792</v>
      </c>
      <c r="AE199">
        <f t="shared" si="14"/>
        <v>284040.10545619164</v>
      </c>
      <c r="AF199">
        <f t="shared" si="15"/>
        <v>0.15464619674268948</v>
      </c>
    </row>
    <row r="200" spans="1:32" x14ac:dyDescent="0.45">
      <c r="A200" s="5" t="s">
        <v>109</v>
      </c>
      <c r="B200" s="2">
        <f t="shared" si="12"/>
        <v>1894890.5229258828</v>
      </c>
      <c r="C200" s="7">
        <v>1395709.050309225</v>
      </c>
      <c r="D200" s="8">
        <v>0.21583344341162644</v>
      </c>
      <c r="E200" s="5">
        <v>2421896.2949425401</v>
      </c>
      <c r="F200" s="5">
        <v>993009.59320717095</v>
      </c>
      <c r="G200" s="5">
        <v>2078361.74396708</v>
      </c>
      <c r="H200" s="5">
        <v>2344424.1279440499</v>
      </c>
      <c r="I200" s="5">
        <v>1258493.66833094</v>
      </c>
      <c r="J200" s="5">
        <v>1252137.6527549699</v>
      </c>
      <c r="K200" s="5">
        <v>654435.74112667504</v>
      </c>
      <c r="L200" s="5">
        <v>1718046.9256913899</v>
      </c>
      <c r="M200" s="5">
        <v>2034697.2150222301</v>
      </c>
      <c r="N200" s="5">
        <v>1275858.29636354</v>
      </c>
      <c r="O200" s="5">
        <v>2051802.5016323801</v>
      </c>
      <c r="P200" s="5">
        <v>881160.98310080799</v>
      </c>
      <c r="Q200" s="5">
        <v>3276977.9638392101</v>
      </c>
      <c r="R200" s="5">
        <v>6015208.7231189404</v>
      </c>
      <c r="S200" s="5">
        <v>2215237.79991072</v>
      </c>
      <c r="T200" s="5">
        <v>1894851.25403325</v>
      </c>
      <c r="U200" s="5">
        <v>1244547.27254732</v>
      </c>
      <c r="V200" s="5">
        <v>1569856.1670174401</v>
      </c>
      <c r="W200" s="5">
        <v>942582.14022623503</v>
      </c>
      <c r="X200" s="5">
        <v>748622.54825542297</v>
      </c>
      <c r="Y200" s="5">
        <v>2920492.3684112299</v>
      </c>
      <c r="Z200" s="5">
        <v>1135700.9936963201</v>
      </c>
      <c r="AA200" s="5">
        <v>1143315.44961673</v>
      </c>
      <c r="AB200" s="5">
        <v>1582435.3795002699</v>
      </c>
      <c r="AC200" s="5">
        <v>1721384.37842358</v>
      </c>
      <c r="AD200">
        <f t="shared" si="13"/>
        <v>1395709.050309225</v>
      </c>
      <c r="AE200">
        <f t="shared" si="14"/>
        <v>301240.69032901101</v>
      </c>
      <c r="AF200">
        <f t="shared" si="15"/>
        <v>0.21583344341162644</v>
      </c>
    </row>
    <row r="201" spans="1:32" x14ac:dyDescent="0.45">
      <c r="A201" s="5" t="s">
        <v>110</v>
      </c>
      <c r="B201" s="2">
        <f t="shared" si="12"/>
        <v>276730915.55226678</v>
      </c>
      <c r="C201" s="7">
        <v>227645749.44936949</v>
      </c>
      <c r="D201" s="7">
        <v>2.3810387065090938E-2</v>
      </c>
      <c r="E201" s="5">
        <v>344875894.07349002</v>
      </c>
      <c r="F201" s="5">
        <v>153189355.55290499</v>
      </c>
      <c r="G201" s="5">
        <v>304268970.42536497</v>
      </c>
      <c r="H201" s="5">
        <v>368035810.95529801</v>
      </c>
      <c r="I201" s="5">
        <v>290477213.610349</v>
      </c>
      <c r="J201" s="5">
        <v>128275322.64100599</v>
      </c>
      <c r="K201" s="5">
        <v>137341671.17166501</v>
      </c>
      <c r="L201" s="5">
        <v>345018684.87113798</v>
      </c>
      <c r="M201" s="5">
        <v>333984372.43207002</v>
      </c>
      <c r="N201" s="5">
        <v>164720281.02158099</v>
      </c>
      <c r="O201" s="5">
        <v>329776557.674182</v>
      </c>
      <c r="P201" s="5">
        <v>171262640.88860101</v>
      </c>
      <c r="Q201" s="5">
        <v>353751165.08918399</v>
      </c>
      <c r="R201" s="5">
        <v>243761921.56711701</v>
      </c>
      <c r="S201" s="5">
        <v>338644590.55723202</v>
      </c>
      <c r="T201" s="5">
        <v>403032846.67531401</v>
      </c>
      <c r="U201" s="5">
        <v>359488190.92567098</v>
      </c>
      <c r="V201" s="5">
        <v>282844447.63034302</v>
      </c>
      <c r="W201" s="5">
        <v>181215699.02836499</v>
      </c>
      <c r="X201" s="5">
        <v>202822373.713911</v>
      </c>
      <c r="Y201" s="5">
        <v>374561216.09281498</v>
      </c>
      <c r="Z201" s="5">
        <v>223313712.581765</v>
      </c>
      <c r="AA201" s="5">
        <v>231801479.27006599</v>
      </c>
      <c r="AB201" s="5">
        <v>232837228.69792601</v>
      </c>
      <c r="AC201" s="5">
        <v>222630577.24772099</v>
      </c>
      <c r="AD201">
        <f t="shared" si="13"/>
        <v>227645749.44936949</v>
      </c>
      <c r="AE201">
        <f t="shared" si="14"/>
        <v>5420333.4081122</v>
      </c>
      <c r="AF201">
        <f t="shared" si="15"/>
        <v>2.3810387065090938E-2</v>
      </c>
    </row>
    <row r="202" spans="1:32" x14ac:dyDescent="0.45">
      <c r="A202" s="5" t="s">
        <v>111</v>
      </c>
      <c r="B202" s="2">
        <f t="shared" si="12"/>
        <v>85528081.363334</v>
      </c>
      <c r="C202" s="7">
        <v>72057614.703654468</v>
      </c>
      <c r="D202" s="7">
        <v>3.1089391724806126E-2</v>
      </c>
      <c r="E202" s="5">
        <v>120737891.97080401</v>
      </c>
      <c r="F202" s="5">
        <v>90739364.669414699</v>
      </c>
      <c r="G202" s="5">
        <v>64309121.980518997</v>
      </c>
      <c r="H202" s="5">
        <v>99177513.456816807</v>
      </c>
      <c r="I202" s="5">
        <v>68308119.192688793</v>
      </c>
      <c r="J202" s="5">
        <v>77760585.015671402</v>
      </c>
      <c r="K202" s="5">
        <v>51575449.622960798</v>
      </c>
      <c r="L202" s="5">
        <v>126612232.491394</v>
      </c>
      <c r="M202" s="5">
        <v>85854767.192650303</v>
      </c>
      <c r="N202" s="5">
        <v>81274091.073591605</v>
      </c>
      <c r="O202" s="5">
        <v>69354278.227053195</v>
      </c>
      <c r="P202" s="5">
        <v>52629275.7610102</v>
      </c>
      <c r="Q202" s="5">
        <v>139608889.90803301</v>
      </c>
      <c r="R202" s="5">
        <v>45882952.6465545</v>
      </c>
      <c r="S202" s="5">
        <v>74457550.252174407</v>
      </c>
      <c r="T202" s="5">
        <v>75503519.138659403</v>
      </c>
      <c r="U202" s="5">
        <v>175351392.969428</v>
      </c>
      <c r="V202" s="5">
        <v>50628170.307077602</v>
      </c>
      <c r="W202" s="5">
        <v>79084026.928838506</v>
      </c>
      <c r="X202" s="5">
        <v>53172597.894793801</v>
      </c>
      <c r="Y202" s="5">
        <v>114067917.92987999</v>
      </c>
      <c r="Z202" s="5">
        <v>68895118.948321104</v>
      </c>
      <c r="AA202" s="5">
        <v>73211242.608294994</v>
      </c>
      <c r="AB202" s="5">
        <v>73985586.6042974</v>
      </c>
      <c r="AC202" s="5">
        <v>72138510.653704405</v>
      </c>
      <c r="AD202">
        <f t="shared" si="13"/>
        <v>72057614.703654468</v>
      </c>
      <c r="AE202">
        <f t="shared" si="14"/>
        <v>2240227.4102770635</v>
      </c>
      <c r="AF202">
        <f t="shared" si="15"/>
        <v>3.1089391724806126E-2</v>
      </c>
    </row>
    <row r="203" spans="1:32" x14ac:dyDescent="0.45">
      <c r="A203" s="5" t="s">
        <v>112</v>
      </c>
      <c r="B203" s="2">
        <f t="shared" si="12"/>
        <v>3516075.3131029224</v>
      </c>
      <c r="C203" s="7">
        <v>2618298.3107713326</v>
      </c>
      <c r="D203" s="8">
        <v>9.9167745292059961E-2</v>
      </c>
      <c r="E203" s="5">
        <v>760264.39946933906</v>
      </c>
      <c r="F203" s="5">
        <v>897704.23481509998</v>
      </c>
      <c r="G203" s="5">
        <v>2101450.89962989</v>
      </c>
      <c r="H203" s="5">
        <v>9853518.4827728402</v>
      </c>
      <c r="I203" s="5">
        <v>186131.00667664601</v>
      </c>
      <c r="J203" s="5">
        <v>1220629.81509243</v>
      </c>
      <c r="K203" s="5">
        <v>1028410.54633039</v>
      </c>
      <c r="L203" s="5">
        <v>528029.38721852005</v>
      </c>
      <c r="M203" s="5">
        <v>4712839.5654521501</v>
      </c>
      <c r="N203" s="5">
        <v>132917.82838501901</v>
      </c>
      <c r="O203" s="5">
        <v>3929305.0780649199</v>
      </c>
      <c r="P203" s="5">
        <v>5383591.0997514501</v>
      </c>
      <c r="Q203" s="5">
        <v>2688717.0256252498</v>
      </c>
      <c r="R203" s="5">
        <v>5647396.6615953799</v>
      </c>
      <c r="S203" s="5">
        <v>12079372.255744999</v>
      </c>
      <c r="T203" s="5">
        <v>5063379.1443288997</v>
      </c>
      <c r="U203" s="5">
        <v>4945431.11876971</v>
      </c>
      <c r="V203" s="5">
        <v>4878771.3079374796</v>
      </c>
      <c r="W203" s="5">
        <v>50493.896064292501</v>
      </c>
      <c r="X203" s="5">
        <v>1990786.0198349</v>
      </c>
      <c r="Y203" s="5">
        <v>5758441.8016017498</v>
      </c>
      <c r="Z203" s="5">
        <v>2385887.3426900501</v>
      </c>
      <c r="AA203" s="5">
        <v>2487128.67529862</v>
      </c>
      <c r="AB203" s="5">
        <v>2619894.60415253</v>
      </c>
      <c r="AC203" s="5">
        <v>2980282.6209441298</v>
      </c>
      <c r="AD203">
        <f t="shared" si="13"/>
        <v>2618298.3107713326</v>
      </c>
      <c r="AE203">
        <f t="shared" si="14"/>
        <v>259650.73998120235</v>
      </c>
      <c r="AF203">
        <f t="shared" si="15"/>
        <v>9.9167745292059961E-2</v>
      </c>
    </row>
    <row r="204" spans="1:32" x14ac:dyDescent="0.45">
      <c r="A204" s="5" t="s">
        <v>113</v>
      </c>
      <c r="B204" s="2">
        <f t="shared" si="12"/>
        <v>3231037.9320736038</v>
      </c>
      <c r="C204" s="7">
        <v>3532486.4839443853</v>
      </c>
      <c r="D204" s="8">
        <v>3.9604703630709927E-2</v>
      </c>
      <c r="E204" s="5">
        <v>6426089.4949807199</v>
      </c>
      <c r="F204" s="5">
        <v>2575856.1848696098</v>
      </c>
      <c r="G204" s="5">
        <v>3959578.5184557</v>
      </c>
      <c r="H204" s="5">
        <v>2897699.3437957899</v>
      </c>
      <c r="I204" s="5">
        <v>2861668.6811425802</v>
      </c>
      <c r="J204" s="5">
        <v>2378034.5848999401</v>
      </c>
      <c r="K204" s="5">
        <v>2656687.1143638999</v>
      </c>
      <c r="L204" s="5">
        <v>3013772.0675570299</v>
      </c>
      <c r="M204" s="5">
        <v>3055628.4742707498</v>
      </c>
      <c r="N204" s="5">
        <v>2365957.89685742</v>
      </c>
      <c r="O204" s="5">
        <v>3079763.7214808501</v>
      </c>
      <c r="P204" s="5">
        <v>2509706.5050692698</v>
      </c>
      <c r="Q204" s="5">
        <v>3477756.47685462</v>
      </c>
      <c r="R204" s="5">
        <v>6077716.5737934196</v>
      </c>
      <c r="S204" s="5">
        <v>2659449.3204010301</v>
      </c>
      <c r="T204" s="5">
        <v>3095166.0854028999</v>
      </c>
      <c r="U204" s="5">
        <v>3386531.3087285501</v>
      </c>
      <c r="V204" s="5">
        <v>2097590.1321599302</v>
      </c>
      <c r="W204" s="5">
        <v>2510525.8512089602</v>
      </c>
      <c r="X204" s="5">
        <v>2452608.8332174099</v>
      </c>
      <c r="Y204" s="5">
        <v>4314009.4040352898</v>
      </c>
      <c r="Z204" s="5">
        <v>3336848.9450823702</v>
      </c>
      <c r="AA204" s="5">
        <v>3590689.8462067</v>
      </c>
      <c r="AB204" s="5">
        <v>3662899.8491691202</v>
      </c>
      <c r="AC204" s="5">
        <v>3539507.29531935</v>
      </c>
      <c r="AD204">
        <f t="shared" si="13"/>
        <v>3532486.4839443853</v>
      </c>
      <c r="AE204">
        <f t="shared" si="14"/>
        <v>139903.08027610593</v>
      </c>
      <c r="AF204">
        <f t="shared" si="15"/>
        <v>3.9604703630709927E-2</v>
      </c>
    </row>
    <row r="205" spans="1:32" x14ac:dyDescent="0.45">
      <c r="A205" s="5" t="s">
        <v>266</v>
      </c>
      <c r="B205" s="2">
        <f t="shared" si="12"/>
        <v>378972.25170041248</v>
      </c>
      <c r="C205" s="2">
        <v>338683.74831944448</v>
      </c>
      <c r="D205" s="2">
        <v>6.4235994324522427E-2</v>
      </c>
      <c r="E205" s="5">
        <v>27786.276273020001</v>
      </c>
      <c r="F205" s="5">
        <v>746039.91511882795</v>
      </c>
      <c r="G205" s="5">
        <v>110657.411510291</v>
      </c>
      <c r="H205" s="5">
        <v>12151.780219308201</v>
      </c>
      <c r="I205" s="5">
        <v>135788.81462759501</v>
      </c>
      <c r="J205" s="5">
        <v>1199105.44951525</v>
      </c>
      <c r="K205" s="5">
        <v>1271236.59948473</v>
      </c>
      <c r="L205" s="5">
        <v>35098.758417413097</v>
      </c>
      <c r="M205" s="5">
        <v>32241.0776238572</v>
      </c>
      <c r="N205" s="5">
        <v>1083990.8598674899</v>
      </c>
      <c r="O205" s="5">
        <v>11538.359676191199</v>
      </c>
      <c r="P205" s="5">
        <v>986170.14557643002</v>
      </c>
      <c r="Q205" s="5">
        <v>50723.233673258597</v>
      </c>
      <c r="R205" s="5">
        <v>37843.583518828404</v>
      </c>
      <c r="S205" s="5">
        <v>10653.9201917754</v>
      </c>
      <c r="T205" s="5">
        <v>11530.373119032</v>
      </c>
      <c r="U205" s="5">
        <v>37267.308117441797</v>
      </c>
      <c r="V205" s="5">
        <v>12154.4930553537</v>
      </c>
      <c r="W205" s="5">
        <v>1276392.31758671</v>
      </c>
      <c r="X205" s="5">
        <v>847012.24457230896</v>
      </c>
      <c r="Y205" s="5">
        <v>23034.363963549698</v>
      </c>
      <c r="Z205" s="5">
        <v>307207.32865821401</v>
      </c>
      <c r="AA205" s="5">
        <v>347547.50504558202</v>
      </c>
      <c r="AB205" s="5">
        <v>356879.64993823803</v>
      </c>
      <c r="AC205" s="5">
        <v>343100.50963574398</v>
      </c>
      <c r="AD205">
        <f t="shared" si="13"/>
        <v>338683.74831944448</v>
      </c>
      <c r="AE205">
        <f t="shared" si="14"/>
        <v>21755.687334855818</v>
      </c>
      <c r="AF205">
        <f t="shared" si="15"/>
        <v>6.4235994324522427E-2</v>
      </c>
    </row>
    <row r="206" spans="1:32" x14ac:dyDescent="0.45">
      <c r="A206" s="5" t="s">
        <v>267</v>
      </c>
      <c r="B206" s="2">
        <f t="shared" si="12"/>
        <v>565052.62471898831</v>
      </c>
      <c r="C206" s="2">
        <v>573953.0592869008</v>
      </c>
      <c r="D206" s="2">
        <v>6.3392549508978199E-2</v>
      </c>
      <c r="E206" s="5">
        <v>176190.30451172299</v>
      </c>
      <c r="F206" s="5">
        <v>940131.68523500103</v>
      </c>
      <c r="G206" s="5">
        <v>250068.94315724101</v>
      </c>
      <c r="H206" s="5">
        <v>112413.626204164</v>
      </c>
      <c r="I206" s="5">
        <v>360939.79829293001</v>
      </c>
      <c r="J206" s="5">
        <v>1588938.50901521</v>
      </c>
      <c r="K206" s="5">
        <v>2260691.99247916</v>
      </c>
      <c r="L206" s="5">
        <v>101311.20630356199</v>
      </c>
      <c r="M206" s="5">
        <v>141920.620406203</v>
      </c>
      <c r="N206" s="5">
        <v>1546695.7965595101</v>
      </c>
      <c r="O206" s="5">
        <v>114833.344349169</v>
      </c>
      <c r="P206" s="5">
        <v>1505188.2918692401</v>
      </c>
      <c r="Q206" s="5">
        <v>191740.02135093999</v>
      </c>
      <c r="R206" s="5">
        <v>116877.067223808</v>
      </c>
      <c r="S206" s="5">
        <v>93847.919628276301</v>
      </c>
      <c r="T206" s="5">
        <v>91567.472502856996</v>
      </c>
      <c r="U206" s="5">
        <v>132583.719787145</v>
      </c>
      <c r="V206" s="5">
        <v>150920.72321933199</v>
      </c>
      <c r="W206" s="5">
        <v>1043708.14471914</v>
      </c>
      <c r="X206" s="5">
        <v>853591.86571413698</v>
      </c>
      <c r="Y206" s="5">
        <v>91944.066570005394</v>
      </c>
      <c r="Z206" s="5">
        <v>587252.48496635701</v>
      </c>
      <c r="AA206" s="5">
        <v>521396.13848540199</v>
      </c>
      <c r="AB206" s="5">
        <v>582141.04268376599</v>
      </c>
      <c r="AC206" s="5">
        <v>605022.57101207797</v>
      </c>
      <c r="AD206">
        <f t="shared" si="13"/>
        <v>573953.0592869008</v>
      </c>
      <c r="AE206">
        <f t="shared" si="14"/>
        <v>36384.347726674358</v>
      </c>
      <c r="AF206">
        <f t="shared" si="15"/>
        <v>6.3392549508978199E-2</v>
      </c>
    </row>
    <row r="207" spans="1:32" x14ac:dyDescent="0.45">
      <c r="A207" s="5" t="s">
        <v>114</v>
      </c>
      <c r="B207" s="2">
        <f t="shared" si="12"/>
        <v>40091348.215166271</v>
      </c>
      <c r="C207" s="7">
        <v>31903670.548619773</v>
      </c>
      <c r="D207" s="8">
        <v>9.0241694587236007E-2</v>
      </c>
      <c r="E207" s="5">
        <v>33886808.874857903</v>
      </c>
      <c r="F207" s="5">
        <v>28871199.533607099</v>
      </c>
      <c r="G207" s="5">
        <v>48130775.946182601</v>
      </c>
      <c r="H207" s="5">
        <v>44183409.7909723</v>
      </c>
      <c r="I207" s="5">
        <v>40964705.646025799</v>
      </c>
      <c r="J207" s="5">
        <v>21055619.8750281</v>
      </c>
      <c r="K207" s="5">
        <v>28770274.814324901</v>
      </c>
      <c r="L207" s="5">
        <v>54900386.043422699</v>
      </c>
      <c r="M207" s="5">
        <v>55194880.638124198</v>
      </c>
      <c r="N207" s="5">
        <v>24889459.5040082</v>
      </c>
      <c r="O207" s="5">
        <v>41188677.426991098</v>
      </c>
      <c r="P207" s="5">
        <v>23277370.184808802</v>
      </c>
      <c r="Q207" s="5">
        <v>36698654.714452498</v>
      </c>
      <c r="R207" s="5">
        <v>56225588.171006702</v>
      </c>
      <c r="S207" s="5">
        <v>78749937.619570807</v>
      </c>
      <c r="T207" s="5">
        <v>41758128.429467</v>
      </c>
      <c r="U207" s="5">
        <v>41754355.7116661</v>
      </c>
      <c r="V207" s="5">
        <v>26999881.189797699</v>
      </c>
      <c r="W207" s="5">
        <v>28190487.023901999</v>
      </c>
      <c r="X207" s="5">
        <v>19632455.8116979</v>
      </c>
      <c r="Y207" s="5">
        <v>66595255.568577297</v>
      </c>
      <c r="Z207" s="5">
        <v>27861761.282002799</v>
      </c>
      <c r="AA207" s="5">
        <v>33114499.4169783</v>
      </c>
      <c r="AB207" s="5">
        <v>32083089.5691134</v>
      </c>
      <c r="AC207" s="5">
        <v>34555331.926384598</v>
      </c>
      <c r="AD207">
        <f t="shared" si="13"/>
        <v>31903670.548619773</v>
      </c>
      <c r="AE207">
        <f t="shared" si="14"/>
        <v>2879041.2938603419</v>
      </c>
      <c r="AF207">
        <f t="shared" si="15"/>
        <v>9.0241694587236007E-2</v>
      </c>
    </row>
    <row r="208" spans="1:32" x14ac:dyDescent="0.45">
      <c r="A208" s="5" t="s">
        <v>115</v>
      </c>
      <c r="B208" s="2">
        <f t="shared" si="12"/>
        <v>72808476.369253471</v>
      </c>
      <c r="C208" s="7">
        <v>62318287.466522053</v>
      </c>
      <c r="D208" s="7">
        <v>4.5543351004986236E-2</v>
      </c>
      <c r="E208" s="5">
        <v>100450900.62871499</v>
      </c>
      <c r="F208" s="5">
        <v>56519043.239446402</v>
      </c>
      <c r="G208" s="5">
        <v>76047435.598638907</v>
      </c>
      <c r="H208" s="5">
        <v>88900583.202732205</v>
      </c>
      <c r="I208" s="5">
        <v>75611113.683093697</v>
      </c>
      <c r="J208" s="5">
        <v>59232967.876925699</v>
      </c>
      <c r="K208" s="5">
        <v>51415707.129733197</v>
      </c>
      <c r="L208" s="5">
        <v>81869047.367983505</v>
      </c>
      <c r="M208" s="5">
        <v>70164715.221581504</v>
      </c>
      <c r="N208" s="5">
        <v>54215815.429069601</v>
      </c>
      <c r="O208" s="5">
        <v>75320677.001951799</v>
      </c>
      <c r="P208" s="5">
        <v>63178972.660254598</v>
      </c>
      <c r="Q208" s="5">
        <v>92538065.362923801</v>
      </c>
      <c r="R208" s="5">
        <v>68433715.713200897</v>
      </c>
      <c r="S208" s="5">
        <v>82339235.721801698</v>
      </c>
      <c r="T208" s="5">
        <v>79248667.050880596</v>
      </c>
      <c r="U208" s="5">
        <v>84175942.552458003</v>
      </c>
      <c r="V208" s="5">
        <v>83851936.859017596</v>
      </c>
      <c r="W208" s="5">
        <v>54956907.090848297</v>
      </c>
      <c r="X208" s="5">
        <v>43227783.110673703</v>
      </c>
      <c r="Y208" s="5">
        <v>87278771.252392396</v>
      </c>
      <c r="Z208" s="5">
        <v>58970385.155775003</v>
      </c>
      <c r="AA208" s="5">
        <v>61199419.088410802</v>
      </c>
      <c r="AB208" s="5">
        <v>65481598.238559902</v>
      </c>
      <c r="AC208" s="5">
        <v>63621747.383342497</v>
      </c>
      <c r="AD208">
        <f t="shared" si="13"/>
        <v>62318287.466522053</v>
      </c>
      <c r="AE208">
        <f t="shared" si="14"/>
        <v>2838183.6401174483</v>
      </c>
      <c r="AF208">
        <f t="shared" si="15"/>
        <v>4.5543351004986236E-2</v>
      </c>
    </row>
    <row r="209" spans="1:32" x14ac:dyDescent="0.45">
      <c r="A209" s="5" t="s">
        <v>268</v>
      </c>
      <c r="B209" s="2">
        <f t="shared" si="12"/>
        <v>216114322.56094778</v>
      </c>
      <c r="C209" s="2">
        <v>189177640.10286176</v>
      </c>
      <c r="D209" s="2">
        <v>3.3855655376959573E-2</v>
      </c>
      <c r="E209" s="5">
        <v>277014053.48723</v>
      </c>
      <c r="F209" s="5">
        <v>138152560.96169999</v>
      </c>
      <c r="G209" s="5">
        <v>316875680.171166</v>
      </c>
      <c r="H209" s="5">
        <v>282549498.23330599</v>
      </c>
      <c r="I209" s="5">
        <v>246696816.171682</v>
      </c>
      <c r="J209" s="5">
        <v>137431034.27394599</v>
      </c>
      <c r="K209" s="5">
        <v>121687714.59779701</v>
      </c>
      <c r="L209" s="5">
        <v>324889117.158795</v>
      </c>
      <c r="M209" s="5">
        <v>231119148.183934</v>
      </c>
      <c r="N209" s="5">
        <v>79266247.940013006</v>
      </c>
      <c r="O209" s="5">
        <v>311319391.261531</v>
      </c>
      <c r="P209" s="5">
        <v>142449357.14805499</v>
      </c>
      <c r="Q209" s="5">
        <v>161744945.35832301</v>
      </c>
      <c r="R209" s="5">
        <v>269634414.26409</v>
      </c>
      <c r="S209" s="5">
        <v>296471998.840626</v>
      </c>
      <c r="T209" s="5">
        <v>225645455.22149101</v>
      </c>
      <c r="U209" s="5">
        <v>207926829.01784599</v>
      </c>
      <c r="V209" s="5">
        <v>242925294.509556</v>
      </c>
      <c r="W209" s="5">
        <v>169053978.83387399</v>
      </c>
      <c r="X209" s="5">
        <v>129398363.22808801</v>
      </c>
      <c r="Y209" s="5">
        <v>226148874.91685399</v>
      </c>
      <c r="Z209" s="5">
        <v>185475859.792207</v>
      </c>
      <c r="AA209" s="5">
        <v>183421927.49255699</v>
      </c>
      <c r="AB209" s="5">
        <v>197875537.77363601</v>
      </c>
      <c r="AC209" s="5">
        <v>189937235.35304701</v>
      </c>
      <c r="AD209">
        <f t="shared" si="13"/>
        <v>189177640.10286176</v>
      </c>
      <c r="AE209">
        <f t="shared" si="14"/>
        <v>6404732.9883489748</v>
      </c>
      <c r="AF209">
        <f t="shared" si="15"/>
        <v>3.3855655376959573E-2</v>
      </c>
    </row>
    <row r="210" spans="1:32" x14ac:dyDescent="0.45">
      <c r="A210" s="5" t="s">
        <v>142</v>
      </c>
      <c r="B210" s="2">
        <f t="shared" si="12"/>
        <v>23938337.457743794</v>
      </c>
      <c r="C210" s="2">
        <v>21803227.730979025</v>
      </c>
      <c r="D210" s="2">
        <v>6.9981199953905102E-2</v>
      </c>
      <c r="E210" s="5">
        <v>24301051.703805599</v>
      </c>
      <c r="F210" s="5">
        <v>22347781.349414401</v>
      </c>
      <c r="G210" s="5">
        <v>24384862.732374899</v>
      </c>
      <c r="H210" s="5">
        <v>21485695.028956398</v>
      </c>
      <c r="I210" s="5">
        <v>19953239.409718499</v>
      </c>
      <c r="J210" s="5">
        <v>16161639.140568599</v>
      </c>
      <c r="K210" s="5">
        <v>25302240.458469901</v>
      </c>
      <c r="L210" s="5">
        <v>42857035.637347899</v>
      </c>
      <c r="M210" s="5">
        <v>31165082.226466399</v>
      </c>
      <c r="N210" s="5">
        <v>17154900.283467699</v>
      </c>
      <c r="O210" s="5">
        <v>20690409.8156542</v>
      </c>
      <c r="P210" s="5">
        <v>17371995.5258375</v>
      </c>
      <c r="Q210" s="5">
        <v>14235014.4667932</v>
      </c>
      <c r="R210" s="5">
        <v>28036983.802674901</v>
      </c>
      <c r="S210" s="5">
        <v>42580213.887617998</v>
      </c>
      <c r="T210" s="5">
        <v>27656917.923570901</v>
      </c>
      <c r="U210" s="5">
        <v>24680632.414361801</v>
      </c>
      <c r="V210" s="5">
        <v>14570950.473137001</v>
      </c>
      <c r="W210" s="5">
        <v>24201599.943581302</v>
      </c>
      <c r="X210" s="5">
        <v>18880094.0634549</v>
      </c>
      <c r="Y210" s="5">
        <v>24686746.325345699</v>
      </c>
      <c r="Z210" s="5">
        <v>21437974.418489799</v>
      </c>
      <c r="AA210" s="5">
        <v>20949954.752669901</v>
      </c>
      <c r="AB210" s="5">
        <v>24052682.304313201</v>
      </c>
      <c r="AC210" s="5">
        <v>20772299.4484432</v>
      </c>
      <c r="AD210">
        <f t="shared" si="13"/>
        <v>21803227.730979025</v>
      </c>
      <c r="AE210">
        <f t="shared" si="14"/>
        <v>1525816.0394821719</v>
      </c>
      <c r="AF210">
        <f t="shared" si="15"/>
        <v>6.9981199953905102E-2</v>
      </c>
    </row>
    <row r="211" spans="1:32" x14ac:dyDescent="0.45">
      <c r="A211" s="5" t="s">
        <v>222</v>
      </c>
      <c r="B211" s="2">
        <f t="shared" si="12"/>
        <v>270055.63302492799</v>
      </c>
      <c r="C211" s="7">
        <v>222844.20335536872</v>
      </c>
      <c r="D211" s="8">
        <v>0.20452366194398541</v>
      </c>
      <c r="E211" s="5">
        <v>29987.771703972499</v>
      </c>
      <c r="F211" s="5">
        <v>360213.15292836103</v>
      </c>
      <c r="G211" s="5">
        <v>506655.98228181602</v>
      </c>
      <c r="H211" s="5">
        <v>60094.296520572701</v>
      </c>
      <c r="I211" s="5">
        <v>404655.25149165001</v>
      </c>
      <c r="J211" s="5">
        <v>453486.02006920398</v>
      </c>
      <c r="K211" s="5">
        <v>159370.89561213399</v>
      </c>
      <c r="L211" s="5">
        <v>194500.18467935501</v>
      </c>
      <c r="M211" s="5">
        <v>420131.49443616503</v>
      </c>
      <c r="N211" s="5">
        <v>539040.16026545805</v>
      </c>
      <c r="O211" s="5">
        <v>21238.790413652099</v>
      </c>
      <c r="P211" s="5">
        <v>346012.78674358601</v>
      </c>
      <c r="Q211" s="5">
        <v>118361.926285115</v>
      </c>
      <c r="R211" s="5">
        <v>92079.753657474794</v>
      </c>
      <c r="S211" s="5">
        <v>302582.73802991601</v>
      </c>
      <c r="T211" s="5">
        <v>13650.2436152879</v>
      </c>
      <c r="U211" s="5">
        <v>394069.53927099501</v>
      </c>
      <c r="V211" s="5">
        <v>354326.48446161603</v>
      </c>
      <c r="W211" s="5">
        <v>347695.74744122202</v>
      </c>
      <c r="X211" s="5">
        <v>324964.68711065402</v>
      </c>
      <c r="Y211" s="5">
        <v>228050.38650528199</v>
      </c>
      <c r="Z211" s="5">
        <v>198572.94843717199</v>
      </c>
      <c r="AA211" s="5">
        <v>170931.93012102999</v>
      </c>
      <c r="AB211" s="5">
        <v>256149.42618711299</v>
      </c>
      <c r="AC211" s="5">
        <v>265722.50867616001</v>
      </c>
      <c r="AD211">
        <f t="shared" si="13"/>
        <v>222844.20335536872</v>
      </c>
      <c r="AE211">
        <f t="shared" si="14"/>
        <v>45576.912513230171</v>
      </c>
      <c r="AF211">
        <f t="shared" si="15"/>
        <v>0.20452366194398541</v>
      </c>
    </row>
    <row r="212" spans="1:32" x14ac:dyDescent="0.45">
      <c r="A212" s="5" t="s">
        <v>269</v>
      </c>
      <c r="B212" s="2">
        <f t="shared" si="12"/>
        <v>2708221.262363025</v>
      </c>
      <c r="C212" s="2">
        <v>2539892.2312476048</v>
      </c>
      <c r="D212" s="2">
        <v>5.4892289777817259E-2</v>
      </c>
      <c r="E212" s="5">
        <v>370261.72286328702</v>
      </c>
      <c r="F212" s="5">
        <v>4623645.4295757497</v>
      </c>
      <c r="G212" s="5">
        <v>688504.05316236895</v>
      </c>
      <c r="H212" s="5">
        <v>269158.49449520197</v>
      </c>
      <c r="I212" s="5">
        <v>630545.383811826</v>
      </c>
      <c r="J212" s="5">
        <v>7407006.3486313</v>
      </c>
      <c r="K212" s="5">
        <v>11498220.624861799</v>
      </c>
      <c r="L212" s="5">
        <v>297195.79616821499</v>
      </c>
      <c r="M212" s="5">
        <v>401813.49671886099</v>
      </c>
      <c r="N212" s="5">
        <v>8136592.8158801999</v>
      </c>
      <c r="O212" s="5">
        <v>485374.87254670402</v>
      </c>
      <c r="P212" s="5">
        <v>8018671.6064043399</v>
      </c>
      <c r="Q212" s="5">
        <v>275175.51901249302</v>
      </c>
      <c r="R212" s="5">
        <v>510541.35474939301</v>
      </c>
      <c r="S212" s="5">
        <v>401457.74577582598</v>
      </c>
      <c r="T212" s="5">
        <v>495025.64983915602</v>
      </c>
      <c r="U212" s="5">
        <v>379959.14467995998</v>
      </c>
      <c r="V212" s="5">
        <v>437797.280269838</v>
      </c>
      <c r="W212" s="5">
        <v>4830178.70123115</v>
      </c>
      <c r="X212" s="5">
        <v>6316053.3361952901</v>
      </c>
      <c r="Y212" s="5">
        <v>399467.13275054598</v>
      </c>
      <c r="Z212" s="5">
        <v>2395827.2099556802</v>
      </c>
      <c r="AA212" s="5">
        <v>2448729.9243282401</v>
      </c>
      <c r="AB212" s="5">
        <v>2629372.4345617299</v>
      </c>
      <c r="AC212" s="5">
        <v>2685639.35614477</v>
      </c>
      <c r="AD212">
        <f t="shared" si="13"/>
        <v>2539892.2312476048</v>
      </c>
      <c r="AE212">
        <f t="shared" si="14"/>
        <v>139420.50036207036</v>
      </c>
      <c r="AF212">
        <f t="shared" si="15"/>
        <v>5.4892289777817259E-2</v>
      </c>
    </row>
    <row r="213" spans="1:32" x14ac:dyDescent="0.45">
      <c r="A213" s="5" t="s">
        <v>223</v>
      </c>
      <c r="B213" s="2">
        <f t="shared" si="12"/>
        <v>223487624.99255517</v>
      </c>
      <c r="C213" s="7">
        <v>112011374.994901</v>
      </c>
      <c r="D213" s="7">
        <v>5.9352034322415384E-2</v>
      </c>
      <c r="E213" s="5">
        <v>140693412.906582</v>
      </c>
      <c r="F213" s="5">
        <v>329678939.959701</v>
      </c>
      <c r="G213" s="5">
        <v>496847288.62042803</v>
      </c>
      <c r="H213" s="5">
        <v>167195986.38227701</v>
      </c>
      <c r="I213" s="5">
        <v>174613322.231895</v>
      </c>
      <c r="J213" s="5">
        <v>237225287.124401</v>
      </c>
      <c r="K213" s="5">
        <v>238398015.899046</v>
      </c>
      <c r="L213" s="5">
        <v>130841086.483859</v>
      </c>
      <c r="M213" s="5">
        <v>149733183.49138701</v>
      </c>
      <c r="N213" s="5">
        <v>327123833.36113</v>
      </c>
      <c r="O213" s="5">
        <v>201399802.256522</v>
      </c>
      <c r="P213" s="5">
        <v>229801261.31079501</v>
      </c>
      <c r="Q213" s="5">
        <v>177637687.02316099</v>
      </c>
      <c r="R213" s="5">
        <v>418053256.13014501</v>
      </c>
      <c r="S213" s="5">
        <v>177083246.261305</v>
      </c>
      <c r="T213" s="5">
        <v>184838301.96583799</v>
      </c>
      <c r="U213" s="5">
        <v>170391659.01890501</v>
      </c>
      <c r="V213" s="5">
        <v>162674838.45105001</v>
      </c>
      <c r="W213" s="5">
        <v>181940197.49959099</v>
      </c>
      <c r="X213" s="5">
        <v>214646624.196062</v>
      </c>
      <c r="Y213" s="5">
        <v>182422894.26957899</v>
      </c>
      <c r="Z213" s="5">
        <v>102473990.9905</v>
      </c>
      <c r="AA213" s="5">
        <v>115197852.192371</v>
      </c>
      <c r="AB213" s="5">
        <v>117564798.14314701</v>
      </c>
      <c r="AC213" s="5">
        <v>112808858.653586</v>
      </c>
      <c r="AD213">
        <f t="shared" si="13"/>
        <v>112011374.994901</v>
      </c>
      <c r="AE213">
        <f t="shared" si="14"/>
        <v>6648102.9731983049</v>
      </c>
      <c r="AF213">
        <f t="shared" si="15"/>
        <v>5.9352034322415384E-2</v>
      </c>
    </row>
    <row r="214" spans="1:32" x14ac:dyDescent="0.45">
      <c r="A214" s="5" t="s">
        <v>224</v>
      </c>
      <c r="B214" s="2">
        <f t="shared" si="12"/>
        <v>12554379.735854659</v>
      </c>
      <c r="C214" s="7">
        <v>13631232.001462424</v>
      </c>
      <c r="D214" s="7">
        <v>0.1636291954146589</v>
      </c>
      <c r="E214" s="5">
        <v>1099067.6339626601</v>
      </c>
      <c r="F214" s="5">
        <v>22101044.264469799</v>
      </c>
      <c r="G214" s="5">
        <v>2467428.6924187201</v>
      </c>
      <c r="H214" s="5">
        <v>1266206.02296575</v>
      </c>
      <c r="I214" s="5">
        <v>1199303.9033017899</v>
      </c>
      <c r="J214" s="5">
        <v>34400981.202955298</v>
      </c>
      <c r="K214" s="5">
        <v>65820270.115057498</v>
      </c>
      <c r="L214" s="5">
        <v>1126316.4779163101</v>
      </c>
      <c r="M214" s="5">
        <v>1780950.4844051001</v>
      </c>
      <c r="N214" s="5">
        <v>30786122.4764218</v>
      </c>
      <c r="O214" s="5">
        <v>976839.44056477002</v>
      </c>
      <c r="P214" s="5">
        <v>35287759.1525006</v>
      </c>
      <c r="Q214" s="5">
        <v>1676106.7662325499</v>
      </c>
      <c r="R214" s="5">
        <v>1020730.34142192</v>
      </c>
      <c r="S214" s="5">
        <v>1130697.5166424301</v>
      </c>
      <c r="T214" s="5">
        <v>851298.79497942596</v>
      </c>
      <c r="U214" s="5">
        <v>2056949.6893559501</v>
      </c>
      <c r="V214" s="5">
        <v>2173591.4448075402</v>
      </c>
      <c r="W214" s="5">
        <v>24817855.557541501</v>
      </c>
      <c r="X214" s="5">
        <v>30317151.2232472</v>
      </c>
      <c r="Y214" s="5">
        <v>1285303.2517792501</v>
      </c>
      <c r="Z214" s="5">
        <v>10564077.405977899</v>
      </c>
      <c r="AA214" s="5">
        <v>13436648.5987684</v>
      </c>
      <c r="AB214" s="5">
        <v>14979091.511801301</v>
      </c>
      <c r="AC214" s="5">
        <v>15545110.489302101</v>
      </c>
      <c r="AD214">
        <f t="shared" si="13"/>
        <v>13631232.001462424</v>
      </c>
      <c r="AE214">
        <f t="shared" si="14"/>
        <v>2230467.524909847</v>
      </c>
      <c r="AF214">
        <f t="shared" si="15"/>
        <v>0.1636291954146589</v>
      </c>
    </row>
    <row r="215" spans="1:32" x14ac:dyDescent="0.45">
      <c r="A215" s="5" t="s">
        <v>116</v>
      </c>
      <c r="B215" s="2">
        <f t="shared" si="12"/>
        <v>114172353.60613936</v>
      </c>
      <c r="C215" s="2">
        <v>103812369.41918935</v>
      </c>
      <c r="D215" s="2">
        <v>4.5190965235111874E-2</v>
      </c>
      <c r="E215" s="5">
        <v>64690810.9336721</v>
      </c>
      <c r="F215" s="5">
        <v>195789016.7579</v>
      </c>
      <c r="G215" s="5">
        <v>303791682.87692899</v>
      </c>
      <c r="H215" s="5">
        <v>1344483.84742751</v>
      </c>
      <c r="I215" s="5">
        <v>4266218.8276147498</v>
      </c>
      <c r="J215" s="5">
        <v>166352937.673868</v>
      </c>
      <c r="K215" s="5">
        <v>136352394.85571101</v>
      </c>
      <c r="L215" s="5">
        <v>132805063.07986701</v>
      </c>
      <c r="M215" s="5">
        <v>16094456.512448801</v>
      </c>
      <c r="N215" s="5">
        <v>67759735.678975895</v>
      </c>
      <c r="O215" s="5">
        <v>8375789.0245422199</v>
      </c>
      <c r="P215" s="5">
        <v>98571250.094884694</v>
      </c>
      <c r="Q215" s="5">
        <v>1261783.69532978</v>
      </c>
      <c r="R215" s="5">
        <v>258072865.24090499</v>
      </c>
      <c r="S215" s="5">
        <v>394163694.63128901</v>
      </c>
      <c r="T215" s="5">
        <v>555789.68749547598</v>
      </c>
      <c r="U215" s="5">
        <v>10683382.2901405</v>
      </c>
      <c r="V215" s="5">
        <v>1653778.977338</v>
      </c>
      <c r="W215" s="5">
        <v>166638805.91397801</v>
      </c>
      <c r="X215" s="5">
        <v>172415767.84891999</v>
      </c>
      <c r="Y215" s="5">
        <v>195979717.27969</v>
      </c>
      <c r="Z215" s="5">
        <v>98957776.490555406</v>
      </c>
      <c r="AA215" s="5">
        <v>100628602.474764</v>
      </c>
      <c r="AB215" s="5">
        <v>107921307.005383</v>
      </c>
      <c r="AC215" s="5">
        <v>107741791.706055</v>
      </c>
      <c r="AD215">
        <f t="shared" si="13"/>
        <v>103812369.41918935</v>
      </c>
      <c r="AE215">
        <f t="shared" si="14"/>
        <v>4691381.1773971766</v>
      </c>
      <c r="AF215">
        <f t="shared" si="15"/>
        <v>4.5190965235111874E-2</v>
      </c>
    </row>
    <row r="216" spans="1:32" x14ac:dyDescent="0.45">
      <c r="A216" s="5" t="s">
        <v>117</v>
      </c>
      <c r="B216" s="2">
        <f t="shared" si="12"/>
        <v>12235486.69897921</v>
      </c>
      <c r="C216" s="2">
        <v>11240496.598670874</v>
      </c>
      <c r="D216" s="2">
        <v>8.230924324394126E-2</v>
      </c>
      <c r="E216" s="5">
        <v>19081638.9011118</v>
      </c>
      <c r="F216" s="5">
        <v>8958351.5780726206</v>
      </c>
      <c r="G216" s="5">
        <v>30007463.231109701</v>
      </c>
      <c r="H216" s="5">
        <v>3893749.25238341</v>
      </c>
      <c r="I216" s="5">
        <v>9347626.0133483</v>
      </c>
      <c r="J216" s="5">
        <v>10110590.2608198</v>
      </c>
      <c r="K216" s="5">
        <v>4211048.0370124597</v>
      </c>
      <c r="L216" s="5">
        <v>27122039.910858199</v>
      </c>
      <c r="M216" s="5">
        <v>10213586.4671582</v>
      </c>
      <c r="N216" s="5">
        <v>4197641.7987542897</v>
      </c>
      <c r="O216" s="5">
        <v>13502022.8610311</v>
      </c>
      <c r="P216" s="5">
        <v>3559367.0943239299</v>
      </c>
      <c r="Q216" s="5">
        <v>1878970.49791918</v>
      </c>
      <c r="R216" s="5">
        <v>21914357.219061598</v>
      </c>
      <c r="S216" s="5">
        <v>37621993.765381902</v>
      </c>
      <c r="T216" s="5">
        <v>4238992.6328165997</v>
      </c>
      <c r="U216" s="5">
        <v>7009606.6749627097</v>
      </c>
      <c r="V216" s="5">
        <v>9215889.8288874906</v>
      </c>
      <c r="W216" s="5">
        <v>10440104.072830999</v>
      </c>
      <c r="X216" s="5">
        <v>9125306.1656921599</v>
      </c>
      <c r="Y216" s="5">
        <v>11294874.415027</v>
      </c>
      <c r="Z216" s="5">
        <v>10176888.8408887</v>
      </c>
      <c r="AA216" s="5">
        <v>11102679.8314186</v>
      </c>
      <c r="AB216" s="5">
        <v>11251292.8442258</v>
      </c>
      <c r="AC216" s="5">
        <v>12431124.8781504</v>
      </c>
      <c r="AD216">
        <f t="shared" si="13"/>
        <v>11240496.598670874</v>
      </c>
      <c r="AE216">
        <f t="shared" si="14"/>
        <v>925196.7687226953</v>
      </c>
      <c r="AF216">
        <f t="shared" si="15"/>
        <v>8.230924324394126E-2</v>
      </c>
    </row>
    <row r="217" spans="1:32" x14ac:dyDescent="0.45">
      <c r="A217" s="5" t="s">
        <v>118</v>
      </c>
      <c r="B217" s="2">
        <f t="shared" si="12"/>
        <v>513223.50423624588</v>
      </c>
      <c r="C217" s="7">
        <v>368099.52466715302</v>
      </c>
      <c r="D217" s="8">
        <v>6.9178049044046258E-2</v>
      </c>
      <c r="E217" s="5">
        <v>963177.28413333604</v>
      </c>
      <c r="F217" s="5">
        <v>236700.44455782499</v>
      </c>
      <c r="G217" s="5">
        <v>910113.66826490394</v>
      </c>
      <c r="H217" s="5">
        <v>721165.37463033304</v>
      </c>
      <c r="I217" s="5">
        <v>376050.556091593</v>
      </c>
      <c r="J217" s="5">
        <v>208199.446530152</v>
      </c>
      <c r="K217" s="5">
        <v>62697.0097399023</v>
      </c>
      <c r="L217" s="5">
        <v>811213.48222455697</v>
      </c>
      <c r="M217" s="5">
        <v>448212.68208955502</v>
      </c>
      <c r="N217" s="5">
        <v>462478.21029477101</v>
      </c>
      <c r="O217" s="5">
        <v>518907.58458660298</v>
      </c>
      <c r="P217" s="5">
        <v>125458.62966961401</v>
      </c>
      <c r="Q217" s="5">
        <v>425293.45304898702</v>
      </c>
      <c r="R217" s="5">
        <v>359222.68455943</v>
      </c>
      <c r="S217" s="5">
        <v>1075673.6551841199</v>
      </c>
      <c r="T217" s="5">
        <v>692827.58970816201</v>
      </c>
      <c r="U217" s="5">
        <v>658776.61564529501</v>
      </c>
      <c r="V217" s="5">
        <v>323027.31252660998</v>
      </c>
      <c r="W217" s="5">
        <v>330346.35985864099</v>
      </c>
      <c r="X217" s="5">
        <v>114470.222425776</v>
      </c>
      <c r="Y217" s="5">
        <v>953681.32319099701</v>
      </c>
      <c r="Z217" s="5">
        <v>351296.24964855402</v>
      </c>
      <c r="AA217" s="5">
        <v>350415.69054731802</v>
      </c>
      <c r="AB217" s="5">
        <v>365906.51989336498</v>
      </c>
      <c r="AC217" s="5">
        <v>404779.63857937499</v>
      </c>
      <c r="AD217">
        <f t="shared" si="13"/>
        <v>368099.52466715302</v>
      </c>
      <c r="AE217">
        <f t="shared" si="14"/>
        <v>25464.406970514425</v>
      </c>
      <c r="AF217">
        <f t="shared" si="15"/>
        <v>6.9178049044046258E-2</v>
      </c>
    </row>
    <row r="218" spans="1:32" x14ac:dyDescent="0.45">
      <c r="A218" s="5" t="s">
        <v>270</v>
      </c>
      <c r="B218" s="2">
        <f t="shared" si="12"/>
        <v>3688742.5522116069</v>
      </c>
      <c r="C218" s="2">
        <v>3413498.2771080774</v>
      </c>
      <c r="D218" s="2">
        <v>9.4297166737890917E-2</v>
      </c>
      <c r="E218" s="5">
        <v>506541.70497056702</v>
      </c>
      <c r="F218" s="5">
        <v>8118204.7579385601</v>
      </c>
      <c r="G218" s="5">
        <v>1270999.6234070701</v>
      </c>
      <c r="H218" s="5">
        <v>288457.39628137503</v>
      </c>
      <c r="I218" s="5">
        <v>515527.19013110898</v>
      </c>
      <c r="J218" s="5">
        <v>11213689.0627901</v>
      </c>
      <c r="K218" s="5">
        <v>11250714.4894065</v>
      </c>
      <c r="L218" s="5">
        <v>257538.90499393499</v>
      </c>
      <c r="M218" s="5">
        <v>780424.67908802698</v>
      </c>
      <c r="N218" s="5">
        <v>10186484.1651395</v>
      </c>
      <c r="O218" s="5">
        <v>382882.96769731201</v>
      </c>
      <c r="P218" s="5">
        <v>10535844.846897099</v>
      </c>
      <c r="Q218" s="5">
        <v>472960.86443797598</v>
      </c>
      <c r="R218" s="5">
        <v>632075.34270021506</v>
      </c>
      <c r="S218" s="5">
        <v>396250.028654875</v>
      </c>
      <c r="T218" s="5">
        <v>669706.64679449995</v>
      </c>
      <c r="U218" s="5">
        <v>1367955.04405803</v>
      </c>
      <c r="V218" s="5">
        <v>598201.00996785006</v>
      </c>
      <c r="W218" s="5">
        <v>7831876.6030177698</v>
      </c>
      <c r="X218" s="5">
        <v>9811926.8377093691</v>
      </c>
      <c r="Y218" s="5">
        <v>375331.43036202202</v>
      </c>
      <c r="Z218" s="5">
        <v>2947667.82195376</v>
      </c>
      <c r="AA218" s="5">
        <v>3683849.58087123</v>
      </c>
      <c r="AB218" s="5">
        <v>3539808.1599069498</v>
      </c>
      <c r="AC218" s="5">
        <v>3482667.5457003699</v>
      </c>
      <c r="AD218">
        <f t="shared" si="13"/>
        <v>3413498.2771080774</v>
      </c>
      <c r="AE218">
        <f t="shared" si="14"/>
        <v>321883.21619596373</v>
      </c>
      <c r="AF218">
        <f t="shared" si="15"/>
        <v>9.4297166737890917E-2</v>
      </c>
    </row>
  </sheetData>
  <sortState xmlns:xlrd2="http://schemas.microsoft.com/office/spreadsheetml/2017/richdata2" ref="A2:AF218">
    <sortCondition ref="A117:A218"/>
  </sortState>
  <conditionalFormatting sqref="A1:A130">
    <cfRule type="duplicateValues" dxfId="22" priority="30"/>
  </conditionalFormatting>
  <conditionalFormatting sqref="A131:A218">
    <cfRule type="duplicateValues" dxfId="21" priority="3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2296-3B8F-4704-9EE0-8A91FABD6D2D}">
  <dimension ref="A1:AF213"/>
  <sheetViews>
    <sheetView workbookViewId="0">
      <selection activeCell="E1" sqref="E1"/>
    </sheetView>
  </sheetViews>
  <sheetFormatPr defaultRowHeight="14.25" x14ac:dyDescent="0.45"/>
  <cols>
    <col min="1" max="1" width="27.6640625" customWidth="1"/>
    <col min="2" max="3" width="13.265625" bestFit="1" customWidth="1"/>
    <col min="4" max="4" width="5.59765625" bestFit="1" customWidth="1"/>
  </cols>
  <sheetData>
    <row r="1" spans="1:32" x14ac:dyDescent="0.45">
      <c r="A1" s="1" t="s">
        <v>0</v>
      </c>
      <c r="B1" s="2" t="s">
        <v>168</v>
      </c>
      <c r="C1" s="6" t="s">
        <v>1</v>
      </c>
      <c r="D1" s="6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4" t="s">
        <v>1</v>
      </c>
      <c r="AE1" s="4" t="s">
        <v>28</v>
      </c>
      <c r="AF1" s="4" t="s">
        <v>2</v>
      </c>
    </row>
    <row r="2" spans="1:32" x14ac:dyDescent="0.45">
      <c r="A2" s="5" t="s">
        <v>31</v>
      </c>
      <c r="B2" s="2">
        <f t="shared" ref="B2:B65" si="0">AVERAGE(E2:Y2)</f>
        <v>1322898.4025224887</v>
      </c>
      <c r="C2" s="2">
        <v>1131378.4164413302</v>
      </c>
      <c r="D2" s="2">
        <v>6.4233139893711932E-2</v>
      </c>
      <c r="E2" s="5">
        <v>1476676.5265573601</v>
      </c>
      <c r="F2" s="5">
        <v>713576.68241191201</v>
      </c>
      <c r="G2" s="5">
        <v>1490779.45605725</v>
      </c>
      <c r="H2" s="5">
        <v>3257126.1328528798</v>
      </c>
      <c r="I2" s="5">
        <v>770026.11606018501</v>
      </c>
      <c r="J2" s="5">
        <v>669037.312583033</v>
      </c>
      <c r="K2" s="5">
        <v>544355.83574495104</v>
      </c>
      <c r="L2" s="5">
        <v>1522182.0821954</v>
      </c>
      <c r="M2" s="5">
        <v>1465726.6199840801</v>
      </c>
      <c r="N2" s="5">
        <v>472668.95523978001</v>
      </c>
      <c r="O2" s="5">
        <v>1304600.4933710799</v>
      </c>
      <c r="P2" s="5">
        <v>759491.39263611299</v>
      </c>
      <c r="Q2" s="5">
        <v>2983280.7045652</v>
      </c>
      <c r="R2" s="5">
        <v>1590867.9206330799</v>
      </c>
      <c r="S2" s="5">
        <v>1577552.4856292501</v>
      </c>
      <c r="T2" s="5">
        <v>1213189.5318680401</v>
      </c>
      <c r="U2" s="5">
        <v>1677257.95389162</v>
      </c>
      <c r="V2" s="5">
        <v>1526032.5428440101</v>
      </c>
      <c r="W2" s="5">
        <v>622938.61464211799</v>
      </c>
      <c r="X2" s="5">
        <v>684085.05521857098</v>
      </c>
      <c r="Y2" s="5">
        <v>1459414.03798635</v>
      </c>
      <c r="Z2" s="5">
        <v>1040879.8020134</v>
      </c>
      <c r="AA2" s="5">
        <v>1150565.82641495</v>
      </c>
      <c r="AB2" s="5">
        <v>1215731.3168802101</v>
      </c>
      <c r="AC2" s="5">
        <v>1118336.7204567599</v>
      </c>
      <c r="AD2">
        <f t="shared" ref="AD2:AD65" si="1">AVERAGE(Z2:AC2)</f>
        <v>1131378.4164413302</v>
      </c>
      <c r="AE2">
        <f t="shared" ref="AE2:AE65" si="2">STDEV(Z2:AC2)</f>
        <v>72671.988096002242</v>
      </c>
      <c r="AF2">
        <f t="shared" ref="AF2:AF65" si="3">AE2/AD2</f>
        <v>6.4233139893711932E-2</v>
      </c>
    </row>
    <row r="3" spans="1:32" x14ac:dyDescent="0.45">
      <c r="A3" s="5" t="s">
        <v>32</v>
      </c>
      <c r="B3" s="2">
        <f t="shared" si="0"/>
        <v>6613662.4621258676</v>
      </c>
      <c r="C3" s="7">
        <v>5255248.1994493129</v>
      </c>
      <c r="D3" s="8">
        <v>2.5542112049883391E-2</v>
      </c>
      <c r="E3" s="5">
        <v>5955574.0091102198</v>
      </c>
      <c r="F3" s="5">
        <v>3618657.5184054002</v>
      </c>
      <c r="G3" s="5">
        <v>3350758.26096544</v>
      </c>
      <c r="H3" s="5">
        <v>4494686.5999426702</v>
      </c>
      <c r="I3" s="5">
        <v>6945649.0422506304</v>
      </c>
      <c r="J3" s="5">
        <v>4297551.77348522</v>
      </c>
      <c r="K3" s="5">
        <v>2307523.4558699499</v>
      </c>
      <c r="L3" s="5">
        <v>11654823.6933263</v>
      </c>
      <c r="M3" s="5">
        <v>10413748.9222726</v>
      </c>
      <c r="N3" s="5">
        <v>4276793.6044338103</v>
      </c>
      <c r="O3" s="5">
        <v>5518695.0713729504</v>
      </c>
      <c r="P3" s="5">
        <v>3179763.6814608299</v>
      </c>
      <c r="Q3" s="5">
        <v>3162619.3360498501</v>
      </c>
      <c r="R3" s="5">
        <v>8250820.6664532796</v>
      </c>
      <c r="S3" s="5">
        <v>16367578.1246485</v>
      </c>
      <c r="T3" s="5">
        <v>5484010.7566808304</v>
      </c>
      <c r="U3" s="5">
        <v>7718745.7338965302</v>
      </c>
      <c r="V3" s="5">
        <v>9905091.5382710509</v>
      </c>
      <c r="W3" s="5">
        <v>6007652.2157618897</v>
      </c>
      <c r="X3" s="5">
        <v>3725300.0864480701</v>
      </c>
      <c r="Y3" s="5">
        <v>12250867.6135372</v>
      </c>
      <c r="Z3" s="5">
        <v>5102456.0544727603</v>
      </c>
      <c r="AA3" s="5">
        <v>5194200.1191761997</v>
      </c>
      <c r="AB3" s="5">
        <v>5407539.34630128</v>
      </c>
      <c r="AC3" s="5">
        <v>5316797.2778470097</v>
      </c>
      <c r="AD3">
        <f t="shared" si="1"/>
        <v>5255248.1994493129</v>
      </c>
      <c r="AE3">
        <f t="shared" si="2"/>
        <v>134230.13836028229</v>
      </c>
      <c r="AF3">
        <f t="shared" si="3"/>
        <v>2.5542112049883391E-2</v>
      </c>
    </row>
    <row r="4" spans="1:32" x14ac:dyDescent="0.45">
      <c r="A4" s="5" t="s">
        <v>33</v>
      </c>
      <c r="B4" s="2">
        <f t="shared" si="0"/>
        <v>225323.6056708027</v>
      </c>
      <c r="C4" s="7">
        <v>216108.78826209001</v>
      </c>
      <c r="D4" s="8">
        <v>0.21321134158966759</v>
      </c>
      <c r="E4" s="5">
        <v>75773.768313098903</v>
      </c>
      <c r="F4" s="5">
        <v>339474.34646076697</v>
      </c>
      <c r="G4" s="5">
        <v>143205.75749941001</v>
      </c>
      <c r="H4" s="5">
        <v>140197.62532920801</v>
      </c>
      <c r="I4" s="5">
        <v>81860.640702230696</v>
      </c>
      <c r="J4" s="5">
        <v>484792.97308886697</v>
      </c>
      <c r="K4" s="5">
        <v>222209.18365625001</v>
      </c>
      <c r="L4" s="5">
        <v>130528.164016775</v>
      </c>
      <c r="M4" s="5">
        <v>131450.23865660801</v>
      </c>
      <c r="N4" s="5">
        <v>406172.69360945001</v>
      </c>
      <c r="O4" s="5">
        <v>77000.677306619298</v>
      </c>
      <c r="P4" s="5">
        <v>278767.83433546301</v>
      </c>
      <c r="Q4" s="5">
        <v>308756.02415917499</v>
      </c>
      <c r="R4" s="5">
        <v>114207.792471272</v>
      </c>
      <c r="S4" s="5">
        <v>166441.683452439</v>
      </c>
      <c r="T4" s="5">
        <v>118836.13096765</v>
      </c>
      <c r="U4" s="5">
        <v>198644.369650307</v>
      </c>
      <c r="V4" s="5">
        <v>118127.304486918</v>
      </c>
      <c r="W4" s="5">
        <v>585237.82918688306</v>
      </c>
      <c r="X4" s="5">
        <v>434577.59532338299</v>
      </c>
      <c r="Y4" s="5">
        <v>175533.08641408299</v>
      </c>
      <c r="Z4" s="5">
        <v>154438.16601692501</v>
      </c>
      <c r="AA4" s="5">
        <v>265441.54489455197</v>
      </c>
      <c r="AB4" s="5">
        <v>227575.308090896</v>
      </c>
      <c r="AC4" s="5">
        <v>216980.13404598701</v>
      </c>
      <c r="AD4">
        <f t="shared" si="1"/>
        <v>216108.78826209001</v>
      </c>
      <c r="AE4">
        <f t="shared" si="2"/>
        <v>46076.844674677617</v>
      </c>
      <c r="AF4">
        <f t="shared" si="3"/>
        <v>0.21321134158966759</v>
      </c>
    </row>
    <row r="5" spans="1:32" x14ac:dyDescent="0.45">
      <c r="A5" s="5" t="s">
        <v>34</v>
      </c>
      <c r="B5" s="2">
        <f t="shared" si="0"/>
        <v>412033.93504176714</v>
      </c>
      <c r="C5" s="2">
        <v>334881.96509509673</v>
      </c>
      <c r="D5" s="2">
        <v>9.4158207602399388E-2</v>
      </c>
      <c r="E5" s="5">
        <v>396520.273123944</v>
      </c>
      <c r="F5" s="5">
        <v>172506.85689853801</v>
      </c>
      <c r="G5" s="5">
        <v>759508.39364517701</v>
      </c>
      <c r="H5" s="5">
        <v>1253553.1355989701</v>
      </c>
      <c r="I5" s="5">
        <v>588195.34507617401</v>
      </c>
      <c r="J5" s="5">
        <v>71370.144779070397</v>
      </c>
      <c r="K5" s="5">
        <v>41283.430103623403</v>
      </c>
      <c r="L5" s="5">
        <v>262487.308182245</v>
      </c>
      <c r="M5" s="5">
        <v>564349.29243476305</v>
      </c>
      <c r="N5" s="5">
        <v>53711.822034664103</v>
      </c>
      <c r="O5" s="5">
        <v>329490.40247346699</v>
      </c>
      <c r="P5" s="5">
        <v>85955.980306401805</v>
      </c>
      <c r="Q5" s="5">
        <v>828193.12168767594</v>
      </c>
      <c r="R5" s="5">
        <v>762790.77432665299</v>
      </c>
      <c r="S5" s="5">
        <v>425802.75931895297</v>
      </c>
      <c r="T5" s="5">
        <v>438476.46509810298</v>
      </c>
      <c r="U5" s="5">
        <v>388605.684998682</v>
      </c>
      <c r="V5" s="5">
        <v>516931.46922606498</v>
      </c>
      <c r="W5" s="5">
        <v>215270.422707313</v>
      </c>
      <c r="X5" s="5">
        <v>156468.283142653</v>
      </c>
      <c r="Y5" s="5">
        <v>341241.27071397402</v>
      </c>
      <c r="Z5" s="5">
        <v>330228.46671655303</v>
      </c>
      <c r="AA5" s="5">
        <v>299709.56985942199</v>
      </c>
      <c r="AB5" s="5">
        <v>376370.08388355398</v>
      </c>
      <c r="AC5" s="5">
        <v>333219.739920858</v>
      </c>
      <c r="AD5">
        <f t="shared" si="1"/>
        <v>334881.96509509673</v>
      </c>
      <c r="AE5">
        <f t="shared" si="2"/>
        <v>31531.885591723585</v>
      </c>
      <c r="AF5">
        <f t="shared" si="3"/>
        <v>9.4158207602399388E-2</v>
      </c>
    </row>
    <row r="6" spans="1:32" x14ac:dyDescent="0.45">
      <c r="A6" s="5" t="s">
        <v>35</v>
      </c>
      <c r="B6" s="2">
        <f t="shared" si="0"/>
        <v>4757228.2944145137</v>
      </c>
      <c r="C6" s="2">
        <v>5032341.7459534351</v>
      </c>
      <c r="D6" s="2">
        <v>0.19146016209129149</v>
      </c>
      <c r="E6" s="5">
        <v>6123254.5799664296</v>
      </c>
      <c r="F6" s="5">
        <v>2286245.49379959</v>
      </c>
      <c r="G6" s="5">
        <v>6415562.0649298904</v>
      </c>
      <c r="H6" s="5">
        <v>6685191.5481969304</v>
      </c>
      <c r="I6" s="5">
        <v>8371288.9457826903</v>
      </c>
      <c r="J6" s="5">
        <v>2495077.6958069401</v>
      </c>
      <c r="K6" s="5">
        <v>1741749.97667357</v>
      </c>
      <c r="L6" s="5">
        <v>6169214.1481798198</v>
      </c>
      <c r="M6" s="5">
        <v>8672737.1121897697</v>
      </c>
      <c r="N6" s="5">
        <v>2349698.3708718098</v>
      </c>
      <c r="O6" s="5">
        <v>5681570.9657432297</v>
      </c>
      <c r="P6" s="5">
        <v>2509658.12121735</v>
      </c>
      <c r="Q6" s="5">
        <v>5014583.8022616804</v>
      </c>
      <c r="R6" s="5">
        <v>4273033.1918038502</v>
      </c>
      <c r="S6" s="5">
        <v>4070045.6744454699</v>
      </c>
      <c r="T6" s="5">
        <v>5979544.61600486</v>
      </c>
      <c r="U6" s="5">
        <v>3126783.1044025999</v>
      </c>
      <c r="V6" s="5">
        <v>6742805.3125887299</v>
      </c>
      <c r="W6" s="5">
        <v>2147635.4116187301</v>
      </c>
      <c r="X6" s="5">
        <v>4098312.5044291802</v>
      </c>
      <c r="Y6" s="5">
        <v>4947801.5417916803</v>
      </c>
      <c r="Z6" s="5">
        <v>5861527.0336951902</v>
      </c>
      <c r="AA6" s="5">
        <v>5785193.0180513104</v>
      </c>
      <c r="AB6" s="5">
        <v>3867690.6441722801</v>
      </c>
      <c r="AC6" s="5">
        <v>4614956.2878949596</v>
      </c>
      <c r="AD6">
        <f t="shared" si="1"/>
        <v>5032341.7459534351</v>
      </c>
      <c r="AE6">
        <f t="shared" si="2"/>
        <v>963492.96637901745</v>
      </c>
      <c r="AF6">
        <f t="shared" si="3"/>
        <v>0.19146016209129149</v>
      </c>
    </row>
    <row r="7" spans="1:32" x14ac:dyDescent="0.45">
      <c r="A7" s="5" t="s">
        <v>225</v>
      </c>
      <c r="B7" s="2">
        <f t="shared" si="0"/>
        <v>1920823.2266532201</v>
      </c>
      <c r="C7" s="2">
        <v>2218962.3927596747</v>
      </c>
      <c r="D7" s="2">
        <v>5.0686840199166333E-2</v>
      </c>
      <c r="E7" s="5">
        <v>1855576.8700371799</v>
      </c>
      <c r="F7" s="5">
        <v>3043905.80920815</v>
      </c>
      <c r="G7" s="5">
        <v>1478429.5298823901</v>
      </c>
      <c r="H7" s="5">
        <v>4111553.95007096</v>
      </c>
      <c r="I7" s="5">
        <v>2022647.4900879399</v>
      </c>
      <c r="J7" s="5">
        <v>1428616.9888282099</v>
      </c>
      <c r="K7" s="5">
        <v>588314.16027831496</v>
      </c>
      <c r="L7" s="5">
        <v>2127261.60633572</v>
      </c>
      <c r="M7" s="5">
        <v>1509520.4450509399</v>
      </c>
      <c r="N7" s="5">
        <v>1569130.5905003599</v>
      </c>
      <c r="O7" s="5">
        <v>2021652.7161221099</v>
      </c>
      <c r="P7" s="5">
        <v>1179147.9243589099</v>
      </c>
      <c r="Q7" s="5">
        <v>3660170.7718778499</v>
      </c>
      <c r="R7" s="5">
        <v>1439422.8523404901</v>
      </c>
      <c r="S7" s="5">
        <v>1308452.0893496701</v>
      </c>
      <c r="T7" s="5">
        <v>2070127.8750098399</v>
      </c>
      <c r="U7" s="5">
        <v>1430887.27664254</v>
      </c>
      <c r="V7" s="5">
        <v>2161378.3068473102</v>
      </c>
      <c r="W7" s="5">
        <v>2169804.38959073</v>
      </c>
      <c r="X7" s="5">
        <v>2293397.3887590598</v>
      </c>
      <c r="Y7" s="5">
        <v>867888.72853894299</v>
      </c>
      <c r="Z7" s="5">
        <v>2060892.01233114</v>
      </c>
      <c r="AA7" s="5">
        <v>2218382.9191148798</v>
      </c>
      <c r="AB7" s="5">
        <v>2284530.2669843701</v>
      </c>
      <c r="AC7" s="5">
        <v>2312044.3726083101</v>
      </c>
      <c r="AD7">
        <f t="shared" si="1"/>
        <v>2218962.3927596747</v>
      </c>
      <c r="AE7">
        <f t="shared" si="2"/>
        <v>112472.19220976939</v>
      </c>
      <c r="AF7">
        <f t="shared" si="3"/>
        <v>5.0686840199166333E-2</v>
      </c>
    </row>
    <row r="8" spans="1:32" x14ac:dyDescent="0.45">
      <c r="A8" s="5" t="s">
        <v>36</v>
      </c>
      <c r="B8" s="2">
        <f t="shared" si="0"/>
        <v>13428693.220392633</v>
      </c>
      <c r="C8" s="7">
        <v>11586592.359279361</v>
      </c>
      <c r="D8" s="8">
        <v>9.2504661395316712E-2</v>
      </c>
      <c r="E8" s="5">
        <v>10970140.7070037</v>
      </c>
      <c r="F8" s="5">
        <v>10008494.684647501</v>
      </c>
      <c r="G8" s="5">
        <v>11881492.500488801</v>
      </c>
      <c r="H8" s="5">
        <v>16987144.909724399</v>
      </c>
      <c r="I8" s="5">
        <v>14397443.708982401</v>
      </c>
      <c r="J8" s="5">
        <v>11357600.766350901</v>
      </c>
      <c r="K8" s="5">
        <v>22256304.812728599</v>
      </c>
      <c r="L8" s="5">
        <v>11632472.9286645</v>
      </c>
      <c r="M8" s="5">
        <v>13511362.212535299</v>
      </c>
      <c r="N8" s="5">
        <v>10655782.114912599</v>
      </c>
      <c r="O8" s="5">
        <v>13544972.663230499</v>
      </c>
      <c r="P8" s="5">
        <v>12993859.011937501</v>
      </c>
      <c r="Q8" s="5">
        <v>14720768.330501501</v>
      </c>
      <c r="R8" s="5">
        <v>13352419.1555357</v>
      </c>
      <c r="S8" s="5">
        <v>14718860.155385301</v>
      </c>
      <c r="T8" s="5">
        <v>15764535.1766755</v>
      </c>
      <c r="U8" s="5">
        <v>11215435.703415999</v>
      </c>
      <c r="V8" s="5">
        <v>16101061.942863399</v>
      </c>
      <c r="W8" s="5">
        <v>11686661.758225899</v>
      </c>
      <c r="X8" s="5">
        <v>11279884.5841412</v>
      </c>
      <c r="Y8" s="5">
        <v>12965859.800294099</v>
      </c>
      <c r="Z8" s="5">
        <v>9983990.7694400493</v>
      </c>
      <c r="AA8" s="5">
        <v>12000005.477972999</v>
      </c>
      <c r="AB8" s="5">
        <v>12177470.9537488</v>
      </c>
      <c r="AC8" s="5">
        <v>12184902.2359556</v>
      </c>
      <c r="AD8">
        <f t="shared" si="1"/>
        <v>11586592.359279361</v>
      </c>
      <c r="AE8">
        <f t="shared" si="2"/>
        <v>1071813.802920701</v>
      </c>
      <c r="AF8">
        <f t="shared" si="3"/>
        <v>9.2504661395316712E-2</v>
      </c>
    </row>
    <row r="9" spans="1:32" x14ac:dyDescent="0.45">
      <c r="A9" s="5" t="s">
        <v>169</v>
      </c>
      <c r="B9" s="2">
        <f t="shared" si="0"/>
        <v>3971731.7118542572</v>
      </c>
      <c r="C9" s="7">
        <v>3298138.348368817</v>
      </c>
      <c r="D9" s="8">
        <v>9.0901800330871516E-2</v>
      </c>
      <c r="E9" s="5">
        <v>4868273.0800522696</v>
      </c>
      <c r="F9" s="5">
        <v>3425462.2652374199</v>
      </c>
      <c r="G9" s="5">
        <v>3140409.24114925</v>
      </c>
      <c r="H9" s="5">
        <v>4011281.79683922</v>
      </c>
      <c r="I9" s="5">
        <v>3487859.7700316999</v>
      </c>
      <c r="J9" s="5">
        <v>2255160.8239771998</v>
      </c>
      <c r="K9" s="5">
        <v>2860801.83962835</v>
      </c>
      <c r="L9" s="5">
        <v>4316171.55087322</v>
      </c>
      <c r="M9" s="5">
        <v>3824083.2288464098</v>
      </c>
      <c r="N9" s="5">
        <v>2784787.54625245</v>
      </c>
      <c r="O9" s="5">
        <v>3758327.9281162499</v>
      </c>
      <c r="P9" s="5">
        <v>2366870.6096356199</v>
      </c>
      <c r="Q9" s="5">
        <v>4817092.80544795</v>
      </c>
      <c r="R9" s="5">
        <v>3265579.5830151401</v>
      </c>
      <c r="S9" s="5">
        <v>5315951.1017591497</v>
      </c>
      <c r="T9" s="5">
        <v>4230375.50804534</v>
      </c>
      <c r="U9" s="5">
        <v>5487756.3440915998</v>
      </c>
      <c r="V9" s="5">
        <v>6914231.0788340904</v>
      </c>
      <c r="W9" s="5">
        <v>3597334.6452785102</v>
      </c>
      <c r="X9" s="5">
        <v>2870282.82301421</v>
      </c>
      <c r="Y9" s="5">
        <v>5808272.3788140398</v>
      </c>
      <c r="Z9" s="5">
        <v>3674010.5424601999</v>
      </c>
      <c r="AA9" s="5">
        <v>3221885.2273512199</v>
      </c>
      <c r="AB9" s="5">
        <v>3345397.2737185499</v>
      </c>
      <c r="AC9" s="5">
        <v>2951260.3499452998</v>
      </c>
      <c r="AD9">
        <f t="shared" si="1"/>
        <v>3298138.348368817</v>
      </c>
      <c r="AE9">
        <f t="shared" si="2"/>
        <v>299806.71360701259</v>
      </c>
      <c r="AF9">
        <f t="shared" si="3"/>
        <v>9.0901800330871516E-2</v>
      </c>
    </row>
    <row r="10" spans="1:32" x14ac:dyDescent="0.45">
      <c r="A10" s="5" t="s">
        <v>119</v>
      </c>
      <c r="B10" s="2">
        <f t="shared" si="0"/>
        <v>4825832.42931455</v>
      </c>
      <c r="C10" s="2">
        <v>4645621.8744004527</v>
      </c>
      <c r="D10" s="2">
        <v>0.10012808931903285</v>
      </c>
      <c r="E10" s="5">
        <v>5993622.3890902298</v>
      </c>
      <c r="F10" s="5">
        <v>6035605.3293178398</v>
      </c>
      <c r="G10" s="5">
        <v>3960262.7688957402</v>
      </c>
      <c r="H10" s="5">
        <v>2439723.1410018802</v>
      </c>
      <c r="I10" s="5">
        <v>6098464.3851672299</v>
      </c>
      <c r="J10" s="5">
        <v>4381012.4035424199</v>
      </c>
      <c r="K10" s="5">
        <v>4780871.9713445799</v>
      </c>
      <c r="L10" s="5">
        <v>4729256.40066336</v>
      </c>
      <c r="M10" s="5">
        <v>6573556.4310326399</v>
      </c>
      <c r="N10" s="5">
        <v>3279679.1773840399</v>
      </c>
      <c r="O10" s="5">
        <v>4195387.5431495104</v>
      </c>
      <c r="P10" s="5">
        <v>4623943.1046304703</v>
      </c>
      <c r="Q10" s="5">
        <v>4995780.66061028</v>
      </c>
      <c r="R10" s="5">
        <v>4629566.1138549196</v>
      </c>
      <c r="S10" s="5">
        <v>5124592.1686454304</v>
      </c>
      <c r="T10" s="5">
        <v>6005615.4130286202</v>
      </c>
      <c r="U10" s="5">
        <v>6067021.3784708697</v>
      </c>
      <c r="V10" s="5">
        <v>4856599.0177711798</v>
      </c>
      <c r="W10" s="5">
        <v>3470187.2596872901</v>
      </c>
      <c r="X10" s="5">
        <v>4443450.7637321502</v>
      </c>
      <c r="Y10" s="5">
        <v>4658283.1945848595</v>
      </c>
      <c r="Z10" s="5">
        <v>4283647.5442297598</v>
      </c>
      <c r="AA10" s="5">
        <v>4571611.87035779</v>
      </c>
      <c r="AB10" s="5">
        <v>4406684.2257446703</v>
      </c>
      <c r="AC10" s="5">
        <v>5320543.8572695898</v>
      </c>
      <c r="AD10">
        <f t="shared" si="1"/>
        <v>4645621.8744004527</v>
      </c>
      <c r="AE10">
        <f t="shared" si="2"/>
        <v>465157.24198242131</v>
      </c>
      <c r="AF10">
        <f t="shared" si="3"/>
        <v>0.10012808931903285</v>
      </c>
    </row>
    <row r="11" spans="1:32" x14ac:dyDescent="0.45">
      <c r="A11" s="5" t="s">
        <v>170</v>
      </c>
      <c r="B11" s="2">
        <f t="shared" si="0"/>
        <v>128225.22879204022</v>
      </c>
      <c r="C11" s="7">
        <v>131735.56902127323</v>
      </c>
      <c r="D11" s="8">
        <v>0.12337535424781321</v>
      </c>
      <c r="E11" s="5">
        <v>58330.074040243897</v>
      </c>
      <c r="F11" s="5">
        <v>184820.58074499801</v>
      </c>
      <c r="G11" s="5">
        <v>89937.645619672796</v>
      </c>
      <c r="H11" s="5">
        <v>13426.6446088063</v>
      </c>
      <c r="I11" s="5">
        <v>178536.46986989101</v>
      </c>
      <c r="J11" s="5">
        <v>311392.31132085301</v>
      </c>
      <c r="K11" s="5">
        <v>293295.56461655098</v>
      </c>
      <c r="L11" s="5">
        <v>61852.352321272701</v>
      </c>
      <c r="M11" s="5">
        <v>58795.406404372901</v>
      </c>
      <c r="N11" s="5">
        <v>363601.85838073102</v>
      </c>
      <c r="O11" s="5">
        <v>12539.498905021601</v>
      </c>
      <c r="P11" s="5">
        <v>234353.328316787</v>
      </c>
      <c r="Q11" s="5">
        <v>83816.298552999593</v>
      </c>
      <c r="R11" s="5">
        <v>39397.657074360803</v>
      </c>
      <c r="S11" s="5">
        <v>11057.1003776006</v>
      </c>
      <c r="T11" s="5">
        <v>12313.888735966</v>
      </c>
      <c r="U11" s="5">
        <v>31460.482113372502</v>
      </c>
      <c r="V11" s="5">
        <v>47015.9416537855</v>
      </c>
      <c r="W11" s="5">
        <v>354722.57007744099</v>
      </c>
      <c r="X11" s="5">
        <v>214284.73636812001</v>
      </c>
      <c r="Y11" s="5">
        <v>37779.394529996898</v>
      </c>
      <c r="Z11" s="5">
        <v>155094.76467014299</v>
      </c>
      <c r="AA11" s="5">
        <v>123317.418505229</v>
      </c>
      <c r="AB11" s="5">
        <v>129936.808728858</v>
      </c>
      <c r="AC11" s="5">
        <v>118593.284180863</v>
      </c>
      <c r="AD11">
        <f t="shared" si="1"/>
        <v>131735.56902127323</v>
      </c>
      <c r="AE11">
        <f t="shared" si="2"/>
        <v>16252.922495036832</v>
      </c>
      <c r="AF11">
        <f t="shared" si="3"/>
        <v>0.12337535424781321</v>
      </c>
    </row>
    <row r="12" spans="1:32" x14ac:dyDescent="0.45">
      <c r="A12" s="5" t="s">
        <v>226</v>
      </c>
      <c r="B12" s="2">
        <f t="shared" si="0"/>
        <v>5513323.363103006</v>
      </c>
      <c r="C12" s="2">
        <v>5254584.5037825219</v>
      </c>
      <c r="D12" s="2">
        <v>2.6159893246178921E-2</v>
      </c>
      <c r="E12" s="5">
        <v>5977385.2998812096</v>
      </c>
      <c r="F12" s="5">
        <v>3970052.75711582</v>
      </c>
      <c r="G12" s="5">
        <v>4511502.8640442602</v>
      </c>
      <c r="H12" s="5">
        <v>4876127.3399735102</v>
      </c>
      <c r="I12" s="5">
        <v>7842998.6563552199</v>
      </c>
      <c r="J12" s="5">
        <v>3590100.3996840101</v>
      </c>
      <c r="K12" s="5">
        <v>2744764.91845454</v>
      </c>
      <c r="L12" s="5">
        <v>7686683.7648764299</v>
      </c>
      <c r="M12" s="5">
        <v>11301511.265732899</v>
      </c>
      <c r="N12" s="5">
        <v>3933326.1032386199</v>
      </c>
      <c r="O12" s="5">
        <v>8876390.6339535397</v>
      </c>
      <c r="P12" s="5">
        <v>3352166.7378857601</v>
      </c>
      <c r="Q12" s="5">
        <v>5083358.7921047201</v>
      </c>
      <c r="R12" s="5">
        <v>5508495.4156227103</v>
      </c>
      <c r="S12" s="5">
        <v>5558682.4162770202</v>
      </c>
      <c r="T12" s="5">
        <v>9335535.5276699793</v>
      </c>
      <c r="U12" s="5">
        <v>4973976.241103</v>
      </c>
      <c r="V12" s="5">
        <v>5056730.6730742902</v>
      </c>
      <c r="W12" s="5">
        <v>1533415.5823166899</v>
      </c>
      <c r="X12" s="5">
        <v>5126500.5627872003</v>
      </c>
      <c r="Y12" s="5">
        <v>4940084.6730116699</v>
      </c>
      <c r="Z12" s="5">
        <v>5453500.7659726497</v>
      </c>
      <c r="AA12" s="5">
        <v>5237972.8576248903</v>
      </c>
      <c r="AB12" s="5">
        <v>5174018.0888961898</v>
      </c>
      <c r="AC12" s="5">
        <v>5152846.3026363598</v>
      </c>
      <c r="AD12">
        <f t="shared" si="1"/>
        <v>5254584.5037825219</v>
      </c>
      <c r="AE12">
        <f t="shared" si="2"/>
        <v>137459.3696719768</v>
      </c>
      <c r="AF12">
        <f t="shared" si="3"/>
        <v>2.6159893246178921E-2</v>
      </c>
    </row>
    <row r="13" spans="1:32" x14ac:dyDescent="0.45">
      <c r="A13" s="5" t="s">
        <v>37</v>
      </c>
      <c r="B13" s="2">
        <f t="shared" si="0"/>
        <v>3790354.1509951558</v>
      </c>
      <c r="C13" s="2">
        <v>3869746.92329151</v>
      </c>
      <c r="D13" s="2">
        <v>3.4498328641808504E-2</v>
      </c>
      <c r="E13" s="5">
        <v>4776112.1572645502</v>
      </c>
      <c r="F13" s="5">
        <v>8626736.6069870796</v>
      </c>
      <c r="G13" s="5">
        <v>2877838.4936000998</v>
      </c>
      <c r="H13" s="5">
        <v>1743819.1430790401</v>
      </c>
      <c r="I13" s="5">
        <v>9066988.56998224</v>
      </c>
      <c r="J13" s="5">
        <v>7935861.3590930495</v>
      </c>
      <c r="K13" s="5">
        <v>2035491.82755749</v>
      </c>
      <c r="L13" s="5">
        <v>735432.61273407401</v>
      </c>
      <c r="M13" s="5">
        <v>5089231.3764804602</v>
      </c>
      <c r="N13" s="5">
        <v>6688408.8693191102</v>
      </c>
      <c r="O13" s="5">
        <v>1131531.0769482399</v>
      </c>
      <c r="P13" s="5">
        <v>8235447.5200342899</v>
      </c>
      <c r="Q13" s="5">
        <v>1686511.8251928999</v>
      </c>
      <c r="R13" s="5">
        <v>2107939.1428582799</v>
      </c>
      <c r="S13" s="5">
        <v>1740476.4636534599</v>
      </c>
      <c r="T13" s="5">
        <v>722584.08587828104</v>
      </c>
      <c r="U13" s="5">
        <v>744576.08233260305</v>
      </c>
      <c r="V13" s="5">
        <v>3534833.8843737799</v>
      </c>
      <c r="W13" s="5">
        <v>6007016.9359133001</v>
      </c>
      <c r="X13" s="5">
        <v>2878363.23952233</v>
      </c>
      <c r="Y13" s="5">
        <v>1232235.8980936201</v>
      </c>
      <c r="Z13" s="5">
        <v>3937493.38397665</v>
      </c>
      <c r="AA13" s="5">
        <v>3786873.3804008202</v>
      </c>
      <c r="AB13" s="5">
        <v>4022042.2324047401</v>
      </c>
      <c r="AC13" s="5">
        <v>3732578.6963838302</v>
      </c>
      <c r="AD13">
        <f t="shared" si="1"/>
        <v>3869746.92329151</v>
      </c>
      <c r="AE13">
        <f t="shared" si="2"/>
        <v>133499.80112033783</v>
      </c>
      <c r="AF13">
        <f t="shared" si="3"/>
        <v>3.4498328641808504E-2</v>
      </c>
    </row>
    <row r="14" spans="1:32" x14ac:dyDescent="0.45">
      <c r="A14" s="5" t="s">
        <v>227</v>
      </c>
      <c r="B14" s="2">
        <f t="shared" si="0"/>
        <v>1122339.2879388588</v>
      </c>
      <c r="C14" s="2">
        <v>1164330.1243951053</v>
      </c>
      <c r="D14" s="2">
        <v>0.1769590506909566</v>
      </c>
      <c r="E14" s="5">
        <v>905763.37549960602</v>
      </c>
      <c r="F14" s="5">
        <v>1256149.5277002</v>
      </c>
      <c r="G14" s="5">
        <v>727461.77770317905</v>
      </c>
      <c r="H14" s="5">
        <v>2361652.46110086</v>
      </c>
      <c r="I14" s="5">
        <v>2300874.2486147201</v>
      </c>
      <c r="J14" s="5">
        <v>422320.70790425199</v>
      </c>
      <c r="K14" s="5">
        <v>608811.608032146</v>
      </c>
      <c r="L14" s="5">
        <v>1303473.52470203</v>
      </c>
      <c r="M14" s="5">
        <v>1800650.8681292799</v>
      </c>
      <c r="N14" s="5">
        <v>397036.99388666498</v>
      </c>
      <c r="O14" s="5">
        <v>1259681.1687232</v>
      </c>
      <c r="P14" s="5">
        <v>841987.74561426695</v>
      </c>
      <c r="Q14" s="5">
        <v>659282.75455927197</v>
      </c>
      <c r="R14" s="5">
        <v>2121367.54736521</v>
      </c>
      <c r="S14" s="5">
        <v>1201073.38500631</v>
      </c>
      <c r="T14" s="5">
        <v>917743.87965442904</v>
      </c>
      <c r="U14" s="5">
        <v>852195.11509964301</v>
      </c>
      <c r="V14" s="5">
        <v>1892872.1089840699</v>
      </c>
      <c r="W14" s="5">
        <v>716611.85039562103</v>
      </c>
      <c r="X14" s="5">
        <v>450620.86712543201</v>
      </c>
      <c r="Y14" s="5">
        <v>571493.53091564402</v>
      </c>
      <c r="Z14" s="5">
        <v>1292989.5305274399</v>
      </c>
      <c r="AA14" s="5">
        <v>974071.15122338105</v>
      </c>
      <c r="AB14" s="5">
        <v>1385795.7554699499</v>
      </c>
      <c r="AC14" s="5">
        <v>1004464.0603596499</v>
      </c>
      <c r="AD14">
        <f t="shared" si="1"/>
        <v>1164330.1243951053</v>
      </c>
      <c r="AE14">
        <f t="shared" si="2"/>
        <v>206038.75350384126</v>
      </c>
      <c r="AF14">
        <f t="shared" si="3"/>
        <v>0.1769590506909566</v>
      </c>
    </row>
    <row r="15" spans="1:32" x14ac:dyDescent="0.45">
      <c r="A15" s="5" t="s">
        <v>120</v>
      </c>
      <c r="B15" s="2">
        <f t="shared" si="0"/>
        <v>5080617.3118096394</v>
      </c>
      <c r="C15" s="2">
        <v>8043275.2078327984</v>
      </c>
      <c r="D15" s="2">
        <v>8.406324443660565E-2</v>
      </c>
      <c r="E15" s="5">
        <v>4879958.9970623404</v>
      </c>
      <c r="F15" s="5">
        <v>9593086.3614439406</v>
      </c>
      <c r="G15" s="5">
        <v>3460956.9923891602</v>
      </c>
      <c r="H15" s="5">
        <v>8700221.9206115995</v>
      </c>
      <c r="I15" s="5">
        <v>6083063.0614432897</v>
      </c>
      <c r="J15" s="5">
        <v>2170695.8888830799</v>
      </c>
      <c r="K15" s="5">
        <v>1779642.01741864</v>
      </c>
      <c r="L15" s="5">
        <v>5538898.5571711604</v>
      </c>
      <c r="M15" s="5">
        <v>5893073.6096160701</v>
      </c>
      <c r="N15" s="5">
        <v>3785026.2759113899</v>
      </c>
      <c r="O15" s="5">
        <v>5878917.6956224702</v>
      </c>
      <c r="P15" s="5">
        <v>2226357.6146069998</v>
      </c>
      <c r="Q15" s="5">
        <v>3848146.8399298899</v>
      </c>
      <c r="R15" s="5">
        <v>5075557.3851875002</v>
      </c>
      <c r="S15" s="5">
        <v>4646883.9459228301</v>
      </c>
      <c r="T15" s="5">
        <v>11754348.1376421</v>
      </c>
      <c r="U15" s="5">
        <v>3639777.0784592801</v>
      </c>
      <c r="V15" s="5">
        <v>8065247.0412238399</v>
      </c>
      <c r="W15" s="5">
        <v>3478129.5085761002</v>
      </c>
      <c r="X15" s="5">
        <v>2787030.05266674</v>
      </c>
      <c r="Y15" s="5">
        <v>3407944.5662140101</v>
      </c>
      <c r="Z15" s="5">
        <v>7064275.8575502904</v>
      </c>
      <c r="AA15" s="5">
        <v>8568570.5181237906</v>
      </c>
      <c r="AB15" s="5">
        <v>8139335.8174750004</v>
      </c>
      <c r="AC15" s="5">
        <v>8400918.6381821092</v>
      </c>
      <c r="AD15">
        <f t="shared" si="1"/>
        <v>8043275.2078327984</v>
      </c>
      <c r="AE15">
        <f t="shared" si="2"/>
        <v>676143.80986693862</v>
      </c>
      <c r="AF15">
        <f t="shared" si="3"/>
        <v>8.406324443660565E-2</v>
      </c>
    </row>
    <row r="16" spans="1:32" x14ac:dyDescent="0.45">
      <c r="A16" s="5" t="s">
        <v>228</v>
      </c>
      <c r="B16" s="2">
        <f t="shared" si="0"/>
        <v>137835326.81343663</v>
      </c>
      <c r="C16" s="2">
        <v>137195103.51335949</v>
      </c>
      <c r="D16" s="2">
        <v>7.1531958948787999E-2</v>
      </c>
      <c r="E16" s="5">
        <v>6443197.6473731603</v>
      </c>
      <c r="F16" s="5">
        <v>370919183.27438802</v>
      </c>
      <c r="G16" s="5">
        <v>39607398.128125101</v>
      </c>
      <c r="H16" s="5">
        <v>1432065.7064290501</v>
      </c>
      <c r="I16" s="5">
        <v>13458660.210223399</v>
      </c>
      <c r="J16" s="5">
        <v>407648776.430668</v>
      </c>
      <c r="K16" s="5">
        <v>393736346.97398603</v>
      </c>
      <c r="L16" s="5">
        <v>7658510.7424470996</v>
      </c>
      <c r="M16" s="5">
        <v>27368158.6346559</v>
      </c>
      <c r="N16" s="5">
        <v>392705965.64168501</v>
      </c>
      <c r="O16" s="5">
        <v>1345539.1710999999</v>
      </c>
      <c r="P16" s="5">
        <v>357736064.72206402</v>
      </c>
      <c r="Q16" s="5">
        <v>705370.44468747405</v>
      </c>
      <c r="R16" s="5">
        <v>5862576.8436984597</v>
      </c>
      <c r="S16" s="5">
        <v>4837118.3002026305</v>
      </c>
      <c r="T16" s="5">
        <v>2070522.5279147599</v>
      </c>
      <c r="U16" s="5">
        <v>42023168.919346601</v>
      </c>
      <c r="V16" s="5">
        <v>20075031.1884364</v>
      </c>
      <c r="W16" s="5">
        <v>346306624.08405101</v>
      </c>
      <c r="X16" s="5">
        <v>446531744.13990802</v>
      </c>
      <c r="Y16" s="5">
        <v>6069839.3507790398</v>
      </c>
      <c r="Z16" s="5">
        <v>124754528.293075</v>
      </c>
      <c r="AA16" s="5">
        <v>141734343.119627</v>
      </c>
      <c r="AB16" s="5">
        <v>147562385.81940201</v>
      </c>
      <c r="AC16" s="5">
        <v>134729156.821334</v>
      </c>
      <c r="AD16">
        <f t="shared" si="1"/>
        <v>137195103.51335949</v>
      </c>
      <c r="AE16">
        <f t="shared" si="2"/>
        <v>9813834.5124923512</v>
      </c>
      <c r="AF16">
        <f t="shared" si="3"/>
        <v>7.1531958948787999E-2</v>
      </c>
    </row>
    <row r="17" spans="1:32" x14ac:dyDescent="0.45">
      <c r="A17" s="5" t="s">
        <v>157</v>
      </c>
      <c r="B17" s="2">
        <f t="shared" si="0"/>
        <v>3978400.9562716703</v>
      </c>
      <c r="C17" s="2">
        <v>3784729.3746242449</v>
      </c>
      <c r="D17" s="2">
        <v>3.1106824345938672E-2</v>
      </c>
      <c r="E17" s="5">
        <v>4412989.3340426302</v>
      </c>
      <c r="F17" s="5">
        <v>4627693.8614599798</v>
      </c>
      <c r="G17" s="5">
        <v>2119542.60327172</v>
      </c>
      <c r="H17" s="5">
        <v>1333289.00157665</v>
      </c>
      <c r="I17" s="5">
        <v>2614222.0231488901</v>
      </c>
      <c r="J17" s="5">
        <v>5013443.6577725904</v>
      </c>
      <c r="K17" s="5">
        <v>8703756.2253600694</v>
      </c>
      <c r="L17" s="5">
        <v>3971085.1160818199</v>
      </c>
      <c r="M17" s="5">
        <v>3414396.04652208</v>
      </c>
      <c r="N17" s="5">
        <v>7048862.5900956998</v>
      </c>
      <c r="O17" s="5">
        <v>2266722.7615782898</v>
      </c>
      <c r="P17" s="5">
        <v>6077654.2932571601</v>
      </c>
      <c r="Q17" s="5">
        <v>1310316.24895124</v>
      </c>
      <c r="R17" s="5">
        <v>2207908.7215096601</v>
      </c>
      <c r="S17" s="5">
        <v>3676691.32649191</v>
      </c>
      <c r="T17" s="5">
        <v>3474477.4474205999</v>
      </c>
      <c r="U17" s="5">
        <v>3780941.4126897599</v>
      </c>
      <c r="V17" s="5">
        <v>2679134.6603178801</v>
      </c>
      <c r="W17" s="5">
        <v>5551760.6404126799</v>
      </c>
      <c r="X17" s="5">
        <v>4853819.3668914596</v>
      </c>
      <c r="Y17" s="5">
        <v>4407712.7428523302</v>
      </c>
      <c r="Z17" s="5">
        <v>3666408.7268960001</v>
      </c>
      <c r="AA17" s="5">
        <v>3868692.3096203902</v>
      </c>
      <c r="AB17" s="5">
        <v>3901762.9416287402</v>
      </c>
      <c r="AC17" s="5">
        <v>3702053.52035185</v>
      </c>
      <c r="AD17">
        <f t="shared" si="1"/>
        <v>3784729.3746242449</v>
      </c>
      <c r="AE17">
        <f t="shared" si="2"/>
        <v>117730.9118533507</v>
      </c>
      <c r="AF17">
        <f t="shared" si="3"/>
        <v>3.1106824345938672E-2</v>
      </c>
    </row>
    <row r="18" spans="1:32" x14ac:dyDescent="0.45">
      <c r="A18" s="5" t="s">
        <v>229</v>
      </c>
      <c r="B18" s="2">
        <f t="shared" si="0"/>
        <v>11360081.185406009</v>
      </c>
      <c r="C18" s="2">
        <v>10542169.05617385</v>
      </c>
      <c r="D18" s="2">
        <v>1.720252569681641E-2</v>
      </c>
      <c r="E18" s="5">
        <v>24944207.908452898</v>
      </c>
      <c r="F18" s="5">
        <v>12473508.088327199</v>
      </c>
      <c r="G18" s="5">
        <v>5586493.9952712599</v>
      </c>
      <c r="H18" s="5">
        <v>635370.67343294504</v>
      </c>
      <c r="I18" s="5">
        <v>27690028.072859202</v>
      </c>
      <c r="J18" s="5">
        <v>16933761.8663381</v>
      </c>
      <c r="K18" s="5">
        <v>16856040.6110484</v>
      </c>
      <c r="L18" s="5">
        <v>15973980.5334682</v>
      </c>
      <c r="M18" s="5">
        <v>14536553.8050886</v>
      </c>
      <c r="N18" s="5">
        <v>12148785.4216187</v>
      </c>
      <c r="O18" s="5">
        <v>1791290.92764648</v>
      </c>
      <c r="P18" s="5">
        <v>10132821.3458963</v>
      </c>
      <c r="Q18" s="5">
        <v>10135275.1156996</v>
      </c>
      <c r="R18" s="5">
        <v>6389347.9547006302</v>
      </c>
      <c r="S18" s="5">
        <v>10997753.4917212</v>
      </c>
      <c r="T18" s="5">
        <v>3296765.3846537</v>
      </c>
      <c r="U18" s="5">
        <v>6084076.0558717698</v>
      </c>
      <c r="V18" s="5">
        <v>7646500.3473979197</v>
      </c>
      <c r="W18" s="5">
        <v>15861760.5482889</v>
      </c>
      <c r="X18" s="5">
        <v>13490207.071194099</v>
      </c>
      <c r="Y18" s="5">
        <v>4957175.6745500499</v>
      </c>
      <c r="Z18" s="5">
        <v>10429418.755163999</v>
      </c>
      <c r="AA18" s="5">
        <v>10381286.091245599</v>
      </c>
      <c r="AB18" s="5">
        <v>10785362.451402299</v>
      </c>
      <c r="AC18" s="5">
        <v>10572608.9268835</v>
      </c>
      <c r="AD18">
        <f t="shared" si="1"/>
        <v>10542169.05617385</v>
      </c>
      <c r="AE18">
        <f t="shared" si="2"/>
        <v>181351.93408901343</v>
      </c>
      <c r="AF18">
        <f t="shared" si="3"/>
        <v>1.720252569681641E-2</v>
      </c>
    </row>
    <row r="19" spans="1:32" x14ac:dyDescent="0.45">
      <c r="A19" s="5" t="s">
        <v>38</v>
      </c>
      <c r="B19" s="2">
        <f t="shared" si="0"/>
        <v>4277954.4006030234</v>
      </c>
      <c r="C19" s="7">
        <v>3599317.3270126823</v>
      </c>
      <c r="D19" s="8">
        <v>1.1961096479792944E-2</v>
      </c>
      <c r="E19" s="5">
        <v>4030429.4106316501</v>
      </c>
      <c r="F19" s="5">
        <v>3958690.2685277001</v>
      </c>
      <c r="G19" s="5">
        <v>4293721.8527501496</v>
      </c>
      <c r="H19" s="5">
        <v>7197458.6635748101</v>
      </c>
      <c r="I19" s="5">
        <v>4643869.0393826496</v>
      </c>
      <c r="J19" s="5">
        <v>3675673.49766269</v>
      </c>
      <c r="K19" s="5">
        <v>4183615.4957112302</v>
      </c>
      <c r="L19" s="5">
        <v>5712057.5397413997</v>
      </c>
      <c r="M19" s="5">
        <v>3350711.9439143599</v>
      </c>
      <c r="N19" s="5">
        <v>4303118.2071343297</v>
      </c>
      <c r="O19" s="5">
        <v>4130781.5646653399</v>
      </c>
      <c r="P19" s="5">
        <v>4288516.2538535697</v>
      </c>
      <c r="Q19" s="5">
        <v>7548312.7189799501</v>
      </c>
      <c r="R19" s="5">
        <v>1569271.26839168</v>
      </c>
      <c r="S19" s="5">
        <v>3334172.9367641201</v>
      </c>
      <c r="T19" s="5">
        <v>3064211.7888588998</v>
      </c>
      <c r="U19" s="5">
        <v>5634614.7625685297</v>
      </c>
      <c r="V19" s="5">
        <v>4122250.7699932801</v>
      </c>
      <c r="W19" s="5">
        <v>3619593.7038141098</v>
      </c>
      <c r="X19" s="5">
        <v>3468554.6418205299</v>
      </c>
      <c r="Y19" s="5">
        <v>3707416.08392251</v>
      </c>
      <c r="Z19" s="5">
        <v>3557111.3682670798</v>
      </c>
      <c r="AA19" s="5">
        <v>3577147.5925223301</v>
      </c>
      <c r="AB19" s="5">
        <v>3606853.4725719099</v>
      </c>
      <c r="AC19" s="5">
        <v>3656156.87468941</v>
      </c>
      <c r="AD19">
        <f t="shared" si="1"/>
        <v>3599317.3270126823</v>
      </c>
      <c r="AE19">
        <f t="shared" si="2"/>
        <v>43051.781809789143</v>
      </c>
      <c r="AF19">
        <f t="shared" si="3"/>
        <v>1.1961096479792944E-2</v>
      </c>
    </row>
    <row r="20" spans="1:32" x14ac:dyDescent="0.45">
      <c r="A20" s="5" t="s">
        <v>39</v>
      </c>
      <c r="B20" s="2">
        <f t="shared" si="0"/>
        <v>10248262.936005594</v>
      </c>
      <c r="C20" s="7">
        <v>8133175.1000781152</v>
      </c>
      <c r="D20" s="8">
        <v>2.7388918911317534E-2</v>
      </c>
      <c r="E20" s="5">
        <v>3374273.0268717399</v>
      </c>
      <c r="F20" s="5">
        <v>9307222.1605583709</v>
      </c>
      <c r="G20" s="5">
        <v>23964562.339794502</v>
      </c>
      <c r="H20" s="5">
        <v>16627464.168919301</v>
      </c>
      <c r="I20" s="5">
        <v>8242071.7562041497</v>
      </c>
      <c r="J20" s="5">
        <v>9095433.2483424693</v>
      </c>
      <c r="K20" s="5">
        <v>6815490.30235912</v>
      </c>
      <c r="L20" s="5">
        <v>5338622.2844597204</v>
      </c>
      <c r="M20" s="5">
        <v>8286543.8490079297</v>
      </c>
      <c r="N20" s="5">
        <v>6692350.9943856001</v>
      </c>
      <c r="O20" s="5">
        <v>18716248.960873298</v>
      </c>
      <c r="P20" s="5">
        <v>8646199.4892151598</v>
      </c>
      <c r="Q20" s="5">
        <v>15136842.8176533</v>
      </c>
      <c r="R20" s="5">
        <v>10137336.777671</v>
      </c>
      <c r="S20" s="5">
        <v>8819911.1302690003</v>
      </c>
      <c r="T20" s="5">
        <v>8502609.3576871995</v>
      </c>
      <c r="U20" s="5">
        <v>8663051.9518093001</v>
      </c>
      <c r="V20" s="5">
        <v>12372765.0419455</v>
      </c>
      <c r="W20" s="5">
        <v>8996583.8179680705</v>
      </c>
      <c r="X20" s="5">
        <v>8960680.7398420908</v>
      </c>
      <c r="Y20" s="5">
        <v>8517257.4402806591</v>
      </c>
      <c r="Z20" s="5">
        <v>7838942.2863351302</v>
      </c>
      <c r="AA20" s="5">
        <v>8370886.0765820099</v>
      </c>
      <c r="AB20" s="5">
        <v>8207194.79291532</v>
      </c>
      <c r="AC20" s="5">
        <v>8115677.2444799999</v>
      </c>
      <c r="AD20">
        <f t="shared" si="1"/>
        <v>8133175.1000781152</v>
      </c>
      <c r="AE20">
        <f t="shared" si="2"/>
        <v>222758.87330758636</v>
      </c>
      <c r="AF20">
        <f t="shared" si="3"/>
        <v>2.7388918911317534E-2</v>
      </c>
    </row>
    <row r="21" spans="1:32" x14ac:dyDescent="0.45">
      <c r="A21" s="5" t="s">
        <v>230</v>
      </c>
      <c r="B21" s="2">
        <f t="shared" si="0"/>
        <v>32584074.048106898</v>
      </c>
      <c r="C21" s="2">
        <v>29958719.694149826</v>
      </c>
      <c r="D21" s="2">
        <v>3.1611931595131385E-2</v>
      </c>
      <c r="E21" s="5">
        <v>36965532.985519901</v>
      </c>
      <c r="F21" s="5">
        <v>5976013.9588438002</v>
      </c>
      <c r="G21" s="5">
        <v>34243742.878768198</v>
      </c>
      <c r="H21" s="5">
        <v>81167243.741820201</v>
      </c>
      <c r="I21" s="5">
        <v>28105102.517822299</v>
      </c>
      <c r="J21" s="5">
        <v>9491790.2109314594</v>
      </c>
      <c r="K21" s="5">
        <v>11217464.827686099</v>
      </c>
      <c r="L21" s="5">
        <v>43971620.459573403</v>
      </c>
      <c r="M21" s="5">
        <v>41609860.097830303</v>
      </c>
      <c r="N21" s="5">
        <v>15839337.5105759</v>
      </c>
      <c r="O21" s="5">
        <v>21509336.904097099</v>
      </c>
      <c r="P21" s="5">
        <v>8684122.4726207592</v>
      </c>
      <c r="Q21" s="5">
        <v>38821019.092050098</v>
      </c>
      <c r="R21" s="5">
        <v>39556241.745631903</v>
      </c>
      <c r="S21" s="5">
        <v>54462388.557534598</v>
      </c>
      <c r="T21" s="5">
        <v>55568893.598639302</v>
      </c>
      <c r="U21" s="5">
        <v>48246148.673130803</v>
      </c>
      <c r="V21" s="5">
        <v>28187508.504455399</v>
      </c>
      <c r="W21" s="5">
        <v>19657726.8373079</v>
      </c>
      <c r="X21" s="5">
        <v>10252199.9894436</v>
      </c>
      <c r="Y21" s="5">
        <v>50732259.445961699</v>
      </c>
      <c r="Z21" s="5">
        <v>29276764.1753124</v>
      </c>
      <c r="AA21" s="5">
        <v>29665393.999923602</v>
      </c>
      <c r="AB21" s="5">
        <v>29534209.511002298</v>
      </c>
      <c r="AC21" s="5">
        <v>31358511.090360999</v>
      </c>
      <c r="AD21">
        <f t="shared" si="1"/>
        <v>29958719.694149826</v>
      </c>
      <c r="AE21">
        <f t="shared" si="2"/>
        <v>947052.99764917977</v>
      </c>
      <c r="AF21">
        <f t="shared" si="3"/>
        <v>3.1611931595131385E-2</v>
      </c>
    </row>
    <row r="22" spans="1:32" x14ac:dyDescent="0.45">
      <c r="A22" s="5" t="s">
        <v>171</v>
      </c>
      <c r="B22" s="2">
        <f t="shared" si="0"/>
        <v>345085.31699775008</v>
      </c>
      <c r="C22" s="7">
        <v>273759.97024558648</v>
      </c>
      <c r="D22" s="8">
        <v>0.14201227789168744</v>
      </c>
      <c r="E22" s="5">
        <v>415860.544749811</v>
      </c>
      <c r="F22" s="5">
        <v>184117.912786284</v>
      </c>
      <c r="G22" s="5">
        <v>323185.552156127</v>
      </c>
      <c r="H22" s="5">
        <v>488476.56870034401</v>
      </c>
      <c r="I22" s="5">
        <v>242815.534579687</v>
      </c>
      <c r="J22" s="5">
        <v>227682.82703679099</v>
      </c>
      <c r="K22" s="5">
        <v>146646.85532053199</v>
      </c>
      <c r="L22" s="5">
        <v>330253.59658441303</v>
      </c>
      <c r="M22" s="5">
        <v>380400.26240766002</v>
      </c>
      <c r="N22" s="5">
        <v>724113.55945694703</v>
      </c>
      <c r="O22" s="5">
        <v>413704.75909629097</v>
      </c>
      <c r="P22" s="5">
        <v>156403.65690847801</v>
      </c>
      <c r="Q22" s="5">
        <v>558703.98347624403</v>
      </c>
      <c r="R22" s="5">
        <v>479501.79587127903</v>
      </c>
      <c r="S22" s="5">
        <v>328056.06665330299</v>
      </c>
      <c r="T22" s="5">
        <v>438433.41185242299</v>
      </c>
      <c r="U22" s="5">
        <v>290788.62436437397</v>
      </c>
      <c r="V22" s="5">
        <v>379593.609944141</v>
      </c>
      <c r="W22" s="5">
        <v>196282.764441665</v>
      </c>
      <c r="X22" s="5">
        <v>145115.68323330799</v>
      </c>
      <c r="Y22" s="5">
        <v>396654.08733264898</v>
      </c>
      <c r="Z22" s="5">
        <v>278941.45332387998</v>
      </c>
      <c r="AA22" s="5">
        <v>247736.063484955</v>
      </c>
      <c r="AB22" s="5">
        <v>241678.04578257</v>
      </c>
      <c r="AC22" s="5">
        <v>326684.31839094101</v>
      </c>
      <c r="AD22">
        <f t="shared" si="1"/>
        <v>273759.97024558648</v>
      </c>
      <c r="AE22">
        <f t="shared" si="2"/>
        <v>38877.276970136314</v>
      </c>
      <c r="AF22">
        <f t="shared" si="3"/>
        <v>0.14201227789168744</v>
      </c>
    </row>
    <row r="23" spans="1:32" x14ac:dyDescent="0.45">
      <c r="A23" s="5" t="s">
        <v>172</v>
      </c>
      <c r="B23" s="2">
        <f t="shared" si="0"/>
        <v>122246.67006801364</v>
      </c>
      <c r="C23" s="7">
        <v>123632.77445207625</v>
      </c>
      <c r="D23" s="8">
        <v>0.16737547432038516</v>
      </c>
      <c r="E23" s="5">
        <v>114401.62972112899</v>
      </c>
      <c r="F23" s="5">
        <v>95937.212382368496</v>
      </c>
      <c r="G23" s="5">
        <v>178827.09080778901</v>
      </c>
      <c r="H23" s="5">
        <v>101613.444931825</v>
      </c>
      <c r="I23" s="5">
        <v>71199.115236043799</v>
      </c>
      <c r="J23" s="5">
        <v>114863.752933257</v>
      </c>
      <c r="K23" s="5">
        <v>135194.50142292801</v>
      </c>
      <c r="L23" s="5">
        <v>287045.70513434702</v>
      </c>
      <c r="M23" s="5">
        <v>110136.845684905</v>
      </c>
      <c r="N23" s="5">
        <v>116232.243205174</v>
      </c>
      <c r="O23" s="5">
        <v>163364.336358837</v>
      </c>
      <c r="P23" s="5">
        <v>149493.233405976</v>
      </c>
      <c r="Q23" s="5">
        <v>106852.534515359</v>
      </c>
      <c r="R23" s="5">
        <v>134640.89021384</v>
      </c>
      <c r="S23" s="5">
        <v>149786.23031011201</v>
      </c>
      <c r="T23" s="5">
        <v>94979.424957568495</v>
      </c>
      <c r="U23" s="5">
        <v>77715.450834706193</v>
      </c>
      <c r="V23" s="5">
        <v>69592.583081725199</v>
      </c>
      <c r="W23" s="5">
        <v>75322.446207604502</v>
      </c>
      <c r="X23" s="5">
        <v>80152.019685948704</v>
      </c>
      <c r="Y23" s="5">
        <v>139829.38039684299</v>
      </c>
      <c r="Z23" s="5">
        <v>127870.72682179901</v>
      </c>
      <c r="AA23" s="5">
        <v>150693.995262746</v>
      </c>
      <c r="AB23" s="5">
        <v>112701.419410769</v>
      </c>
      <c r="AC23" s="5">
        <v>103264.95631299099</v>
      </c>
      <c r="AD23">
        <f t="shared" si="1"/>
        <v>123632.77445207625</v>
      </c>
      <c r="AE23">
        <f t="shared" si="2"/>
        <v>20693.094265461459</v>
      </c>
      <c r="AF23">
        <f t="shared" si="3"/>
        <v>0.16737547432038516</v>
      </c>
    </row>
    <row r="24" spans="1:32" x14ac:dyDescent="0.45">
      <c r="A24" s="5" t="s">
        <v>231</v>
      </c>
      <c r="B24" s="2">
        <f t="shared" si="0"/>
        <v>5436174.1384416055</v>
      </c>
      <c r="C24" s="2">
        <v>4634090.5937484577</v>
      </c>
      <c r="D24" s="2">
        <v>3.8301447869003365E-2</v>
      </c>
      <c r="E24" s="5">
        <v>4004513.8816747498</v>
      </c>
      <c r="F24" s="5">
        <v>2525004.7320506498</v>
      </c>
      <c r="G24" s="5">
        <v>3618934.3178779199</v>
      </c>
      <c r="H24" s="5">
        <v>10998693.854459999</v>
      </c>
      <c r="I24" s="5">
        <v>4109365.1606847299</v>
      </c>
      <c r="J24" s="5">
        <v>2211102.8421173799</v>
      </c>
      <c r="K24" s="5">
        <v>2547848.4158140998</v>
      </c>
      <c r="L24" s="5">
        <v>4526308.6594554102</v>
      </c>
      <c r="M24" s="5">
        <v>9126657.2074130401</v>
      </c>
      <c r="N24" s="5">
        <v>2611886.2425466198</v>
      </c>
      <c r="O24" s="5">
        <v>8174654.8699636804</v>
      </c>
      <c r="P24" s="5">
        <v>3324194.8409281499</v>
      </c>
      <c r="Q24" s="5">
        <v>8823973.5840617195</v>
      </c>
      <c r="R24" s="5">
        <v>7711288.4721275596</v>
      </c>
      <c r="S24" s="5">
        <v>6653189.30055511</v>
      </c>
      <c r="T24" s="5">
        <v>7905455.3764859503</v>
      </c>
      <c r="U24" s="5">
        <v>4948070.9925320204</v>
      </c>
      <c r="V24" s="5">
        <v>11804268.507861201</v>
      </c>
      <c r="W24" s="5">
        <v>3149489.6647252599</v>
      </c>
      <c r="X24" s="5">
        <v>3715307.7214775598</v>
      </c>
      <c r="Y24" s="5">
        <v>1669448.26246091</v>
      </c>
      <c r="Z24" s="5">
        <v>4673784.8833878404</v>
      </c>
      <c r="AA24" s="5">
        <v>4599089.6024965802</v>
      </c>
      <c r="AB24" s="5">
        <v>4845868.8083395297</v>
      </c>
      <c r="AC24" s="5">
        <v>4417619.0807698797</v>
      </c>
      <c r="AD24">
        <f t="shared" si="1"/>
        <v>4634090.5937484577</v>
      </c>
      <c r="AE24">
        <f t="shared" si="2"/>
        <v>177492.37929669541</v>
      </c>
      <c r="AF24">
        <f t="shared" si="3"/>
        <v>3.8301447869003365E-2</v>
      </c>
    </row>
    <row r="25" spans="1:32" x14ac:dyDescent="0.45">
      <c r="A25" s="5" t="s">
        <v>173</v>
      </c>
      <c r="B25" s="2">
        <f t="shared" si="0"/>
        <v>1144048.1143085931</v>
      </c>
      <c r="C25" s="7">
        <v>942860.73395140632</v>
      </c>
      <c r="D25" s="8">
        <v>7.5036773252295144E-2</v>
      </c>
      <c r="E25" s="5">
        <v>291069.09229566099</v>
      </c>
      <c r="F25" s="5">
        <v>2190809.8390928102</v>
      </c>
      <c r="G25" s="5">
        <v>1112436.4685275201</v>
      </c>
      <c r="H25" s="5">
        <v>52745.098791914403</v>
      </c>
      <c r="I25" s="5">
        <v>666099.22272508498</v>
      </c>
      <c r="J25" s="5">
        <v>2968605.5570318499</v>
      </c>
      <c r="K25" s="5">
        <v>3930062.77998133</v>
      </c>
      <c r="L25" s="5">
        <v>354716.05717041797</v>
      </c>
      <c r="M25" s="5">
        <v>217210.03895035901</v>
      </c>
      <c r="N25" s="5">
        <v>2137066.1632931302</v>
      </c>
      <c r="O25" s="5">
        <v>51281.470396174896</v>
      </c>
      <c r="P25" s="5">
        <v>1094331.8180676999</v>
      </c>
      <c r="Q25" s="5">
        <v>4605255.4751530001</v>
      </c>
      <c r="R25" s="5">
        <v>1145366.23185368</v>
      </c>
      <c r="S25" s="5">
        <v>112434.158358421</v>
      </c>
      <c r="T25" s="5">
        <v>50206.471549857299</v>
      </c>
      <c r="U25" s="5">
        <v>116352.518488373</v>
      </c>
      <c r="V25" s="5">
        <v>208415.693386584</v>
      </c>
      <c r="W25" s="5">
        <v>1417304.42201969</v>
      </c>
      <c r="X25" s="5">
        <v>1156524.58562969</v>
      </c>
      <c r="Y25" s="5">
        <v>146717.23771720601</v>
      </c>
      <c r="Z25" s="5">
        <v>983104.64959360496</v>
      </c>
      <c r="AA25" s="5">
        <v>1013993.62474318</v>
      </c>
      <c r="AB25" s="5">
        <v>919841.13850472902</v>
      </c>
      <c r="AC25" s="5">
        <v>854503.52296411095</v>
      </c>
      <c r="AD25">
        <f t="shared" si="1"/>
        <v>942860.73395140632</v>
      </c>
      <c r="AE25">
        <f t="shared" si="2"/>
        <v>70749.227102004254</v>
      </c>
      <c r="AF25">
        <f t="shared" si="3"/>
        <v>7.5036773252295144E-2</v>
      </c>
    </row>
    <row r="26" spans="1:32" x14ac:dyDescent="0.45">
      <c r="A26" s="5" t="s">
        <v>121</v>
      </c>
      <c r="B26" s="2">
        <f t="shared" si="0"/>
        <v>5427494.5048239306</v>
      </c>
      <c r="C26" s="2">
        <v>5301602.3898241129</v>
      </c>
      <c r="D26" s="2">
        <v>9.7001601128321319E-3</v>
      </c>
      <c r="E26" s="5">
        <v>598772.89512584696</v>
      </c>
      <c r="F26" s="5">
        <v>9126395.25605716</v>
      </c>
      <c r="G26" s="5">
        <v>761813.52162946505</v>
      </c>
      <c r="H26" s="5">
        <v>543139.56263679697</v>
      </c>
      <c r="I26" s="5">
        <v>678591.77189151396</v>
      </c>
      <c r="J26" s="5">
        <v>12507446.276856</v>
      </c>
      <c r="K26" s="5">
        <v>33155771.101477802</v>
      </c>
      <c r="L26" s="5">
        <v>600848.44175333797</v>
      </c>
      <c r="M26" s="5">
        <v>862542.38115783199</v>
      </c>
      <c r="N26" s="5">
        <v>13746563.1883367</v>
      </c>
      <c r="O26" s="5">
        <v>541230.02924760699</v>
      </c>
      <c r="P26" s="5">
        <v>15562103.264325701</v>
      </c>
      <c r="Q26" s="5">
        <v>595904.46874484397</v>
      </c>
      <c r="R26" s="5">
        <v>178670.74263478001</v>
      </c>
      <c r="S26" s="5">
        <v>400264.93126163201</v>
      </c>
      <c r="T26" s="5">
        <v>96111.227592892494</v>
      </c>
      <c r="U26" s="5">
        <v>1138056.3568612</v>
      </c>
      <c r="V26" s="5">
        <v>784723.93223689997</v>
      </c>
      <c r="W26" s="5">
        <v>9392022.2122452892</v>
      </c>
      <c r="X26" s="5">
        <v>12230688.363851501</v>
      </c>
      <c r="Y26" s="5">
        <v>475724.67537777597</v>
      </c>
      <c r="Z26" s="5">
        <v>5250843.7292689001</v>
      </c>
      <c r="AA26" s="5">
        <v>5363216.0191336796</v>
      </c>
      <c r="AB26" s="5">
        <v>5268766.6468184199</v>
      </c>
      <c r="AC26" s="5">
        <v>5323583.16407545</v>
      </c>
      <c r="AD26">
        <f t="shared" si="1"/>
        <v>5301602.3898241129</v>
      </c>
      <c r="AE26">
        <f t="shared" si="2"/>
        <v>51426.392035867371</v>
      </c>
      <c r="AF26">
        <f t="shared" si="3"/>
        <v>9.7001601128321319E-3</v>
      </c>
    </row>
    <row r="27" spans="1:32" x14ac:dyDescent="0.45">
      <c r="A27" s="5" t="s">
        <v>40</v>
      </c>
      <c r="B27" s="2">
        <f t="shared" si="0"/>
        <v>7255598.7547485875</v>
      </c>
      <c r="C27" s="7">
        <v>5807718.1940114023</v>
      </c>
      <c r="D27" s="8">
        <v>7.0655363711801727E-2</v>
      </c>
      <c r="E27" s="5">
        <v>4199509.4037390696</v>
      </c>
      <c r="F27" s="5">
        <v>5496057.8417557599</v>
      </c>
      <c r="G27" s="5">
        <v>8100358.38529984</v>
      </c>
      <c r="H27" s="5">
        <v>18310283.845979001</v>
      </c>
      <c r="I27" s="5">
        <v>6572158.6999750501</v>
      </c>
      <c r="J27" s="5">
        <v>6902077.0224695401</v>
      </c>
      <c r="K27" s="5">
        <v>4273159.3647580603</v>
      </c>
      <c r="L27" s="5">
        <v>4743853.58748045</v>
      </c>
      <c r="M27" s="5">
        <v>5692002.58614437</v>
      </c>
      <c r="N27" s="5">
        <v>3789270.0659437398</v>
      </c>
      <c r="O27" s="5">
        <v>12109947.512293</v>
      </c>
      <c r="P27" s="5">
        <v>5546563.3436301304</v>
      </c>
      <c r="Q27" s="5">
        <v>9474746.1562538501</v>
      </c>
      <c r="R27" s="5">
        <v>6625980.56803736</v>
      </c>
      <c r="S27" s="5">
        <v>7487949.50340172</v>
      </c>
      <c r="T27" s="5">
        <v>8305097.3182322597</v>
      </c>
      <c r="U27" s="5">
        <v>6454682.1352036595</v>
      </c>
      <c r="V27" s="5">
        <v>11033081.666633399</v>
      </c>
      <c r="W27" s="5">
        <v>5187401.9782805704</v>
      </c>
      <c r="X27" s="5">
        <v>4383399.7118189698</v>
      </c>
      <c r="Y27" s="5">
        <v>7679993.1523905499</v>
      </c>
      <c r="Z27" s="5">
        <v>5362594.4508101502</v>
      </c>
      <c r="AA27" s="5">
        <v>5556200.49130168</v>
      </c>
      <c r="AB27" s="5">
        <v>6179508.6008902397</v>
      </c>
      <c r="AC27" s="5">
        <v>6132569.2330435403</v>
      </c>
      <c r="AD27">
        <f t="shared" si="1"/>
        <v>5807718.1940114023</v>
      </c>
      <c r="AE27">
        <f t="shared" si="2"/>
        <v>410346.44133352389</v>
      </c>
      <c r="AF27">
        <f t="shared" si="3"/>
        <v>7.0655363711801727E-2</v>
      </c>
    </row>
    <row r="28" spans="1:32" x14ac:dyDescent="0.45">
      <c r="A28" s="5" t="s">
        <v>174</v>
      </c>
      <c r="B28" s="2">
        <f t="shared" si="0"/>
        <v>1044075.5456287491</v>
      </c>
      <c r="C28" s="7">
        <v>963585.20886525256</v>
      </c>
      <c r="D28" s="8">
        <v>0.19161349950797679</v>
      </c>
      <c r="E28" s="5">
        <v>23393.274131448699</v>
      </c>
      <c r="F28" s="5">
        <v>3082986.6377000902</v>
      </c>
      <c r="G28" s="5">
        <v>23312.2430930191</v>
      </c>
      <c r="H28" s="5">
        <v>20490.2310392299</v>
      </c>
      <c r="I28" s="5">
        <v>167278.090085356</v>
      </c>
      <c r="J28" s="5">
        <v>2386167.2161330399</v>
      </c>
      <c r="K28" s="5">
        <v>3261553.2670483999</v>
      </c>
      <c r="L28" s="5">
        <v>102528.057708443</v>
      </c>
      <c r="M28" s="5">
        <v>83271.334963040994</v>
      </c>
      <c r="N28" s="5">
        <v>1824928.2657799299</v>
      </c>
      <c r="O28" s="5">
        <v>23712.976470853398</v>
      </c>
      <c r="P28" s="5">
        <v>2514462.2464881102</v>
      </c>
      <c r="Q28" s="5">
        <v>23708.4989790578</v>
      </c>
      <c r="R28" s="5">
        <v>20174.6608092776</v>
      </c>
      <c r="S28" s="5">
        <v>64261.659439419403</v>
      </c>
      <c r="T28" s="5">
        <v>22496.394044225501</v>
      </c>
      <c r="U28" s="5">
        <v>73215.252605150294</v>
      </c>
      <c r="V28" s="5">
        <v>21611.943351050599</v>
      </c>
      <c r="W28" s="5">
        <v>3291112.3802137999</v>
      </c>
      <c r="X28" s="5">
        <v>4873373.7405381398</v>
      </c>
      <c r="Y28" s="5">
        <v>21548.0875826476</v>
      </c>
      <c r="Z28" s="5">
        <v>686819.05429611995</v>
      </c>
      <c r="AA28" s="5">
        <v>1046830.2156536001</v>
      </c>
      <c r="AB28" s="5">
        <v>1063246.7758293999</v>
      </c>
      <c r="AC28" s="5">
        <v>1057444.78968189</v>
      </c>
      <c r="AD28">
        <f t="shared" si="1"/>
        <v>963585.20886525256</v>
      </c>
      <c r="AE28">
        <f t="shared" si="2"/>
        <v>184635.93394479578</v>
      </c>
      <c r="AF28">
        <f t="shared" si="3"/>
        <v>0.19161349950797679</v>
      </c>
    </row>
    <row r="29" spans="1:32" x14ac:dyDescent="0.45">
      <c r="A29" s="5" t="s">
        <v>175</v>
      </c>
      <c r="B29" s="2">
        <f t="shared" si="0"/>
        <v>92302.011356898613</v>
      </c>
      <c r="C29" s="7">
        <v>62819.199509965525</v>
      </c>
      <c r="D29" s="8">
        <v>9.2044878099706143E-2</v>
      </c>
      <c r="E29" s="5">
        <v>105085.13843664101</v>
      </c>
      <c r="F29" s="5">
        <v>49854.038067638103</v>
      </c>
      <c r="G29" s="5">
        <v>90188.434966713205</v>
      </c>
      <c r="H29" s="5">
        <v>203592.94892482299</v>
      </c>
      <c r="I29" s="5">
        <v>111477.43342980801</v>
      </c>
      <c r="J29" s="5">
        <v>36125.355473185402</v>
      </c>
      <c r="K29" s="5">
        <v>29499.659059492202</v>
      </c>
      <c r="L29" s="5">
        <v>101237.35681604101</v>
      </c>
      <c r="M29" s="5">
        <v>102437.736115922</v>
      </c>
      <c r="N29" s="5">
        <v>45214.472284599098</v>
      </c>
      <c r="O29" s="5">
        <v>137741.28310779601</v>
      </c>
      <c r="P29" s="5">
        <v>56536.739412557203</v>
      </c>
      <c r="Q29" s="5">
        <v>126199.460803102</v>
      </c>
      <c r="R29" s="5">
        <v>69112.946685388903</v>
      </c>
      <c r="S29" s="5">
        <v>133541.694014204</v>
      </c>
      <c r="T29" s="5">
        <v>97442.781580926705</v>
      </c>
      <c r="U29" s="5">
        <v>91052.411494853193</v>
      </c>
      <c r="V29" s="5">
        <v>145112.260422274</v>
      </c>
      <c r="W29" s="5">
        <v>56036.511650841698</v>
      </c>
      <c r="X29" s="5">
        <v>33176.707278899201</v>
      </c>
      <c r="Y29" s="5">
        <v>117676.868469165</v>
      </c>
      <c r="Z29" s="5">
        <v>60864.121161577903</v>
      </c>
      <c r="AA29" s="5">
        <v>71239.649986851495</v>
      </c>
      <c r="AB29" s="5">
        <v>61115.266799105302</v>
      </c>
      <c r="AC29" s="5">
        <v>58057.7600923274</v>
      </c>
      <c r="AD29">
        <f t="shared" si="1"/>
        <v>62819.199509965525</v>
      </c>
      <c r="AE29">
        <f t="shared" si="2"/>
        <v>5782.185561215897</v>
      </c>
      <c r="AF29">
        <f t="shared" si="3"/>
        <v>9.2044878099706143E-2</v>
      </c>
    </row>
    <row r="30" spans="1:32" x14ac:dyDescent="0.45">
      <c r="A30" s="5" t="s">
        <v>176</v>
      </c>
      <c r="B30" s="2">
        <f t="shared" si="0"/>
        <v>39031428.096891031</v>
      </c>
      <c r="C30" s="7">
        <v>31980994.380913876</v>
      </c>
      <c r="D30" s="7">
        <v>4.4490997149788027E-2</v>
      </c>
      <c r="E30" s="5">
        <v>60276451.640484497</v>
      </c>
      <c r="F30" s="5">
        <v>23257769.0515384</v>
      </c>
      <c r="G30" s="5">
        <v>47357047.384842001</v>
      </c>
      <c r="H30" s="5">
        <v>44654489.024843797</v>
      </c>
      <c r="I30" s="5">
        <v>48197144.187938198</v>
      </c>
      <c r="J30" s="5">
        <v>22850327.8400237</v>
      </c>
      <c r="K30" s="5">
        <v>21505108.945393998</v>
      </c>
      <c r="L30" s="5">
        <v>40027265.656321697</v>
      </c>
      <c r="M30" s="5">
        <v>52437447.831717402</v>
      </c>
      <c r="N30" s="5">
        <v>14710495.283118799</v>
      </c>
      <c r="O30" s="5">
        <v>38653363.136136703</v>
      </c>
      <c r="P30" s="5">
        <v>27922060.717166498</v>
      </c>
      <c r="Q30" s="5">
        <v>56374078.735508002</v>
      </c>
      <c r="R30" s="5">
        <v>37306260.571054399</v>
      </c>
      <c r="S30" s="5">
        <v>42656635.979355797</v>
      </c>
      <c r="T30" s="5">
        <v>48272023.675129898</v>
      </c>
      <c r="U30" s="5">
        <v>45389934.602000996</v>
      </c>
      <c r="V30" s="5">
        <v>51489757.669489302</v>
      </c>
      <c r="W30" s="5">
        <v>20940562.487657901</v>
      </c>
      <c r="X30" s="5">
        <v>25484931.934388299</v>
      </c>
      <c r="Y30" s="5">
        <v>49896833.6806015</v>
      </c>
      <c r="Z30" s="5">
        <v>29886503.568624601</v>
      </c>
      <c r="AA30" s="5">
        <v>33039247.102492299</v>
      </c>
      <c r="AB30" s="5">
        <v>32376719.5905619</v>
      </c>
      <c r="AC30" s="5">
        <v>32621507.2619767</v>
      </c>
      <c r="AD30">
        <f t="shared" si="1"/>
        <v>31980994.380913876</v>
      </c>
      <c r="AE30">
        <f t="shared" si="2"/>
        <v>1422866.3298486262</v>
      </c>
      <c r="AF30">
        <f t="shared" si="3"/>
        <v>4.4490997149788027E-2</v>
      </c>
    </row>
    <row r="31" spans="1:32" x14ac:dyDescent="0.45">
      <c r="A31" s="5" t="s">
        <v>122</v>
      </c>
      <c r="B31" s="2">
        <f t="shared" si="0"/>
        <v>6861322.6241083527</v>
      </c>
      <c r="C31" s="2">
        <v>6070223.7947565205</v>
      </c>
      <c r="D31" s="2">
        <v>3.199157522975439E-2</v>
      </c>
      <c r="E31" s="5">
        <v>15096921.1277098</v>
      </c>
      <c r="F31" s="5">
        <v>5421054.3119542599</v>
      </c>
      <c r="G31" s="5">
        <v>5219909.0407957695</v>
      </c>
      <c r="H31" s="5">
        <v>7386304.2410268001</v>
      </c>
      <c r="I31" s="5">
        <v>6726173.2496553799</v>
      </c>
      <c r="J31" s="5">
        <v>4353594.7764485497</v>
      </c>
      <c r="K31" s="5">
        <v>5080165.2793276897</v>
      </c>
      <c r="L31" s="5">
        <v>12795879.320127999</v>
      </c>
      <c r="M31" s="5">
        <v>6790574.5359485596</v>
      </c>
      <c r="N31" s="5">
        <v>4941972.6898711203</v>
      </c>
      <c r="O31" s="5">
        <v>9252280.1677249894</v>
      </c>
      <c r="P31" s="5">
        <v>5909835.3371023098</v>
      </c>
      <c r="Q31" s="5">
        <v>5804943.7451796001</v>
      </c>
      <c r="R31" s="5">
        <v>4192951.0735116</v>
      </c>
      <c r="S31" s="5">
        <v>6864878.7609324697</v>
      </c>
      <c r="T31" s="5">
        <v>7125439.4615116296</v>
      </c>
      <c r="U31" s="5">
        <v>9315188.0197283104</v>
      </c>
      <c r="V31" s="5">
        <v>5908332.0283587603</v>
      </c>
      <c r="W31" s="5">
        <v>4511464.34343848</v>
      </c>
      <c r="X31" s="5">
        <v>4459538.7412908804</v>
      </c>
      <c r="Y31" s="5">
        <v>6930374.8546304898</v>
      </c>
      <c r="Z31" s="5">
        <v>5982041.4182729702</v>
      </c>
      <c r="AA31" s="5">
        <v>5852219.5415116604</v>
      </c>
      <c r="AB31" s="5">
        <v>6297341.3349539004</v>
      </c>
      <c r="AC31" s="5">
        <v>6149292.8842875501</v>
      </c>
      <c r="AD31">
        <f t="shared" si="1"/>
        <v>6070223.7947565205</v>
      </c>
      <c r="AE31">
        <f t="shared" si="2"/>
        <v>194196.02119139838</v>
      </c>
      <c r="AF31">
        <f t="shared" si="3"/>
        <v>3.199157522975439E-2</v>
      </c>
    </row>
    <row r="32" spans="1:32" x14ac:dyDescent="0.45">
      <c r="A32" s="5" t="s">
        <v>232</v>
      </c>
      <c r="B32" s="2">
        <f t="shared" si="0"/>
        <v>28831256.502090912</v>
      </c>
      <c r="C32" s="2">
        <v>29498102.418505821</v>
      </c>
      <c r="D32" s="2">
        <v>9.2750764194257013E-2</v>
      </c>
      <c r="E32" s="5">
        <v>5224297.7112736003</v>
      </c>
      <c r="F32" s="5">
        <v>53731685.092841297</v>
      </c>
      <c r="G32" s="5">
        <v>25756135.831138398</v>
      </c>
      <c r="H32" s="5">
        <v>2205478.0713859601</v>
      </c>
      <c r="I32" s="5">
        <v>9065905.9067383297</v>
      </c>
      <c r="J32" s="5">
        <v>86733760.474906206</v>
      </c>
      <c r="K32" s="5">
        <v>89286343.198672101</v>
      </c>
      <c r="L32" s="5">
        <v>5966405.84119057</v>
      </c>
      <c r="M32" s="5">
        <v>9537707.6402713191</v>
      </c>
      <c r="N32" s="5">
        <v>87024713.2397338</v>
      </c>
      <c r="O32" s="5">
        <v>3017504.3512774101</v>
      </c>
      <c r="P32" s="5">
        <v>71615820.078352898</v>
      </c>
      <c r="Q32" s="5">
        <v>6377756.6510328297</v>
      </c>
      <c r="R32" s="5">
        <v>7032542.1838739198</v>
      </c>
      <c r="S32" s="5">
        <v>5308668.5489259204</v>
      </c>
      <c r="T32" s="5">
        <v>2394857.1687028701</v>
      </c>
      <c r="U32" s="5">
        <v>11999433.0097255</v>
      </c>
      <c r="V32" s="5">
        <v>8128867.5428961702</v>
      </c>
      <c r="W32" s="5">
        <v>51377423.355009302</v>
      </c>
      <c r="X32" s="5">
        <v>58454950.238472797</v>
      </c>
      <c r="Y32" s="5">
        <v>5216130.4074879801</v>
      </c>
      <c r="Z32" s="5">
        <v>26140349.352334101</v>
      </c>
      <c r="AA32" s="5">
        <v>28973062.208041798</v>
      </c>
      <c r="AB32" s="5">
        <v>32737267.552887298</v>
      </c>
      <c r="AC32" s="5">
        <v>30141730.560760099</v>
      </c>
      <c r="AD32">
        <f t="shared" si="1"/>
        <v>29498102.418505821</v>
      </c>
      <c r="AE32">
        <f t="shared" si="2"/>
        <v>2735971.541596876</v>
      </c>
      <c r="AF32">
        <f t="shared" si="3"/>
        <v>9.2750764194257013E-2</v>
      </c>
    </row>
    <row r="33" spans="1:32" x14ac:dyDescent="0.45">
      <c r="A33" s="5" t="s">
        <v>177</v>
      </c>
      <c r="B33" s="2">
        <f t="shared" si="0"/>
        <v>1418176.9864959437</v>
      </c>
      <c r="C33" s="7">
        <v>1028889.7385200073</v>
      </c>
      <c r="D33" s="8">
        <v>0.21127952274642686</v>
      </c>
      <c r="E33" s="5">
        <v>2138444.4394956501</v>
      </c>
      <c r="F33" s="5">
        <v>562830.48540681601</v>
      </c>
      <c r="G33" s="5">
        <v>2459979.72737541</v>
      </c>
      <c r="H33" s="5">
        <v>1913854.12496884</v>
      </c>
      <c r="I33" s="5">
        <v>993603.48704739497</v>
      </c>
      <c r="J33" s="5">
        <v>634829.32336477505</v>
      </c>
      <c r="K33" s="5">
        <v>653724.28110330703</v>
      </c>
      <c r="L33" s="5">
        <v>1257376.68671475</v>
      </c>
      <c r="M33" s="5">
        <v>1376717.9998449699</v>
      </c>
      <c r="N33" s="5">
        <v>870144.52079559502</v>
      </c>
      <c r="O33" s="5">
        <v>2448845.0285440902</v>
      </c>
      <c r="P33" s="5">
        <v>925180.92703895096</v>
      </c>
      <c r="Q33" s="5">
        <v>1975653.0416579801</v>
      </c>
      <c r="R33" s="5">
        <v>1776880.93432439</v>
      </c>
      <c r="S33" s="5">
        <v>1853954.0557259901</v>
      </c>
      <c r="T33" s="5">
        <v>1912242.27717051</v>
      </c>
      <c r="U33" s="5">
        <v>910100.19444593205</v>
      </c>
      <c r="V33" s="5">
        <v>2596420.3168876399</v>
      </c>
      <c r="W33" s="5">
        <v>733196.75753919198</v>
      </c>
      <c r="X33" s="5">
        <v>573440.29127520905</v>
      </c>
      <c r="Y33" s="5">
        <v>1214297.8156874301</v>
      </c>
      <c r="Z33" s="5">
        <v>874318.83819133602</v>
      </c>
      <c r="AA33" s="5">
        <v>946927.46227021201</v>
      </c>
      <c r="AB33" s="5">
        <v>943216.88663429103</v>
      </c>
      <c r="AC33" s="5">
        <v>1351095.7669841901</v>
      </c>
      <c r="AD33">
        <f t="shared" si="1"/>
        <v>1028889.7385200073</v>
      </c>
      <c r="AE33">
        <f t="shared" si="2"/>
        <v>217383.33291320308</v>
      </c>
      <c r="AF33">
        <f t="shared" si="3"/>
        <v>0.21127952274642686</v>
      </c>
    </row>
    <row r="34" spans="1:32" x14ac:dyDescent="0.45">
      <c r="A34" s="5" t="s">
        <v>41</v>
      </c>
      <c r="B34" s="2">
        <f t="shared" si="0"/>
        <v>28113870.739353623</v>
      </c>
      <c r="C34" s="7">
        <v>21606948.757127151</v>
      </c>
      <c r="D34" s="8">
        <v>0.15475530102827789</v>
      </c>
      <c r="E34" s="5">
        <v>33592731.689236097</v>
      </c>
      <c r="F34" s="5">
        <v>22509304.4874807</v>
      </c>
      <c r="G34" s="5">
        <v>24722977.501454201</v>
      </c>
      <c r="H34" s="5">
        <v>34625301.3659603</v>
      </c>
      <c r="I34" s="5">
        <v>29102509.2940896</v>
      </c>
      <c r="J34" s="5">
        <v>18252650.1634553</v>
      </c>
      <c r="K34" s="5">
        <v>17463971.065108601</v>
      </c>
      <c r="L34" s="5">
        <v>31232477.361311201</v>
      </c>
      <c r="M34" s="5">
        <v>27418524.909761101</v>
      </c>
      <c r="N34" s="5">
        <v>20657630.4637964</v>
      </c>
      <c r="O34" s="5">
        <v>34361466.4808046</v>
      </c>
      <c r="P34" s="5">
        <v>20953069.645605899</v>
      </c>
      <c r="Q34" s="5">
        <v>60131850.232973099</v>
      </c>
      <c r="R34" s="5">
        <v>17799464.144618101</v>
      </c>
      <c r="S34" s="5">
        <v>26788896.191412099</v>
      </c>
      <c r="T34" s="5">
        <v>30074132.884582099</v>
      </c>
      <c r="U34" s="5">
        <v>35897513.902756996</v>
      </c>
      <c r="V34" s="5">
        <v>37370586.690171897</v>
      </c>
      <c r="W34" s="5">
        <v>19610788.0369468</v>
      </c>
      <c r="X34" s="5">
        <v>17959102.444545899</v>
      </c>
      <c r="Y34" s="5">
        <v>29866336.570355002</v>
      </c>
      <c r="Z34" s="5">
        <v>16765274.377666101</v>
      </c>
      <c r="AA34" s="5">
        <v>24134499.099930599</v>
      </c>
      <c r="AB34" s="5">
        <v>23483345.644292898</v>
      </c>
      <c r="AC34" s="5">
        <v>22044675.906619001</v>
      </c>
      <c r="AD34">
        <f t="shared" si="1"/>
        <v>21606948.757127151</v>
      </c>
      <c r="AE34">
        <f t="shared" si="2"/>
        <v>3343789.8592117871</v>
      </c>
      <c r="AF34">
        <f t="shared" si="3"/>
        <v>0.15475530102827789</v>
      </c>
    </row>
    <row r="35" spans="1:32" x14ac:dyDescent="0.45">
      <c r="A35" s="5" t="s">
        <v>178</v>
      </c>
      <c r="B35" s="2">
        <f t="shared" si="0"/>
        <v>9922257.2258108482</v>
      </c>
      <c r="C35" s="7">
        <v>8121168.1007133275</v>
      </c>
      <c r="D35" s="7">
        <v>4.364665075829316E-2</v>
      </c>
      <c r="E35" s="5">
        <v>9068140.0273250509</v>
      </c>
      <c r="F35" s="5">
        <v>6933380.8161241096</v>
      </c>
      <c r="G35" s="5">
        <v>10527846.227213601</v>
      </c>
      <c r="H35" s="5">
        <v>11766209.867208799</v>
      </c>
      <c r="I35" s="5">
        <v>10804028.7150116</v>
      </c>
      <c r="J35" s="5">
        <v>7973672.9887797805</v>
      </c>
      <c r="K35" s="5">
        <v>9518137.65865626</v>
      </c>
      <c r="L35" s="5">
        <v>9446674.6277674194</v>
      </c>
      <c r="M35" s="5">
        <v>9887782.7774766702</v>
      </c>
      <c r="N35" s="5">
        <v>7206743.7175303204</v>
      </c>
      <c r="O35" s="5">
        <v>12556879.220228</v>
      </c>
      <c r="P35" s="5">
        <v>7763307.5288090901</v>
      </c>
      <c r="Q35" s="5">
        <v>12277622.996466201</v>
      </c>
      <c r="R35" s="5">
        <v>12893974.809857899</v>
      </c>
      <c r="S35" s="5">
        <v>11230858.826324699</v>
      </c>
      <c r="T35" s="5">
        <v>11144375.182527199</v>
      </c>
      <c r="U35" s="5">
        <v>10157268.517996401</v>
      </c>
      <c r="V35" s="5">
        <v>10136701.7501748</v>
      </c>
      <c r="W35" s="5">
        <v>7024395.2131811501</v>
      </c>
      <c r="X35" s="5">
        <v>7867699.88434627</v>
      </c>
      <c r="Y35" s="5">
        <v>12181700.389022499</v>
      </c>
      <c r="Z35" s="5">
        <v>7956286.0431265598</v>
      </c>
      <c r="AA35" s="5">
        <v>8511053.3267133906</v>
      </c>
      <c r="AB35" s="5">
        <v>8302281.6403113101</v>
      </c>
      <c r="AC35" s="5">
        <v>7715051.3927020496</v>
      </c>
      <c r="AD35">
        <f t="shared" si="1"/>
        <v>8121168.1007133275</v>
      </c>
      <c r="AE35">
        <f t="shared" si="2"/>
        <v>354461.78784122557</v>
      </c>
      <c r="AF35">
        <f t="shared" si="3"/>
        <v>4.364665075829316E-2</v>
      </c>
    </row>
    <row r="36" spans="1:32" x14ac:dyDescent="0.45">
      <c r="A36" s="5" t="s">
        <v>275</v>
      </c>
      <c r="B36" s="2">
        <f t="shared" si="0"/>
        <v>6051750.7028174419</v>
      </c>
      <c r="C36" s="2">
        <v>5354335.41320292</v>
      </c>
      <c r="D36" s="2">
        <v>0.10873183811084357</v>
      </c>
      <c r="E36" s="5">
        <v>6651853.9481990403</v>
      </c>
      <c r="F36" s="5">
        <v>4788549.6917871404</v>
      </c>
      <c r="G36" s="5">
        <v>5345117.9668540796</v>
      </c>
      <c r="H36" s="5">
        <v>7899641.7034245199</v>
      </c>
      <c r="I36" s="5">
        <v>4756139.9572647698</v>
      </c>
      <c r="J36" s="5">
        <v>4718631.8605755996</v>
      </c>
      <c r="K36" s="5">
        <v>4393738.1532424903</v>
      </c>
      <c r="L36" s="5">
        <v>7971465.0558604598</v>
      </c>
      <c r="M36" s="5">
        <v>5241633.9982048804</v>
      </c>
      <c r="N36" s="5">
        <v>3788996.3435573699</v>
      </c>
      <c r="O36" s="5">
        <v>5826357.1478782799</v>
      </c>
      <c r="P36" s="5">
        <v>5226835.4600661397</v>
      </c>
      <c r="Q36" s="5">
        <v>11669786.082141099</v>
      </c>
      <c r="R36" s="5">
        <v>6171363.5354035096</v>
      </c>
      <c r="S36" s="5">
        <v>7487981.6607117001</v>
      </c>
      <c r="T36" s="5">
        <v>4749091.74448861</v>
      </c>
      <c r="U36" s="5">
        <v>6196593.3439950701</v>
      </c>
      <c r="V36" s="5">
        <v>6538767.9611967104</v>
      </c>
      <c r="W36" s="5">
        <v>6749290.9389384398</v>
      </c>
      <c r="X36" s="5">
        <v>3830222.52430525</v>
      </c>
      <c r="Y36" s="5">
        <v>7084705.6810711101</v>
      </c>
      <c r="Z36" s="5">
        <v>4497436.2016449803</v>
      </c>
      <c r="AA36" s="5">
        <v>5620789.5066107698</v>
      </c>
      <c r="AB36" s="5">
        <v>5513107.5985016599</v>
      </c>
      <c r="AC36" s="5">
        <v>5786008.3460542699</v>
      </c>
      <c r="AD36">
        <f t="shared" si="1"/>
        <v>5354335.41320292</v>
      </c>
      <c r="AE36">
        <f t="shared" si="2"/>
        <v>582186.73133953661</v>
      </c>
      <c r="AF36">
        <f t="shared" si="3"/>
        <v>0.10873183811084357</v>
      </c>
    </row>
    <row r="37" spans="1:32" x14ac:dyDescent="0.45">
      <c r="A37" s="5" t="s">
        <v>42</v>
      </c>
      <c r="B37" s="2">
        <f t="shared" si="0"/>
        <v>1264265.6189970686</v>
      </c>
      <c r="C37" s="7">
        <v>914081.08701280248</v>
      </c>
      <c r="D37" s="8">
        <v>5.7815675651871741E-2</v>
      </c>
      <c r="E37" s="5">
        <v>958521.49352341495</v>
      </c>
      <c r="F37" s="5">
        <v>815308.48008391098</v>
      </c>
      <c r="G37" s="5">
        <v>1215052.3942720101</v>
      </c>
      <c r="H37" s="5">
        <v>1049458.2884899101</v>
      </c>
      <c r="I37" s="5">
        <v>945012.238102676</v>
      </c>
      <c r="J37" s="5">
        <v>693826.17433058796</v>
      </c>
      <c r="K37" s="5">
        <v>722259.46908523096</v>
      </c>
      <c r="L37" s="5">
        <v>1347495.8616890099</v>
      </c>
      <c r="M37" s="5">
        <v>1306202.7870034201</v>
      </c>
      <c r="N37" s="5">
        <v>793468.77519878501</v>
      </c>
      <c r="O37" s="5">
        <v>1135923.22798023</v>
      </c>
      <c r="P37" s="5">
        <v>555438.54827446595</v>
      </c>
      <c r="Q37" s="5">
        <v>996823.77628160501</v>
      </c>
      <c r="R37" s="5">
        <v>1326966.37711103</v>
      </c>
      <c r="S37" s="5">
        <v>1218246.1796437299</v>
      </c>
      <c r="T37" s="5">
        <v>6853018.9770473698</v>
      </c>
      <c r="U37" s="5">
        <v>891366.90547130001</v>
      </c>
      <c r="V37" s="5">
        <v>1255412.51865873</v>
      </c>
      <c r="W37" s="5">
        <v>699822.78870002797</v>
      </c>
      <c r="X37" s="5">
        <v>614828.76041230699</v>
      </c>
      <c r="Y37" s="5">
        <v>1155123.97757869</v>
      </c>
      <c r="Z37" s="5">
        <v>955286.41366454703</v>
      </c>
      <c r="AA37" s="5">
        <v>889848.05037457496</v>
      </c>
      <c r="AB37" s="5">
        <v>960136.91376925202</v>
      </c>
      <c r="AC37" s="5">
        <v>851052.97024283605</v>
      </c>
      <c r="AD37">
        <f t="shared" si="1"/>
        <v>914081.08701280248</v>
      </c>
      <c r="AE37">
        <f t="shared" si="2"/>
        <v>52848.215646242541</v>
      </c>
      <c r="AF37">
        <f t="shared" si="3"/>
        <v>5.7815675651871741E-2</v>
      </c>
    </row>
    <row r="38" spans="1:32" x14ac:dyDescent="0.45">
      <c r="A38" s="5" t="s">
        <v>123</v>
      </c>
      <c r="B38" s="2">
        <f t="shared" si="0"/>
        <v>27276425.267849877</v>
      </c>
      <c r="C38" s="2">
        <v>24682029.973326527</v>
      </c>
      <c r="D38" s="2">
        <v>3.7574749189301822E-2</v>
      </c>
      <c r="E38" s="5">
        <v>29167534.692101698</v>
      </c>
      <c r="F38" s="5">
        <v>22737809.6141208</v>
      </c>
      <c r="G38" s="5">
        <v>22737561.486604199</v>
      </c>
      <c r="H38" s="5">
        <v>33903646.968519397</v>
      </c>
      <c r="I38" s="5">
        <v>31352428.936691001</v>
      </c>
      <c r="J38" s="5">
        <v>22303298.6642575</v>
      </c>
      <c r="K38" s="5">
        <v>26694815.661795001</v>
      </c>
      <c r="L38" s="5">
        <v>25010114.555525701</v>
      </c>
      <c r="M38" s="5">
        <v>30599987.164115701</v>
      </c>
      <c r="N38" s="5">
        <v>25732069.883474901</v>
      </c>
      <c r="O38" s="5">
        <v>34999535.934629098</v>
      </c>
      <c r="P38" s="5">
        <v>23021819.882631499</v>
      </c>
      <c r="Q38" s="5">
        <v>31112495.102546901</v>
      </c>
      <c r="R38" s="5">
        <v>27520387.3466595</v>
      </c>
      <c r="S38" s="5">
        <v>25983140.5202871</v>
      </c>
      <c r="T38" s="5">
        <v>30454330.193740498</v>
      </c>
      <c r="U38" s="5">
        <v>28765520.2482704</v>
      </c>
      <c r="V38" s="5">
        <v>28465004.439484399</v>
      </c>
      <c r="W38" s="5">
        <v>21255840.5982274</v>
      </c>
      <c r="X38" s="5">
        <v>22551044.502973799</v>
      </c>
      <c r="Y38" s="5">
        <v>28436544.228190999</v>
      </c>
      <c r="Z38" s="5">
        <v>24569722.345804099</v>
      </c>
      <c r="AA38" s="5">
        <v>23434694.2288794</v>
      </c>
      <c r="AB38" s="5">
        <v>25152620.807466399</v>
      </c>
      <c r="AC38" s="5">
        <v>25571082.511156201</v>
      </c>
      <c r="AD38">
        <f t="shared" si="1"/>
        <v>24682029.973326527</v>
      </c>
      <c r="AE38">
        <f t="shared" si="2"/>
        <v>927421.08573057421</v>
      </c>
      <c r="AF38">
        <f t="shared" si="3"/>
        <v>3.7574749189301822E-2</v>
      </c>
    </row>
    <row r="39" spans="1:32" x14ac:dyDescent="0.45">
      <c r="A39" s="5" t="s">
        <v>124</v>
      </c>
      <c r="B39" s="2">
        <f t="shared" si="0"/>
        <v>36454830.986317076</v>
      </c>
      <c r="C39" s="2">
        <v>32939821.850144647</v>
      </c>
      <c r="D39" s="2">
        <v>5.3923372897903089E-2</v>
      </c>
      <c r="E39" s="5">
        <v>44660228.242472097</v>
      </c>
      <c r="F39" s="5">
        <v>27485430.460126501</v>
      </c>
      <c r="G39" s="5">
        <v>30894541.302603099</v>
      </c>
      <c r="H39" s="5">
        <v>52727986.441545501</v>
      </c>
      <c r="I39" s="5">
        <v>41351463.324416503</v>
      </c>
      <c r="J39" s="5">
        <v>26974661.483667601</v>
      </c>
      <c r="K39" s="5">
        <v>29898840.2536618</v>
      </c>
      <c r="L39" s="5">
        <v>38986428.303489603</v>
      </c>
      <c r="M39" s="5">
        <v>41215425.674198098</v>
      </c>
      <c r="N39" s="5">
        <v>25149586.074163999</v>
      </c>
      <c r="O39" s="5">
        <v>43011852.880120203</v>
      </c>
      <c r="P39" s="5">
        <v>27792168.324616998</v>
      </c>
      <c r="Q39" s="5">
        <v>43651974.498445399</v>
      </c>
      <c r="R39" s="5">
        <v>31790966.252193</v>
      </c>
      <c r="S39" s="5">
        <v>39160902.680786803</v>
      </c>
      <c r="T39" s="5">
        <v>41477113.999209203</v>
      </c>
      <c r="U39" s="5">
        <v>41210092.106326602</v>
      </c>
      <c r="V39" s="5">
        <v>41108523.425491102</v>
      </c>
      <c r="W39" s="5">
        <v>29023858.4281458</v>
      </c>
      <c r="X39" s="5">
        <v>29560842.728148099</v>
      </c>
      <c r="Y39" s="5">
        <v>38418563.828830697</v>
      </c>
      <c r="Z39" s="5">
        <v>30799701.065060701</v>
      </c>
      <c r="AA39" s="5">
        <v>32157494.534223299</v>
      </c>
      <c r="AB39" s="5">
        <v>34366152.369866997</v>
      </c>
      <c r="AC39" s="5">
        <v>34435939.431427598</v>
      </c>
      <c r="AD39">
        <f t="shared" si="1"/>
        <v>32939821.850144647</v>
      </c>
      <c r="AE39">
        <f t="shared" si="2"/>
        <v>1776226.2968158459</v>
      </c>
      <c r="AF39">
        <f t="shared" si="3"/>
        <v>5.3923372897903089E-2</v>
      </c>
    </row>
    <row r="40" spans="1:32" x14ac:dyDescent="0.45">
      <c r="A40" s="5" t="s">
        <v>43</v>
      </c>
      <c r="B40" s="2">
        <f t="shared" si="0"/>
        <v>2242229.7641034001</v>
      </c>
      <c r="C40" s="7">
        <v>1951449.5688900151</v>
      </c>
      <c r="D40" s="8">
        <v>7.4365562084451969E-2</v>
      </c>
      <c r="E40" s="5">
        <v>2279924.3888956001</v>
      </c>
      <c r="F40" s="5">
        <v>1808995.44620924</v>
      </c>
      <c r="G40" s="5">
        <v>2756018.1076247101</v>
      </c>
      <c r="H40" s="5">
        <v>3037524.64584629</v>
      </c>
      <c r="I40" s="5">
        <v>2723678.8836769899</v>
      </c>
      <c r="J40" s="5">
        <v>1438963.0885403301</v>
      </c>
      <c r="K40" s="5">
        <v>1926593.84979482</v>
      </c>
      <c r="L40" s="5">
        <v>1405063.7346582001</v>
      </c>
      <c r="M40" s="5">
        <v>1686759.26112819</v>
      </c>
      <c r="N40" s="5">
        <v>1825428.8211078499</v>
      </c>
      <c r="O40" s="5">
        <v>2478218.9858476599</v>
      </c>
      <c r="P40" s="5">
        <v>1722477.8673866501</v>
      </c>
      <c r="Q40" s="5">
        <v>2852992.3806431401</v>
      </c>
      <c r="R40" s="5">
        <v>3235075.94782724</v>
      </c>
      <c r="S40" s="5">
        <v>983565.31108631205</v>
      </c>
      <c r="T40" s="5">
        <v>3229701.1729594199</v>
      </c>
      <c r="U40" s="5">
        <v>2969788.3358160998</v>
      </c>
      <c r="V40" s="5">
        <v>2232700.0097480002</v>
      </c>
      <c r="W40" s="5">
        <v>2402271.1887191902</v>
      </c>
      <c r="X40" s="5">
        <v>1843811.24779546</v>
      </c>
      <c r="Y40" s="5">
        <v>2247272.3708600099</v>
      </c>
      <c r="Z40" s="5">
        <v>2102624.0777762001</v>
      </c>
      <c r="AA40" s="5">
        <v>2024920.2788998999</v>
      </c>
      <c r="AB40" s="5">
        <v>1769500.85279699</v>
      </c>
      <c r="AC40" s="5">
        <v>1908753.06608697</v>
      </c>
      <c r="AD40">
        <f t="shared" si="1"/>
        <v>1951449.5688900151</v>
      </c>
      <c r="AE40">
        <f t="shared" si="2"/>
        <v>145120.64406996744</v>
      </c>
      <c r="AF40">
        <f t="shared" si="3"/>
        <v>7.4365562084451969E-2</v>
      </c>
    </row>
    <row r="41" spans="1:32" x14ac:dyDescent="0.45">
      <c r="A41" s="5" t="s">
        <v>44</v>
      </c>
      <c r="B41" s="2">
        <f t="shared" si="0"/>
        <v>280042970.49285233</v>
      </c>
      <c r="C41" s="7">
        <v>236255957.57397449</v>
      </c>
      <c r="D41" s="8">
        <v>0.12454828972847491</v>
      </c>
      <c r="E41" s="5">
        <v>227949774.967242</v>
      </c>
      <c r="F41" s="5">
        <v>321050378.94456702</v>
      </c>
      <c r="G41" s="5">
        <v>491026926.13630599</v>
      </c>
      <c r="H41" s="5">
        <v>271380503.07195598</v>
      </c>
      <c r="I41" s="5">
        <v>336933021.866804</v>
      </c>
      <c r="J41" s="5">
        <v>309347964.348216</v>
      </c>
      <c r="K41" s="5">
        <v>198208942.37427601</v>
      </c>
      <c r="L41" s="5">
        <v>174339981.90157899</v>
      </c>
      <c r="M41" s="5">
        <v>224703109.24732101</v>
      </c>
      <c r="N41" s="5">
        <v>246012708.99620101</v>
      </c>
      <c r="O41" s="5">
        <v>297861690.83462399</v>
      </c>
      <c r="P41" s="5">
        <v>235668802.45780599</v>
      </c>
      <c r="Q41" s="5">
        <v>196747186.83077201</v>
      </c>
      <c r="R41" s="5">
        <v>302497530.28409898</v>
      </c>
      <c r="S41" s="5">
        <v>235477099.71112201</v>
      </c>
      <c r="T41" s="5">
        <v>274142527.83715302</v>
      </c>
      <c r="U41" s="5">
        <v>271071413.68091202</v>
      </c>
      <c r="V41" s="5">
        <v>331175760.03848702</v>
      </c>
      <c r="W41" s="5">
        <v>371316293.11931098</v>
      </c>
      <c r="X41" s="5">
        <v>264172126.44101599</v>
      </c>
      <c r="Y41" s="5">
        <v>299818637.26012701</v>
      </c>
      <c r="Z41" s="5">
        <v>192941087.10207799</v>
      </c>
      <c r="AA41" s="5">
        <v>250914991.802504</v>
      </c>
      <c r="AB41" s="5">
        <v>243659399.44406</v>
      </c>
      <c r="AC41" s="5">
        <v>257508351.947256</v>
      </c>
      <c r="AD41">
        <f t="shared" si="1"/>
        <v>236255957.57397449</v>
      </c>
      <c r="AE41">
        <f t="shared" si="2"/>
        <v>29425275.45400165</v>
      </c>
      <c r="AF41">
        <f t="shared" si="3"/>
        <v>0.12454828972847491</v>
      </c>
    </row>
    <row r="42" spans="1:32" x14ac:dyDescent="0.45">
      <c r="A42" s="5" t="s">
        <v>233</v>
      </c>
      <c r="B42" s="2">
        <f t="shared" si="0"/>
        <v>4733393.5088944566</v>
      </c>
      <c r="C42" s="2">
        <v>4532176.2713856455</v>
      </c>
      <c r="D42" s="2">
        <v>8.4680885261963032E-2</v>
      </c>
      <c r="E42" s="5">
        <v>964630.66386364796</v>
      </c>
      <c r="F42" s="5">
        <v>4973198.35727272</v>
      </c>
      <c r="G42" s="5">
        <v>2885765.3248391999</v>
      </c>
      <c r="H42" s="5">
        <v>328389.77233620198</v>
      </c>
      <c r="I42" s="5">
        <v>1860720.9514852001</v>
      </c>
      <c r="J42" s="5">
        <v>10043040.5567539</v>
      </c>
      <c r="K42" s="5">
        <v>18754707.8377988</v>
      </c>
      <c r="L42" s="5">
        <v>1711635.5549359201</v>
      </c>
      <c r="M42" s="5">
        <v>1864406.9059874599</v>
      </c>
      <c r="N42" s="5">
        <v>9911988.1684367694</v>
      </c>
      <c r="O42" s="5">
        <v>335625.17689464899</v>
      </c>
      <c r="P42" s="5">
        <v>18683097.719671398</v>
      </c>
      <c r="Q42" s="5">
        <v>3612742.1836779998</v>
      </c>
      <c r="R42" s="5">
        <v>318431.35956101998</v>
      </c>
      <c r="S42" s="5">
        <v>490651.67744401703</v>
      </c>
      <c r="T42" s="5">
        <v>322860.08834243898</v>
      </c>
      <c r="U42" s="5">
        <v>1642850.0614664601</v>
      </c>
      <c r="V42" s="5">
        <v>1773768.44902961</v>
      </c>
      <c r="W42" s="5">
        <v>12457617.6902059</v>
      </c>
      <c r="X42" s="5">
        <v>6077513.3191913804</v>
      </c>
      <c r="Y42" s="5">
        <v>387621.86758891301</v>
      </c>
      <c r="Z42" s="5">
        <v>3987696.8179727299</v>
      </c>
      <c r="AA42" s="5">
        <v>4815792.9394089999</v>
      </c>
      <c r="AB42" s="5">
        <v>4787026.93522726</v>
      </c>
      <c r="AC42" s="5">
        <v>4538188.3929335903</v>
      </c>
      <c r="AD42">
        <f t="shared" si="1"/>
        <v>4532176.2713856455</v>
      </c>
      <c r="AE42">
        <f t="shared" si="2"/>
        <v>383788.69882419927</v>
      </c>
      <c r="AF42">
        <f t="shared" si="3"/>
        <v>8.4680885261963032E-2</v>
      </c>
    </row>
    <row r="43" spans="1:32" x14ac:dyDescent="0.45">
      <c r="A43" s="5" t="s">
        <v>45</v>
      </c>
      <c r="B43" s="2">
        <f t="shared" si="0"/>
        <v>1469021.0777955435</v>
      </c>
      <c r="C43" s="2">
        <v>1643301.9925310474</v>
      </c>
      <c r="D43" s="2">
        <v>8.6292298439590159E-2</v>
      </c>
      <c r="E43" s="5">
        <v>436691.37972817803</v>
      </c>
      <c r="F43" s="5">
        <v>2509715.69207743</v>
      </c>
      <c r="G43" s="5">
        <v>96081.401923084501</v>
      </c>
      <c r="H43" s="5">
        <v>267639.54332232999</v>
      </c>
      <c r="I43" s="5">
        <v>80808.603953376907</v>
      </c>
      <c r="J43" s="5">
        <v>3630036.44995768</v>
      </c>
      <c r="K43" s="5">
        <v>6633336.93169994</v>
      </c>
      <c r="L43" s="5">
        <v>585655.79236368998</v>
      </c>
      <c r="M43" s="5">
        <v>426323.58521285898</v>
      </c>
      <c r="N43" s="5">
        <v>3481482.3433149601</v>
      </c>
      <c r="O43" s="5">
        <v>274688.78453761502</v>
      </c>
      <c r="P43" s="5">
        <v>4101914.11229413</v>
      </c>
      <c r="Q43" s="5">
        <v>195627.01093780799</v>
      </c>
      <c r="R43" s="5">
        <v>320303.85887597001</v>
      </c>
      <c r="S43" s="5">
        <v>520524.35312051303</v>
      </c>
      <c r="T43" s="5">
        <v>242714.398407525</v>
      </c>
      <c r="U43" s="5">
        <v>435174.68498177599</v>
      </c>
      <c r="V43" s="5">
        <v>443959.87421325903</v>
      </c>
      <c r="W43" s="5">
        <v>2660821.08175526</v>
      </c>
      <c r="X43" s="5">
        <v>3420428.33514645</v>
      </c>
      <c r="Y43" s="5">
        <v>85514.415882579604</v>
      </c>
      <c r="Z43" s="5">
        <v>1433239.56539306</v>
      </c>
      <c r="AA43" s="5">
        <v>1723801.2357600201</v>
      </c>
      <c r="AB43" s="5">
        <v>1733829.6793692401</v>
      </c>
      <c r="AC43" s="5">
        <v>1682337.4896018701</v>
      </c>
      <c r="AD43">
        <f t="shared" si="1"/>
        <v>1643301.9925310474</v>
      </c>
      <c r="AE43">
        <f t="shared" si="2"/>
        <v>141804.3059658623</v>
      </c>
      <c r="AF43">
        <f t="shared" si="3"/>
        <v>8.6292298439590159E-2</v>
      </c>
    </row>
    <row r="44" spans="1:32" x14ac:dyDescent="0.45">
      <c r="A44" s="5" t="s">
        <v>46</v>
      </c>
      <c r="B44" s="2">
        <f t="shared" si="0"/>
        <v>32140690.488340825</v>
      </c>
      <c r="C44" s="7">
        <v>26224625.931388475</v>
      </c>
      <c r="D44" s="7">
        <v>5.5722168381596805E-2</v>
      </c>
      <c r="E44" s="5">
        <v>20029389.0722153</v>
      </c>
      <c r="F44" s="5">
        <v>31220782.449486099</v>
      </c>
      <c r="G44" s="5">
        <v>14746852.797662901</v>
      </c>
      <c r="H44" s="5">
        <v>38268536.825236201</v>
      </c>
      <c r="I44" s="5">
        <v>18184556.7377025</v>
      </c>
      <c r="J44" s="5">
        <v>41511184.243469201</v>
      </c>
      <c r="K44" s="5">
        <v>130240074.505715</v>
      </c>
      <c r="L44" s="5">
        <v>26241845.756060101</v>
      </c>
      <c r="M44" s="5">
        <v>17840540.600175101</v>
      </c>
      <c r="N44" s="5">
        <v>38209457.648532502</v>
      </c>
      <c r="O44" s="5">
        <v>34548806.673555396</v>
      </c>
      <c r="P44" s="5">
        <v>46927208.9366934</v>
      </c>
      <c r="Q44" s="5">
        <v>29292108.618039899</v>
      </c>
      <c r="R44" s="5">
        <v>15838081.5387426</v>
      </c>
      <c r="S44" s="5">
        <v>21161018.791444201</v>
      </c>
      <c r="T44" s="5">
        <v>20699278.312667601</v>
      </c>
      <c r="U44" s="5">
        <v>21055166.860827599</v>
      </c>
      <c r="V44" s="5">
        <v>17680858.997715201</v>
      </c>
      <c r="W44" s="5">
        <v>32602319.424564499</v>
      </c>
      <c r="X44" s="5">
        <v>38981164.323812</v>
      </c>
      <c r="Y44" s="5">
        <v>19675267.140840098</v>
      </c>
      <c r="Z44" s="5">
        <v>24368537.380235501</v>
      </c>
      <c r="AA44" s="5">
        <v>25833551.0079026</v>
      </c>
      <c r="AB44" s="5">
        <v>27724542.4539227</v>
      </c>
      <c r="AC44" s="5">
        <v>26971872.883493099</v>
      </c>
      <c r="AD44">
        <f t="shared" si="1"/>
        <v>26224625.931388475</v>
      </c>
      <c r="AE44">
        <f t="shared" si="2"/>
        <v>1461293.0218932186</v>
      </c>
      <c r="AF44">
        <f t="shared" si="3"/>
        <v>5.5722168381596805E-2</v>
      </c>
    </row>
    <row r="45" spans="1:32" x14ac:dyDescent="0.45">
      <c r="A45" s="5" t="s">
        <v>47</v>
      </c>
      <c r="B45" s="2">
        <f t="shared" si="0"/>
        <v>1545520481.3211131</v>
      </c>
      <c r="C45" s="7">
        <v>1354215071.4334626</v>
      </c>
      <c r="D45" s="7">
        <v>2.5857971892659405E-2</v>
      </c>
      <c r="E45" s="5">
        <v>1431174852.2044101</v>
      </c>
      <c r="F45" s="5">
        <v>1273977926.5840399</v>
      </c>
      <c r="G45" s="5">
        <v>1452933039.9328899</v>
      </c>
      <c r="H45" s="5">
        <v>1961708493.1556001</v>
      </c>
      <c r="I45" s="5">
        <v>1593218884.0028999</v>
      </c>
      <c r="J45" s="5">
        <v>1242057174.47929</v>
      </c>
      <c r="K45" s="5">
        <v>2381964661.3039298</v>
      </c>
      <c r="L45" s="5">
        <v>1516969344.8268499</v>
      </c>
      <c r="M45" s="5">
        <v>1697656016.2604401</v>
      </c>
      <c r="N45" s="5">
        <v>1276705399.1677401</v>
      </c>
      <c r="O45" s="5">
        <v>1560455090.27549</v>
      </c>
      <c r="P45" s="5">
        <v>1436061340.3609099</v>
      </c>
      <c r="Q45" s="5">
        <v>1634098728.4286001</v>
      </c>
      <c r="R45" s="5">
        <v>1429271944.1635001</v>
      </c>
      <c r="S45" s="5">
        <v>1598281439.8636</v>
      </c>
      <c r="T45" s="5">
        <v>1951771525.8269601</v>
      </c>
      <c r="U45" s="5">
        <v>1327372331.12538</v>
      </c>
      <c r="V45" s="5">
        <v>1788237280.86708</v>
      </c>
      <c r="W45" s="5">
        <v>1286081433.5190899</v>
      </c>
      <c r="X45" s="5">
        <v>1202268718.87571</v>
      </c>
      <c r="Y45" s="5">
        <v>1413664482.51896</v>
      </c>
      <c r="Z45" s="5">
        <v>1360355101.21718</v>
      </c>
      <c r="AA45" s="5">
        <v>1397151738.2339101</v>
      </c>
      <c r="AB45" s="5">
        <v>1346897438.87901</v>
      </c>
      <c r="AC45" s="5">
        <v>1312456007.4037499</v>
      </c>
      <c r="AD45">
        <f t="shared" si="1"/>
        <v>1354215071.4334626</v>
      </c>
      <c r="AE45">
        <f t="shared" si="2"/>
        <v>35017255.253742225</v>
      </c>
      <c r="AF45">
        <f t="shared" si="3"/>
        <v>2.5857971892659405E-2</v>
      </c>
    </row>
    <row r="46" spans="1:32" x14ac:dyDescent="0.45">
      <c r="A46" s="5" t="s">
        <v>179</v>
      </c>
      <c r="B46" s="2">
        <f t="shared" si="0"/>
        <v>6742778.497143643</v>
      </c>
      <c r="C46" s="7">
        <v>5984094.159291463</v>
      </c>
      <c r="D46" s="8">
        <v>9.4522338976334344E-2</v>
      </c>
      <c r="E46" s="5">
        <v>358006.12667123298</v>
      </c>
      <c r="F46" s="5">
        <v>16859653.5383261</v>
      </c>
      <c r="G46" s="5">
        <v>2336118.0449876599</v>
      </c>
      <c r="H46" s="5">
        <v>50738.600631830901</v>
      </c>
      <c r="I46" s="5">
        <v>916291.29750478105</v>
      </c>
      <c r="J46" s="5">
        <v>20890027.526346698</v>
      </c>
      <c r="K46" s="5">
        <v>17118275.846023399</v>
      </c>
      <c r="L46" s="5">
        <v>445731.962710611</v>
      </c>
      <c r="M46" s="5">
        <v>1667745.45219626</v>
      </c>
      <c r="N46" s="5">
        <v>18527885.6830336</v>
      </c>
      <c r="O46" s="5">
        <v>72221.634303831801</v>
      </c>
      <c r="P46" s="5">
        <v>17493049.665268298</v>
      </c>
      <c r="Q46" s="5">
        <v>22091.901026201002</v>
      </c>
      <c r="R46" s="5">
        <v>286447.24665436998</v>
      </c>
      <c r="S46" s="5">
        <v>289735.80883904902</v>
      </c>
      <c r="T46" s="5">
        <v>91277.173570861894</v>
      </c>
      <c r="U46" s="5">
        <v>2423439.03634327</v>
      </c>
      <c r="V46" s="5">
        <v>1355092.8881389</v>
      </c>
      <c r="W46" s="5">
        <v>16807400.4345924</v>
      </c>
      <c r="X46" s="5">
        <v>23262679.8383331</v>
      </c>
      <c r="Y46" s="5">
        <v>324438.73451401602</v>
      </c>
      <c r="Z46" s="5">
        <v>5205037.0495089404</v>
      </c>
      <c r="AA46" s="5">
        <v>6173199.1661965903</v>
      </c>
      <c r="AB46" s="5">
        <v>6546559.8570152801</v>
      </c>
      <c r="AC46" s="5">
        <v>6011580.5644450402</v>
      </c>
      <c r="AD46">
        <f t="shared" si="1"/>
        <v>5984094.159291463</v>
      </c>
      <c r="AE46">
        <f t="shared" si="2"/>
        <v>565630.57659085013</v>
      </c>
      <c r="AF46">
        <f t="shared" si="3"/>
        <v>9.4522338976334344E-2</v>
      </c>
    </row>
    <row r="47" spans="1:32" x14ac:dyDescent="0.45">
      <c r="A47" s="5" t="s">
        <v>48</v>
      </c>
      <c r="B47" s="2">
        <f t="shared" si="0"/>
        <v>11405575.616570482</v>
      </c>
      <c r="C47" s="7">
        <v>10178293.351306489</v>
      </c>
      <c r="D47" s="7">
        <v>2.1273629025984491E-2</v>
      </c>
      <c r="E47" s="5">
        <v>11886730.079361601</v>
      </c>
      <c r="F47" s="5">
        <v>6733572.4708976299</v>
      </c>
      <c r="G47" s="5">
        <v>8665573.7121642791</v>
      </c>
      <c r="H47" s="5">
        <v>16298519.1086927</v>
      </c>
      <c r="I47" s="5">
        <v>10396770.882031901</v>
      </c>
      <c r="J47" s="5">
        <v>7202149.86016877</v>
      </c>
      <c r="K47" s="5">
        <v>14305436.368325099</v>
      </c>
      <c r="L47" s="5">
        <v>12496533.8409857</v>
      </c>
      <c r="M47" s="5">
        <v>10946467.377118301</v>
      </c>
      <c r="N47" s="5">
        <v>8381432.5265448904</v>
      </c>
      <c r="O47" s="5">
        <v>8729170.2014719006</v>
      </c>
      <c r="P47" s="5">
        <v>22130664.3622723</v>
      </c>
      <c r="Q47" s="5">
        <v>12922793.548991499</v>
      </c>
      <c r="R47" s="5">
        <v>9474491.9374588504</v>
      </c>
      <c r="S47" s="5">
        <v>12774347.5191726</v>
      </c>
      <c r="T47" s="5">
        <v>11508437.9325055</v>
      </c>
      <c r="U47" s="5">
        <v>11095036.696354801</v>
      </c>
      <c r="V47" s="5">
        <v>14365510.7064637</v>
      </c>
      <c r="W47" s="5">
        <v>6793071.8767575603</v>
      </c>
      <c r="X47" s="5">
        <v>8643415.5298001301</v>
      </c>
      <c r="Y47" s="5">
        <v>13766961.4104404</v>
      </c>
      <c r="Z47" s="5">
        <v>10045510.386575799</v>
      </c>
      <c r="AA47" s="5">
        <v>10460218.5738481</v>
      </c>
      <c r="AB47" s="5">
        <v>10231040.480916001</v>
      </c>
      <c r="AC47" s="5">
        <v>9976403.9638860505</v>
      </c>
      <c r="AD47">
        <f t="shared" si="1"/>
        <v>10178293.351306489</v>
      </c>
      <c r="AE47">
        <f t="shared" si="2"/>
        <v>216529.23687333867</v>
      </c>
      <c r="AF47">
        <f t="shared" si="3"/>
        <v>2.1273629025984491E-2</v>
      </c>
    </row>
    <row r="48" spans="1:32" x14ac:dyDescent="0.45">
      <c r="A48" s="5" t="s">
        <v>49</v>
      </c>
      <c r="B48" s="2">
        <f t="shared" si="0"/>
        <v>80980397.703440741</v>
      </c>
      <c r="C48" s="2">
        <v>73258898.734341443</v>
      </c>
      <c r="D48" s="2">
        <v>5.6328865464162707E-2</v>
      </c>
      <c r="E48" s="5">
        <v>73872601.598802805</v>
      </c>
      <c r="F48" s="5">
        <v>67749955.534062997</v>
      </c>
      <c r="G48" s="5">
        <v>68938977.601770699</v>
      </c>
      <c r="H48" s="5">
        <v>94653835.626711205</v>
      </c>
      <c r="I48" s="5">
        <v>83849730.612857297</v>
      </c>
      <c r="J48" s="5">
        <v>75940884.929891706</v>
      </c>
      <c r="K48" s="5">
        <v>90370474.767682999</v>
      </c>
      <c r="L48" s="5">
        <v>80164136.334365696</v>
      </c>
      <c r="M48" s="5">
        <v>84162845.496524602</v>
      </c>
      <c r="N48" s="5">
        <v>62415819.775378004</v>
      </c>
      <c r="O48" s="5">
        <v>97793764.698201001</v>
      </c>
      <c r="P48" s="5">
        <v>74535665.295063704</v>
      </c>
      <c r="Q48" s="5">
        <v>98046566.395426795</v>
      </c>
      <c r="R48" s="5">
        <v>76058886.256480604</v>
      </c>
      <c r="S48" s="5">
        <v>75393929.746022105</v>
      </c>
      <c r="T48" s="5">
        <v>90988818.2031582</v>
      </c>
      <c r="U48" s="5">
        <v>93455860.7608345</v>
      </c>
      <c r="V48" s="5">
        <v>84865985.059908196</v>
      </c>
      <c r="W48" s="5">
        <v>65678754.629473098</v>
      </c>
      <c r="X48" s="5">
        <v>78824775.420579597</v>
      </c>
      <c r="Y48" s="5">
        <v>82826083.0290595</v>
      </c>
      <c r="Z48" s="5">
        <v>67462370.837336093</v>
      </c>
      <c r="AA48" s="5">
        <v>73275278.076541305</v>
      </c>
      <c r="AB48" s="5">
        <v>76773948.4504053</v>
      </c>
      <c r="AC48" s="5">
        <v>75523997.573083103</v>
      </c>
      <c r="AD48">
        <f t="shared" si="1"/>
        <v>73258898.734341443</v>
      </c>
      <c r="AE48">
        <f t="shared" si="2"/>
        <v>4126590.6508594388</v>
      </c>
      <c r="AF48">
        <f t="shared" si="3"/>
        <v>5.6328865464162707E-2</v>
      </c>
    </row>
    <row r="49" spans="1:32" x14ac:dyDescent="0.45">
      <c r="A49" s="5" t="s">
        <v>50</v>
      </c>
      <c r="B49" s="2">
        <f t="shared" si="0"/>
        <v>2897667.0164798191</v>
      </c>
      <c r="C49" s="7">
        <v>2449464.8361726399</v>
      </c>
      <c r="D49" s="8">
        <v>5.9961326919287537E-2</v>
      </c>
      <c r="E49" s="5">
        <v>6808678.5647619404</v>
      </c>
      <c r="F49" s="5">
        <v>605086.94500582397</v>
      </c>
      <c r="G49" s="5">
        <v>500563.10839428502</v>
      </c>
      <c r="H49" s="5">
        <v>1990719.11368522</v>
      </c>
      <c r="I49" s="5">
        <v>6785231.66548998</v>
      </c>
      <c r="J49" s="5">
        <v>722006.13414109498</v>
      </c>
      <c r="K49" s="5">
        <v>671131.69921726396</v>
      </c>
      <c r="L49" s="5">
        <v>12496373.1919479</v>
      </c>
      <c r="M49" s="5">
        <v>2656519.3486926998</v>
      </c>
      <c r="N49" s="5">
        <v>781154.85390284401</v>
      </c>
      <c r="O49" s="5">
        <v>754106.556435821</v>
      </c>
      <c r="P49" s="5">
        <v>820252.96413134504</v>
      </c>
      <c r="Q49" s="5">
        <v>3410180.3404260101</v>
      </c>
      <c r="R49" s="5">
        <v>2866652.6640278199</v>
      </c>
      <c r="S49" s="5">
        <v>9838164.9739506207</v>
      </c>
      <c r="T49" s="5">
        <v>1522902.2646159001</v>
      </c>
      <c r="U49" s="5">
        <v>1160723.3963149199</v>
      </c>
      <c r="V49" s="5">
        <v>1167596.1884331401</v>
      </c>
      <c r="W49" s="5">
        <v>771986.77866679104</v>
      </c>
      <c r="X49" s="5">
        <v>606911.24185938202</v>
      </c>
      <c r="Y49" s="5">
        <v>3914065.3519754</v>
      </c>
      <c r="Z49" s="5">
        <v>2552830.45568409</v>
      </c>
      <c r="AA49" s="5">
        <v>2598224.77811911</v>
      </c>
      <c r="AB49" s="5">
        <v>2331068.7363759</v>
      </c>
      <c r="AC49" s="5">
        <v>2315735.3745114598</v>
      </c>
      <c r="AD49">
        <f t="shared" si="1"/>
        <v>2449464.8361726399</v>
      </c>
      <c r="AE49">
        <f t="shared" si="2"/>
        <v>146873.16181904674</v>
      </c>
      <c r="AF49">
        <f t="shared" si="3"/>
        <v>5.9961326919287537E-2</v>
      </c>
    </row>
    <row r="50" spans="1:32" x14ac:dyDescent="0.45">
      <c r="A50" s="5" t="s">
        <v>180</v>
      </c>
      <c r="B50" s="2">
        <f t="shared" si="0"/>
        <v>21443019.049137075</v>
      </c>
      <c r="C50" s="7">
        <v>18087084.506148074</v>
      </c>
      <c r="D50" s="7">
        <v>5.3188616635471316E-2</v>
      </c>
      <c r="E50" s="5">
        <v>47629809.847000197</v>
      </c>
      <c r="F50" s="5">
        <v>22148079.452338502</v>
      </c>
      <c r="G50" s="5">
        <v>10409720.330405699</v>
      </c>
      <c r="H50" s="5">
        <v>1202917.9925521801</v>
      </c>
      <c r="I50" s="5">
        <v>53597778.075428203</v>
      </c>
      <c r="J50" s="5">
        <v>32324685.449632</v>
      </c>
      <c r="K50" s="5">
        <v>30187503.6944477</v>
      </c>
      <c r="L50" s="5">
        <v>31260910.9033053</v>
      </c>
      <c r="M50" s="5">
        <v>27412429.518250398</v>
      </c>
      <c r="N50" s="5">
        <v>23594171.197986301</v>
      </c>
      <c r="O50" s="5">
        <v>3350110.3923001401</v>
      </c>
      <c r="P50" s="5">
        <v>18023706.774980199</v>
      </c>
      <c r="Q50" s="5">
        <v>20551880.1795993</v>
      </c>
      <c r="R50" s="5">
        <v>10771112.269643299</v>
      </c>
      <c r="S50" s="5">
        <v>20948221.545139201</v>
      </c>
      <c r="T50" s="5">
        <v>6222034.3531317003</v>
      </c>
      <c r="U50" s="5">
        <v>10716361.1090845</v>
      </c>
      <c r="V50" s="5">
        <v>14025974.690759599</v>
      </c>
      <c r="W50" s="5">
        <v>32165903.1264029</v>
      </c>
      <c r="X50" s="5">
        <v>24048508.2935232</v>
      </c>
      <c r="Y50" s="5">
        <v>9711580.8359680604</v>
      </c>
      <c r="Z50" s="5">
        <v>19002602.882013399</v>
      </c>
      <c r="AA50" s="5">
        <v>18588348.1356754</v>
      </c>
      <c r="AB50" s="5">
        <v>17963250.224471498</v>
      </c>
      <c r="AC50" s="5">
        <v>16794136.782432001</v>
      </c>
      <c r="AD50">
        <f t="shared" si="1"/>
        <v>18087084.506148074</v>
      </c>
      <c r="AE50">
        <f t="shared" si="2"/>
        <v>962027.00385088287</v>
      </c>
      <c r="AF50">
        <f t="shared" si="3"/>
        <v>5.3188616635471316E-2</v>
      </c>
    </row>
    <row r="51" spans="1:32" x14ac:dyDescent="0.45">
      <c r="A51" s="5" t="s">
        <v>234</v>
      </c>
      <c r="B51" s="2">
        <f t="shared" si="0"/>
        <v>2383197.9807231314</v>
      </c>
      <c r="C51" s="2">
        <v>2523563.1927044829</v>
      </c>
      <c r="D51" s="2">
        <v>0.2431000677107206</v>
      </c>
      <c r="E51" s="5">
        <v>1348355.08438288</v>
      </c>
      <c r="F51" s="5">
        <v>4864783.7306540804</v>
      </c>
      <c r="G51" s="5">
        <v>1660917.2177739399</v>
      </c>
      <c r="H51" s="5">
        <v>240379.92933238301</v>
      </c>
      <c r="I51" s="5">
        <v>2065355.9039668699</v>
      </c>
      <c r="J51" s="5">
        <v>5139655.4065236701</v>
      </c>
      <c r="K51" s="5">
        <v>4016347.7560783401</v>
      </c>
      <c r="L51" s="5">
        <v>996701.55309874995</v>
      </c>
      <c r="M51" s="5">
        <v>1842192.75520773</v>
      </c>
      <c r="N51" s="5">
        <v>6033504.5645975303</v>
      </c>
      <c r="O51" s="5">
        <v>270308.31323358498</v>
      </c>
      <c r="P51" s="5">
        <v>6084410.6621848401</v>
      </c>
      <c r="Q51" s="5">
        <v>1229845.5565810399</v>
      </c>
      <c r="R51" s="5">
        <v>1209155.04370018</v>
      </c>
      <c r="S51" s="5">
        <v>1627921.5888668899</v>
      </c>
      <c r="T51" s="5">
        <v>598135.95087448403</v>
      </c>
      <c r="U51" s="5">
        <v>1242887.6311596299</v>
      </c>
      <c r="V51" s="5">
        <v>933831.87253209704</v>
      </c>
      <c r="W51" s="5">
        <v>3739339.6670400701</v>
      </c>
      <c r="X51" s="5">
        <v>4362379.4867300503</v>
      </c>
      <c r="Y51" s="5">
        <v>540747.92066670605</v>
      </c>
      <c r="Z51" s="5">
        <v>3175359.5200475701</v>
      </c>
      <c r="AA51" s="5">
        <v>1725714.60626213</v>
      </c>
      <c r="AB51" s="5">
        <v>2765409.8317810702</v>
      </c>
      <c r="AC51" s="5">
        <v>2427768.8127271598</v>
      </c>
      <c r="AD51">
        <f t="shared" si="1"/>
        <v>2523563.1927044829</v>
      </c>
      <c r="AE51">
        <f t="shared" si="2"/>
        <v>613478.38301874208</v>
      </c>
      <c r="AF51">
        <f t="shared" si="3"/>
        <v>0.2431000677107206</v>
      </c>
    </row>
    <row r="52" spans="1:32" x14ac:dyDescent="0.45">
      <c r="A52" s="5" t="s">
        <v>181</v>
      </c>
      <c r="B52" s="2">
        <f t="shared" si="0"/>
        <v>10659476.847443022</v>
      </c>
      <c r="C52" s="7">
        <v>8622866.8463211022</v>
      </c>
      <c r="D52" s="8">
        <v>0.17030012406622283</v>
      </c>
      <c r="E52" s="5">
        <v>7113970.6182552204</v>
      </c>
      <c r="F52" s="5">
        <v>21668445.000771798</v>
      </c>
      <c r="G52" s="5">
        <v>5285717.4864435596</v>
      </c>
      <c r="H52" s="5">
        <v>631887.36633215495</v>
      </c>
      <c r="I52" s="5">
        <v>8435401.9886031095</v>
      </c>
      <c r="J52" s="5">
        <v>21498047.474083401</v>
      </c>
      <c r="K52" s="5">
        <v>25335636.9191369</v>
      </c>
      <c r="L52" s="5">
        <v>4889405.7716800999</v>
      </c>
      <c r="M52" s="5">
        <v>6804448.4496324603</v>
      </c>
      <c r="N52" s="5">
        <v>23026853.442570701</v>
      </c>
      <c r="O52" s="5">
        <v>404504.42904119898</v>
      </c>
      <c r="P52" s="5">
        <v>26209228.7402476</v>
      </c>
      <c r="Q52" s="5">
        <v>5966809.0030063801</v>
      </c>
      <c r="R52" s="5">
        <v>3184250.1815660801</v>
      </c>
      <c r="S52" s="5">
        <v>7190021.70092222</v>
      </c>
      <c r="T52" s="5">
        <v>1555248.0046300299</v>
      </c>
      <c r="U52" s="5">
        <v>4013170.9016237301</v>
      </c>
      <c r="V52" s="5">
        <v>3680342.8748062202</v>
      </c>
      <c r="W52" s="5">
        <v>19861142.026835602</v>
      </c>
      <c r="X52" s="5">
        <v>24045491.541991901</v>
      </c>
      <c r="Y52" s="5">
        <v>3048989.8741230899</v>
      </c>
      <c r="Z52" s="5">
        <v>6583165.1049569398</v>
      </c>
      <c r="AA52" s="5">
        <v>9789606.4420244191</v>
      </c>
      <c r="AB52" s="5">
        <v>8527105.9003546294</v>
      </c>
      <c r="AC52" s="5">
        <v>9591589.9379484206</v>
      </c>
      <c r="AD52">
        <f t="shared" si="1"/>
        <v>8622866.8463211022</v>
      </c>
      <c r="AE52">
        <f t="shared" si="2"/>
        <v>1468475.2937350033</v>
      </c>
      <c r="AF52">
        <f t="shared" si="3"/>
        <v>0.17030012406622283</v>
      </c>
    </row>
    <row r="53" spans="1:32" x14ac:dyDescent="0.45">
      <c r="A53" s="5" t="s">
        <v>235</v>
      </c>
      <c r="B53" s="2">
        <f t="shared" si="0"/>
        <v>7214194.4586157966</v>
      </c>
      <c r="C53" s="2">
        <v>7521107.081677245</v>
      </c>
      <c r="D53" s="2">
        <v>4.2360634783544036E-2</v>
      </c>
      <c r="E53" s="5">
        <v>1163857.5537298999</v>
      </c>
      <c r="F53" s="5">
        <v>10152241.425989401</v>
      </c>
      <c r="G53" s="5">
        <v>3368018.5997427101</v>
      </c>
      <c r="H53" s="5">
        <v>439772.06382426602</v>
      </c>
      <c r="I53" s="5">
        <v>5673329.0567261297</v>
      </c>
      <c r="J53" s="5">
        <v>23565958.289538398</v>
      </c>
      <c r="K53" s="5">
        <v>8631156.5540173091</v>
      </c>
      <c r="L53" s="5">
        <v>1394706.8148358499</v>
      </c>
      <c r="M53" s="5">
        <v>1923114.8797146</v>
      </c>
      <c r="N53" s="5">
        <v>24152343.5613885</v>
      </c>
      <c r="O53" s="5">
        <v>331044.95593675203</v>
      </c>
      <c r="P53" s="5">
        <v>32481864.315100498</v>
      </c>
      <c r="Q53" s="5">
        <v>2472009.5852136901</v>
      </c>
      <c r="R53" s="5">
        <v>1450042.94573272</v>
      </c>
      <c r="S53" s="5">
        <v>593777.52967873402</v>
      </c>
      <c r="T53" s="5">
        <v>418703.06746173301</v>
      </c>
      <c r="U53" s="5">
        <v>1813221.6059017901</v>
      </c>
      <c r="V53" s="5">
        <v>1082408.53082795</v>
      </c>
      <c r="W53" s="5">
        <v>19201970.5023387</v>
      </c>
      <c r="X53" s="5">
        <v>10400551.724388501</v>
      </c>
      <c r="Y53" s="5">
        <v>787990.06884359301</v>
      </c>
      <c r="Z53" s="5">
        <v>7077049.0067290897</v>
      </c>
      <c r="AA53" s="5">
        <v>7502760.3803109303</v>
      </c>
      <c r="AB53" s="5">
        <v>7745888.54988058</v>
      </c>
      <c r="AC53" s="5">
        <v>7758730.3897883799</v>
      </c>
      <c r="AD53">
        <f t="shared" si="1"/>
        <v>7521107.081677245</v>
      </c>
      <c r="AE53">
        <f t="shared" si="2"/>
        <v>318598.87025485648</v>
      </c>
      <c r="AF53">
        <f t="shared" si="3"/>
        <v>4.2360634783544036E-2</v>
      </c>
    </row>
    <row r="54" spans="1:32" x14ac:dyDescent="0.45">
      <c r="A54" s="5" t="s">
        <v>236</v>
      </c>
      <c r="B54" s="2">
        <f t="shared" si="0"/>
        <v>14153757.344223132</v>
      </c>
      <c r="C54" s="2">
        <v>10121727.158182941</v>
      </c>
      <c r="D54" s="2">
        <v>0.14750680270158822</v>
      </c>
      <c r="E54" s="5">
        <v>4255158.8304977203</v>
      </c>
      <c r="F54" s="5">
        <v>27854550.270116501</v>
      </c>
      <c r="G54" s="5">
        <v>7432065.1428558398</v>
      </c>
      <c r="H54" s="5">
        <v>831420.04474016896</v>
      </c>
      <c r="I54" s="5">
        <v>4993401.2316360399</v>
      </c>
      <c r="J54" s="5">
        <v>34297179.109253503</v>
      </c>
      <c r="K54" s="5">
        <v>31112407.007671401</v>
      </c>
      <c r="L54" s="5">
        <v>3381020.8116479702</v>
      </c>
      <c r="M54" s="5">
        <v>6635979.7376051201</v>
      </c>
      <c r="N54" s="5">
        <v>41387022.4118587</v>
      </c>
      <c r="O54" s="5">
        <v>705252.91715141304</v>
      </c>
      <c r="P54" s="5">
        <v>35770030.607812099</v>
      </c>
      <c r="Q54" s="5">
        <v>1561971.45462455</v>
      </c>
      <c r="R54" s="5">
        <v>1708663.7513341301</v>
      </c>
      <c r="S54" s="5">
        <v>4388911.8401262797</v>
      </c>
      <c r="T54" s="5">
        <v>1931882.5143327699</v>
      </c>
      <c r="U54" s="5">
        <v>5995595.0360255102</v>
      </c>
      <c r="V54" s="5">
        <v>4920672.6310889004</v>
      </c>
      <c r="W54" s="5">
        <v>25611072.475058898</v>
      </c>
      <c r="X54" s="5">
        <v>49751796.1257376</v>
      </c>
      <c r="Y54" s="5">
        <v>2702850.2775106202</v>
      </c>
      <c r="Z54" s="5">
        <v>9187320.6178972907</v>
      </c>
      <c r="AA54" s="5">
        <v>8524142.3685233798</v>
      </c>
      <c r="AB54" s="5">
        <v>11219681.580945199</v>
      </c>
      <c r="AC54" s="5">
        <v>11555764.065365899</v>
      </c>
      <c r="AD54">
        <f t="shared" si="1"/>
        <v>10121727.158182941</v>
      </c>
      <c r="AE54">
        <f t="shared" si="2"/>
        <v>1493023.6109213983</v>
      </c>
      <c r="AF54">
        <f t="shared" si="3"/>
        <v>0.14750680270158822</v>
      </c>
    </row>
    <row r="55" spans="1:32" x14ac:dyDescent="0.45">
      <c r="A55" s="5" t="s">
        <v>51</v>
      </c>
      <c r="B55" s="2">
        <f t="shared" si="0"/>
        <v>1333382.8481223662</v>
      </c>
      <c r="C55" s="7">
        <v>1733026.7960786226</v>
      </c>
      <c r="D55" s="8">
        <v>5.8760081302916718E-2</v>
      </c>
      <c r="E55" s="5">
        <v>553153.03243258595</v>
      </c>
      <c r="F55" s="5">
        <v>1969178.6890472199</v>
      </c>
      <c r="G55" s="5">
        <v>568493.55081592104</v>
      </c>
      <c r="H55" s="5">
        <v>498557.41862359998</v>
      </c>
      <c r="I55" s="5">
        <v>727640.273307428</v>
      </c>
      <c r="J55" s="5">
        <v>2770051.9905614601</v>
      </c>
      <c r="K55" s="5">
        <v>4517831.6833967799</v>
      </c>
      <c r="L55" s="5">
        <v>627637.97892311402</v>
      </c>
      <c r="M55" s="5">
        <v>708253.43131232006</v>
      </c>
      <c r="N55" s="5">
        <v>2767892.94316119</v>
      </c>
      <c r="O55" s="5">
        <v>434836.365058686</v>
      </c>
      <c r="P55" s="5">
        <v>3249745.2914723</v>
      </c>
      <c r="Q55" s="5">
        <v>774276.92878896999</v>
      </c>
      <c r="R55" s="5">
        <v>639084.40595538204</v>
      </c>
      <c r="S55" s="5">
        <v>478450.97162413999</v>
      </c>
      <c r="T55" s="5">
        <v>388451.17957376101</v>
      </c>
      <c r="U55" s="5">
        <v>593981.82331797294</v>
      </c>
      <c r="V55" s="5">
        <v>506655.05026504199</v>
      </c>
      <c r="W55" s="5">
        <v>1634090.5949039401</v>
      </c>
      <c r="X55" s="5">
        <v>3108043.82927251</v>
      </c>
      <c r="Y55" s="5">
        <v>484732.37875537103</v>
      </c>
      <c r="Z55" s="5">
        <v>1738875.09219633</v>
      </c>
      <c r="AA55" s="5">
        <v>1607296.9361114199</v>
      </c>
      <c r="AB55" s="5">
        <v>1856535.49345458</v>
      </c>
      <c r="AC55" s="5">
        <v>1729399.66255216</v>
      </c>
      <c r="AD55">
        <f t="shared" si="1"/>
        <v>1733026.7960786226</v>
      </c>
      <c r="AE55">
        <f t="shared" si="2"/>
        <v>101832.79543771314</v>
      </c>
      <c r="AF55">
        <f t="shared" si="3"/>
        <v>5.8760081302916718E-2</v>
      </c>
    </row>
    <row r="56" spans="1:32" x14ac:dyDescent="0.45">
      <c r="A56" s="5" t="s">
        <v>237</v>
      </c>
      <c r="B56" s="2">
        <f t="shared" si="0"/>
        <v>296681.01137587853</v>
      </c>
      <c r="C56" s="2">
        <v>260009.20678810752</v>
      </c>
      <c r="D56" s="2">
        <v>0.1051316533747749</v>
      </c>
      <c r="E56" s="5">
        <v>72503.542201416203</v>
      </c>
      <c r="F56" s="5">
        <v>512832.18982375</v>
      </c>
      <c r="G56" s="5">
        <v>64793.623371631496</v>
      </c>
      <c r="H56" s="5">
        <v>67481.709508805201</v>
      </c>
      <c r="I56" s="5">
        <v>66657.990382930599</v>
      </c>
      <c r="J56" s="5">
        <v>772499.87307018298</v>
      </c>
      <c r="K56" s="5">
        <v>940363.12574445701</v>
      </c>
      <c r="L56" s="5">
        <v>69182.688065118098</v>
      </c>
      <c r="M56" s="5">
        <v>59757.6117815916</v>
      </c>
      <c r="N56" s="5">
        <v>835217.95678986399</v>
      </c>
      <c r="O56" s="5">
        <v>70568.026667552695</v>
      </c>
      <c r="P56" s="5">
        <v>888510.94331861194</v>
      </c>
      <c r="Q56" s="5">
        <v>67952.869658647905</v>
      </c>
      <c r="R56" s="5">
        <v>65445.554274771101</v>
      </c>
      <c r="S56" s="5">
        <v>57732.629462770201</v>
      </c>
      <c r="T56" s="5">
        <v>64865.616975872101</v>
      </c>
      <c r="U56" s="5">
        <v>66824.566492838901</v>
      </c>
      <c r="V56" s="5">
        <v>62742.459511606299</v>
      </c>
      <c r="W56" s="5">
        <v>561946.11093253898</v>
      </c>
      <c r="X56" s="5">
        <v>797998.07624635997</v>
      </c>
      <c r="Y56" s="5">
        <v>64424.074612132601</v>
      </c>
      <c r="Z56" s="5">
        <v>253773.88718970501</v>
      </c>
      <c r="AA56" s="5">
        <v>235325.89285051299</v>
      </c>
      <c r="AB56" s="5">
        <v>251851.65490920999</v>
      </c>
      <c r="AC56" s="5">
        <v>299085.392203002</v>
      </c>
      <c r="AD56">
        <f t="shared" si="1"/>
        <v>260009.20678810752</v>
      </c>
      <c r="AE56">
        <f t="shared" si="2"/>
        <v>27335.197802297487</v>
      </c>
      <c r="AF56">
        <f t="shared" si="3"/>
        <v>0.1051316533747749</v>
      </c>
    </row>
    <row r="57" spans="1:32" x14ac:dyDescent="0.45">
      <c r="A57" s="5" t="s">
        <v>52</v>
      </c>
      <c r="B57" s="2">
        <f t="shared" si="0"/>
        <v>1588764.1350740585</v>
      </c>
      <c r="C57" s="7">
        <v>1339736.05597624</v>
      </c>
      <c r="D57" s="8">
        <v>0.11104001927827675</v>
      </c>
      <c r="E57" s="5">
        <v>1692892.43569381</v>
      </c>
      <c r="F57" s="5">
        <v>1174357.7293291499</v>
      </c>
      <c r="G57" s="5">
        <v>1786482.0554231601</v>
      </c>
      <c r="H57" s="5">
        <v>1773301.82747702</v>
      </c>
      <c r="I57" s="5">
        <v>1723757.50336317</v>
      </c>
      <c r="J57" s="5">
        <v>1113870.1662667801</v>
      </c>
      <c r="K57" s="5">
        <v>1303109.4959628901</v>
      </c>
      <c r="L57" s="5">
        <v>1565477.5342763499</v>
      </c>
      <c r="M57" s="5">
        <v>1815758.4379792199</v>
      </c>
      <c r="N57" s="5">
        <v>1198767.2051375699</v>
      </c>
      <c r="O57" s="5">
        <v>2144761.0464162598</v>
      </c>
      <c r="P57" s="5">
        <v>1136057.3008956399</v>
      </c>
      <c r="Q57" s="5">
        <v>1871841.3650120499</v>
      </c>
      <c r="R57" s="5">
        <v>1953575.17989816</v>
      </c>
      <c r="S57" s="5">
        <v>1643886.7045070999</v>
      </c>
      <c r="T57" s="5">
        <v>1873697.2317060099</v>
      </c>
      <c r="U57" s="5">
        <v>1700367.53834737</v>
      </c>
      <c r="V57" s="5">
        <v>1644017.62599553</v>
      </c>
      <c r="W57" s="5">
        <v>983846.91167741001</v>
      </c>
      <c r="X57" s="5">
        <v>1181606.2126210199</v>
      </c>
      <c r="Y57" s="5">
        <v>2082615.3285695601</v>
      </c>
      <c r="Z57" s="5">
        <v>1545965.41189208</v>
      </c>
      <c r="AA57" s="5">
        <v>1351344.26525187</v>
      </c>
      <c r="AB57" s="5">
        <v>1230285.1546972101</v>
      </c>
      <c r="AC57" s="5">
        <v>1231349.3920638</v>
      </c>
      <c r="AD57">
        <f t="shared" si="1"/>
        <v>1339736.05597624</v>
      </c>
      <c r="AE57">
        <f t="shared" si="2"/>
        <v>148764.31748340416</v>
      </c>
      <c r="AF57">
        <f t="shared" si="3"/>
        <v>0.11104001927827675</v>
      </c>
    </row>
    <row r="58" spans="1:32" x14ac:dyDescent="0.45">
      <c r="A58" s="5" t="s">
        <v>182</v>
      </c>
      <c r="B58" s="2">
        <f t="shared" si="0"/>
        <v>655333.50163152057</v>
      </c>
      <c r="C58" s="7">
        <v>513345.07606506103</v>
      </c>
      <c r="D58" s="8">
        <v>0.16153724235877631</v>
      </c>
      <c r="E58" s="5">
        <v>128781.016805031</v>
      </c>
      <c r="F58" s="5">
        <v>1454705.9701892301</v>
      </c>
      <c r="G58" s="5">
        <v>155532.74745275799</v>
      </c>
      <c r="H58" s="5">
        <v>18008.3771358712</v>
      </c>
      <c r="I58" s="5">
        <v>236662.64686529801</v>
      </c>
      <c r="J58" s="5">
        <v>1916986.3753662701</v>
      </c>
      <c r="K58" s="5">
        <v>1997743.0102341101</v>
      </c>
      <c r="L58" s="5">
        <v>131943.54103274501</v>
      </c>
      <c r="M58" s="5">
        <v>86067.127583728303</v>
      </c>
      <c r="N58" s="5">
        <v>1904502.85783332</v>
      </c>
      <c r="O58" s="5">
        <v>57346.926983250502</v>
      </c>
      <c r="P58" s="5">
        <v>1526425.43172158</v>
      </c>
      <c r="Q58" s="5">
        <v>17070.4823362157</v>
      </c>
      <c r="R58" s="5">
        <v>250752.602092555</v>
      </c>
      <c r="S58" s="5">
        <v>19321.987782804801</v>
      </c>
      <c r="T58" s="5">
        <v>39581.561183780403</v>
      </c>
      <c r="U58" s="5">
        <v>116694.774275902</v>
      </c>
      <c r="V58" s="5">
        <v>196282.21880277901</v>
      </c>
      <c r="W58" s="5">
        <v>1460885.7927200301</v>
      </c>
      <c r="X58" s="5">
        <v>1966206.1842942699</v>
      </c>
      <c r="Y58" s="5">
        <v>80501.901570401606</v>
      </c>
      <c r="Z58" s="5">
        <v>470927.49485208001</v>
      </c>
      <c r="AA58" s="5">
        <v>598987.26385526499</v>
      </c>
      <c r="AB58" s="5">
        <v>564400.935077528</v>
      </c>
      <c r="AC58" s="5">
        <v>419064.61047537101</v>
      </c>
      <c r="AD58">
        <f t="shared" si="1"/>
        <v>513345.07606506103</v>
      </c>
      <c r="AE58">
        <f t="shared" si="2"/>
        <v>82924.347966006229</v>
      </c>
      <c r="AF58">
        <f t="shared" si="3"/>
        <v>0.16153724235877631</v>
      </c>
    </row>
    <row r="59" spans="1:32" x14ac:dyDescent="0.45">
      <c r="A59" s="5" t="s">
        <v>125</v>
      </c>
      <c r="B59" s="2">
        <f t="shared" si="0"/>
        <v>53621624.140454426</v>
      </c>
      <c r="C59" s="2">
        <v>48118445.007707849</v>
      </c>
      <c r="D59" s="2">
        <v>3.6589018316839521E-2</v>
      </c>
      <c r="E59" s="5">
        <v>66996938.8332095</v>
      </c>
      <c r="F59" s="5">
        <v>30944906.768442001</v>
      </c>
      <c r="G59" s="5">
        <v>51597174.616316602</v>
      </c>
      <c r="H59" s="5">
        <v>54267643.527496003</v>
      </c>
      <c r="I59" s="5">
        <v>61932726.315492101</v>
      </c>
      <c r="J59" s="5">
        <v>37053907.206524901</v>
      </c>
      <c r="K59" s="5">
        <v>28271028.560650501</v>
      </c>
      <c r="L59" s="5">
        <v>104021243.975917</v>
      </c>
      <c r="M59" s="5">
        <v>69969499.3499455</v>
      </c>
      <c r="N59" s="5">
        <v>36392651.525591299</v>
      </c>
      <c r="O59" s="5">
        <v>60131512.1051443</v>
      </c>
      <c r="P59" s="5">
        <v>40114421.167330101</v>
      </c>
      <c r="Q59" s="5">
        <v>42676480.564847499</v>
      </c>
      <c r="R59" s="5">
        <v>49876573.806706399</v>
      </c>
      <c r="S59" s="5">
        <v>80330229.435383797</v>
      </c>
      <c r="T59" s="5">
        <v>63343661.617564</v>
      </c>
      <c r="U59" s="5">
        <v>59632318.838303603</v>
      </c>
      <c r="V59" s="5">
        <v>56944808.751811802</v>
      </c>
      <c r="W59" s="5">
        <v>41478188.630417302</v>
      </c>
      <c r="X59" s="5">
        <v>29894632.071466599</v>
      </c>
      <c r="Y59" s="5">
        <v>60183559.280982397</v>
      </c>
      <c r="Z59" s="5">
        <v>50519630.849403299</v>
      </c>
      <c r="AA59" s="5">
        <v>46603119.612495102</v>
      </c>
      <c r="AB59" s="5">
        <v>47025542.235219099</v>
      </c>
      <c r="AC59" s="5">
        <v>48325487.333713897</v>
      </c>
      <c r="AD59">
        <f t="shared" si="1"/>
        <v>48118445.007707849</v>
      </c>
      <c r="AE59">
        <f t="shared" si="2"/>
        <v>1760606.6657648575</v>
      </c>
      <c r="AF59">
        <f t="shared" si="3"/>
        <v>3.6589018316839521E-2</v>
      </c>
    </row>
    <row r="60" spans="1:32" x14ac:dyDescent="0.45">
      <c r="A60" s="5" t="s">
        <v>238</v>
      </c>
      <c r="B60" s="2">
        <f t="shared" si="0"/>
        <v>15391057.202939065</v>
      </c>
      <c r="C60" s="2">
        <v>14382247.932031976</v>
      </c>
      <c r="D60" s="2">
        <v>5.7163222811373919E-2</v>
      </c>
      <c r="E60" s="5">
        <v>16500678.982625101</v>
      </c>
      <c r="F60" s="5">
        <v>12777366.065457899</v>
      </c>
      <c r="G60" s="5">
        <v>23155698.430824801</v>
      </c>
      <c r="H60" s="5">
        <v>18802448.224142499</v>
      </c>
      <c r="I60" s="5">
        <v>18011963.644699302</v>
      </c>
      <c r="J60" s="5">
        <v>10038092.5541877</v>
      </c>
      <c r="K60" s="5">
        <v>6721549.7472818298</v>
      </c>
      <c r="L60" s="5">
        <v>14603947.853112301</v>
      </c>
      <c r="M60" s="5">
        <v>15884908.761738099</v>
      </c>
      <c r="N60" s="5">
        <v>10752679.873773299</v>
      </c>
      <c r="O60" s="5">
        <v>18976192.3510556</v>
      </c>
      <c r="P60" s="5">
        <v>9374990.81062093</v>
      </c>
      <c r="Q60" s="5">
        <v>16781627.421070602</v>
      </c>
      <c r="R60" s="5">
        <v>22845989.839586101</v>
      </c>
      <c r="S60" s="5">
        <v>16186051.3427455</v>
      </c>
      <c r="T60" s="5">
        <v>17856840.311035302</v>
      </c>
      <c r="U60" s="5">
        <v>17705280.123856001</v>
      </c>
      <c r="V60" s="5">
        <v>16887468.837200601</v>
      </c>
      <c r="W60" s="5">
        <v>12189751.194324899</v>
      </c>
      <c r="X60" s="5">
        <v>10517292.8730138</v>
      </c>
      <c r="Y60" s="5">
        <v>16641382.0193682</v>
      </c>
      <c r="Z60" s="5">
        <v>13758103.526530201</v>
      </c>
      <c r="AA60" s="5">
        <v>15412292.732362</v>
      </c>
      <c r="AB60" s="5">
        <v>14676688.401969699</v>
      </c>
      <c r="AC60" s="5">
        <v>13681907.067266</v>
      </c>
      <c r="AD60">
        <f t="shared" si="1"/>
        <v>14382247.932031976</v>
      </c>
      <c r="AE60">
        <f t="shared" si="2"/>
        <v>822135.64306716563</v>
      </c>
      <c r="AF60">
        <f t="shared" si="3"/>
        <v>5.7163222811373919E-2</v>
      </c>
    </row>
    <row r="61" spans="1:32" x14ac:dyDescent="0.45">
      <c r="A61" s="5" t="s">
        <v>283</v>
      </c>
      <c r="B61" s="2">
        <f t="shared" si="0"/>
        <v>4907393.3960290626</v>
      </c>
      <c r="C61" s="8">
        <v>3927780.0953516173</v>
      </c>
      <c r="D61" s="7">
        <v>0.11503535464685942</v>
      </c>
      <c r="E61" s="5">
        <v>5799965.8621108402</v>
      </c>
      <c r="F61" s="5">
        <v>4804079.3379095998</v>
      </c>
      <c r="G61" s="5">
        <v>7255441.6732078902</v>
      </c>
      <c r="H61" s="5">
        <v>4157463.7580504301</v>
      </c>
      <c r="I61" s="5">
        <v>4530324.2593870796</v>
      </c>
      <c r="J61" s="5">
        <v>2033011.82984377</v>
      </c>
      <c r="K61" s="5">
        <v>1644249.1548196899</v>
      </c>
      <c r="L61" s="5">
        <v>6354490.55500264</v>
      </c>
      <c r="M61" s="5">
        <v>5980171.4934957903</v>
      </c>
      <c r="N61" s="5">
        <v>1918804.5234459999</v>
      </c>
      <c r="O61" s="5">
        <v>3896495.21272024</v>
      </c>
      <c r="P61" s="5">
        <v>1969661.95040697</v>
      </c>
      <c r="Q61" s="5">
        <v>18916373.422487799</v>
      </c>
      <c r="R61" s="5">
        <v>6601829.4103698498</v>
      </c>
      <c r="S61" s="5">
        <v>5766001.5662475601</v>
      </c>
      <c r="T61" s="5">
        <v>5299906.86594644</v>
      </c>
      <c r="U61" s="5">
        <v>2144367.4307159199</v>
      </c>
      <c r="V61" s="5">
        <v>5400760.4420432299</v>
      </c>
      <c r="W61" s="5">
        <v>2430897.3366907798</v>
      </c>
      <c r="X61" s="5">
        <v>2653638.8232271201</v>
      </c>
      <c r="Y61" s="5">
        <v>3497326.4084806899</v>
      </c>
      <c r="Z61" s="5">
        <v>3259641.05402862</v>
      </c>
      <c r="AA61" s="5">
        <v>4254441.51707811</v>
      </c>
      <c r="AB61" s="5">
        <v>4121320.1829248099</v>
      </c>
      <c r="AC61" s="5">
        <v>4075717.6273749298</v>
      </c>
      <c r="AD61">
        <f t="shared" si="1"/>
        <v>3927780.0953516173</v>
      </c>
      <c r="AE61">
        <f t="shared" si="2"/>
        <v>451833.5762436486</v>
      </c>
      <c r="AF61">
        <f t="shared" si="3"/>
        <v>0.11503535464685942</v>
      </c>
    </row>
    <row r="62" spans="1:32" x14ac:dyDescent="0.45">
      <c r="A62" s="5" t="s">
        <v>239</v>
      </c>
      <c r="B62" s="2">
        <f t="shared" si="0"/>
        <v>39665165.327696934</v>
      </c>
      <c r="C62" s="2">
        <v>47551779.693676069</v>
      </c>
      <c r="D62" s="2">
        <v>0.15832101758172495</v>
      </c>
      <c r="E62" s="5">
        <v>73557628.159526899</v>
      </c>
      <c r="F62" s="5">
        <v>23341824.218190599</v>
      </c>
      <c r="G62" s="5">
        <v>44762982.538898297</v>
      </c>
      <c r="H62" s="5">
        <v>40344952.207741402</v>
      </c>
      <c r="I62" s="5">
        <v>73416643.622391194</v>
      </c>
      <c r="J62" s="5">
        <v>42324085.103019401</v>
      </c>
      <c r="K62" s="5">
        <v>18858739.9175</v>
      </c>
      <c r="L62" s="5">
        <v>52752533.300981</v>
      </c>
      <c r="M62" s="5">
        <v>60472154.023224398</v>
      </c>
      <c r="N62" s="5">
        <v>22845507.578219201</v>
      </c>
      <c r="O62" s="5">
        <v>40576961.696531899</v>
      </c>
      <c r="P62" s="5">
        <v>20140652.698624901</v>
      </c>
      <c r="Q62" s="5">
        <v>53951461.883732103</v>
      </c>
      <c r="R62" s="5">
        <v>27356948.347272001</v>
      </c>
      <c r="S62" s="5">
        <v>28980564.554900501</v>
      </c>
      <c r="T62" s="5">
        <v>40271521.005322501</v>
      </c>
      <c r="U62" s="5">
        <v>26172518.7173714</v>
      </c>
      <c r="V62" s="5">
        <v>45474214.093112499</v>
      </c>
      <c r="W62" s="5">
        <v>20578142.620473702</v>
      </c>
      <c r="X62" s="5">
        <v>44435722.835086398</v>
      </c>
      <c r="Y62" s="5">
        <v>32352712.7595153</v>
      </c>
      <c r="Z62" s="5">
        <v>51530447.372639798</v>
      </c>
      <c r="AA62" s="5">
        <v>49857170.945909403</v>
      </c>
      <c r="AB62" s="5">
        <v>52445395.211552702</v>
      </c>
      <c r="AC62" s="5">
        <v>36374105.244602397</v>
      </c>
      <c r="AD62">
        <f t="shared" si="1"/>
        <v>47551779.693676069</v>
      </c>
      <c r="AE62">
        <f t="shared" si="2"/>
        <v>7528446.1489248006</v>
      </c>
      <c r="AF62">
        <f t="shared" si="3"/>
        <v>0.15832101758172495</v>
      </c>
    </row>
    <row r="63" spans="1:32" x14ac:dyDescent="0.45">
      <c r="A63" s="5" t="s">
        <v>276</v>
      </c>
      <c r="B63" s="2">
        <f t="shared" si="0"/>
        <v>312949086.47161347</v>
      </c>
      <c r="C63" s="8">
        <v>253099847.43670028</v>
      </c>
      <c r="D63" s="8">
        <v>3.3463948927151856E-2</v>
      </c>
      <c r="E63" s="5">
        <v>321700834.66317803</v>
      </c>
      <c r="F63" s="5">
        <v>217405766.55799201</v>
      </c>
      <c r="G63" s="5">
        <v>164966588.3001</v>
      </c>
      <c r="H63" s="5">
        <v>325697329.43559098</v>
      </c>
      <c r="I63" s="5">
        <v>22997993.8499569</v>
      </c>
      <c r="J63" s="5">
        <v>106238388.506237</v>
      </c>
      <c r="K63" s="5">
        <v>378057564.92404401</v>
      </c>
      <c r="L63" s="5">
        <v>101018688.96462899</v>
      </c>
      <c r="M63" s="5">
        <v>497501604.22643203</v>
      </c>
      <c r="N63" s="5">
        <v>108683258.96886501</v>
      </c>
      <c r="O63" s="5">
        <v>500290139.63063502</v>
      </c>
      <c r="P63" s="5">
        <v>259227732.60916001</v>
      </c>
      <c r="Q63" s="5">
        <v>528990212.19806498</v>
      </c>
      <c r="R63" s="5">
        <v>331114307.37273502</v>
      </c>
      <c r="S63" s="5">
        <v>361342979.687594</v>
      </c>
      <c r="T63" s="5">
        <v>511122422.223795</v>
      </c>
      <c r="U63" s="5">
        <v>532340088.61013198</v>
      </c>
      <c r="V63" s="5">
        <v>356753398.06201601</v>
      </c>
      <c r="W63" s="5">
        <v>101928363.207715</v>
      </c>
      <c r="X63" s="5">
        <v>317901302.123698</v>
      </c>
      <c r="Y63" s="5">
        <v>526651851.781313</v>
      </c>
      <c r="Z63" s="5">
        <v>244463741.433644</v>
      </c>
      <c r="AA63" s="5">
        <v>263933420.24858001</v>
      </c>
      <c r="AB63" s="5">
        <v>255229537.206745</v>
      </c>
      <c r="AC63" s="5">
        <v>248772690.85783201</v>
      </c>
      <c r="AD63">
        <f t="shared" si="1"/>
        <v>253099847.43670028</v>
      </c>
      <c r="AE63">
        <f t="shared" si="2"/>
        <v>8469720.3680916652</v>
      </c>
      <c r="AF63">
        <f t="shared" si="3"/>
        <v>3.3463948927151856E-2</v>
      </c>
    </row>
    <row r="64" spans="1:32" x14ac:dyDescent="0.45">
      <c r="A64" s="5" t="s">
        <v>53</v>
      </c>
      <c r="B64" s="2">
        <f t="shared" si="0"/>
        <v>7616348.7742026402</v>
      </c>
      <c r="C64" s="8">
        <v>6643566.0089794798</v>
      </c>
      <c r="D64" s="8">
        <v>0.11042251191369402</v>
      </c>
      <c r="E64" s="5">
        <v>9758526.0579164904</v>
      </c>
      <c r="F64" s="5">
        <v>5710601.2841908997</v>
      </c>
      <c r="G64" s="5">
        <v>4890419.8373532398</v>
      </c>
      <c r="H64" s="5">
        <v>13039628.5759637</v>
      </c>
      <c r="I64" s="5">
        <v>5427505.1152080996</v>
      </c>
      <c r="J64" s="5">
        <v>5056397.7351329997</v>
      </c>
      <c r="K64" s="5">
        <v>6412261.3357593296</v>
      </c>
      <c r="L64" s="5">
        <v>7329221.8758906303</v>
      </c>
      <c r="M64" s="5">
        <v>9307126.6226618793</v>
      </c>
      <c r="N64" s="5">
        <v>6784456.6814662702</v>
      </c>
      <c r="O64" s="5">
        <v>7499163.6586140003</v>
      </c>
      <c r="P64" s="5">
        <v>5555888.6474901401</v>
      </c>
      <c r="Q64" s="5">
        <v>13827379.481411301</v>
      </c>
      <c r="R64" s="5">
        <v>4917213.2596360696</v>
      </c>
      <c r="S64" s="5">
        <v>6685927.7088824203</v>
      </c>
      <c r="T64" s="5">
        <v>10267221.4321054</v>
      </c>
      <c r="U64" s="5">
        <v>10132064.994438199</v>
      </c>
      <c r="V64" s="5">
        <v>6475856.1407313803</v>
      </c>
      <c r="W64" s="5">
        <v>5623685.0826422898</v>
      </c>
      <c r="X64" s="5">
        <v>5814503.7102595298</v>
      </c>
      <c r="Y64" s="5">
        <v>9428275.0205012094</v>
      </c>
      <c r="Z64" s="5">
        <v>7709124.4908517497</v>
      </c>
      <c r="AA64" s="5">
        <v>6547370.6665589102</v>
      </c>
      <c r="AB64" s="5">
        <v>6160045.1186981499</v>
      </c>
      <c r="AC64" s="5">
        <v>6157723.7598091103</v>
      </c>
      <c r="AD64">
        <f t="shared" si="1"/>
        <v>6643566.0089794798</v>
      </c>
      <c r="AE64">
        <f t="shared" si="2"/>
        <v>733599.24677594926</v>
      </c>
      <c r="AF64">
        <f t="shared" si="3"/>
        <v>0.11042251191369402</v>
      </c>
    </row>
    <row r="65" spans="1:32" x14ac:dyDescent="0.45">
      <c r="A65" s="5" t="s">
        <v>158</v>
      </c>
      <c r="B65" s="2">
        <f t="shared" si="0"/>
        <v>10132772.70502875</v>
      </c>
      <c r="C65" s="2">
        <v>10065930.432734255</v>
      </c>
      <c r="D65" s="2">
        <v>1.2460569087102111E-2</v>
      </c>
      <c r="E65" s="5">
        <v>7710345.0713089099</v>
      </c>
      <c r="F65" s="5">
        <v>21204217.388634</v>
      </c>
      <c r="G65" s="5">
        <v>5282157.1512344303</v>
      </c>
      <c r="H65" s="5">
        <v>3498062.0997832799</v>
      </c>
      <c r="I65" s="5">
        <v>6679372.1439427603</v>
      </c>
      <c r="J65" s="5">
        <v>21348377.995446101</v>
      </c>
      <c r="K65" s="5">
        <v>14887886.8800986</v>
      </c>
      <c r="L65" s="5">
        <v>4646777.7675766796</v>
      </c>
      <c r="M65" s="5">
        <v>7670023.5852856403</v>
      </c>
      <c r="N65" s="5">
        <v>19568142.410399199</v>
      </c>
      <c r="O65" s="5">
        <v>5408326.0740291104</v>
      </c>
      <c r="P65" s="5">
        <v>15726024.2561129</v>
      </c>
      <c r="Q65" s="5">
        <v>6540294.0552058201</v>
      </c>
      <c r="R65" s="5">
        <v>7078961.5922729103</v>
      </c>
      <c r="S65" s="5">
        <v>7110950.0132457903</v>
      </c>
      <c r="T65" s="5">
        <v>6079289.9606885398</v>
      </c>
      <c r="U65" s="5">
        <v>8499852.3475729208</v>
      </c>
      <c r="V65" s="5">
        <v>5949598.6435773401</v>
      </c>
      <c r="W65" s="5">
        <v>12607634.2644004</v>
      </c>
      <c r="X65" s="5">
        <v>16537117.7333366</v>
      </c>
      <c r="Y65" s="5">
        <v>8754815.3714518398</v>
      </c>
      <c r="Z65" s="5">
        <v>10104697.6201199</v>
      </c>
      <c r="AA65" s="5">
        <v>10098635.0084539</v>
      </c>
      <c r="AB65" s="5">
        <v>9885161.1529751197</v>
      </c>
      <c r="AC65" s="5">
        <v>10175227.9493881</v>
      </c>
      <c r="AD65">
        <f t="shared" si="1"/>
        <v>10065930.432734255</v>
      </c>
      <c r="AE65">
        <f t="shared" si="2"/>
        <v>125427.22158304884</v>
      </c>
      <c r="AF65">
        <f t="shared" si="3"/>
        <v>1.2460569087102111E-2</v>
      </c>
    </row>
    <row r="66" spans="1:32" x14ac:dyDescent="0.45">
      <c r="A66" s="5" t="s">
        <v>54</v>
      </c>
      <c r="B66" s="2">
        <f t="shared" ref="B66:B129" si="4">AVERAGE(E66:Y66)</f>
        <v>6257074.8015878163</v>
      </c>
      <c r="C66" s="7">
        <v>5303031.9501245953</v>
      </c>
      <c r="D66" s="8">
        <v>8.7081828468762335E-2</v>
      </c>
      <c r="E66" s="5">
        <v>6604705.1287976</v>
      </c>
      <c r="F66" s="5">
        <v>3688793.48104655</v>
      </c>
      <c r="G66" s="5">
        <v>5528686.0128236804</v>
      </c>
      <c r="H66" s="5">
        <v>8055167.9354806803</v>
      </c>
      <c r="I66" s="5">
        <v>4662930.6420500297</v>
      </c>
      <c r="J66" s="5">
        <v>4016948.38252318</v>
      </c>
      <c r="K66" s="5">
        <v>4862794.9692859398</v>
      </c>
      <c r="L66" s="5">
        <v>6582500.8203701796</v>
      </c>
      <c r="M66" s="5">
        <v>7493212.8632514998</v>
      </c>
      <c r="N66" s="5">
        <v>4636795.1937057199</v>
      </c>
      <c r="O66" s="5">
        <v>5452020.2414024398</v>
      </c>
      <c r="P66" s="5">
        <v>4759741.8629147597</v>
      </c>
      <c r="Q66" s="5">
        <v>9533771.8769498207</v>
      </c>
      <c r="R66" s="5">
        <v>7417108.3542764904</v>
      </c>
      <c r="S66" s="5">
        <v>8273796.6921258997</v>
      </c>
      <c r="T66" s="5">
        <v>7638833.8774788296</v>
      </c>
      <c r="U66" s="5">
        <v>7438187.79762433</v>
      </c>
      <c r="V66" s="5">
        <v>6200422.82986385</v>
      </c>
      <c r="W66" s="5">
        <v>3633158.7285099099</v>
      </c>
      <c r="X66" s="5">
        <v>5403106.6154669998</v>
      </c>
      <c r="Y66" s="5">
        <v>9515886.52739577</v>
      </c>
      <c r="Z66" s="5">
        <v>4736702.8116109297</v>
      </c>
      <c r="AA66" s="5">
        <v>5147070.3023990402</v>
      </c>
      <c r="AB66" s="5">
        <v>5794305.5112240203</v>
      </c>
      <c r="AC66" s="5">
        <v>5534049.1752643902</v>
      </c>
      <c r="AD66">
        <f t="shared" ref="AD66:AD129" si="5">AVERAGE(Z66:AC66)</f>
        <v>5303031.9501245953</v>
      </c>
      <c r="AE66">
        <f t="shared" ref="AE66:AE129" si="6">STDEV(Z66:AC66)</f>
        <v>461797.71864511626</v>
      </c>
      <c r="AF66">
        <f t="shared" ref="AF66:AF129" si="7">AE66/AD66</f>
        <v>8.7081828468762335E-2</v>
      </c>
    </row>
    <row r="67" spans="1:32" x14ac:dyDescent="0.45">
      <c r="A67" s="5" t="s">
        <v>183</v>
      </c>
      <c r="B67" s="2">
        <f t="shared" si="4"/>
        <v>1585850906.3799267</v>
      </c>
      <c r="C67" s="7">
        <v>1356114553.1637151</v>
      </c>
      <c r="D67" s="7">
        <v>2.9829346759522361E-2</v>
      </c>
      <c r="E67" s="5">
        <v>1779380427.83092</v>
      </c>
      <c r="F67" s="5">
        <v>1294973063.2579</v>
      </c>
      <c r="G67" s="5">
        <v>2072045480.46628</v>
      </c>
      <c r="H67" s="5">
        <v>2337704570.9021702</v>
      </c>
      <c r="I67" s="5">
        <v>1630414077.00069</v>
      </c>
      <c r="J67" s="5">
        <v>1001880473.56259</v>
      </c>
      <c r="K67" s="5">
        <v>1053021078.02865</v>
      </c>
      <c r="L67" s="5">
        <v>1934750859.4881799</v>
      </c>
      <c r="M67" s="5">
        <v>1460420077.20962</v>
      </c>
      <c r="N67" s="5">
        <v>1395156429.61147</v>
      </c>
      <c r="O67" s="5">
        <v>2317908538.6841698</v>
      </c>
      <c r="P67" s="5">
        <v>975082221.900738</v>
      </c>
      <c r="Q67" s="5">
        <v>2302666885.5039601</v>
      </c>
      <c r="R67" s="5">
        <v>1203417386.9854801</v>
      </c>
      <c r="S67" s="5">
        <v>1631664643.0302899</v>
      </c>
      <c r="T67" s="5">
        <v>1426411889.8202801</v>
      </c>
      <c r="U67" s="5">
        <v>1849437301.04776</v>
      </c>
      <c r="V67" s="5">
        <v>1466785288.0868399</v>
      </c>
      <c r="W67" s="5">
        <v>1321036283.9251001</v>
      </c>
      <c r="X67" s="5">
        <v>1118963820.0006399</v>
      </c>
      <c r="Y67" s="5">
        <v>1729748237.6347301</v>
      </c>
      <c r="Z67" s="5">
        <v>1304597317.3212299</v>
      </c>
      <c r="AA67" s="5">
        <v>1388226536.0658901</v>
      </c>
      <c r="AB67" s="5">
        <v>1388572494.2591</v>
      </c>
      <c r="AC67" s="5">
        <v>1343061865.0086401</v>
      </c>
      <c r="AD67">
        <f t="shared" si="5"/>
        <v>1356114553.1637151</v>
      </c>
      <c r="AE67">
        <f t="shared" si="6"/>
        <v>40452011.251955181</v>
      </c>
      <c r="AF67">
        <f t="shared" si="7"/>
        <v>2.9829346759522361E-2</v>
      </c>
    </row>
    <row r="68" spans="1:32" x14ac:dyDescent="0.45">
      <c r="A68" s="5" t="s">
        <v>147</v>
      </c>
      <c r="B68" s="2">
        <f t="shared" si="4"/>
        <v>51177085.860815369</v>
      </c>
      <c r="C68" s="7">
        <v>40233769.435339876</v>
      </c>
      <c r="D68" s="7">
        <v>4.0123593720762248E-2</v>
      </c>
      <c r="E68" s="5">
        <v>64219914.485548697</v>
      </c>
      <c r="F68" s="5">
        <v>52493626.380338803</v>
      </c>
      <c r="G68" s="5">
        <v>34887080.419091202</v>
      </c>
      <c r="H68" s="5">
        <v>49997850.429141201</v>
      </c>
      <c r="I68" s="5">
        <v>37948667.102324098</v>
      </c>
      <c r="J68" s="5">
        <v>42739634.778640501</v>
      </c>
      <c r="K68" s="5">
        <v>60145977.727599896</v>
      </c>
      <c r="L68" s="5">
        <v>81739643.917994604</v>
      </c>
      <c r="M68" s="5">
        <v>57121560.069562599</v>
      </c>
      <c r="N68" s="5">
        <v>46162336.690043703</v>
      </c>
      <c r="O68" s="5">
        <v>38655597.124475896</v>
      </c>
      <c r="P68" s="5">
        <v>47334614.586535797</v>
      </c>
      <c r="Q68" s="5">
        <v>59990361.132868104</v>
      </c>
      <c r="R68" s="5">
        <v>34423727.743930399</v>
      </c>
      <c r="S68" s="5">
        <v>70863162.255552307</v>
      </c>
      <c r="T68" s="5">
        <v>38630548.994254902</v>
      </c>
      <c r="U68" s="5">
        <v>64042600.781485803</v>
      </c>
      <c r="V68" s="5">
        <v>38911527.698803499</v>
      </c>
      <c r="W68" s="5">
        <v>40826926.580809303</v>
      </c>
      <c r="X68" s="5">
        <v>39722338.0888891</v>
      </c>
      <c r="Y68" s="5">
        <v>73861106.089232102</v>
      </c>
      <c r="Z68" s="5">
        <v>40496222.800341196</v>
      </c>
      <c r="AA68" s="5">
        <v>41808442.390583701</v>
      </c>
      <c r="AB68" s="5">
        <v>40653512.4915286</v>
      </c>
      <c r="AC68" s="5">
        <v>37976900.058905996</v>
      </c>
      <c r="AD68">
        <f t="shared" si="5"/>
        <v>40233769.435339876</v>
      </c>
      <c r="AE68">
        <f t="shared" si="6"/>
        <v>1614323.4186783989</v>
      </c>
      <c r="AF68">
        <f t="shared" si="7"/>
        <v>4.0123593720762248E-2</v>
      </c>
    </row>
    <row r="69" spans="1:32" x14ac:dyDescent="0.45">
      <c r="A69" s="5" t="s">
        <v>55</v>
      </c>
      <c r="B69" s="2">
        <f t="shared" si="4"/>
        <v>462917.15391648596</v>
      </c>
      <c r="C69" s="2">
        <v>94203.883333697609</v>
      </c>
      <c r="D69" s="2">
        <v>0.13345525995973789</v>
      </c>
      <c r="E69" s="5">
        <v>227353.57961993301</v>
      </c>
      <c r="F69" s="5">
        <v>55374.349363362897</v>
      </c>
      <c r="G69" s="5">
        <v>53108.762433525699</v>
      </c>
      <c r="H69" s="5">
        <v>405122.27407290501</v>
      </c>
      <c r="I69" s="5">
        <v>131955.261365452</v>
      </c>
      <c r="J69" s="5">
        <v>51161.139219548699</v>
      </c>
      <c r="K69" s="5">
        <v>58749.479737689697</v>
      </c>
      <c r="L69" s="5">
        <v>432510.60041046399</v>
      </c>
      <c r="M69" s="5">
        <v>482357.72845511598</v>
      </c>
      <c r="N69" s="5">
        <v>55322.437815688798</v>
      </c>
      <c r="O69" s="5">
        <v>314771.94634640001</v>
      </c>
      <c r="P69" s="5">
        <v>50509.3532938137</v>
      </c>
      <c r="Q69" s="5">
        <v>2231117.83914608</v>
      </c>
      <c r="R69" s="5">
        <v>2072668.82410171</v>
      </c>
      <c r="S69" s="5">
        <v>861717.94476961403</v>
      </c>
      <c r="T69" s="5">
        <v>317590.05052084499</v>
      </c>
      <c r="U69" s="5">
        <v>522259.34876613098</v>
      </c>
      <c r="V69" s="5">
        <v>189756.17413766001</v>
      </c>
      <c r="W69" s="5">
        <v>57199.702933036097</v>
      </c>
      <c r="X69" s="5">
        <v>46515.658017920403</v>
      </c>
      <c r="Y69" s="5">
        <v>1104137.77771931</v>
      </c>
      <c r="Z69" s="5">
        <v>88992.047559643805</v>
      </c>
      <c r="AA69" s="5">
        <v>81229.372706375201</v>
      </c>
      <c r="AB69" s="5">
        <v>95770.667021161396</v>
      </c>
      <c r="AC69" s="5">
        <v>110823.44604761001</v>
      </c>
      <c r="AD69">
        <f t="shared" si="5"/>
        <v>94203.883333697609</v>
      </c>
      <c r="AE69">
        <f t="shared" si="6"/>
        <v>12572.003739515434</v>
      </c>
      <c r="AF69">
        <f t="shared" si="7"/>
        <v>0.13345525995973789</v>
      </c>
    </row>
    <row r="70" spans="1:32" x14ac:dyDescent="0.45">
      <c r="A70" s="5" t="s">
        <v>56</v>
      </c>
      <c r="B70" s="2">
        <f t="shared" si="4"/>
        <v>274861412.43667537</v>
      </c>
      <c r="C70" s="7">
        <v>284362889.20514125</v>
      </c>
      <c r="D70" s="7">
        <v>5.2359749253257461E-2</v>
      </c>
      <c r="E70" s="5">
        <v>382401156.06734103</v>
      </c>
      <c r="F70" s="5">
        <v>197656336.147212</v>
      </c>
      <c r="G70" s="5">
        <v>361470182.97479498</v>
      </c>
      <c r="H70" s="5">
        <v>271768103.11427701</v>
      </c>
      <c r="I70" s="5">
        <v>239637191.04173201</v>
      </c>
      <c r="J70" s="5">
        <v>299691798.15353799</v>
      </c>
      <c r="K70" s="5">
        <v>454543313.29722798</v>
      </c>
      <c r="L70" s="5">
        <v>221562378.54777801</v>
      </c>
      <c r="M70" s="5">
        <v>209452872.915135</v>
      </c>
      <c r="N70" s="5">
        <v>365125850.932033</v>
      </c>
      <c r="O70" s="5">
        <v>261602294.23176301</v>
      </c>
      <c r="P70" s="5">
        <v>323088139.52025801</v>
      </c>
      <c r="Q70" s="5">
        <v>302812836.32587397</v>
      </c>
      <c r="R70" s="5">
        <v>271058844.86993301</v>
      </c>
      <c r="S70" s="5">
        <v>290591659.15422601</v>
      </c>
      <c r="T70" s="5">
        <v>165343372.22756901</v>
      </c>
      <c r="U70" s="5">
        <v>180264208.48954901</v>
      </c>
      <c r="V70" s="5">
        <v>257174851.646157</v>
      </c>
      <c r="W70" s="5">
        <v>285262519.38485599</v>
      </c>
      <c r="X70" s="5">
        <v>242193093.03486201</v>
      </c>
      <c r="Y70" s="5">
        <v>189388659.09406701</v>
      </c>
      <c r="Z70" s="5">
        <v>305032413.05559802</v>
      </c>
      <c r="AA70" s="5">
        <v>281009088.12251902</v>
      </c>
      <c r="AB70" s="5">
        <v>281896464.91491902</v>
      </c>
      <c r="AC70" s="5">
        <v>269513590.72752899</v>
      </c>
      <c r="AD70">
        <f t="shared" si="5"/>
        <v>284362889.20514125</v>
      </c>
      <c r="AE70">
        <f t="shared" si="6"/>
        <v>14889169.575713029</v>
      </c>
      <c r="AF70">
        <f t="shared" si="7"/>
        <v>5.2359749253257461E-2</v>
      </c>
    </row>
    <row r="71" spans="1:32" x14ac:dyDescent="0.45">
      <c r="A71" s="5" t="s">
        <v>240</v>
      </c>
      <c r="B71" s="2">
        <f t="shared" si="4"/>
        <v>451808189.11138046</v>
      </c>
      <c r="C71" s="2">
        <v>403151315.60819221</v>
      </c>
      <c r="D71" s="2">
        <v>0.14152289265220597</v>
      </c>
      <c r="E71" s="5">
        <v>539573312.61101103</v>
      </c>
      <c r="F71" s="5">
        <v>278125998.89013499</v>
      </c>
      <c r="G71" s="5">
        <v>432117503.52177399</v>
      </c>
      <c r="H71" s="5">
        <v>651731517.15316606</v>
      </c>
      <c r="I71" s="5">
        <v>530039067.72613001</v>
      </c>
      <c r="J71" s="5">
        <v>212396142.094392</v>
      </c>
      <c r="K71" s="5">
        <v>165781584.887288</v>
      </c>
      <c r="L71" s="5">
        <v>509884967.99706602</v>
      </c>
      <c r="M71" s="5">
        <v>528459739.822317</v>
      </c>
      <c r="N71" s="5">
        <v>222460666.719888</v>
      </c>
      <c r="O71" s="5">
        <v>542820698.27779901</v>
      </c>
      <c r="P71" s="5">
        <v>257196705.301862</v>
      </c>
      <c r="Q71" s="5">
        <v>782566123.37737596</v>
      </c>
      <c r="R71" s="5">
        <v>437279790.50869697</v>
      </c>
      <c r="S71" s="5">
        <v>548742970.93561494</v>
      </c>
      <c r="T71" s="5">
        <v>580337651.31162298</v>
      </c>
      <c r="U71" s="5">
        <v>562246725.00522399</v>
      </c>
      <c r="V71" s="5">
        <v>604520127.22415805</v>
      </c>
      <c r="W71" s="5">
        <v>296826949.57795602</v>
      </c>
      <c r="X71" s="5">
        <v>284375408.61974502</v>
      </c>
      <c r="Y71" s="5">
        <v>520488319.77576798</v>
      </c>
      <c r="Z71" s="5">
        <v>332259160.40927798</v>
      </c>
      <c r="AA71" s="5">
        <v>392997077.389054</v>
      </c>
      <c r="AB71" s="5">
        <v>417666802.31242502</v>
      </c>
      <c r="AC71" s="5">
        <v>469682222.32201201</v>
      </c>
      <c r="AD71">
        <f t="shared" si="5"/>
        <v>403151315.60819221</v>
      </c>
      <c r="AE71">
        <f t="shared" si="6"/>
        <v>57055140.361413792</v>
      </c>
      <c r="AF71">
        <f t="shared" si="7"/>
        <v>0.14152289265220597</v>
      </c>
    </row>
    <row r="72" spans="1:32" x14ac:dyDescent="0.45">
      <c r="A72" s="5" t="s">
        <v>241</v>
      </c>
      <c r="B72" s="2">
        <f t="shared" si="4"/>
        <v>231918.22724697934</v>
      </c>
      <c r="C72" s="2">
        <v>229504.50144590801</v>
      </c>
      <c r="D72" s="2">
        <v>5.9173286923259447E-2</v>
      </c>
      <c r="E72" s="5">
        <v>18079.665965373501</v>
      </c>
      <c r="F72" s="5">
        <v>318234.28920056898</v>
      </c>
      <c r="G72" s="5">
        <v>20810.5808902998</v>
      </c>
      <c r="H72" s="5">
        <v>19625.5642206056</v>
      </c>
      <c r="I72" s="5">
        <v>19247.157041901999</v>
      </c>
      <c r="J72" s="5">
        <v>400735.75056510698</v>
      </c>
      <c r="K72" s="5">
        <v>1741926.0996737599</v>
      </c>
      <c r="L72" s="5">
        <v>18173.769653791202</v>
      </c>
      <c r="M72" s="5">
        <v>30261.180201221501</v>
      </c>
      <c r="N72" s="5">
        <v>781668.25279081904</v>
      </c>
      <c r="O72" s="5">
        <v>20410.6710799106</v>
      </c>
      <c r="P72" s="5">
        <v>622556.86349956703</v>
      </c>
      <c r="Q72" s="5">
        <v>39204.049311062503</v>
      </c>
      <c r="R72" s="5">
        <v>23041.647748372299</v>
      </c>
      <c r="S72" s="5">
        <v>19005.765534527702</v>
      </c>
      <c r="T72" s="5">
        <v>21172.6402198125</v>
      </c>
      <c r="U72" s="5">
        <v>19062.3940078534</v>
      </c>
      <c r="V72" s="5">
        <v>25160.766620849899</v>
      </c>
      <c r="W72" s="5">
        <v>348539.42947990901</v>
      </c>
      <c r="X72" s="5">
        <v>344496.59086614603</v>
      </c>
      <c r="Y72" s="5">
        <v>18869.6436151083</v>
      </c>
      <c r="Z72" s="5">
        <v>221086.16615495001</v>
      </c>
      <c r="AA72" s="5">
        <v>234290.70568986001</v>
      </c>
      <c r="AB72" s="5">
        <v>246369.16395966199</v>
      </c>
      <c r="AC72" s="5">
        <v>216271.96997916</v>
      </c>
      <c r="AD72">
        <f t="shared" si="5"/>
        <v>229504.50144590801</v>
      </c>
      <c r="AE72">
        <f t="shared" si="6"/>
        <v>13580.535714238327</v>
      </c>
      <c r="AF72">
        <f t="shared" si="7"/>
        <v>5.9173286923259447E-2</v>
      </c>
    </row>
    <row r="73" spans="1:32" x14ac:dyDescent="0.45">
      <c r="A73" s="5" t="s">
        <v>57</v>
      </c>
      <c r="B73" s="2">
        <f t="shared" si="4"/>
        <v>6528501.281155047</v>
      </c>
      <c r="C73" s="7">
        <v>5346432.1526787654</v>
      </c>
      <c r="D73" s="8">
        <v>8.0118608801847097E-2</v>
      </c>
      <c r="E73" s="5">
        <v>6924510.4625072498</v>
      </c>
      <c r="F73" s="5">
        <v>3943702.0837808</v>
      </c>
      <c r="G73" s="5">
        <v>5830287.1228911504</v>
      </c>
      <c r="H73" s="5">
        <v>8558214.1793280691</v>
      </c>
      <c r="I73" s="5">
        <v>5030706.7121648602</v>
      </c>
      <c r="J73" s="5">
        <v>4199717.6237697303</v>
      </c>
      <c r="K73" s="5">
        <v>4835970.3431432396</v>
      </c>
      <c r="L73" s="5">
        <v>6854800.1852026703</v>
      </c>
      <c r="M73" s="5">
        <v>7904746.7477304703</v>
      </c>
      <c r="N73" s="5">
        <v>4840190.8051036596</v>
      </c>
      <c r="O73" s="5">
        <v>6176724.4714100296</v>
      </c>
      <c r="P73" s="5">
        <v>4951704.9294468397</v>
      </c>
      <c r="Q73" s="5">
        <v>9571111.2964508291</v>
      </c>
      <c r="R73" s="5">
        <v>7618834.5871467199</v>
      </c>
      <c r="S73" s="5">
        <v>8116889.40614428</v>
      </c>
      <c r="T73" s="5">
        <v>8100300.0646369997</v>
      </c>
      <c r="U73" s="5">
        <v>7342847.1854010997</v>
      </c>
      <c r="V73" s="5">
        <v>6609183.5334785301</v>
      </c>
      <c r="W73" s="5">
        <v>3785970.3215695499</v>
      </c>
      <c r="X73" s="5">
        <v>5750396.7613931</v>
      </c>
      <c r="Y73" s="5">
        <v>10151718.0815561</v>
      </c>
      <c r="Z73" s="5">
        <v>4736832.0583302798</v>
      </c>
      <c r="AA73" s="5">
        <v>5499883.8426695196</v>
      </c>
      <c r="AB73" s="5">
        <v>5734588.3065728797</v>
      </c>
      <c r="AC73" s="5">
        <v>5414424.4031423796</v>
      </c>
      <c r="AD73">
        <f t="shared" si="5"/>
        <v>5346432.1526787654</v>
      </c>
      <c r="AE73">
        <f t="shared" si="6"/>
        <v>428348.70612608729</v>
      </c>
      <c r="AF73">
        <f t="shared" si="7"/>
        <v>8.0118608801847097E-2</v>
      </c>
    </row>
    <row r="74" spans="1:32" x14ac:dyDescent="0.45">
      <c r="A74" s="5" t="s">
        <v>58</v>
      </c>
      <c r="B74" s="2">
        <f t="shared" si="4"/>
        <v>28908000.195134513</v>
      </c>
      <c r="C74" s="7">
        <v>23379930.673781626</v>
      </c>
      <c r="D74" s="8">
        <v>3.696641091471884E-2</v>
      </c>
      <c r="E74" s="5">
        <v>33554101.0859796</v>
      </c>
      <c r="F74" s="5">
        <v>42555138.837268703</v>
      </c>
      <c r="G74" s="5">
        <v>32546431.860707801</v>
      </c>
      <c r="H74" s="5">
        <v>18342682.680580899</v>
      </c>
      <c r="I74" s="5">
        <v>19834060.770400699</v>
      </c>
      <c r="J74" s="5">
        <v>19189448.446761198</v>
      </c>
      <c r="K74" s="5">
        <v>24365332.086142901</v>
      </c>
      <c r="L74" s="5">
        <v>25741955.739881098</v>
      </c>
      <c r="M74" s="5">
        <v>24255338.522461001</v>
      </c>
      <c r="N74" s="5">
        <v>14095120.0925759</v>
      </c>
      <c r="O74" s="5">
        <v>28479306.366120301</v>
      </c>
      <c r="P74" s="5">
        <v>16636246.3665139</v>
      </c>
      <c r="Q74" s="5">
        <v>63363211.596374698</v>
      </c>
      <c r="R74" s="5">
        <v>46096629.2726539</v>
      </c>
      <c r="S74" s="5">
        <v>29668540.716665499</v>
      </c>
      <c r="T74" s="5">
        <v>19543596.975937702</v>
      </c>
      <c r="U74" s="5">
        <v>34748710.965529896</v>
      </c>
      <c r="V74" s="5">
        <v>25951951.903438699</v>
      </c>
      <c r="W74" s="5">
        <v>21380671.717150301</v>
      </c>
      <c r="X74" s="5">
        <v>25891045.3540272</v>
      </c>
      <c r="Y74" s="5">
        <v>40828482.740652896</v>
      </c>
      <c r="Z74" s="5">
        <v>22697000.9769045</v>
      </c>
      <c r="AA74" s="5">
        <v>23758337.645805601</v>
      </c>
      <c r="AB74" s="5">
        <v>24422401.860616799</v>
      </c>
      <c r="AC74" s="5">
        <v>22641982.211799599</v>
      </c>
      <c r="AD74">
        <f t="shared" si="5"/>
        <v>23379930.673781626</v>
      </c>
      <c r="AE74">
        <f t="shared" si="6"/>
        <v>864272.12444465084</v>
      </c>
      <c r="AF74">
        <f t="shared" si="7"/>
        <v>3.696641091471884E-2</v>
      </c>
    </row>
    <row r="75" spans="1:32" x14ac:dyDescent="0.45">
      <c r="A75" s="5" t="s">
        <v>59</v>
      </c>
      <c r="B75" s="2">
        <f t="shared" si="4"/>
        <v>89245978.55613859</v>
      </c>
      <c r="C75" s="7">
        <v>78871139.076382384</v>
      </c>
      <c r="D75" s="7">
        <v>6.6143064344266173E-2</v>
      </c>
      <c r="E75" s="5">
        <v>109876050.98092499</v>
      </c>
      <c r="F75" s="5">
        <v>63736070.877991699</v>
      </c>
      <c r="G75" s="5">
        <v>80503832.647867501</v>
      </c>
      <c r="H75" s="5">
        <v>130127915.916839</v>
      </c>
      <c r="I75" s="5">
        <v>86896948.649665296</v>
      </c>
      <c r="J75" s="5">
        <v>66433402.388724297</v>
      </c>
      <c r="K75" s="5">
        <v>64345320.2406151</v>
      </c>
      <c r="L75" s="5">
        <v>90533239.974021301</v>
      </c>
      <c r="M75" s="5">
        <v>92106273.317709699</v>
      </c>
      <c r="N75" s="5">
        <v>57895945.716731898</v>
      </c>
      <c r="O75" s="5">
        <v>84222609.212653607</v>
      </c>
      <c r="P75" s="5">
        <v>76656290.877214506</v>
      </c>
      <c r="Q75" s="5">
        <v>123479526.722197</v>
      </c>
      <c r="R75" s="5">
        <v>97128530.157799199</v>
      </c>
      <c r="S75" s="5">
        <v>121197193.93975499</v>
      </c>
      <c r="T75" s="5">
        <v>96754478.635038599</v>
      </c>
      <c r="U75" s="5">
        <v>96483791.720707998</v>
      </c>
      <c r="V75" s="5">
        <v>97656425.426784903</v>
      </c>
      <c r="W75" s="5">
        <v>70903360.327080801</v>
      </c>
      <c r="X75" s="5">
        <v>63859823.728146903</v>
      </c>
      <c r="Y75" s="5">
        <v>103368518.220441</v>
      </c>
      <c r="Z75" s="5">
        <v>74515531.280273706</v>
      </c>
      <c r="AA75" s="5">
        <v>82637998.058528796</v>
      </c>
      <c r="AB75" s="5">
        <v>84080311.827978596</v>
      </c>
      <c r="AC75" s="5">
        <v>74250715.138748407</v>
      </c>
      <c r="AD75">
        <f t="shared" si="5"/>
        <v>78871139.076382384</v>
      </c>
      <c r="AE75">
        <f t="shared" si="6"/>
        <v>5216778.8268347261</v>
      </c>
      <c r="AF75">
        <f t="shared" si="7"/>
        <v>6.6143064344266173E-2</v>
      </c>
    </row>
    <row r="76" spans="1:32" x14ac:dyDescent="0.45">
      <c r="A76" s="5" t="s">
        <v>184</v>
      </c>
      <c r="B76" s="2">
        <f t="shared" si="4"/>
        <v>26389674.892692704</v>
      </c>
      <c r="C76" s="7">
        <v>20960903.939725224</v>
      </c>
      <c r="D76" s="7">
        <v>1.0387754927100919E-2</v>
      </c>
      <c r="E76" s="5">
        <v>25940010.560396701</v>
      </c>
      <c r="F76" s="5">
        <v>15327757.4150861</v>
      </c>
      <c r="G76" s="5">
        <v>30615708.295982201</v>
      </c>
      <c r="H76" s="5">
        <v>33095838.225650001</v>
      </c>
      <c r="I76" s="5">
        <v>30116810.248366602</v>
      </c>
      <c r="J76" s="5">
        <v>16695335.588323399</v>
      </c>
      <c r="K76" s="5">
        <v>15909537.471698901</v>
      </c>
      <c r="L76" s="5">
        <v>28135935.185130399</v>
      </c>
      <c r="M76" s="5">
        <v>28519140.088852402</v>
      </c>
      <c r="N76" s="5">
        <v>15975677.0086757</v>
      </c>
      <c r="O76" s="5">
        <v>36412564.363371797</v>
      </c>
      <c r="P76" s="5">
        <v>15633327.086263301</v>
      </c>
      <c r="Q76" s="5">
        <v>32472045.9834489</v>
      </c>
      <c r="R76" s="5">
        <v>36088471.873629898</v>
      </c>
      <c r="S76" s="5">
        <v>34262960.648639299</v>
      </c>
      <c r="T76" s="5">
        <v>32371788.067703102</v>
      </c>
      <c r="U76" s="5">
        <v>29877250.592888001</v>
      </c>
      <c r="V76" s="5">
        <v>29267561.515363399</v>
      </c>
      <c r="W76" s="5">
        <v>16183434.5571394</v>
      </c>
      <c r="X76" s="5">
        <v>16106378.648592601</v>
      </c>
      <c r="Y76" s="5">
        <v>35175639.321344502</v>
      </c>
      <c r="Z76" s="5">
        <v>21103442.2696146</v>
      </c>
      <c r="AA76" s="5">
        <v>21141187.564351302</v>
      </c>
      <c r="AB76" s="5">
        <v>20662925.237568099</v>
      </c>
      <c r="AC76" s="5">
        <v>20936060.687366899</v>
      </c>
      <c r="AD76">
        <f t="shared" si="5"/>
        <v>20960903.939725224</v>
      </c>
      <c r="AE76">
        <f t="shared" si="6"/>
        <v>217736.73317636977</v>
      </c>
      <c r="AF76">
        <f t="shared" si="7"/>
        <v>1.0387754927100919E-2</v>
      </c>
    </row>
    <row r="77" spans="1:32" x14ac:dyDescent="0.45">
      <c r="A77" s="5" t="s">
        <v>284</v>
      </c>
      <c r="B77" s="2">
        <f t="shared" si="4"/>
        <v>4828284.706056999</v>
      </c>
      <c r="C77" s="2">
        <v>4170781.2114602197</v>
      </c>
      <c r="D77" s="2">
        <v>4.3454946053875565E-2</v>
      </c>
      <c r="E77" s="5">
        <v>3761276.5385200302</v>
      </c>
      <c r="F77" s="5">
        <v>716903.03382151702</v>
      </c>
      <c r="G77" s="5">
        <v>12733701.2777551</v>
      </c>
      <c r="H77" s="5">
        <v>17950586.2233507</v>
      </c>
      <c r="I77" s="5">
        <v>5349227.2987439902</v>
      </c>
      <c r="J77" s="5">
        <v>206476.182421406</v>
      </c>
      <c r="K77" s="5">
        <v>44819.485264381299</v>
      </c>
      <c r="L77" s="5">
        <v>3015114.7331226701</v>
      </c>
      <c r="M77" s="5">
        <v>4858802.79755159</v>
      </c>
      <c r="N77" s="5">
        <v>134814.48127769399</v>
      </c>
      <c r="O77" s="5">
        <v>7817995.8906405596</v>
      </c>
      <c r="P77" s="5">
        <v>526830.44376954797</v>
      </c>
      <c r="Q77" s="5">
        <v>9384729.9415160902</v>
      </c>
      <c r="R77" s="5">
        <v>5644480.7581249196</v>
      </c>
      <c r="S77" s="5">
        <v>4449183.8674788997</v>
      </c>
      <c r="T77" s="5">
        <v>6068321.52035351</v>
      </c>
      <c r="U77" s="5">
        <v>6348801.6367750699</v>
      </c>
      <c r="V77" s="5">
        <v>5898391.2111328105</v>
      </c>
      <c r="W77" s="5">
        <v>524165.89579014701</v>
      </c>
      <c r="X77" s="5">
        <v>444846.30841604999</v>
      </c>
      <c r="Y77" s="5">
        <v>5514509.3013702799</v>
      </c>
      <c r="Z77" s="5">
        <v>4115254.88389481</v>
      </c>
      <c r="AA77" s="5">
        <v>3944064.0526713701</v>
      </c>
      <c r="AB77" s="5">
        <v>4265911.4163039401</v>
      </c>
      <c r="AC77" s="5">
        <v>4357894.49297076</v>
      </c>
      <c r="AD77">
        <f t="shared" si="5"/>
        <v>4170781.2114602197</v>
      </c>
      <c r="AE77">
        <f t="shared" si="6"/>
        <v>181241.07254652161</v>
      </c>
      <c r="AF77">
        <f t="shared" si="7"/>
        <v>4.3454946053875565E-2</v>
      </c>
    </row>
    <row r="78" spans="1:32" x14ac:dyDescent="0.45">
      <c r="A78" s="5" t="s">
        <v>185</v>
      </c>
      <c r="B78" s="2">
        <f t="shared" si="4"/>
        <v>19299301.527441699</v>
      </c>
      <c r="C78" s="8">
        <v>7950192.1502045728</v>
      </c>
      <c r="D78" s="8">
        <v>9.9471657213432096E-2</v>
      </c>
      <c r="E78" s="5">
        <v>355561.05484643101</v>
      </c>
      <c r="F78" s="5">
        <v>42029036.382897697</v>
      </c>
      <c r="G78" s="5">
        <v>576796.38116233097</v>
      </c>
      <c r="H78" s="5">
        <v>246744.58610157401</v>
      </c>
      <c r="I78" s="5">
        <v>476125.51812440797</v>
      </c>
      <c r="J78" s="5">
        <v>66774824.993462197</v>
      </c>
      <c r="K78" s="5">
        <v>78337935.265476003</v>
      </c>
      <c r="L78" s="5">
        <v>451236.10730242101</v>
      </c>
      <c r="M78" s="5">
        <v>86621.212165236095</v>
      </c>
      <c r="N78" s="5">
        <v>51411893.052587204</v>
      </c>
      <c r="O78" s="5">
        <v>591067.09274664405</v>
      </c>
      <c r="P78" s="5">
        <v>58577904.687162504</v>
      </c>
      <c r="Q78" s="5">
        <v>110112.91128433699</v>
      </c>
      <c r="R78" s="5">
        <v>681437.06624710304</v>
      </c>
      <c r="S78" s="5">
        <v>900518.71622820897</v>
      </c>
      <c r="T78" s="5">
        <v>137078.43326638901</v>
      </c>
      <c r="U78" s="5">
        <v>94249.962979907694</v>
      </c>
      <c r="V78" s="5">
        <v>238463.84175424499</v>
      </c>
      <c r="W78" s="5">
        <v>54097591.841656402</v>
      </c>
      <c r="X78" s="5">
        <v>48807350.521434203</v>
      </c>
      <c r="Y78" s="5">
        <v>302782.44739022898</v>
      </c>
      <c r="Z78" s="5">
        <v>9023298.7882925496</v>
      </c>
      <c r="AA78" s="5">
        <v>7864279.2494356101</v>
      </c>
      <c r="AB78" s="5">
        <v>7795688.51892637</v>
      </c>
      <c r="AC78" s="5">
        <v>7117502.0441637598</v>
      </c>
      <c r="AD78">
        <f t="shared" si="5"/>
        <v>7950192.1502045728</v>
      </c>
      <c r="AE78">
        <f t="shared" si="6"/>
        <v>790818.78834606789</v>
      </c>
      <c r="AF78">
        <f t="shared" si="7"/>
        <v>9.9471657213432096E-2</v>
      </c>
    </row>
    <row r="79" spans="1:32" x14ac:dyDescent="0.45">
      <c r="A79" s="5" t="s">
        <v>60</v>
      </c>
      <c r="B79" s="2">
        <f t="shared" si="4"/>
        <v>10596626.454602497</v>
      </c>
      <c r="C79" s="7">
        <v>9090794.5165479537</v>
      </c>
      <c r="D79" s="8">
        <v>7.5253662211702627E-2</v>
      </c>
      <c r="E79" s="5">
        <v>12009196.082831001</v>
      </c>
      <c r="F79" s="5">
        <v>8026685.28528859</v>
      </c>
      <c r="G79" s="5">
        <v>11015049.7145037</v>
      </c>
      <c r="H79" s="5">
        <v>16223642.1302492</v>
      </c>
      <c r="I79" s="5">
        <v>9691696.5943892598</v>
      </c>
      <c r="J79" s="5">
        <v>6434665.4106936799</v>
      </c>
      <c r="K79" s="5">
        <v>517937.62939377798</v>
      </c>
      <c r="L79" s="5">
        <v>11702036.571045101</v>
      </c>
      <c r="M79" s="5">
        <v>13542726.6719495</v>
      </c>
      <c r="N79" s="5">
        <v>6827319.3046474699</v>
      </c>
      <c r="O79" s="5">
        <v>12226036.354880299</v>
      </c>
      <c r="P79" s="5">
        <v>7661169.8450818397</v>
      </c>
      <c r="Q79" s="5">
        <v>5414314.1505133696</v>
      </c>
      <c r="R79" s="5">
        <v>14892492.697183499</v>
      </c>
      <c r="S79" s="5">
        <v>16929863.830783602</v>
      </c>
      <c r="T79" s="5">
        <v>14575028.570343999</v>
      </c>
      <c r="U79" s="5">
        <v>12448927.3754951</v>
      </c>
      <c r="V79" s="5">
        <v>8690260.08081205</v>
      </c>
      <c r="W79" s="5">
        <v>7664214.8212442799</v>
      </c>
      <c r="X79" s="5">
        <v>9245223.89332214</v>
      </c>
      <c r="Y79" s="5">
        <v>16790668.532001</v>
      </c>
      <c r="Z79" s="5">
        <v>9867567.8638678994</v>
      </c>
      <c r="AA79" s="5">
        <v>9446087.8810212109</v>
      </c>
      <c r="AB79" s="5">
        <v>8654462.0696503203</v>
      </c>
      <c r="AC79" s="5">
        <v>8395060.2516523805</v>
      </c>
      <c r="AD79">
        <f t="shared" si="5"/>
        <v>9090794.5165479537</v>
      </c>
      <c r="AE79">
        <f t="shared" si="6"/>
        <v>684115.5797842982</v>
      </c>
      <c r="AF79">
        <f t="shared" si="7"/>
        <v>7.5253662211702627E-2</v>
      </c>
    </row>
    <row r="80" spans="1:32" x14ac:dyDescent="0.45">
      <c r="A80" s="5" t="s">
        <v>61</v>
      </c>
      <c r="B80" s="2">
        <f t="shared" si="4"/>
        <v>47487592.224982813</v>
      </c>
      <c r="C80" s="8">
        <v>40428718.6489916</v>
      </c>
      <c r="D80" s="7">
        <v>2.2271610465974808E-2</v>
      </c>
      <c r="E80" s="5">
        <v>49038054.094246097</v>
      </c>
      <c r="F80" s="5">
        <v>35400949.419760101</v>
      </c>
      <c r="G80" s="5">
        <v>48798992.961988203</v>
      </c>
      <c r="H80" s="5">
        <v>69518064.805211201</v>
      </c>
      <c r="I80" s="5">
        <v>45535380.895784497</v>
      </c>
      <c r="J80" s="5">
        <v>30088934.994455699</v>
      </c>
      <c r="K80" s="5">
        <v>2729346.43423894</v>
      </c>
      <c r="L80" s="5">
        <v>49859455.7242302</v>
      </c>
      <c r="M80" s="5">
        <v>56535935.420533702</v>
      </c>
      <c r="N80" s="5">
        <v>30019562.074512899</v>
      </c>
      <c r="O80" s="5">
        <v>55325566.990788497</v>
      </c>
      <c r="P80" s="5">
        <v>35803704.556827202</v>
      </c>
      <c r="Q80" s="5">
        <v>27625863.999618299</v>
      </c>
      <c r="R80" s="5">
        <v>70814956.640788704</v>
      </c>
      <c r="S80" s="5">
        <v>72604458.235390097</v>
      </c>
      <c r="T80" s="5">
        <v>65710143.784920797</v>
      </c>
      <c r="U80" s="5">
        <v>55138165.3411486</v>
      </c>
      <c r="V80" s="5">
        <v>40713203.552562997</v>
      </c>
      <c r="W80" s="5">
        <v>35171261.116104104</v>
      </c>
      <c r="X80" s="5">
        <v>42852821.521140203</v>
      </c>
      <c r="Y80" s="5">
        <v>77954614.160387993</v>
      </c>
      <c r="Z80" s="5">
        <v>39761724.940356202</v>
      </c>
      <c r="AA80" s="5">
        <v>41343291.273627102</v>
      </c>
      <c r="AB80" s="5">
        <v>41053346.719608396</v>
      </c>
      <c r="AC80" s="5">
        <v>39556511.662374698</v>
      </c>
      <c r="AD80">
        <f t="shared" si="5"/>
        <v>40428718.6489916</v>
      </c>
      <c r="AE80">
        <f t="shared" si="6"/>
        <v>900412.67338883225</v>
      </c>
      <c r="AF80">
        <f t="shared" si="7"/>
        <v>2.2271610465974808E-2</v>
      </c>
    </row>
    <row r="81" spans="1:32" x14ac:dyDescent="0.45">
      <c r="A81" s="5" t="s">
        <v>186</v>
      </c>
      <c r="B81" s="2">
        <f t="shared" si="4"/>
        <v>3327410.2724853358</v>
      </c>
      <c r="C81" s="7">
        <v>3094414.6112654023</v>
      </c>
      <c r="D81" s="8">
        <v>3.294383362707147E-2</v>
      </c>
      <c r="E81" s="5">
        <v>2774709.3288648399</v>
      </c>
      <c r="F81" s="5">
        <v>5924951.0879765302</v>
      </c>
      <c r="G81" s="5">
        <v>2082512.72730345</v>
      </c>
      <c r="H81" s="5">
        <v>1409137.26020106</v>
      </c>
      <c r="I81" s="5">
        <v>2238758.7927333498</v>
      </c>
      <c r="J81" s="5">
        <v>6393237.6118251504</v>
      </c>
      <c r="K81" s="5">
        <v>4425620.2672782</v>
      </c>
      <c r="L81" s="5">
        <v>1666525.6965906499</v>
      </c>
      <c r="M81" s="5">
        <v>2502670.3887321302</v>
      </c>
      <c r="N81" s="5">
        <v>6584516.0901146298</v>
      </c>
      <c r="O81" s="5">
        <v>1945456.8829886499</v>
      </c>
      <c r="P81" s="5">
        <v>4397761.3787275096</v>
      </c>
      <c r="Q81" s="5">
        <v>2432967.94485112</v>
      </c>
      <c r="R81" s="5">
        <v>2893056.28715256</v>
      </c>
      <c r="S81" s="5">
        <v>2767033.8123818901</v>
      </c>
      <c r="T81" s="5">
        <v>2410757.5946574798</v>
      </c>
      <c r="U81" s="5">
        <v>3021814.5981959202</v>
      </c>
      <c r="V81" s="5">
        <v>2196776.5035146698</v>
      </c>
      <c r="W81" s="5">
        <v>3899414.6412637401</v>
      </c>
      <c r="X81" s="5">
        <v>4258022.0020733196</v>
      </c>
      <c r="Y81" s="5">
        <v>3649914.82476521</v>
      </c>
      <c r="Z81" s="5">
        <v>3233808.76561841</v>
      </c>
      <c r="AA81" s="5">
        <v>3022704.0620015902</v>
      </c>
      <c r="AB81" s="5">
        <v>3014135.9029837698</v>
      </c>
      <c r="AC81" s="5">
        <v>3107009.7144578402</v>
      </c>
      <c r="AD81">
        <f t="shared" si="5"/>
        <v>3094414.6112654023</v>
      </c>
      <c r="AE81">
        <f t="shared" si="6"/>
        <v>101941.88012670646</v>
      </c>
      <c r="AF81">
        <f t="shared" si="7"/>
        <v>3.294383362707147E-2</v>
      </c>
    </row>
    <row r="82" spans="1:32" x14ac:dyDescent="0.45">
      <c r="A82" s="5" t="s">
        <v>67</v>
      </c>
      <c r="B82" s="2">
        <f t="shared" si="4"/>
        <v>24682657.965048511</v>
      </c>
      <c r="C82" s="7">
        <v>22232128.503390927</v>
      </c>
      <c r="D82" s="8">
        <v>0.14049142010240342</v>
      </c>
      <c r="E82" s="5">
        <v>13264164.357609499</v>
      </c>
      <c r="F82" s="5">
        <v>27772800.0889103</v>
      </c>
      <c r="G82" s="5">
        <v>41944641.511411503</v>
      </c>
      <c r="H82" s="5">
        <v>24441872.217843398</v>
      </c>
      <c r="I82" s="5">
        <v>32126648.842984602</v>
      </c>
      <c r="J82" s="5">
        <v>27676841.614918198</v>
      </c>
      <c r="K82" s="5">
        <v>19204206.191495098</v>
      </c>
      <c r="L82" s="5">
        <v>15207014.4812357</v>
      </c>
      <c r="M82" s="5">
        <v>17605450.5899988</v>
      </c>
      <c r="N82" s="5">
        <v>23874058.638355698</v>
      </c>
      <c r="O82" s="5">
        <v>28273937.630038999</v>
      </c>
      <c r="P82" s="5">
        <v>18953953.726927701</v>
      </c>
      <c r="Q82" s="5">
        <v>18161409.014808699</v>
      </c>
      <c r="R82" s="5">
        <v>27295533.867874399</v>
      </c>
      <c r="S82" s="5">
        <v>18245565.945544198</v>
      </c>
      <c r="T82" s="5">
        <v>25025121.1168136</v>
      </c>
      <c r="U82" s="5">
        <v>27281072.835071001</v>
      </c>
      <c r="V82" s="5">
        <v>27816768.261317998</v>
      </c>
      <c r="W82" s="5">
        <v>34733502.986227699</v>
      </c>
      <c r="X82" s="5">
        <v>27390958.6309264</v>
      </c>
      <c r="Y82" s="5">
        <v>22040294.7157051</v>
      </c>
      <c r="Z82" s="5">
        <v>17591404.228188999</v>
      </c>
      <c r="AA82" s="5">
        <v>23188394.601946302</v>
      </c>
      <c r="AB82" s="5">
        <v>23954073.021611702</v>
      </c>
      <c r="AC82" s="5">
        <v>24194642.161816701</v>
      </c>
      <c r="AD82">
        <f t="shared" si="5"/>
        <v>22232128.503390927</v>
      </c>
      <c r="AE82">
        <f t="shared" si="6"/>
        <v>3123423.3053405122</v>
      </c>
      <c r="AF82">
        <f t="shared" si="7"/>
        <v>0.14049142010240342</v>
      </c>
    </row>
    <row r="83" spans="1:32" x14ac:dyDescent="0.45">
      <c r="A83" s="5" t="s">
        <v>243</v>
      </c>
      <c r="B83" s="2">
        <f t="shared" si="4"/>
        <v>8986224.1074678097</v>
      </c>
      <c r="C83" s="2">
        <v>9056878.5493052825</v>
      </c>
      <c r="D83" s="2">
        <v>8.5282740545974928E-2</v>
      </c>
      <c r="E83" s="5">
        <v>6619422.0685290303</v>
      </c>
      <c r="F83" s="5">
        <v>17652156.391325802</v>
      </c>
      <c r="G83" s="5">
        <v>4005390.3905762699</v>
      </c>
      <c r="H83" s="5">
        <v>393886.21937554999</v>
      </c>
      <c r="I83" s="5">
        <v>6351517.5383581501</v>
      </c>
      <c r="J83" s="5">
        <v>19766878.912726801</v>
      </c>
      <c r="K83" s="5">
        <v>24043418.2273832</v>
      </c>
      <c r="L83" s="5">
        <v>4768040.7451439304</v>
      </c>
      <c r="M83" s="5">
        <v>5700474.0427443599</v>
      </c>
      <c r="N83" s="5">
        <v>17335259.202745799</v>
      </c>
      <c r="O83" s="5">
        <v>656556.59051928797</v>
      </c>
      <c r="P83" s="5">
        <v>22060382.009041</v>
      </c>
      <c r="Q83" s="5">
        <v>4599132.6404216504</v>
      </c>
      <c r="R83" s="5">
        <v>2814629.5014773798</v>
      </c>
      <c r="S83" s="5">
        <v>6058822.8538895799</v>
      </c>
      <c r="T83" s="5">
        <v>1331999.3332898901</v>
      </c>
      <c r="U83" s="5">
        <v>3299700.8293176</v>
      </c>
      <c r="V83" s="5">
        <v>2622493.33631666</v>
      </c>
      <c r="W83" s="5">
        <v>15804183.763790701</v>
      </c>
      <c r="X83" s="5">
        <v>19960782.149494201</v>
      </c>
      <c r="Y83" s="5">
        <v>2865579.5103571699</v>
      </c>
      <c r="Z83" s="5">
        <v>8005055.7136846501</v>
      </c>
      <c r="AA83" s="5">
        <v>9848181.1224501692</v>
      </c>
      <c r="AB83" s="5">
        <v>9295207.2403669804</v>
      </c>
      <c r="AC83" s="5">
        <v>9079070.1207193304</v>
      </c>
      <c r="AD83">
        <f t="shared" si="5"/>
        <v>9056878.5493052825</v>
      </c>
      <c r="AE83">
        <f t="shared" si="6"/>
        <v>772395.42347680824</v>
      </c>
      <c r="AF83">
        <f t="shared" si="7"/>
        <v>8.5282740545974928E-2</v>
      </c>
    </row>
    <row r="84" spans="1:32" x14ac:dyDescent="0.45">
      <c r="A84" s="5" t="s">
        <v>187</v>
      </c>
      <c r="B84" s="2">
        <f t="shared" si="4"/>
        <v>1127364.240036295</v>
      </c>
      <c r="C84" s="7">
        <v>949640.4775990129</v>
      </c>
      <c r="D84" s="8">
        <v>0.12530581511930933</v>
      </c>
      <c r="E84" s="5">
        <v>919203.90841846506</v>
      </c>
      <c r="F84" s="5">
        <v>1384499.19867429</v>
      </c>
      <c r="G84" s="5">
        <v>481710.06988047698</v>
      </c>
      <c r="H84" s="5">
        <v>98912.409295936493</v>
      </c>
      <c r="I84" s="5">
        <v>1494975.5657683299</v>
      </c>
      <c r="J84" s="5">
        <v>2831694.8000417501</v>
      </c>
      <c r="K84" s="5">
        <v>1911327.0075135201</v>
      </c>
      <c r="L84" s="5">
        <v>727978.84732472699</v>
      </c>
      <c r="M84" s="5">
        <v>690894.90946286905</v>
      </c>
      <c r="N84" s="5">
        <v>2532865.0070905602</v>
      </c>
      <c r="O84" s="5">
        <v>119077.996713823</v>
      </c>
      <c r="P84" s="5">
        <v>3465308.7935613398</v>
      </c>
      <c r="Q84" s="5">
        <v>636980.10241451894</v>
      </c>
      <c r="R84" s="5">
        <v>359575.591996376</v>
      </c>
      <c r="S84" s="5">
        <v>481652.31943668099</v>
      </c>
      <c r="T84" s="5">
        <v>183037.946865484</v>
      </c>
      <c r="U84" s="5">
        <v>307657.03684536897</v>
      </c>
      <c r="V84" s="5">
        <v>393598.39899183402</v>
      </c>
      <c r="W84" s="5">
        <v>2505661.5851984001</v>
      </c>
      <c r="X84" s="5">
        <v>1846819.7423624699</v>
      </c>
      <c r="Y84" s="5">
        <v>301217.80290497601</v>
      </c>
      <c r="Z84" s="5">
        <v>805272.84546122502</v>
      </c>
      <c r="AA84" s="5">
        <v>920719.37000205705</v>
      </c>
      <c r="AB84" s="5">
        <v>982494.36853645998</v>
      </c>
      <c r="AC84" s="5">
        <v>1090075.32639631</v>
      </c>
      <c r="AD84">
        <f t="shared" si="5"/>
        <v>949640.4775990129</v>
      </c>
      <c r="AE84">
        <f t="shared" si="6"/>
        <v>118995.47411583453</v>
      </c>
      <c r="AF84">
        <f t="shared" si="7"/>
        <v>0.12530581511930933</v>
      </c>
    </row>
    <row r="85" spans="1:32" x14ac:dyDescent="0.45">
      <c r="A85" s="5" t="s">
        <v>244</v>
      </c>
      <c r="B85" s="2">
        <f t="shared" si="4"/>
        <v>1260785.6870892737</v>
      </c>
      <c r="C85" s="2">
        <v>1237652.9301082799</v>
      </c>
      <c r="D85" s="2">
        <v>7.7402366169315506E-2</v>
      </c>
      <c r="E85" s="5">
        <v>1494379.8665628601</v>
      </c>
      <c r="F85" s="5">
        <v>1051930.3277714299</v>
      </c>
      <c r="G85" s="5">
        <v>857872.362637755</v>
      </c>
      <c r="H85" s="5">
        <v>1309967.32847727</v>
      </c>
      <c r="I85" s="5">
        <v>1214201.01436446</v>
      </c>
      <c r="J85" s="5">
        <v>834038.12533563899</v>
      </c>
      <c r="K85" s="5">
        <v>1037665.2269851801</v>
      </c>
      <c r="L85" s="5">
        <v>1163361.4894151699</v>
      </c>
      <c r="M85" s="5">
        <v>1634475.1105998999</v>
      </c>
      <c r="N85" s="5">
        <v>1184349.20774403</v>
      </c>
      <c r="O85" s="5">
        <v>1746434.4321129499</v>
      </c>
      <c r="P85" s="5">
        <v>1362266.1813355</v>
      </c>
      <c r="Q85" s="5">
        <v>2084368.4990006101</v>
      </c>
      <c r="R85" s="5">
        <v>1192418.2894444801</v>
      </c>
      <c r="S85" s="5">
        <v>996070.97425867303</v>
      </c>
      <c r="T85" s="5">
        <v>1173403.11661721</v>
      </c>
      <c r="U85" s="5">
        <v>1338848.5576426301</v>
      </c>
      <c r="V85" s="5">
        <v>1569701.9688629501</v>
      </c>
      <c r="W85" s="5">
        <v>916002.05039281596</v>
      </c>
      <c r="X85" s="5">
        <v>932333.08287550998</v>
      </c>
      <c r="Y85" s="5">
        <v>1382412.21643772</v>
      </c>
      <c r="Z85" s="5">
        <v>1099808.4046084201</v>
      </c>
      <c r="AA85" s="5">
        <v>1303894.7010055401</v>
      </c>
      <c r="AB85" s="5">
        <v>1245358.1737428</v>
      </c>
      <c r="AC85" s="5">
        <v>1301550.4410763599</v>
      </c>
      <c r="AD85">
        <f t="shared" si="5"/>
        <v>1237652.9301082799</v>
      </c>
      <c r="AE85">
        <f t="shared" si="6"/>
        <v>95797.265286767331</v>
      </c>
      <c r="AF85">
        <f t="shared" si="7"/>
        <v>7.7402366169315506E-2</v>
      </c>
    </row>
    <row r="86" spans="1:32" x14ac:dyDescent="0.45">
      <c r="A86" s="5" t="s">
        <v>188</v>
      </c>
      <c r="B86" s="2">
        <f t="shared" si="4"/>
        <v>1350373.6045445339</v>
      </c>
      <c r="C86" s="2">
        <v>588248.38765488425</v>
      </c>
      <c r="D86" s="2">
        <v>9.6809986634030717E-2</v>
      </c>
      <c r="E86" s="5">
        <v>1385193.87116565</v>
      </c>
      <c r="F86" s="5">
        <v>334303.75661983801</v>
      </c>
      <c r="G86" s="5">
        <v>1419647.0548840701</v>
      </c>
      <c r="H86" s="5">
        <v>1829928.1874539701</v>
      </c>
      <c r="I86" s="5">
        <v>1756738.85594148</v>
      </c>
      <c r="J86" s="5">
        <v>318378.54771742201</v>
      </c>
      <c r="K86" s="5">
        <v>402615.968067993</v>
      </c>
      <c r="L86" s="5">
        <v>1524623.34208011</v>
      </c>
      <c r="M86" s="5">
        <v>1819330.15434068</v>
      </c>
      <c r="N86" s="5">
        <v>249097.178302674</v>
      </c>
      <c r="O86" s="5">
        <v>2219127.8592215199</v>
      </c>
      <c r="P86" s="5">
        <v>261609.39849509401</v>
      </c>
      <c r="Q86" s="5">
        <v>2021507.19572955</v>
      </c>
      <c r="R86" s="5">
        <v>2579135.5716133402</v>
      </c>
      <c r="S86" s="5">
        <v>1896129.00384226</v>
      </c>
      <c r="T86" s="5">
        <v>1837433.0350155099</v>
      </c>
      <c r="U86" s="5">
        <v>1978523.26411844</v>
      </c>
      <c r="V86" s="5">
        <v>1666874.31918689</v>
      </c>
      <c r="W86" s="5">
        <v>312486.63955499697</v>
      </c>
      <c r="X86" s="5">
        <v>320940.25823765498</v>
      </c>
      <c r="Y86" s="5">
        <v>2224222.2338460698</v>
      </c>
      <c r="Z86" s="5">
        <v>520627.487766515</v>
      </c>
      <c r="AA86" s="5">
        <v>572711.78379278805</v>
      </c>
      <c r="AB86" s="5">
        <v>656825.06148244499</v>
      </c>
      <c r="AC86" s="5">
        <v>602829.21757778898</v>
      </c>
      <c r="AD86">
        <f t="shared" si="5"/>
        <v>588248.38765488425</v>
      </c>
      <c r="AE86">
        <f t="shared" si="6"/>
        <v>56948.318546359464</v>
      </c>
      <c r="AF86">
        <f t="shared" si="7"/>
        <v>9.6809986634030717E-2</v>
      </c>
    </row>
    <row r="87" spans="1:32" x14ac:dyDescent="0.45">
      <c r="A87" s="5" t="s">
        <v>166</v>
      </c>
      <c r="B87" s="2">
        <f t="shared" si="4"/>
        <v>593834.09671164455</v>
      </c>
      <c r="C87" s="7">
        <v>551823.63863924402</v>
      </c>
      <c r="D87" s="8">
        <v>3.1740377448253726E-2</v>
      </c>
      <c r="E87" s="5">
        <v>205605.93660630801</v>
      </c>
      <c r="F87" s="5">
        <v>1070866.0445916101</v>
      </c>
      <c r="G87" s="5">
        <v>288842.34872449999</v>
      </c>
      <c r="H87" s="5">
        <v>343793.01022169401</v>
      </c>
      <c r="I87" s="5">
        <v>196905.952132062</v>
      </c>
      <c r="J87" s="5">
        <v>1312930.77461721</v>
      </c>
      <c r="K87" s="5">
        <v>1824539.0037994001</v>
      </c>
      <c r="L87" s="5">
        <v>239578.87456723899</v>
      </c>
      <c r="M87" s="5">
        <v>244671.77133692999</v>
      </c>
      <c r="N87" s="5">
        <v>1241490.91571671</v>
      </c>
      <c r="O87" s="5">
        <v>422257.798333983</v>
      </c>
      <c r="P87" s="5">
        <v>1377433.53521947</v>
      </c>
      <c r="Q87" s="5">
        <v>416983.82036728301</v>
      </c>
      <c r="R87" s="5">
        <v>277910.64990814799</v>
      </c>
      <c r="S87" s="5">
        <v>247380.662506222</v>
      </c>
      <c r="T87" s="5">
        <v>252763.71510894399</v>
      </c>
      <c r="U87" s="5">
        <v>200437.62335706799</v>
      </c>
      <c r="V87" s="5">
        <v>237458.40731594001</v>
      </c>
      <c r="W87" s="5">
        <v>837986.22938976798</v>
      </c>
      <c r="X87" s="5">
        <v>936753.536658881</v>
      </c>
      <c r="Y87" s="5">
        <v>293925.42046516301</v>
      </c>
      <c r="Z87" s="5">
        <v>557127.25213992503</v>
      </c>
      <c r="AA87" s="5">
        <v>566264.13234765502</v>
      </c>
      <c r="AB87" s="5">
        <v>557584.30927155598</v>
      </c>
      <c r="AC87" s="5">
        <v>526318.86079784005</v>
      </c>
      <c r="AD87">
        <f t="shared" si="5"/>
        <v>551823.63863924402</v>
      </c>
      <c r="AE87">
        <f t="shared" si="6"/>
        <v>17515.090575278373</v>
      </c>
      <c r="AF87">
        <f t="shared" si="7"/>
        <v>3.1740377448253726E-2</v>
      </c>
    </row>
    <row r="88" spans="1:32" x14ac:dyDescent="0.45">
      <c r="A88" s="5" t="s">
        <v>191</v>
      </c>
      <c r="B88" s="2">
        <f t="shared" si="4"/>
        <v>87178681.295537308</v>
      </c>
      <c r="C88" s="7">
        <v>79435743.058595076</v>
      </c>
      <c r="D88" s="8">
        <v>0.11182368082724214</v>
      </c>
      <c r="E88" s="5">
        <v>86622151.871775806</v>
      </c>
      <c r="F88" s="5">
        <v>70279889.883359194</v>
      </c>
      <c r="G88" s="5">
        <v>110031302.427724</v>
      </c>
      <c r="H88" s="5">
        <v>115919186.537802</v>
      </c>
      <c r="I88" s="5">
        <v>103630550.343345</v>
      </c>
      <c r="J88" s="5">
        <v>72349049.328518003</v>
      </c>
      <c r="K88" s="5">
        <v>70445878.654438004</v>
      </c>
      <c r="L88" s="5">
        <v>50289229.433644801</v>
      </c>
      <c r="M88" s="5">
        <v>90142332.902020499</v>
      </c>
      <c r="N88" s="5">
        <v>65941064.042206898</v>
      </c>
      <c r="O88" s="5">
        <v>115585050.76773199</v>
      </c>
      <c r="P88" s="5">
        <v>71283435.710921898</v>
      </c>
      <c r="Q88" s="5">
        <v>126862767.70782299</v>
      </c>
      <c r="R88" s="5">
        <v>104732202.694103</v>
      </c>
      <c r="S88" s="5">
        <v>72162978.235684097</v>
      </c>
      <c r="T88" s="5">
        <v>108275050.33913399</v>
      </c>
      <c r="U88" s="5">
        <v>92616555.965724602</v>
      </c>
      <c r="V88" s="5">
        <v>95290773.406798095</v>
      </c>
      <c r="W88" s="5">
        <v>76064931.228222907</v>
      </c>
      <c r="X88" s="5">
        <v>74216204.225421593</v>
      </c>
      <c r="Y88" s="5">
        <v>58011721.499884002</v>
      </c>
      <c r="Z88" s="5">
        <v>68109158.038992107</v>
      </c>
      <c r="AA88" s="5">
        <v>79163803.768667996</v>
      </c>
      <c r="AB88" s="5">
        <v>80702682.693033099</v>
      </c>
      <c r="AC88" s="5">
        <v>89767327.733687103</v>
      </c>
      <c r="AD88">
        <f t="shared" si="5"/>
        <v>79435743.058595076</v>
      </c>
      <c r="AE88">
        <f t="shared" si="6"/>
        <v>8882797.1780591514</v>
      </c>
      <c r="AF88">
        <f t="shared" si="7"/>
        <v>0.11182368082724214</v>
      </c>
    </row>
    <row r="89" spans="1:32" x14ac:dyDescent="0.45">
      <c r="A89" s="5" t="s">
        <v>68</v>
      </c>
      <c r="B89" s="2">
        <f t="shared" si="4"/>
        <v>1580969.934675402</v>
      </c>
      <c r="C89" s="7">
        <v>1207453.0165297275</v>
      </c>
      <c r="D89" s="8">
        <v>0.11500064246467828</v>
      </c>
      <c r="E89" s="5">
        <v>1594664.5490794899</v>
      </c>
      <c r="F89" s="5">
        <v>608528.30301383499</v>
      </c>
      <c r="G89" s="5">
        <v>2374283.1712965998</v>
      </c>
      <c r="H89" s="5">
        <v>3494157.3414876699</v>
      </c>
      <c r="I89" s="5">
        <v>1397291.9170474301</v>
      </c>
      <c r="J89" s="5">
        <v>469023.16082838998</v>
      </c>
      <c r="K89" s="5">
        <v>297308.19615574699</v>
      </c>
      <c r="L89" s="5">
        <v>1948640.7947893599</v>
      </c>
      <c r="M89" s="5">
        <v>1487591.4908204</v>
      </c>
      <c r="N89" s="5">
        <v>336051.17100826802</v>
      </c>
      <c r="O89" s="5">
        <v>1479663.91448355</v>
      </c>
      <c r="P89" s="5">
        <v>409765.20054490701</v>
      </c>
      <c r="Q89" s="5">
        <v>3433274.88577807</v>
      </c>
      <c r="R89" s="5">
        <v>1429048.8034305</v>
      </c>
      <c r="S89" s="5">
        <v>2105852.8211667701</v>
      </c>
      <c r="T89" s="5">
        <v>1688304.35144986</v>
      </c>
      <c r="U89" s="5">
        <v>3045700.32616936</v>
      </c>
      <c r="V89" s="5">
        <v>1730189.7871892001</v>
      </c>
      <c r="W89" s="5">
        <v>689448.74836031999</v>
      </c>
      <c r="X89" s="5">
        <v>412259.05294355698</v>
      </c>
      <c r="Y89" s="5">
        <v>2769320.6411401602</v>
      </c>
      <c r="Z89" s="5">
        <v>1036656.48586887</v>
      </c>
      <c r="AA89" s="5">
        <v>1163783.1515885801</v>
      </c>
      <c r="AB89" s="5">
        <v>1271280.58694792</v>
      </c>
      <c r="AC89" s="5">
        <v>1358091.84171354</v>
      </c>
      <c r="AD89">
        <f t="shared" si="5"/>
        <v>1207453.0165297275</v>
      </c>
      <c r="AE89">
        <f t="shared" si="6"/>
        <v>138857.87264683246</v>
      </c>
      <c r="AF89">
        <f t="shared" si="7"/>
        <v>0.11500064246467828</v>
      </c>
    </row>
    <row r="90" spans="1:32" x14ac:dyDescent="0.45">
      <c r="A90" s="5" t="s">
        <v>277</v>
      </c>
      <c r="B90" s="2">
        <f t="shared" si="4"/>
        <v>84906930.399287701</v>
      </c>
      <c r="C90" s="7">
        <v>70399588.614648595</v>
      </c>
      <c r="D90" s="7">
        <v>4.4955333841774775E-2</v>
      </c>
      <c r="E90" s="5">
        <v>14606046.1819236</v>
      </c>
      <c r="F90" s="5">
        <v>124525492.45853101</v>
      </c>
      <c r="G90" s="5">
        <v>13320347.168955499</v>
      </c>
      <c r="H90" s="5">
        <v>11827196.7527612</v>
      </c>
      <c r="I90" s="5">
        <v>11757831.178488201</v>
      </c>
      <c r="J90" s="5">
        <v>225788962.850375</v>
      </c>
      <c r="K90" s="5">
        <v>416636433.86190999</v>
      </c>
      <c r="L90" s="5">
        <v>14474669.9438102</v>
      </c>
      <c r="M90" s="5">
        <v>18785603.092139199</v>
      </c>
      <c r="N90" s="5">
        <v>198095872.42234701</v>
      </c>
      <c r="O90" s="5">
        <v>13471490.373016</v>
      </c>
      <c r="P90" s="5">
        <v>284355373.53649098</v>
      </c>
      <c r="Q90" s="5">
        <v>17184018.1401827</v>
      </c>
      <c r="R90" s="5">
        <v>10847406.9834137</v>
      </c>
      <c r="S90" s="5">
        <v>12088911.171097999</v>
      </c>
      <c r="T90" s="5">
        <v>11086184.398003699</v>
      </c>
      <c r="U90" s="5">
        <v>20639207.191456102</v>
      </c>
      <c r="V90" s="5">
        <v>17189516.388297498</v>
      </c>
      <c r="W90" s="5">
        <v>142285947.13528401</v>
      </c>
      <c r="X90" s="5">
        <v>189412632.24214199</v>
      </c>
      <c r="Y90" s="5">
        <v>14666394.914415799</v>
      </c>
      <c r="Z90" s="5">
        <v>70603110.758875802</v>
      </c>
      <c r="AA90" s="5">
        <v>72492422.410595</v>
      </c>
      <c r="AB90" s="5">
        <v>72641881.114009202</v>
      </c>
      <c r="AC90" s="5">
        <v>65860940.175114401</v>
      </c>
      <c r="AD90">
        <f t="shared" si="5"/>
        <v>70399588.614648595</v>
      </c>
      <c r="AE90">
        <f t="shared" si="6"/>
        <v>3164837.0084951343</v>
      </c>
      <c r="AF90">
        <f t="shared" si="7"/>
        <v>4.4955333841774775E-2</v>
      </c>
    </row>
    <row r="91" spans="1:32" x14ac:dyDescent="0.45">
      <c r="A91" s="5" t="s">
        <v>245</v>
      </c>
      <c r="B91" s="2">
        <f t="shared" si="4"/>
        <v>180182838.93259111</v>
      </c>
      <c r="C91" s="2">
        <v>156618479.44295976</v>
      </c>
      <c r="D91" s="2">
        <v>0.10598436615509807</v>
      </c>
      <c r="E91" s="5">
        <v>185024153.96035099</v>
      </c>
      <c r="F91" s="5">
        <v>81667097.668015793</v>
      </c>
      <c r="G91" s="5">
        <v>344510107.85977399</v>
      </c>
      <c r="H91" s="5">
        <v>200178276.757844</v>
      </c>
      <c r="I91" s="5">
        <v>211926197.706705</v>
      </c>
      <c r="J91" s="5">
        <v>73658110.101836503</v>
      </c>
      <c r="K91" s="5">
        <v>58673223.379810601</v>
      </c>
      <c r="L91" s="5">
        <v>125805519.891976</v>
      </c>
      <c r="M91" s="5">
        <v>161622733.767923</v>
      </c>
      <c r="N91" s="5">
        <v>89878968.426489204</v>
      </c>
      <c r="O91" s="5">
        <v>228707032.048704</v>
      </c>
      <c r="P91" s="5">
        <v>73597853.6561867</v>
      </c>
      <c r="Q91" s="5">
        <v>151857912.52552399</v>
      </c>
      <c r="R91" s="5">
        <v>546522366.51409197</v>
      </c>
      <c r="S91" s="5">
        <v>301128613.25789601</v>
      </c>
      <c r="T91" s="5">
        <v>168998894.884561</v>
      </c>
      <c r="U91" s="5">
        <v>177368267.09210399</v>
      </c>
      <c r="V91" s="5">
        <v>167211691.87070599</v>
      </c>
      <c r="W91" s="5">
        <v>79853608.566136405</v>
      </c>
      <c r="X91" s="5">
        <v>78817751.2508775</v>
      </c>
      <c r="Y91" s="5">
        <v>276831236.39690101</v>
      </c>
      <c r="Z91" s="5">
        <v>132209436.78883</v>
      </c>
      <c r="AA91" s="5">
        <v>160179783.64896801</v>
      </c>
      <c r="AB91" s="5">
        <v>167672045.14958501</v>
      </c>
      <c r="AC91" s="5">
        <v>166412652.18445599</v>
      </c>
      <c r="AD91">
        <f t="shared" si="5"/>
        <v>156618479.44295976</v>
      </c>
      <c r="AE91">
        <f t="shared" si="6"/>
        <v>16599110.271937346</v>
      </c>
      <c r="AF91">
        <f t="shared" si="7"/>
        <v>0.10598436615509807</v>
      </c>
    </row>
    <row r="92" spans="1:32" x14ac:dyDescent="0.45">
      <c r="A92" s="5" t="s">
        <v>247</v>
      </c>
      <c r="B92" s="2">
        <f t="shared" si="4"/>
        <v>25883211.873215891</v>
      </c>
      <c r="C92" s="2">
        <v>23662637.209834725</v>
      </c>
      <c r="D92" s="2">
        <v>0.24189481107352626</v>
      </c>
      <c r="E92" s="5">
        <v>33745005.886546999</v>
      </c>
      <c r="F92" s="5">
        <v>13010830.8718218</v>
      </c>
      <c r="G92" s="5">
        <v>30021686.511007801</v>
      </c>
      <c r="H92" s="5">
        <v>27100722.2870657</v>
      </c>
      <c r="I92" s="5">
        <v>25596827.398058198</v>
      </c>
      <c r="J92" s="5">
        <v>9479580.16280628</v>
      </c>
      <c r="K92" s="5">
        <v>10235954.161263799</v>
      </c>
      <c r="L92" s="5">
        <v>28031130.137926102</v>
      </c>
      <c r="M92" s="5">
        <v>44643373.6453458</v>
      </c>
      <c r="N92" s="5">
        <v>20550721.857825801</v>
      </c>
      <c r="O92" s="5">
        <v>28638738.8226512</v>
      </c>
      <c r="P92" s="5">
        <v>13061603.846655799</v>
      </c>
      <c r="Q92" s="5">
        <v>39575883.188619502</v>
      </c>
      <c r="R92" s="5">
        <v>33503242.479057401</v>
      </c>
      <c r="S92" s="5">
        <v>19440423.287118599</v>
      </c>
      <c r="T92" s="5">
        <v>31427717.949593</v>
      </c>
      <c r="U92" s="5">
        <v>29933544.322803799</v>
      </c>
      <c r="V92" s="5">
        <v>49775866.707523197</v>
      </c>
      <c r="W92" s="5">
        <v>10578203.513395101</v>
      </c>
      <c r="X92" s="5">
        <v>22839624.707920801</v>
      </c>
      <c r="Y92" s="5">
        <v>22356767.592527099</v>
      </c>
      <c r="Z92" s="5">
        <v>27505698.932865001</v>
      </c>
      <c r="AA92" s="5">
        <v>16109389.255453</v>
      </c>
      <c r="AB92" s="5">
        <v>28646996.644408301</v>
      </c>
      <c r="AC92" s="5">
        <v>22388464.006612599</v>
      </c>
      <c r="AD92">
        <f t="shared" si="5"/>
        <v>23662637.209834725</v>
      </c>
      <c r="AE92">
        <f t="shared" si="6"/>
        <v>5723869.1573743634</v>
      </c>
      <c r="AF92">
        <f t="shared" si="7"/>
        <v>0.24189481107352626</v>
      </c>
    </row>
    <row r="93" spans="1:32" x14ac:dyDescent="0.45">
      <c r="A93" s="5" t="s">
        <v>74</v>
      </c>
      <c r="B93" s="2">
        <f t="shared" si="4"/>
        <v>317590254.1302799</v>
      </c>
      <c r="C93" s="2">
        <v>284870696.159814</v>
      </c>
      <c r="D93" s="2">
        <v>2.0647685170330367E-2</v>
      </c>
      <c r="E93" s="5">
        <v>297269841.86491501</v>
      </c>
      <c r="F93" s="5">
        <v>261019595.73919699</v>
      </c>
      <c r="G93" s="5">
        <v>344481555.06894797</v>
      </c>
      <c r="H93" s="5">
        <v>345216449.95884699</v>
      </c>
      <c r="I93" s="5">
        <v>329295517.85779101</v>
      </c>
      <c r="J93" s="5">
        <v>294089179.90713501</v>
      </c>
      <c r="K93" s="5">
        <v>344963409.01476097</v>
      </c>
      <c r="L93" s="5">
        <v>281135063.88802701</v>
      </c>
      <c r="M93" s="5">
        <v>304540000.57095402</v>
      </c>
      <c r="N93" s="5">
        <v>259291235.16715801</v>
      </c>
      <c r="O93" s="5">
        <v>379745566.10140598</v>
      </c>
      <c r="P93" s="5">
        <v>291792275.95367402</v>
      </c>
      <c r="Q93" s="5">
        <v>339911343.677284</v>
      </c>
      <c r="R93" s="5">
        <v>403160652.50095302</v>
      </c>
      <c r="S93" s="5">
        <v>323577599.17852402</v>
      </c>
      <c r="T93" s="5">
        <v>344272936.42921698</v>
      </c>
      <c r="U93" s="5">
        <v>341692265.76215702</v>
      </c>
      <c r="V93" s="5">
        <v>312287694.77666301</v>
      </c>
      <c r="W93" s="5">
        <v>242404164.181494</v>
      </c>
      <c r="X93" s="5">
        <v>288934845.356516</v>
      </c>
      <c r="Y93" s="5">
        <v>340314143.78025699</v>
      </c>
      <c r="Z93" s="5">
        <v>281996886.024315</v>
      </c>
      <c r="AA93" s="5">
        <v>277977015.43900102</v>
      </c>
      <c r="AB93" s="5">
        <v>290146492.03122598</v>
      </c>
      <c r="AC93" s="5">
        <v>289362391.144714</v>
      </c>
      <c r="AD93">
        <f t="shared" si="5"/>
        <v>284870696.159814</v>
      </c>
      <c r="AE93">
        <f t="shared" si="6"/>
        <v>5881920.4485606793</v>
      </c>
      <c r="AF93">
        <f t="shared" si="7"/>
        <v>2.0647685170330367E-2</v>
      </c>
    </row>
    <row r="94" spans="1:32" x14ac:dyDescent="0.45">
      <c r="A94" s="5" t="s">
        <v>285</v>
      </c>
      <c r="B94" s="2">
        <f t="shared" si="4"/>
        <v>240468171.73273677</v>
      </c>
      <c r="C94" s="7">
        <v>299778128.86705124</v>
      </c>
      <c r="D94" s="7">
        <v>6.7249456059180743E-2</v>
      </c>
      <c r="E94" s="5">
        <v>78300925.664219201</v>
      </c>
      <c r="F94" s="5">
        <v>475832342.18065</v>
      </c>
      <c r="G94" s="5">
        <v>107253775.847626</v>
      </c>
      <c r="H94" s="5">
        <v>56420969.672813803</v>
      </c>
      <c r="I94" s="5">
        <v>90353313.433298796</v>
      </c>
      <c r="J94" s="5">
        <v>523983837.42313802</v>
      </c>
      <c r="K94" s="5">
        <v>819130776.89037502</v>
      </c>
      <c r="L94" s="5">
        <v>91471713.381520703</v>
      </c>
      <c r="M94" s="5">
        <v>136480230.88725901</v>
      </c>
      <c r="N94" s="5">
        <v>490315728.49774897</v>
      </c>
      <c r="O94" s="5">
        <v>52021486.924816303</v>
      </c>
      <c r="P94" s="5">
        <v>573113473.160918</v>
      </c>
      <c r="Q94" s="5">
        <v>46474814.560951903</v>
      </c>
      <c r="R94" s="5">
        <v>60370220.025249504</v>
      </c>
      <c r="S94" s="5">
        <v>85177753.897388399</v>
      </c>
      <c r="T94" s="5">
        <v>80411061.870750397</v>
      </c>
      <c r="U94" s="5">
        <v>111466441.151363</v>
      </c>
      <c r="V94" s="5">
        <v>85496304.475444004</v>
      </c>
      <c r="W94" s="5">
        <v>438572269.65693402</v>
      </c>
      <c r="X94" s="5">
        <v>567094665.22742403</v>
      </c>
      <c r="Y94" s="5">
        <v>80089501.557584599</v>
      </c>
      <c r="Z94" s="5">
        <v>323483796.32115299</v>
      </c>
      <c r="AA94" s="5">
        <v>303035627.63560402</v>
      </c>
      <c r="AB94" s="5">
        <v>298195926.36995399</v>
      </c>
      <c r="AC94" s="5">
        <v>274397165.14149398</v>
      </c>
      <c r="AD94">
        <f t="shared" si="5"/>
        <v>299778128.86705124</v>
      </c>
      <c r="AE94">
        <f t="shared" si="6"/>
        <v>20159916.104748186</v>
      </c>
      <c r="AF94">
        <f t="shared" si="7"/>
        <v>6.7249456059180743E-2</v>
      </c>
    </row>
    <row r="95" spans="1:32" x14ac:dyDescent="0.45">
      <c r="A95" s="5" t="s">
        <v>130</v>
      </c>
      <c r="B95" s="2">
        <f t="shared" si="4"/>
        <v>267266066.67388117</v>
      </c>
      <c r="C95" s="2">
        <v>356591748.10074371</v>
      </c>
      <c r="D95" s="2">
        <v>0.11415598609936223</v>
      </c>
      <c r="E95" s="5">
        <v>263941244.894126</v>
      </c>
      <c r="F95" s="5">
        <v>230256356.174236</v>
      </c>
      <c r="G95" s="5">
        <v>300956206.70877701</v>
      </c>
      <c r="H95" s="5">
        <v>457687296.40969199</v>
      </c>
      <c r="I95" s="5">
        <v>289211002.909944</v>
      </c>
      <c r="J95" s="5">
        <v>161818167.39720199</v>
      </c>
      <c r="K95" s="5">
        <v>166925990.70138499</v>
      </c>
      <c r="L95" s="5">
        <v>248341568.299716</v>
      </c>
      <c r="M95" s="5">
        <v>178349969.752446</v>
      </c>
      <c r="N95" s="5">
        <v>198385421.95597401</v>
      </c>
      <c r="O95" s="5">
        <v>390793744.40578997</v>
      </c>
      <c r="P95" s="5">
        <v>221842237.09529901</v>
      </c>
      <c r="Q95" s="5">
        <v>269084515.561584</v>
      </c>
      <c r="R95" s="5">
        <v>320604770.44602603</v>
      </c>
      <c r="S95" s="5">
        <v>257649352.465716</v>
      </c>
      <c r="T95" s="5">
        <v>508764278.07024598</v>
      </c>
      <c r="U95" s="5">
        <v>139864033.51817</v>
      </c>
      <c r="V95" s="5">
        <v>399488905.34627801</v>
      </c>
      <c r="W95" s="5">
        <v>193259250.681059</v>
      </c>
      <c r="X95" s="5">
        <v>217034664.586027</v>
      </c>
      <c r="Y95" s="5">
        <v>198328422.77181101</v>
      </c>
      <c r="Z95" s="5">
        <v>306339727.71115798</v>
      </c>
      <c r="AA95" s="5">
        <v>405915617.94777697</v>
      </c>
      <c r="AB95" s="5">
        <v>354539942.87208599</v>
      </c>
      <c r="AC95" s="5">
        <v>359571703.87195402</v>
      </c>
      <c r="AD95">
        <f t="shared" si="5"/>
        <v>356591748.10074371</v>
      </c>
      <c r="AE95">
        <f t="shared" si="6"/>
        <v>40707082.639335774</v>
      </c>
      <c r="AF95">
        <f t="shared" si="7"/>
        <v>0.11415598609936223</v>
      </c>
    </row>
    <row r="96" spans="1:32" x14ac:dyDescent="0.45">
      <c r="A96" s="5" t="s">
        <v>76</v>
      </c>
      <c r="B96" s="2">
        <f t="shared" si="4"/>
        <v>11383329.188237777</v>
      </c>
      <c r="C96" s="7">
        <v>10677069.535275999</v>
      </c>
      <c r="D96" s="8">
        <v>3.629421515622102E-2</v>
      </c>
      <c r="E96" s="5">
        <v>15326053.584274201</v>
      </c>
      <c r="F96" s="5">
        <v>8394812.6214183904</v>
      </c>
      <c r="G96" s="5">
        <v>10723778.847172299</v>
      </c>
      <c r="H96" s="5">
        <v>8624621.0999972392</v>
      </c>
      <c r="I96" s="5">
        <v>6449302.07382451</v>
      </c>
      <c r="J96" s="5">
        <v>4510234.4125617202</v>
      </c>
      <c r="K96" s="5">
        <v>1646800.62518476</v>
      </c>
      <c r="L96" s="5">
        <v>22780975.303298801</v>
      </c>
      <c r="M96" s="5">
        <v>10124735.596798001</v>
      </c>
      <c r="N96" s="5">
        <v>7996821.0243408298</v>
      </c>
      <c r="O96" s="5">
        <v>11384027.3942088</v>
      </c>
      <c r="P96" s="5">
        <v>2605028.2719417298</v>
      </c>
      <c r="Q96" s="5">
        <v>42050219.479493402</v>
      </c>
      <c r="R96" s="5">
        <v>2977445.70917087</v>
      </c>
      <c r="S96" s="5">
        <v>7148785.1224823203</v>
      </c>
      <c r="T96" s="5">
        <v>15056717.059479199</v>
      </c>
      <c r="U96" s="5">
        <v>28303680.4080492</v>
      </c>
      <c r="V96" s="5">
        <v>7053751.5997938402</v>
      </c>
      <c r="W96" s="5">
        <v>9124468.7976111807</v>
      </c>
      <c r="X96" s="5">
        <v>2958468.2275346098</v>
      </c>
      <c r="Y96" s="5">
        <v>13809185.694357401</v>
      </c>
      <c r="Z96" s="5">
        <v>10946778.129342301</v>
      </c>
      <c r="AA96" s="5">
        <v>10962921.6656626</v>
      </c>
      <c r="AB96" s="5">
        <v>10665491.725046201</v>
      </c>
      <c r="AC96" s="5">
        <v>10133086.6210529</v>
      </c>
      <c r="AD96">
        <f t="shared" si="5"/>
        <v>10677069.535275999</v>
      </c>
      <c r="AE96">
        <f t="shared" si="6"/>
        <v>387515.8589512399</v>
      </c>
      <c r="AF96">
        <f t="shared" si="7"/>
        <v>3.629421515622102E-2</v>
      </c>
    </row>
    <row r="97" spans="1:32" x14ac:dyDescent="0.45">
      <c r="A97" s="5" t="s">
        <v>77</v>
      </c>
      <c r="B97" s="2">
        <f t="shared" si="4"/>
        <v>220066.45944045205</v>
      </c>
      <c r="C97" s="7">
        <v>279007.73550024402</v>
      </c>
      <c r="D97" s="8">
        <v>0.18029272804068872</v>
      </c>
      <c r="E97" s="5">
        <v>50961.493282515999</v>
      </c>
      <c r="F97" s="5">
        <v>467374.80104199197</v>
      </c>
      <c r="G97" s="5">
        <v>54035.050174228098</v>
      </c>
      <c r="H97" s="5">
        <v>58664.241041101901</v>
      </c>
      <c r="I97" s="5">
        <v>23862.395540604299</v>
      </c>
      <c r="J97" s="5">
        <v>593173.69536003703</v>
      </c>
      <c r="K97" s="5">
        <v>791540.56414859497</v>
      </c>
      <c r="L97" s="5">
        <v>23698.568163847402</v>
      </c>
      <c r="M97" s="5">
        <v>31075.135077532599</v>
      </c>
      <c r="N97" s="5">
        <v>696756.97335573903</v>
      </c>
      <c r="O97" s="5">
        <v>28219.740390270599</v>
      </c>
      <c r="P97" s="5">
        <v>661135.70217474003</v>
      </c>
      <c r="Q97" s="5">
        <v>29260.223067074501</v>
      </c>
      <c r="R97" s="5">
        <v>29431.398550731501</v>
      </c>
      <c r="S97" s="5">
        <v>26092.149425708601</v>
      </c>
      <c r="T97" s="5">
        <v>28953.966377589899</v>
      </c>
      <c r="U97" s="5">
        <v>25090.5348266367</v>
      </c>
      <c r="V97" s="5">
        <v>58201.424597692203</v>
      </c>
      <c r="W97" s="5">
        <v>419757.82756996102</v>
      </c>
      <c r="X97" s="5">
        <v>495163.04645455198</v>
      </c>
      <c r="Y97" s="5">
        <v>28946.7176283433</v>
      </c>
      <c r="Z97" s="5">
        <v>352695.628689943</v>
      </c>
      <c r="AA97" s="5">
        <v>269748.42484844697</v>
      </c>
      <c r="AB97" s="5">
        <v>246663.59907236299</v>
      </c>
      <c r="AC97" s="5">
        <v>246923.28939022301</v>
      </c>
      <c r="AD97">
        <f t="shared" si="5"/>
        <v>279007.73550024402</v>
      </c>
      <c r="AE97">
        <f t="shared" si="6"/>
        <v>50303.065777793905</v>
      </c>
      <c r="AF97">
        <f t="shared" si="7"/>
        <v>0.18029272804068872</v>
      </c>
    </row>
    <row r="98" spans="1:32" x14ac:dyDescent="0.45">
      <c r="A98" s="5" t="s">
        <v>159</v>
      </c>
      <c r="B98" s="2">
        <f t="shared" si="4"/>
        <v>1104249.8844739967</v>
      </c>
      <c r="C98" s="2">
        <v>1265047.7026971376</v>
      </c>
      <c r="D98" s="2">
        <v>6.4336822131155533E-2</v>
      </c>
      <c r="E98" s="5">
        <v>93207.155697909693</v>
      </c>
      <c r="F98" s="5">
        <v>2024008.35789743</v>
      </c>
      <c r="G98" s="5">
        <v>350877.19512515201</v>
      </c>
      <c r="H98" s="5">
        <v>73609.074532620594</v>
      </c>
      <c r="I98" s="5">
        <v>98509.146552344493</v>
      </c>
      <c r="J98" s="5">
        <v>3692093.3916584202</v>
      </c>
      <c r="K98" s="5">
        <v>4707220.69663224</v>
      </c>
      <c r="L98" s="5">
        <v>108650.501955716</v>
      </c>
      <c r="M98" s="5">
        <v>184125.83274406299</v>
      </c>
      <c r="N98" s="5">
        <v>2025249.58517093</v>
      </c>
      <c r="O98" s="5">
        <v>84860.930626759102</v>
      </c>
      <c r="P98" s="5">
        <v>3548413.25399883</v>
      </c>
      <c r="Q98" s="5">
        <v>70966.022568367</v>
      </c>
      <c r="R98" s="5">
        <v>102537.310189565</v>
      </c>
      <c r="S98" s="5">
        <v>74404.857823160506</v>
      </c>
      <c r="T98" s="5">
        <v>69375.3352636692</v>
      </c>
      <c r="U98" s="5">
        <v>217331.620387837</v>
      </c>
      <c r="V98" s="5">
        <v>131773.61482322801</v>
      </c>
      <c r="W98" s="5">
        <v>1964528.43739468</v>
      </c>
      <c r="X98" s="5">
        <v>3492641.5688612</v>
      </c>
      <c r="Y98" s="5">
        <v>74863.684049805699</v>
      </c>
      <c r="Z98" s="5">
        <v>1143454.37936085</v>
      </c>
      <c r="AA98" s="5">
        <v>1308689.9887805199</v>
      </c>
      <c r="AB98" s="5">
        <v>1295514.01385779</v>
      </c>
      <c r="AC98" s="5">
        <v>1312532.42878939</v>
      </c>
      <c r="AD98">
        <f t="shared" si="5"/>
        <v>1265047.7026971376</v>
      </c>
      <c r="AE98">
        <f t="shared" si="6"/>
        <v>81389.149035852664</v>
      </c>
      <c r="AF98">
        <f t="shared" si="7"/>
        <v>6.4336822131155533E-2</v>
      </c>
    </row>
    <row r="99" spans="1:32" x14ac:dyDescent="0.45">
      <c r="A99" s="5" t="s">
        <v>78</v>
      </c>
      <c r="B99" s="2">
        <f t="shared" si="4"/>
        <v>1725308.9177774128</v>
      </c>
      <c r="C99" s="7">
        <v>784388.15506130178</v>
      </c>
      <c r="D99" s="8">
        <v>0.20265612219631071</v>
      </c>
      <c r="E99" s="5">
        <v>2090936.02058434</v>
      </c>
      <c r="F99" s="5">
        <v>403268.27984949201</v>
      </c>
      <c r="G99" s="5">
        <v>1541418.0661486799</v>
      </c>
      <c r="H99" s="5">
        <v>2306437.7375664501</v>
      </c>
      <c r="I99" s="5">
        <v>1710275.7449076599</v>
      </c>
      <c r="J99" s="5">
        <v>381891.20177159301</v>
      </c>
      <c r="K99" s="5">
        <v>480653.96612965898</v>
      </c>
      <c r="L99" s="5">
        <v>2469196.1915262402</v>
      </c>
      <c r="M99" s="5">
        <v>2167228.57026221</v>
      </c>
      <c r="N99" s="5">
        <v>566419.38420323504</v>
      </c>
      <c r="O99" s="5">
        <v>1824965.2648936899</v>
      </c>
      <c r="P99" s="5">
        <v>443516.302720854</v>
      </c>
      <c r="Q99" s="5">
        <v>2309473.38809975</v>
      </c>
      <c r="R99" s="5">
        <v>1422320.7289718499</v>
      </c>
      <c r="S99" s="5">
        <v>2131576.835641</v>
      </c>
      <c r="T99" s="5">
        <v>1711922.1033993401</v>
      </c>
      <c r="U99" s="5">
        <v>1364306.7712857199</v>
      </c>
      <c r="V99" s="5">
        <v>1721598.86258636</v>
      </c>
      <c r="W99" s="5">
        <v>536941.03868450003</v>
      </c>
      <c r="X99" s="5">
        <v>6852480.4016961996</v>
      </c>
      <c r="Y99" s="5">
        <v>1794660.4123968501</v>
      </c>
      <c r="Z99" s="5">
        <v>987364.84869056498</v>
      </c>
      <c r="AA99" s="5">
        <v>822617.63916960696</v>
      </c>
      <c r="AB99" s="5">
        <v>708810.70225624903</v>
      </c>
      <c r="AC99" s="5">
        <v>618759.43012878601</v>
      </c>
      <c r="AD99">
        <f t="shared" si="5"/>
        <v>784388.15506130178</v>
      </c>
      <c r="AE99">
        <f t="shared" si="6"/>
        <v>158961.06180144189</v>
      </c>
      <c r="AF99">
        <f t="shared" si="7"/>
        <v>0.20265612219631071</v>
      </c>
    </row>
    <row r="100" spans="1:32" x14ac:dyDescent="0.45">
      <c r="A100" s="5" t="s">
        <v>252</v>
      </c>
      <c r="B100" s="2">
        <f t="shared" si="4"/>
        <v>320465.14015031792</v>
      </c>
      <c r="C100" s="2">
        <v>165563.46021721698</v>
      </c>
      <c r="D100" s="2">
        <v>2.6944901449141315E-2</v>
      </c>
      <c r="E100" s="5">
        <v>61377.100495388098</v>
      </c>
      <c r="F100" s="5">
        <v>576221.183385866</v>
      </c>
      <c r="G100" s="5">
        <v>74121.716199119997</v>
      </c>
      <c r="H100" s="5">
        <v>68533.581247053895</v>
      </c>
      <c r="I100" s="5">
        <v>58675.380998348999</v>
      </c>
      <c r="J100" s="5">
        <v>743878.47831962805</v>
      </c>
      <c r="K100" s="5">
        <v>1151756.77994928</v>
      </c>
      <c r="L100" s="5">
        <v>59225.280752271698</v>
      </c>
      <c r="M100" s="5">
        <v>59475.394209177299</v>
      </c>
      <c r="N100" s="5">
        <v>826809.48933745397</v>
      </c>
      <c r="O100" s="5">
        <v>63613.743900962698</v>
      </c>
      <c r="P100" s="5">
        <v>969209.92234770302</v>
      </c>
      <c r="Q100" s="5">
        <v>65999.297332998001</v>
      </c>
      <c r="R100" s="5">
        <v>83595.011096300499</v>
      </c>
      <c r="S100" s="5">
        <v>58037.796313866202</v>
      </c>
      <c r="T100" s="5">
        <v>63688.541456957799</v>
      </c>
      <c r="U100" s="5">
        <v>58877.490859323501</v>
      </c>
      <c r="V100" s="5">
        <v>49360.013157373898</v>
      </c>
      <c r="W100" s="5">
        <v>837150.35672144196</v>
      </c>
      <c r="X100" s="5">
        <v>733152.30195448198</v>
      </c>
      <c r="Y100" s="5">
        <v>67009.083121678705</v>
      </c>
      <c r="Z100" s="5">
        <v>170961.179068728</v>
      </c>
      <c r="AA100" s="5">
        <v>165474.97649143901</v>
      </c>
      <c r="AB100" s="5">
        <v>165778.23413511299</v>
      </c>
      <c r="AC100" s="5">
        <v>160039.45117358799</v>
      </c>
      <c r="AD100">
        <f t="shared" si="5"/>
        <v>165563.46021721698</v>
      </c>
      <c r="AE100">
        <f t="shared" si="6"/>
        <v>4461.09111913174</v>
      </c>
      <c r="AF100">
        <f t="shared" si="7"/>
        <v>2.6944901449141315E-2</v>
      </c>
    </row>
    <row r="101" spans="1:32" x14ac:dyDescent="0.45">
      <c r="A101" s="5" t="s">
        <v>195</v>
      </c>
      <c r="B101" s="2">
        <f t="shared" si="4"/>
        <v>1697676.8456190052</v>
      </c>
      <c r="C101" s="2">
        <v>1449037.8469984522</v>
      </c>
      <c r="D101" s="2">
        <v>6.6036629354076698E-2</v>
      </c>
      <c r="E101" s="5">
        <v>64296.994131133702</v>
      </c>
      <c r="F101" s="5">
        <v>3144207.1844476</v>
      </c>
      <c r="G101" s="5">
        <v>236759.36856523101</v>
      </c>
      <c r="H101" s="5">
        <v>12753.0708753403</v>
      </c>
      <c r="I101" s="5">
        <v>150314.867485803</v>
      </c>
      <c r="J101" s="5">
        <v>4601026.5875869803</v>
      </c>
      <c r="K101" s="5">
        <v>8013736.00496059</v>
      </c>
      <c r="L101" s="5">
        <v>87278.645269487301</v>
      </c>
      <c r="M101" s="5">
        <v>203667.54288776699</v>
      </c>
      <c r="N101" s="5">
        <v>4570185.5552863702</v>
      </c>
      <c r="O101" s="5">
        <v>15248.2081723663</v>
      </c>
      <c r="P101" s="5">
        <v>5331969.1793229701</v>
      </c>
      <c r="Q101" s="5">
        <v>130267.28388929499</v>
      </c>
      <c r="R101" s="5">
        <v>58897.270351571402</v>
      </c>
      <c r="S101" s="5">
        <v>46376.457509202097</v>
      </c>
      <c r="T101" s="5">
        <v>21154.8949754762</v>
      </c>
      <c r="U101" s="5">
        <v>231761.47489159499</v>
      </c>
      <c r="V101" s="5">
        <v>112749.460457416</v>
      </c>
      <c r="W101" s="5">
        <v>3411600.43284918</v>
      </c>
      <c r="X101" s="5">
        <v>5140723.1656103302</v>
      </c>
      <c r="Y101" s="5">
        <v>66240.108473415996</v>
      </c>
      <c r="Z101" s="5">
        <v>1358218.22624278</v>
      </c>
      <c r="AA101" s="5">
        <v>1555341.6813571199</v>
      </c>
      <c r="AB101" s="5">
        <v>1378842.1763689299</v>
      </c>
      <c r="AC101" s="5">
        <v>1503749.3040249799</v>
      </c>
      <c r="AD101">
        <f t="shared" si="5"/>
        <v>1449037.8469984522</v>
      </c>
      <c r="AE101">
        <f t="shared" si="6"/>
        <v>95689.575222266096</v>
      </c>
      <c r="AF101">
        <f t="shared" si="7"/>
        <v>6.6036629354076698E-2</v>
      </c>
    </row>
    <row r="102" spans="1:32" x14ac:dyDescent="0.45">
      <c r="A102" s="5" t="s">
        <v>79</v>
      </c>
      <c r="B102" s="2">
        <f t="shared" si="4"/>
        <v>4888159.3225945449</v>
      </c>
      <c r="C102" s="7">
        <v>3741121.55902834</v>
      </c>
      <c r="D102" s="8">
        <v>1.6847454615416479E-2</v>
      </c>
      <c r="E102" s="5">
        <v>7260273.4568776302</v>
      </c>
      <c r="F102" s="5">
        <v>2740695.1951623098</v>
      </c>
      <c r="G102" s="5">
        <v>2983602.1890303902</v>
      </c>
      <c r="H102" s="5">
        <v>9924258.9063178394</v>
      </c>
      <c r="I102" s="5">
        <v>4744320.3175332798</v>
      </c>
      <c r="J102" s="5">
        <v>1687448.07423841</v>
      </c>
      <c r="K102" s="5">
        <v>967438.96716481005</v>
      </c>
      <c r="L102" s="5">
        <v>15666797.339403</v>
      </c>
      <c r="M102" s="5">
        <v>5202273.5787730096</v>
      </c>
      <c r="N102" s="5">
        <v>3246346.3894853899</v>
      </c>
      <c r="O102" s="5">
        <v>6047221.1026390102</v>
      </c>
      <c r="P102" s="5">
        <v>1861152.68711433</v>
      </c>
      <c r="Q102" s="5">
        <v>5641660.1367660798</v>
      </c>
      <c r="R102" s="5">
        <v>1821843.5897780899</v>
      </c>
      <c r="S102" s="5">
        <v>6222437.1983026098</v>
      </c>
      <c r="T102" s="5">
        <v>4946106.6013735998</v>
      </c>
      <c r="U102" s="5">
        <v>7450722.9947276497</v>
      </c>
      <c r="V102" s="5">
        <v>4107658.78674288</v>
      </c>
      <c r="W102" s="5">
        <v>3924387.5329189701</v>
      </c>
      <c r="X102" s="5">
        <v>1279267.4703027101</v>
      </c>
      <c r="Y102" s="5">
        <v>4925433.2598334299</v>
      </c>
      <c r="Z102" s="5">
        <v>3658966.1836493602</v>
      </c>
      <c r="AA102" s="5">
        <v>3805567.1405329499</v>
      </c>
      <c r="AB102" s="5">
        <v>3729262.0727670798</v>
      </c>
      <c r="AC102" s="5">
        <v>3770690.8391639702</v>
      </c>
      <c r="AD102">
        <f t="shared" si="5"/>
        <v>3741121.55902834</v>
      </c>
      <c r="AE102">
        <f t="shared" si="6"/>
        <v>63028.375676486103</v>
      </c>
      <c r="AF102">
        <f t="shared" si="7"/>
        <v>1.6847454615416479E-2</v>
      </c>
    </row>
    <row r="103" spans="1:32" x14ac:dyDescent="0.45">
      <c r="A103" s="5" t="s">
        <v>131</v>
      </c>
      <c r="B103" s="2">
        <f t="shared" si="4"/>
        <v>55377461.444489844</v>
      </c>
      <c r="C103" s="2">
        <v>47906053.05678305</v>
      </c>
      <c r="D103" s="2">
        <v>1.8213733164167176E-2</v>
      </c>
      <c r="E103" s="5">
        <v>65602860.505880997</v>
      </c>
      <c r="F103" s="5">
        <v>28160108.267233498</v>
      </c>
      <c r="G103" s="5">
        <v>24423095.0730104</v>
      </c>
      <c r="H103" s="5">
        <v>29140717.764691699</v>
      </c>
      <c r="I103" s="5">
        <v>65581165.644308597</v>
      </c>
      <c r="J103" s="5">
        <v>37276405.596277602</v>
      </c>
      <c r="K103" s="5">
        <v>47757214.304227002</v>
      </c>
      <c r="L103" s="5">
        <v>125800594.548013</v>
      </c>
      <c r="M103" s="5">
        <v>88026955.699608907</v>
      </c>
      <c r="N103" s="5">
        <v>51184107.229226001</v>
      </c>
      <c r="O103" s="5">
        <v>55553853.848953202</v>
      </c>
      <c r="P103" s="5">
        <v>41228184.1597443</v>
      </c>
      <c r="Q103" s="5">
        <v>15707398.7826955</v>
      </c>
      <c r="R103" s="5">
        <v>44527479.832337096</v>
      </c>
      <c r="S103" s="5">
        <v>134054327.630017</v>
      </c>
      <c r="T103" s="5">
        <v>33435609.191245101</v>
      </c>
      <c r="U103" s="5">
        <v>58267702.392232999</v>
      </c>
      <c r="V103" s="5">
        <v>62955505.283625104</v>
      </c>
      <c r="W103" s="5">
        <v>57588550.953868203</v>
      </c>
      <c r="X103" s="5">
        <v>27493682.1232506</v>
      </c>
      <c r="Y103" s="5">
        <v>69161171.503839701</v>
      </c>
      <c r="Z103" s="5">
        <v>46760161.422882698</v>
      </c>
      <c r="AA103" s="5">
        <v>47800437.162194103</v>
      </c>
      <c r="AB103" s="5">
        <v>48829012.5482696</v>
      </c>
      <c r="AC103" s="5">
        <v>48234601.0937858</v>
      </c>
      <c r="AD103">
        <f t="shared" si="5"/>
        <v>47906053.05678305</v>
      </c>
      <c r="AE103">
        <f t="shared" si="6"/>
        <v>872548.06732468167</v>
      </c>
      <c r="AF103">
        <f t="shared" si="7"/>
        <v>1.8213733164167176E-2</v>
      </c>
    </row>
    <row r="104" spans="1:32" x14ac:dyDescent="0.45">
      <c r="A104" s="5" t="s">
        <v>272</v>
      </c>
      <c r="B104" s="2">
        <f t="shared" si="4"/>
        <v>476830.7071030782</v>
      </c>
      <c r="C104" s="2">
        <v>539858.26505031879</v>
      </c>
      <c r="D104" s="2">
        <v>6.3871845293231005E-2</v>
      </c>
      <c r="E104" s="5">
        <v>568992.24010306795</v>
      </c>
      <c r="F104" s="5">
        <v>468292.73975040199</v>
      </c>
      <c r="G104" s="5">
        <v>368494.77976786101</v>
      </c>
      <c r="H104" s="5">
        <v>378832.24189732602</v>
      </c>
      <c r="I104" s="5">
        <v>450852.24085912498</v>
      </c>
      <c r="J104" s="5">
        <v>626005.05285700201</v>
      </c>
      <c r="K104" s="5">
        <v>593834.958291132</v>
      </c>
      <c r="L104" s="5">
        <v>420210.84947941802</v>
      </c>
      <c r="M104" s="5">
        <v>472883.15319241502</v>
      </c>
      <c r="N104" s="5">
        <v>717395.390109887</v>
      </c>
      <c r="O104" s="5">
        <v>402637.87289224402</v>
      </c>
      <c r="P104" s="5">
        <v>629618.81542855804</v>
      </c>
      <c r="Q104" s="5">
        <v>430798.47806792799</v>
      </c>
      <c r="R104" s="5">
        <v>417830.15599505597</v>
      </c>
      <c r="S104" s="5">
        <v>399651.111803754</v>
      </c>
      <c r="T104" s="5">
        <v>357849.27350168303</v>
      </c>
      <c r="U104" s="5">
        <v>381585.11236324802</v>
      </c>
      <c r="V104" s="5">
        <v>490398.92904676002</v>
      </c>
      <c r="W104" s="5">
        <v>570722.493769711</v>
      </c>
      <c r="X104" s="5">
        <v>500873.86772919702</v>
      </c>
      <c r="Y104" s="5">
        <v>365685.09225886798</v>
      </c>
      <c r="Z104" s="5">
        <v>493566.448301622</v>
      </c>
      <c r="AA104" s="5">
        <v>535281.32088806003</v>
      </c>
      <c r="AB104" s="5">
        <v>572684.39049716503</v>
      </c>
      <c r="AC104" s="5">
        <v>557900.90051442804</v>
      </c>
      <c r="AD104">
        <f t="shared" si="5"/>
        <v>539858.26505031879</v>
      </c>
      <c r="AE104">
        <f t="shared" si="6"/>
        <v>34481.743585566059</v>
      </c>
      <c r="AF104">
        <f t="shared" si="7"/>
        <v>6.3871845293231005E-2</v>
      </c>
    </row>
    <row r="105" spans="1:32" x14ac:dyDescent="0.45">
      <c r="A105" s="5" t="s">
        <v>273</v>
      </c>
      <c r="B105" s="2">
        <f t="shared" si="4"/>
        <v>4702466.7044646274</v>
      </c>
      <c r="C105" s="2">
        <v>4655041.3838835778</v>
      </c>
      <c r="D105" s="2">
        <v>4.6682185258407116E-2</v>
      </c>
      <c r="E105" s="5">
        <v>3362034.7812791299</v>
      </c>
      <c r="F105" s="5">
        <v>4669205.07099659</v>
      </c>
      <c r="G105" s="5">
        <v>3733525.7446808098</v>
      </c>
      <c r="H105" s="5">
        <v>1930582.69775335</v>
      </c>
      <c r="I105" s="5">
        <v>9435111.8231936507</v>
      </c>
      <c r="J105" s="5">
        <v>5346339.1150909904</v>
      </c>
      <c r="K105" s="5">
        <v>14083705.3720043</v>
      </c>
      <c r="L105" s="5">
        <v>4794211.7986894101</v>
      </c>
      <c r="M105" s="5">
        <v>3329267.0575870802</v>
      </c>
      <c r="N105" s="5">
        <v>5302732.2026733002</v>
      </c>
      <c r="O105" s="5">
        <v>1767886.5410249999</v>
      </c>
      <c r="P105" s="5">
        <v>5623701.7506181002</v>
      </c>
      <c r="Q105" s="5">
        <v>6715394.6623627404</v>
      </c>
      <c r="R105" s="5">
        <v>3552833.5105236601</v>
      </c>
      <c r="S105" s="5">
        <v>3926588.2822042601</v>
      </c>
      <c r="T105" s="5">
        <v>1343609.6947138601</v>
      </c>
      <c r="U105" s="5">
        <v>2464428.15357967</v>
      </c>
      <c r="V105" s="5">
        <v>1690582.7830118199</v>
      </c>
      <c r="W105" s="5">
        <v>8959981.4796482008</v>
      </c>
      <c r="X105" s="5">
        <v>4172688.3765176302</v>
      </c>
      <c r="Y105" s="5">
        <v>2547389.89560364</v>
      </c>
      <c r="Z105" s="5">
        <v>4376722.5762785599</v>
      </c>
      <c r="AA105" s="5">
        <v>4591784.5523788501</v>
      </c>
      <c r="AB105" s="5">
        <v>4856389.8825723901</v>
      </c>
      <c r="AC105" s="5">
        <v>4795268.5243045101</v>
      </c>
      <c r="AD105">
        <f t="shared" si="5"/>
        <v>4655041.3838835778</v>
      </c>
      <c r="AE105">
        <f t="shared" si="6"/>
        <v>217307.50426800502</v>
      </c>
      <c r="AF105">
        <f t="shared" si="7"/>
        <v>4.6682185258407116E-2</v>
      </c>
    </row>
    <row r="106" spans="1:32" x14ac:dyDescent="0.45">
      <c r="A106" s="5" t="s">
        <v>274</v>
      </c>
      <c r="B106" s="2">
        <f t="shared" si="4"/>
        <v>318172.24434509838</v>
      </c>
      <c r="C106" s="7">
        <v>234388.1390739425</v>
      </c>
      <c r="D106" s="8">
        <v>0.10356601870681761</v>
      </c>
      <c r="E106" s="5">
        <v>419767.92292589799</v>
      </c>
      <c r="F106" s="5">
        <v>120239.141567901</v>
      </c>
      <c r="G106" s="5">
        <v>321022.689893712</v>
      </c>
      <c r="H106" s="5">
        <v>315111.32702122099</v>
      </c>
      <c r="I106" s="5">
        <v>496224.19184393901</v>
      </c>
      <c r="J106" s="5">
        <v>168047.00740566899</v>
      </c>
      <c r="K106" s="5">
        <v>49080.088485075197</v>
      </c>
      <c r="L106" s="5">
        <v>588369.11460109404</v>
      </c>
      <c r="M106" s="5">
        <v>408770.06534123502</v>
      </c>
      <c r="N106" s="5">
        <v>109160.84231993101</v>
      </c>
      <c r="O106" s="5">
        <v>367185.15263079503</v>
      </c>
      <c r="P106" s="5">
        <v>132555.49371885799</v>
      </c>
      <c r="Q106" s="5">
        <v>339122.56209298701</v>
      </c>
      <c r="R106" s="5">
        <v>358735.11086725799</v>
      </c>
      <c r="S106" s="5">
        <v>499636.99983679102</v>
      </c>
      <c r="T106" s="5">
        <v>379988.11668481701</v>
      </c>
      <c r="U106" s="5">
        <v>367558.04374745901</v>
      </c>
      <c r="V106" s="5">
        <v>493814.77642348298</v>
      </c>
      <c r="W106" s="5">
        <v>237268.76287079099</v>
      </c>
      <c r="X106" s="5">
        <v>123919.923508376</v>
      </c>
      <c r="Y106" s="5">
        <v>386039.79745977599</v>
      </c>
      <c r="Z106" s="5">
        <v>211818.87985778201</v>
      </c>
      <c r="AA106" s="5">
        <v>265049.41067182802</v>
      </c>
      <c r="AB106" s="5">
        <v>242290.982266854</v>
      </c>
      <c r="AC106" s="5">
        <v>218393.28349930601</v>
      </c>
      <c r="AD106">
        <f t="shared" si="5"/>
        <v>234388.1390739425</v>
      </c>
      <c r="AE106">
        <f t="shared" si="6"/>
        <v>24274.646395988097</v>
      </c>
      <c r="AF106">
        <f t="shared" si="7"/>
        <v>0.10356601870681761</v>
      </c>
    </row>
    <row r="107" spans="1:32" x14ac:dyDescent="0.45">
      <c r="A107" s="5" t="s">
        <v>156</v>
      </c>
      <c r="B107" s="2">
        <f t="shared" si="4"/>
        <v>38579813.824796543</v>
      </c>
      <c r="C107" s="8">
        <v>36848218.898251168</v>
      </c>
      <c r="D107" s="8">
        <v>4.0536899271361441E-2</v>
      </c>
      <c r="E107" s="5">
        <v>36306875.971767999</v>
      </c>
      <c r="F107" s="5">
        <v>41894699.785229199</v>
      </c>
      <c r="G107" s="5">
        <v>38289390.029210404</v>
      </c>
      <c r="H107" s="5">
        <v>21162236.897693001</v>
      </c>
      <c r="I107" s="5">
        <v>29876392.510655802</v>
      </c>
      <c r="J107" s="5">
        <v>44724276.181408197</v>
      </c>
      <c r="K107" s="5">
        <v>44440061.870621704</v>
      </c>
      <c r="L107" s="5">
        <v>33542583.992501199</v>
      </c>
      <c r="M107" s="5">
        <v>39437335.882415801</v>
      </c>
      <c r="N107" s="5">
        <v>61073944.908766396</v>
      </c>
      <c r="O107" s="5">
        <v>23941923.226418599</v>
      </c>
      <c r="P107" s="5">
        <v>41551243.379271798</v>
      </c>
      <c r="Q107" s="5">
        <v>23522130.447323501</v>
      </c>
      <c r="R107" s="5">
        <v>44731476.077957101</v>
      </c>
      <c r="S107" s="5">
        <v>40160917.393026903</v>
      </c>
      <c r="T107" s="5">
        <v>39384282.910805397</v>
      </c>
      <c r="U107" s="5">
        <v>44130330.420058303</v>
      </c>
      <c r="V107" s="5">
        <v>21718180.964668099</v>
      </c>
      <c r="W107" s="5">
        <v>55121055.493619002</v>
      </c>
      <c r="X107" s="5">
        <v>33828516.848925903</v>
      </c>
      <c r="Y107" s="5">
        <v>51338235.128383197</v>
      </c>
      <c r="Z107" s="5">
        <v>38287725.892828703</v>
      </c>
      <c r="AA107" s="5">
        <v>37684916.280116297</v>
      </c>
      <c r="AB107" s="5">
        <v>36525817.439122297</v>
      </c>
      <c r="AC107" s="5">
        <v>34894415.980937399</v>
      </c>
      <c r="AD107">
        <f t="shared" si="5"/>
        <v>36848218.898251168</v>
      </c>
      <c r="AE107">
        <f t="shared" si="6"/>
        <v>1493712.5378074846</v>
      </c>
      <c r="AF107">
        <f t="shared" si="7"/>
        <v>4.0536899271361441E-2</v>
      </c>
    </row>
    <row r="108" spans="1:32" x14ac:dyDescent="0.45">
      <c r="A108" s="5" t="s">
        <v>148</v>
      </c>
      <c r="B108" s="2">
        <f t="shared" si="4"/>
        <v>250141626.59207752</v>
      </c>
      <c r="C108" s="2">
        <v>225120402.33067673</v>
      </c>
      <c r="D108" s="2">
        <v>1.7547155566976017E-2</v>
      </c>
      <c r="E108" s="5">
        <v>323848985.843409</v>
      </c>
      <c r="F108" s="5">
        <v>194317941.22406301</v>
      </c>
      <c r="G108" s="5">
        <v>215893103.143951</v>
      </c>
      <c r="H108" s="5">
        <v>360534604.22087699</v>
      </c>
      <c r="I108" s="5">
        <v>278818116.93568599</v>
      </c>
      <c r="J108" s="5">
        <v>181496857.267221</v>
      </c>
      <c r="K108" s="5">
        <v>198169209.582495</v>
      </c>
      <c r="L108" s="5">
        <v>275127120.25181001</v>
      </c>
      <c r="M108" s="5">
        <v>291313122.40633601</v>
      </c>
      <c r="N108" s="5">
        <v>175062847.20866299</v>
      </c>
      <c r="O108" s="5">
        <v>292789517.76641601</v>
      </c>
      <c r="P108" s="5">
        <v>189412027.45989001</v>
      </c>
      <c r="Q108" s="5">
        <v>290152810.97879201</v>
      </c>
      <c r="R108" s="5">
        <v>215043714.41202301</v>
      </c>
      <c r="S108" s="5">
        <v>264146702.12623501</v>
      </c>
      <c r="T108" s="5">
        <v>290038315.34481901</v>
      </c>
      <c r="U108" s="5">
        <v>287787588.16417801</v>
      </c>
      <c r="V108" s="5">
        <v>278977138.97290999</v>
      </c>
      <c r="W108" s="5">
        <v>199371961.14541501</v>
      </c>
      <c r="X108" s="5">
        <v>194752556.259424</v>
      </c>
      <c r="Y108" s="5">
        <v>255919917.71901399</v>
      </c>
      <c r="Z108" s="5">
        <v>223958737.03975499</v>
      </c>
      <c r="AA108" s="5">
        <v>220061205.70974699</v>
      </c>
      <c r="AB108" s="5">
        <v>228739891.47380301</v>
      </c>
      <c r="AC108" s="5">
        <v>227721775.09940201</v>
      </c>
      <c r="AD108">
        <f t="shared" si="5"/>
        <v>225120402.33067673</v>
      </c>
      <c r="AE108">
        <f t="shared" si="6"/>
        <v>3950222.7209966145</v>
      </c>
      <c r="AF108">
        <f t="shared" si="7"/>
        <v>1.7547155566976017E-2</v>
      </c>
    </row>
    <row r="109" spans="1:32" x14ac:dyDescent="0.45">
      <c r="A109" s="5" t="s">
        <v>253</v>
      </c>
      <c r="B109" s="2">
        <f t="shared" si="4"/>
        <v>823325.77175035758</v>
      </c>
      <c r="C109" s="2">
        <v>1029013.3909159307</v>
      </c>
      <c r="D109" s="2">
        <v>6.1832704003498738E-2</v>
      </c>
      <c r="E109" s="5">
        <v>202464.63871961701</v>
      </c>
      <c r="F109" s="5">
        <v>1236950.5664397201</v>
      </c>
      <c r="G109" s="5">
        <v>455463.83296172199</v>
      </c>
      <c r="H109" s="5">
        <v>102802.80935243001</v>
      </c>
      <c r="I109" s="5">
        <v>360093.387656665</v>
      </c>
      <c r="J109" s="5">
        <v>2344778.2711395998</v>
      </c>
      <c r="K109" s="5">
        <v>1845954.90685763</v>
      </c>
      <c r="L109" s="5">
        <v>581830.43427725404</v>
      </c>
      <c r="M109" s="5">
        <v>315296.62624901498</v>
      </c>
      <c r="N109" s="5">
        <v>2006790.39019997</v>
      </c>
      <c r="O109" s="5">
        <v>134733.595458558</v>
      </c>
      <c r="P109" s="5">
        <v>2399817.15662933</v>
      </c>
      <c r="Q109" s="5">
        <v>75912.629125944004</v>
      </c>
      <c r="R109" s="5">
        <v>277254.48270761</v>
      </c>
      <c r="S109" s="5">
        <v>529745.75401211798</v>
      </c>
      <c r="T109" s="5">
        <v>29436.170773754598</v>
      </c>
      <c r="U109" s="5">
        <v>209350.458832665</v>
      </c>
      <c r="V109" s="5">
        <v>273500.28677993198</v>
      </c>
      <c r="W109" s="5">
        <v>1657775.4579238701</v>
      </c>
      <c r="X109" s="5">
        <v>2060345.55382397</v>
      </c>
      <c r="Y109" s="5">
        <v>189543.79683613399</v>
      </c>
      <c r="Z109" s="5">
        <v>1046117.35500134</v>
      </c>
      <c r="AA109" s="5">
        <v>936904.34805545304</v>
      </c>
      <c r="AB109" s="5">
        <v>1049849.1805123701</v>
      </c>
      <c r="AC109" s="5">
        <v>1083182.6800945599</v>
      </c>
      <c r="AD109">
        <f t="shared" si="5"/>
        <v>1029013.3909159307</v>
      </c>
      <c r="AE109">
        <f t="shared" si="6"/>
        <v>63626.68041614128</v>
      </c>
      <c r="AF109">
        <f t="shared" si="7"/>
        <v>6.1832704003498738E-2</v>
      </c>
    </row>
    <row r="110" spans="1:32" x14ac:dyDescent="0.45">
      <c r="A110" s="5" t="s">
        <v>286</v>
      </c>
      <c r="B110" s="2">
        <f t="shared" si="4"/>
        <v>208107609.7057853</v>
      </c>
      <c r="C110" s="8">
        <v>94522101.709435552</v>
      </c>
      <c r="D110" s="8">
        <v>0.15177780516663764</v>
      </c>
      <c r="E110" s="5">
        <v>5024667.2615748802</v>
      </c>
      <c r="F110" s="5">
        <v>472865653.055592</v>
      </c>
      <c r="G110" s="5">
        <v>7119258.9039583998</v>
      </c>
      <c r="H110" s="5">
        <v>3006384.5549843102</v>
      </c>
      <c r="I110" s="5">
        <v>5034388.7783415196</v>
      </c>
      <c r="J110" s="5">
        <v>710028239.03636503</v>
      </c>
      <c r="K110" s="5">
        <v>809598695.23364305</v>
      </c>
      <c r="L110" s="5">
        <v>5295415.1750850296</v>
      </c>
      <c r="M110" s="5">
        <v>1550020.75740736</v>
      </c>
      <c r="N110" s="5">
        <v>580263086.75605702</v>
      </c>
      <c r="O110" s="5">
        <v>6953151.2512085102</v>
      </c>
      <c r="P110" s="5">
        <v>639061012.22388005</v>
      </c>
      <c r="Q110" s="5">
        <v>835938.47551611601</v>
      </c>
      <c r="R110" s="5">
        <v>7915199.48289074</v>
      </c>
      <c r="S110" s="5">
        <v>9925795.9835173003</v>
      </c>
      <c r="T110" s="5">
        <v>2164858.9861244</v>
      </c>
      <c r="U110" s="5">
        <v>1435127.00688596</v>
      </c>
      <c r="V110" s="5">
        <v>2929763.75545647</v>
      </c>
      <c r="W110" s="5">
        <v>577174080.78691196</v>
      </c>
      <c r="X110" s="5">
        <v>518796405.56788599</v>
      </c>
      <c r="Y110" s="5">
        <v>3282660.7882054499</v>
      </c>
      <c r="Z110" s="5">
        <v>115080111.97574501</v>
      </c>
      <c r="AA110" s="5">
        <v>91948518.818901703</v>
      </c>
      <c r="AB110" s="5">
        <v>89168497.666899607</v>
      </c>
      <c r="AC110" s="5">
        <v>81891278.376195893</v>
      </c>
      <c r="AD110">
        <f t="shared" si="5"/>
        <v>94522101.709435552</v>
      </c>
      <c r="AE110">
        <f t="shared" si="6"/>
        <v>14346357.137195816</v>
      </c>
      <c r="AF110">
        <f t="shared" si="7"/>
        <v>0.15177780516663764</v>
      </c>
    </row>
    <row r="111" spans="1:32" x14ac:dyDescent="0.45">
      <c r="A111" s="5" t="s">
        <v>287</v>
      </c>
      <c r="B111" s="2">
        <f t="shared" si="4"/>
        <v>58857750.820812292</v>
      </c>
      <c r="C111" s="8">
        <v>62608144.29852847</v>
      </c>
      <c r="D111" s="8">
        <v>1.8569529232082216E-2</v>
      </c>
      <c r="E111" s="5">
        <v>12720181.737880301</v>
      </c>
      <c r="F111" s="5">
        <v>84145488.887080595</v>
      </c>
      <c r="G111" s="5">
        <v>37908331.174755901</v>
      </c>
      <c r="H111" s="5">
        <v>6043612.1707285801</v>
      </c>
      <c r="I111" s="5">
        <v>27891417.9948957</v>
      </c>
      <c r="J111" s="5">
        <v>141432749.921242</v>
      </c>
      <c r="K111" s="5">
        <v>188756307.05713201</v>
      </c>
      <c r="L111" s="5">
        <v>50914711.194385797</v>
      </c>
      <c r="M111" s="5">
        <v>24274325.544972301</v>
      </c>
      <c r="N111" s="5">
        <v>149052940.141828</v>
      </c>
      <c r="O111" s="5">
        <v>8670856.4892669395</v>
      </c>
      <c r="P111" s="5">
        <v>163110148.33287799</v>
      </c>
      <c r="Q111" s="5">
        <v>3661955.97283345</v>
      </c>
      <c r="R111" s="5">
        <v>13932941.582137899</v>
      </c>
      <c r="S111" s="5">
        <v>35606864.912989303</v>
      </c>
      <c r="T111" s="5">
        <v>2559422.3440651</v>
      </c>
      <c r="U111" s="5">
        <v>15223185.8576374</v>
      </c>
      <c r="V111" s="5">
        <v>17747177.840853099</v>
      </c>
      <c r="W111" s="5">
        <v>102675595.76626401</v>
      </c>
      <c r="X111" s="5">
        <v>139393452.42561799</v>
      </c>
      <c r="Y111" s="5">
        <v>10291099.887614001</v>
      </c>
      <c r="Z111" s="5">
        <v>63989629.995137803</v>
      </c>
      <c r="AA111" s="5">
        <v>62324952.903721198</v>
      </c>
      <c r="AB111" s="5">
        <v>61203685.1386301</v>
      </c>
      <c r="AC111" s="5">
        <v>62914309.156624801</v>
      </c>
      <c r="AD111">
        <f t="shared" si="5"/>
        <v>62608144.29852847</v>
      </c>
      <c r="AE111">
        <f t="shared" si="6"/>
        <v>1162603.765717946</v>
      </c>
      <c r="AF111">
        <f t="shared" si="7"/>
        <v>1.8569529232082216E-2</v>
      </c>
    </row>
    <row r="112" spans="1:32" x14ac:dyDescent="0.45">
      <c r="A112" s="5" t="s">
        <v>196</v>
      </c>
      <c r="B112" s="2">
        <f t="shared" si="4"/>
        <v>5175380.7928065648</v>
      </c>
      <c r="C112" s="2">
        <v>4729545.8085089773</v>
      </c>
      <c r="D112" s="2">
        <v>4.955051793259041E-2</v>
      </c>
      <c r="E112" s="5">
        <v>5199015.3338683099</v>
      </c>
      <c r="F112" s="5">
        <v>4068858.7010209602</v>
      </c>
      <c r="G112" s="5">
        <v>4452378.4987557204</v>
      </c>
      <c r="H112" s="5">
        <v>3159258.7981271101</v>
      </c>
      <c r="I112" s="5">
        <v>8086013.2097498998</v>
      </c>
      <c r="J112" s="5">
        <v>5818349.0599790504</v>
      </c>
      <c r="K112" s="5">
        <v>3376569.94639201</v>
      </c>
      <c r="L112" s="5">
        <v>10085108.178608101</v>
      </c>
      <c r="M112" s="5">
        <v>5918061.67657011</v>
      </c>
      <c r="N112" s="5">
        <v>7406638.5861971797</v>
      </c>
      <c r="O112" s="5">
        <v>3719672.9973715902</v>
      </c>
      <c r="P112" s="5">
        <v>2511445.3651256701</v>
      </c>
      <c r="Q112" s="5">
        <v>2854937.2063848102</v>
      </c>
      <c r="R112" s="5">
        <v>6447585.0650448604</v>
      </c>
      <c r="S112" s="5">
        <v>10760836.1319292</v>
      </c>
      <c r="T112" s="5">
        <v>2798765.2449199599</v>
      </c>
      <c r="U112" s="5">
        <v>4017202.4802726498</v>
      </c>
      <c r="V112" s="5">
        <v>4387970.4713760801</v>
      </c>
      <c r="W112" s="5">
        <v>5453275.4241644302</v>
      </c>
      <c r="X112" s="5">
        <v>3064510.3484331002</v>
      </c>
      <c r="Y112" s="5">
        <v>5096543.92464705</v>
      </c>
      <c r="Z112" s="5">
        <v>4407690.0428182101</v>
      </c>
      <c r="AA112" s="5">
        <v>4714646.1714399997</v>
      </c>
      <c r="AB112" s="5">
        <v>4944002.5980770504</v>
      </c>
      <c r="AC112" s="5">
        <v>4851844.4217006499</v>
      </c>
      <c r="AD112">
        <f t="shared" si="5"/>
        <v>4729545.8085089773</v>
      </c>
      <c r="AE112">
        <f t="shared" si="6"/>
        <v>234351.44439753189</v>
      </c>
      <c r="AF112">
        <f t="shared" si="7"/>
        <v>4.955051793259041E-2</v>
      </c>
    </row>
    <row r="113" spans="1:32" x14ac:dyDescent="0.45">
      <c r="A113" s="5" t="s">
        <v>80</v>
      </c>
      <c r="B113" s="2">
        <f t="shared" si="4"/>
        <v>262505540.44212592</v>
      </c>
      <c r="C113" s="8">
        <v>216077887.29719523</v>
      </c>
      <c r="D113" s="7">
        <v>3.075654769534E-2</v>
      </c>
      <c r="E113" s="5">
        <v>271901661.749336</v>
      </c>
      <c r="F113" s="5">
        <v>255547749.29238701</v>
      </c>
      <c r="G113" s="5">
        <v>138443377.47541299</v>
      </c>
      <c r="H113" s="5">
        <v>253198289.089351</v>
      </c>
      <c r="I113" s="5">
        <v>295212591.45800602</v>
      </c>
      <c r="J113" s="5">
        <v>362899679.29296702</v>
      </c>
      <c r="K113" s="5">
        <v>353989299.28844303</v>
      </c>
      <c r="L113" s="5">
        <v>247652148.79435799</v>
      </c>
      <c r="M113" s="5">
        <v>245445233.64002401</v>
      </c>
      <c r="N113" s="5">
        <v>390456732.62477499</v>
      </c>
      <c r="O113" s="5">
        <v>259864984.17688099</v>
      </c>
      <c r="P113" s="5">
        <v>307737904.15286601</v>
      </c>
      <c r="Q113" s="5">
        <v>231283146.26726601</v>
      </c>
      <c r="R113" s="5">
        <v>137425532.532114</v>
      </c>
      <c r="S113" s="5">
        <v>192600781.88288099</v>
      </c>
      <c r="T113" s="5">
        <v>277844342.25693202</v>
      </c>
      <c r="U113" s="5">
        <v>251357442.28431901</v>
      </c>
      <c r="V113" s="5">
        <v>228928544.36072701</v>
      </c>
      <c r="W113" s="5">
        <v>334273737.16496402</v>
      </c>
      <c r="X113" s="5">
        <v>279280206.55856597</v>
      </c>
      <c r="Y113" s="5">
        <v>197272964.94206801</v>
      </c>
      <c r="Z113" s="5">
        <v>213815521.76631299</v>
      </c>
      <c r="AA113" s="5">
        <v>209809936.479009</v>
      </c>
      <c r="AB113" s="5">
        <v>225427910.84792</v>
      </c>
      <c r="AC113" s="5">
        <v>215258180.095539</v>
      </c>
      <c r="AD113">
        <f t="shared" si="5"/>
        <v>216077887.29719523</v>
      </c>
      <c r="AE113">
        <f t="shared" si="6"/>
        <v>6645809.8465644857</v>
      </c>
      <c r="AF113">
        <f t="shared" si="7"/>
        <v>3.075654769534E-2</v>
      </c>
    </row>
    <row r="114" spans="1:32" x14ac:dyDescent="0.45">
      <c r="A114" s="5" t="s">
        <v>81</v>
      </c>
      <c r="B114" s="2">
        <f t="shared" si="4"/>
        <v>4928877.4965371359</v>
      </c>
      <c r="C114" s="7">
        <v>4000582.1336988425</v>
      </c>
      <c r="D114" s="8">
        <v>3.8002509191394876E-2</v>
      </c>
      <c r="E114" s="5">
        <v>5958201.5929944301</v>
      </c>
      <c r="F114" s="5">
        <v>4161966.7308404199</v>
      </c>
      <c r="G114" s="5">
        <v>2673352.5056189899</v>
      </c>
      <c r="H114" s="5">
        <v>6002533.4487304799</v>
      </c>
      <c r="I114" s="5">
        <v>4542876.0341563299</v>
      </c>
      <c r="J114" s="5">
        <v>3820506.2203813498</v>
      </c>
      <c r="K114" s="5">
        <v>4790836.1642785296</v>
      </c>
      <c r="L114" s="5">
        <v>4867405.9744698899</v>
      </c>
      <c r="M114" s="5">
        <v>5497532.4130435605</v>
      </c>
      <c r="N114" s="5">
        <v>4211165.8533858601</v>
      </c>
      <c r="O114" s="5">
        <v>5256402.6813988797</v>
      </c>
      <c r="P114" s="5">
        <v>4010267.4997670599</v>
      </c>
      <c r="Q114" s="5">
        <v>6394293.1921431003</v>
      </c>
      <c r="R114" s="5">
        <v>3727157.4686121801</v>
      </c>
      <c r="S114" s="5">
        <v>5358823.6847256999</v>
      </c>
      <c r="T114" s="5">
        <v>5832200.8551284103</v>
      </c>
      <c r="U114" s="5">
        <v>6585827.3698528903</v>
      </c>
      <c r="V114" s="5">
        <v>4907959.6675402597</v>
      </c>
      <c r="W114" s="5">
        <v>4409032.0807079803</v>
      </c>
      <c r="X114" s="5">
        <v>4212131.7327130698</v>
      </c>
      <c r="Y114" s="5">
        <v>6285954.2567904899</v>
      </c>
      <c r="Z114" s="5">
        <v>4219997.9995448003</v>
      </c>
      <c r="AA114" s="5">
        <v>3942963.4790602699</v>
      </c>
      <c r="AB114" s="5">
        <v>3968616.80954014</v>
      </c>
      <c r="AC114" s="5">
        <v>3870750.2466501598</v>
      </c>
      <c r="AD114">
        <f t="shared" si="5"/>
        <v>4000582.1336988425</v>
      </c>
      <c r="AE114">
        <f t="shared" si="6"/>
        <v>152032.15930682039</v>
      </c>
      <c r="AF114">
        <f t="shared" si="7"/>
        <v>3.8002509191394876E-2</v>
      </c>
    </row>
    <row r="115" spans="1:32" x14ac:dyDescent="0.45">
      <c r="A115" s="5" t="s">
        <v>82</v>
      </c>
      <c r="B115" s="2">
        <f t="shared" si="4"/>
        <v>1915203.895642506</v>
      </c>
      <c r="C115" s="7">
        <v>1537116.6235648475</v>
      </c>
      <c r="D115" s="8">
        <v>0.22979577901305887</v>
      </c>
      <c r="E115" s="5">
        <v>3817331.48818549</v>
      </c>
      <c r="F115" s="5">
        <v>2061332.5327750701</v>
      </c>
      <c r="G115" s="5">
        <v>912876.53436819697</v>
      </c>
      <c r="H115" s="5">
        <v>222182.91630456501</v>
      </c>
      <c r="I115" s="5">
        <v>6177017.2384781605</v>
      </c>
      <c r="J115" s="5">
        <v>2238714.0286912201</v>
      </c>
      <c r="K115" s="5">
        <v>1769067.2145023099</v>
      </c>
      <c r="L115" s="5">
        <v>2830826.2436436401</v>
      </c>
      <c r="M115" s="5">
        <v>2471613.8364964002</v>
      </c>
      <c r="N115" s="5">
        <v>1486090.0234030499</v>
      </c>
      <c r="O115" s="5">
        <v>316576.31740947202</v>
      </c>
      <c r="P115" s="5">
        <v>1325424.69735772</v>
      </c>
      <c r="Q115" s="5">
        <v>2894423.9244425399</v>
      </c>
      <c r="R115" s="5">
        <v>1015917.90471001</v>
      </c>
      <c r="S115" s="5">
        <v>1964796.2250552899</v>
      </c>
      <c r="T115" s="5">
        <v>633690.91466403403</v>
      </c>
      <c r="U115" s="5">
        <v>1036886.30555078</v>
      </c>
      <c r="V115" s="5">
        <v>1415573.7235566101</v>
      </c>
      <c r="W115" s="5">
        <v>2935261.9254704202</v>
      </c>
      <c r="X115" s="5">
        <v>1947750.09321573</v>
      </c>
      <c r="Y115" s="5">
        <v>745927.720211918</v>
      </c>
      <c r="Z115" s="5">
        <v>1023452.55706513</v>
      </c>
      <c r="AA115" s="5">
        <v>1685330.5591754401</v>
      </c>
      <c r="AB115" s="5">
        <v>1824015.1826755099</v>
      </c>
      <c r="AC115" s="5">
        <v>1615668.19534331</v>
      </c>
      <c r="AD115">
        <f t="shared" si="5"/>
        <v>1537116.6235648475</v>
      </c>
      <c r="AE115">
        <f t="shared" si="6"/>
        <v>353222.91194600688</v>
      </c>
      <c r="AF115">
        <f t="shared" si="7"/>
        <v>0.22979577901305887</v>
      </c>
    </row>
    <row r="116" spans="1:32" x14ac:dyDescent="0.45">
      <c r="A116" s="5" t="s">
        <v>197</v>
      </c>
      <c r="B116" s="2">
        <f t="shared" si="4"/>
        <v>2382843.2789945812</v>
      </c>
      <c r="C116" s="7">
        <v>1971895.7772735124</v>
      </c>
      <c r="D116" s="7">
        <v>0.10252059660385661</v>
      </c>
      <c r="E116" s="5">
        <v>1327236.6618250201</v>
      </c>
      <c r="F116" s="5">
        <v>4502250.3721924704</v>
      </c>
      <c r="G116" s="5">
        <v>672410.48298986605</v>
      </c>
      <c r="H116" s="5">
        <v>54900.030418896</v>
      </c>
      <c r="I116" s="5">
        <v>785934.34515457996</v>
      </c>
      <c r="J116" s="5">
        <v>5325958.7987109898</v>
      </c>
      <c r="K116" s="5">
        <v>9131868.7896382995</v>
      </c>
      <c r="L116" s="5">
        <v>579144.29663952498</v>
      </c>
      <c r="M116" s="5">
        <v>754265.620910628</v>
      </c>
      <c r="N116" s="5">
        <v>5958095.9808247201</v>
      </c>
      <c r="O116" s="5">
        <v>91538.5283961479</v>
      </c>
      <c r="P116" s="5">
        <v>6359785.5957612004</v>
      </c>
      <c r="Q116" s="5">
        <v>549421.92280944297</v>
      </c>
      <c r="R116" s="5">
        <v>747348.12271127698</v>
      </c>
      <c r="S116" s="5">
        <v>1195758.0404618001</v>
      </c>
      <c r="T116" s="5">
        <v>278593.91768379201</v>
      </c>
      <c r="U116" s="5">
        <v>596121.97112851299</v>
      </c>
      <c r="V116" s="5">
        <v>390279.372479757</v>
      </c>
      <c r="W116" s="5">
        <v>4451364.62938789</v>
      </c>
      <c r="X116" s="5">
        <v>5938793.3551680297</v>
      </c>
      <c r="Y116" s="5">
        <v>348638.023593347</v>
      </c>
      <c r="Z116" s="5">
        <v>2142603.3317736899</v>
      </c>
      <c r="AA116" s="5">
        <v>1971126.74501205</v>
      </c>
      <c r="AB116" s="5">
        <v>2085703.6558109301</v>
      </c>
      <c r="AC116" s="5">
        <v>1688149.37649738</v>
      </c>
      <c r="AD116">
        <f t="shared" si="5"/>
        <v>1971895.7772735124</v>
      </c>
      <c r="AE116">
        <f t="shared" si="6"/>
        <v>202159.93152670606</v>
      </c>
      <c r="AF116">
        <f t="shared" si="7"/>
        <v>0.10252059660385661</v>
      </c>
    </row>
    <row r="117" spans="1:32" x14ac:dyDescent="0.45">
      <c r="A117" s="5" t="s">
        <v>198</v>
      </c>
      <c r="B117" s="2">
        <f t="shared" si="4"/>
        <v>3472267.6311754351</v>
      </c>
      <c r="C117" s="7">
        <v>2693525.1897374452</v>
      </c>
      <c r="D117" s="8">
        <v>0.15529790219510273</v>
      </c>
      <c r="E117" s="5">
        <v>7606818.4743095599</v>
      </c>
      <c r="F117" s="5">
        <v>3879767.1552091399</v>
      </c>
      <c r="G117" s="5">
        <v>1728630.1200800501</v>
      </c>
      <c r="H117" s="5">
        <v>445264.39389373001</v>
      </c>
      <c r="I117" s="5">
        <v>10800100.447420301</v>
      </c>
      <c r="J117" s="5">
        <v>3871114.0779098701</v>
      </c>
      <c r="K117" s="5">
        <v>3223579.3815412</v>
      </c>
      <c r="L117" s="5">
        <v>5723965.9973688498</v>
      </c>
      <c r="M117" s="5">
        <v>4654543.71351997</v>
      </c>
      <c r="N117" s="5">
        <v>2657658.7135159401</v>
      </c>
      <c r="O117" s="5">
        <v>679173.83263491397</v>
      </c>
      <c r="P117" s="5">
        <v>2434438.91873476</v>
      </c>
      <c r="Q117" s="5">
        <v>4737752.0207197899</v>
      </c>
      <c r="R117" s="5">
        <v>1731715.4713004299</v>
      </c>
      <c r="S117" s="5">
        <v>3439347.0956808599</v>
      </c>
      <c r="T117" s="5">
        <v>1305299.7485634801</v>
      </c>
      <c r="U117" s="5">
        <v>2008377.67481737</v>
      </c>
      <c r="V117" s="5">
        <v>2431452.9718072</v>
      </c>
      <c r="W117" s="5">
        <v>4770568.0246270997</v>
      </c>
      <c r="X117" s="5">
        <v>3325280.4274855298</v>
      </c>
      <c r="Y117" s="5">
        <v>1462771.5935440999</v>
      </c>
      <c r="Z117" s="5">
        <v>2077007.8245627501</v>
      </c>
      <c r="AA117" s="5">
        <v>2984939.63774744</v>
      </c>
      <c r="AB117" s="5">
        <v>2915489.1537417099</v>
      </c>
      <c r="AC117" s="5">
        <v>2796664.1428978802</v>
      </c>
      <c r="AD117">
        <f t="shared" si="5"/>
        <v>2693525.1897374452</v>
      </c>
      <c r="AE117">
        <f t="shared" si="6"/>
        <v>418298.81147589127</v>
      </c>
      <c r="AF117">
        <f t="shared" si="7"/>
        <v>0.15529790219510273</v>
      </c>
    </row>
    <row r="118" spans="1:32" x14ac:dyDescent="0.45">
      <c r="A118" s="5" t="s">
        <v>254</v>
      </c>
      <c r="B118" s="2">
        <f t="shared" si="4"/>
        <v>3015631.195235793</v>
      </c>
      <c r="C118" s="2">
        <v>2824793.0924620475</v>
      </c>
      <c r="D118" s="2">
        <v>6.2771977218332928E-2</v>
      </c>
      <c r="E118" s="5">
        <v>7693875.3134938804</v>
      </c>
      <c r="F118" s="5">
        <v>3128004.37924289</v>
      </c>
      <c r="G118" s="5">
        <v>1581570.0937738901</v>
      </c>
      <c r="H118" s="5">
        <v>382461.92611731001</v>
      </c>
      <c r="I118" s="5">
        <v>8801609.0481851306</v>
      </c>
      <c r="J118" s="5">
        <v>3281732.66419798</v>
      </c>
      <c r="K118" s="5">
        <v>2780733.7666493398</v>
      </c>
      <c r="L118" s="5">
        <v>5229569.2813806599</v>
      </c>
      <c r="M118" s="5">
        <v>4204157.9041502103</v>
      </c>
      <c r="N118" s="5">
        <v>2126124.6890369998</v>
      </c>
      <c r="O118" s="5">
        <v>520074.05354714597</v>
      </c>
      <c r="P118" s="5">
        <v>1988885.3880079701</v>
      </c>
      <c r="Q118" s="5">
        <v>3758921.7504485901</v>
      </c>
      <c r="R118" s="5">
        <v>1667192.65836536</v>
      </c>
      <c r="S118" s="5">
        <v>3186189.2142236698</v>
      </c>
      <c r="T118" s="5">
        <v>1152096.06627787</v>
      </c>
      <c r="U118" s="5">
        <v>1552492.4157336999</v>
      </c>
      <c r="V118" s="5">
        <v>2095875.6465861599</v>
      </c>
      <c r="W118" s="5">
        <v>3891350.60412713</v>
      </c>
      <c r="X118" s="5">
        <v>3048223.8843292599</v>
      </c>
      <c r="Y118" s="5">
        <v>1257114.35207651</v>
      </c>
      <c r="Z118" s="5">
        <v>2590627.1712459298</v>
      </c>
      <c r="AA118" s="5">
        <v>2783980.8474185001</v>
      </c>
      <c r="AB118" s="5">
        <v>2959196.4570576898</v>
      </c>
      <c r="AC118" s="5">
        <v>2965367.8941260702</v>
      </c>
      <c r="AD118">
        <f t="shared" si="5"/>
        <v>2824793.0924620475</v>
      </c>
      <c r="AE118">
        <f t="shared" si="6"/>
        <v>177317.84764653188</v>
      </c>
      <c r="AF118">
        <f t="shared" si="7"/>
        <v>6.2771977218332928E-2</v>
      </c>
    </row>
    <row r="119" spans="1:32" x14ac:dyDescent="0.45">
      <c r="A119" s="5" t="s">
        <v>199</v>
      </c>
      <c r="B119" s="2">
        <f t="shared" si="4"/>
        <v>480757.7299052985</v>
      </c>
      <c r="C119" s="7">
        <v>371281.98996735195</v>
      </c>
      <c r="D119" s="8">
        <v>0.2410808097368595</v>
      </c>
      <c r="E119" s="5">
        <v>114555.578011077</v>
      </c>
      <c r="F119" s="5">
        <v>980643.56653871504</v>
      </c>
      <c r="G119" s="5">
        <v>478651.50440305</v>
      </c>
      <c r="H119" s="5">
        <v>22010.70466068</v>
      </c>
      <c r="I119" s="5">
        <v>272107.78250319901</v>
      </c>
      <c r="J119" s="5">
        <v>1368156.15549988</v>
      </c>
      <c r="K119" s="5">
        <v>560967.43528582598</v>
      </c>
      <c r="L119" s="5">
        <v>62802.082372278397</v>
      </c>
      <c r="M119" s="5">
        <v>402575.39913617098</v>
      </c>
      <c r="N119" s="5">
        <v>1317750.7476373301</v>
      </c>
      <c r="O119" s="5">
        <v>21976.922528695999</v>
      </c>
      <c r="P119" s="5">
        <v>1105765.72003281</v>
      </c>
      <c r="Q119" s="5">
        <v>22307.022737536499</v>
      </c>
      <c r="R119" s="5">
        <v>63852.0437258702</v>
      </c>
      <c r="S119" s="5">
        <v>137156.70499500199</v>
      </c>
      <c r="T119" s="5">
        <v>35402.880494534002</v>
      </c>
      <c r="U119" s="5">
        <v>599402.06226415897</v>
      </c>
      <c r="V119" s="5">
        <v>249224.44409263</v>
      </c>
      <c r="W119" s="5">
        <v>835381.47758669499</v>
      </c>
      <c r="X119" s="5">
        <v>1354155.4798819099</v>
      </c>
      <c r="Y119" s="5">
        <v>91066.613623217607</v>
      </c>
      <c r="Z119" s="5">
        <v>241141.85110690299</v>
      </c>
      <c r="AA119" s="5">
        <v>435541.14992185298</v>
      </c>
      <c r="AB119" s="5">
        <v>424218.93139902299</v>
      </c>
      <c r="AC119" s="5">
        <v>384226.02744162898</v>
      </c>
      <c r="AD119">
        <f t="shared" si="5"/>
        <v>371281.98996735195</v>
      </c>
      <c r="AE119">
        <f t="shared" si="6"/>
        <v>89508.962782041752</v>
      </c>
      <c r="AF119">
        <f t="shared" si="7"/>
        <v>0.2410808097368595</v>
      </c>
    </row>
    <row r="120" spans="1:32" x14ac:dyDescent="0.45">
      <c r="A120" s="5" t="s">
        <v>200</v>
      </c>
      <c r="B120" s="2">
        <f t="shared" si="4"/>
        <v>11491550.668880051</v>
      </c>
      <c r="C120" s="7">
        <v>9100029.5322933719</v>
      </c>
      <c r="D120" s="7">
        <v>5.0119351687680551E-2</v>
      </c>
      <c r="E120" s="5">
        <v>13248928.406089401</v>
      </c>
      <c r="F120" s="5">
        <v>5508598.9076607404</v>
      </c>
      <c r="G120" s="5">
        <v>12607435.087302599</v>
      </c>
      <c r="H120" s="5">
        <v>22310993.188751101</v>
      </c>
      <c r="I120" s="5">
        <v>11729896.6964486</v>
      </c>
      <c r="J120" s="5">
        <v>2501285.4705204102</v>
      </c>
      <c r="K120" s="5">
        <v>4927003.0268530203</v>
      </c>
      <c r="L120" s="5">
        <v>19294444.321309999</v>
      </c>
      <c r="M120" s="5">
        <v>13452749.3044431</v>
      </c>
      <c r="N120" s="5">
        <v>4245553.4838356301</v>
      </c>
      <c r="O120" s="5">
        <v>13803689.142287999</v>
      </c>
      <c r="P120" s="5">
        <v>4613166.8351722797</v>
      </c>
      <c r="Q120" s="5">
        <v>13293307.0731005</v>
      </c>
      <c r="R120" s="5">
        <v>12881505.3165306</v>
      </c>
      <c r="S120" s="5">
        <v>15189892.568282301</v>
      </c>
      <c r="T120" s="5">
        <v>11187602.4646006</v>
      </c>
      <c r="U120" s="5">
        <v>9057796.8608388007</v>
      </c>
      <c r="V120" s="5">
        <v>19172221.962430902</v>
      </c>
      <c r="W120" s="5">
        <v>11659734.8328193</v>
      </c>
      <c r="X120" s="5">
        <v>3850423.3883243599</v>
      </c>
      <c r="Y120" s="5">
        <v>16786335.7088788</v>
      </c>
      <c r="Z120" s="5">
        <v>9005528.27826038</v>
      </c>
      <c r="AA120" s="5">
        <v>9635719.0231392998</v>
      </c>
      <c r="AB120" s="5">
        <v>9219163.5371590201</v>
      </c>
      <c r="AC120" s="5">
        <v>8539707.2906147894</v>
      </c>
      <c r="AD120">
        <f t="shared" si="5"/>
        <v>9100029.5322933719</v>
      </c>
      <c r="AE120">
        <f t="shared" si="6"/>
        <v>456087.58049729065</v>
      </c>
      <c r="AF120">
        <f t="shared" si="7"/>
        <v>5.0119351687680551E-2</v>
      </c>
    </row>
    <row r="121" spans="1:32" x14ac:dyDescent="0.45">
      <c r="A121" s="5" t="s">
        <v>255</v>
      </c>
      <c r="B121" s="2">
        <f t="shared" si="4"/>
        <v>12284870.685473099</v>
      </c>
      <c r="C121" s="2">
        <v>9002664.6216223277</v>
      </c>
      <c r="D121" s="2">
        <v>6.3101450212062177E-2</v>
      </c>
      <c r="E121" s="5">
        <v>11482150.313389201</v>
      </c>
      <c r="F121" s="5">
        <v>6886130.50091305</v>
      </c>
      <c r="G121" s="5">
        <v>6920243.87765247</v>
      </c>
      <c r="H121" s="5">
        <v>15654388.957139</v>
      </c>
      <c r="I121" s="5">
        <v>9828483.8981065992</v>
      </c>
      <c r="J121" s="5">
        <v>7359740.9422214096</v>
      </c>
      <c r="K121" s="5">
        <v>9189021.26100697</v>
      </c>
      <c r="L121" s="5">
        <v>22275686.261404801</v>
      </c>
      <c r="M121" s="5">
        <v>15058898.2647507</v>
      </c>
      <c r="N121" s="5">
        <v>7887571.32460442</v>
      </c>
      <c r="O121" s="5">
        <v>13841260.2312741</v>
      </c>
      <c r="P121" s="5">
        <v>11603821.878042599</v>
      </c>
      <c r="Q121" s="5">
        <v>4221465.16052189</v>
      </c>
      <c r="R121" s="5">
        <v>15458235.420628499</v>
      </c>
      <c r="S121" s="5">
        <v>18695214.5931498</v>
      </c>
      <c r="T121" s="5">
        <v>13067475.9046055</v>
      </c>
      <c r="U121" s="5">
        <v>12457428.5929677</v>
      </c>
      <c r="V121" s="5">
        <v>22438914.3555949</v>
      </c>
      <c r="W121" s="5">
        <v>12366215.524513001</v>
      </c>
      <c r="X121" s="5">
        <v>7925948.7581976801</v>
      </c>
      <c r="Y121" s="5">
        <v>13363988.374250799</v>
      </c>
      <c r="Z121" s="5">
        <v>8836135.9099188894</v>
      </c>
      <c r="AA121" s="5">
        <v>9743986.0647009108</v>
      </c>
      <c r="AB121" s="5">
        <v>9051174.5606271308</v>
      </c>
      <c r="AC121" s="5">
        <v>8379361.9512423798</v>
      </c>
      <c r="AD121">
        <f t="shared" si="5"/>
        <v>9002664.6216223277</v>
      </c>
      <c r="AE121">
        <f t="shared" si="6"/>
        <v>568081.19339719485</v>
      </c>
      <c r="AF121">
        <f t="shared" si="7"/>
        <v>6.3101450212062177E-2</v>
      </c>
    </row>
    <row r="122" spans="1:32" x14ac:dyDescent="0.45">
      <c r="A122" s="5" t="s">
        <v>83</v>
      </c>
      <c r="B122" s="2">
        <f t="shared" si="4"/>
        <v>3462832.9043917549</v>
      </c>
      <c r="C122" s="7">
        <v>2909027.2915434525</v>
      </c>
      <c r="D122" s="8">
        <v>2.7311378238843463E-2</v>
      </c>
      <c r="E122" s="5">
        <v>2335907.8953517098</v>
      </c>
      <c r="F122" s="5">
        <v>2004257.75242849</v>
      </c>
      <c r="G122" s="5">
        <v>1507868.70503488</v>
      </c>
      <c r="H122" s="5">
        <v>570605.82436683797</v>
      </c>
      <c r="I122" s="5">
        <v>2524515.1757165999</v>
      </c>
      <c r="J122" s="5">
        <v>19047051.433453299</v>
      </c>
      <c r="K122" s="5">
        <v>4867578.8593863603</v>
      </c>
      <c r="L122" s="5">
        <v>5498684.8637772398</v>
      </c>
      <c r="M122" s="5">
        <v>1661383.56558163</v>
      </c>
      <c r="N122" s="5">
        <v>1937569.46646095</v>
      </c>
      <c r="O122" s="5">
        <v>1055647.52635008</v>
      </c>
      <c r="P122" s="5">
        <v>1491719.4032395701</v>
      </c>
      <c r="Q122" s="5">
        <v>2455873.4931776999</v>
      </c>
      <c r="R122" s="5">
        <v>1625581.1241174201</v>
      </c>
      <c r="S122" s="5">
        <v>1387545.0745710901</v>
      </c>
      <c r="T122" s="5">
        <v>1091435.4097988601</v>
      </c>
      <c r="U122" s="5">
        <v>1545389.7000818399</v>
      </c>
      <c r="V122" s="5">
        <v>1402203.7011021799</v>
      </c>
      <c r="W122" s="5">
        <v>16092834.4112812</v>
      </c>
      <c r="X122" s="5">
        <v>1091971.2049533301</v>
      </c>
      <c r="Y122" s="5">
        <v>1523866.4019955799</v>
      </c>
      <c r="Z122" s="5">
        <v>2995606.8251708499</v>
      </c>
      <c r="AA122" s="5">
        <v>2906227.2599942</v>
      </c>
      <c r="AB122" s="5">
        <v>2930079.3077939898</v>
      </c>
      <c r="AC122" s="5">
        <v>2804195.77321477</v>
      </c>
      <c r="AD122">
        <f t="shared" si="5"/>
        <v>2909027.2915434525</v>
      </c>
      <c r="AE122">
        <f t="shared" si="6"/>
        <v>79449.544666461588</v>
      </c>
      <c r="AF122">
        <f t="shared" si="7"/>
        <v>2.7311378238843463E-2</v>
      </c>
    </row>
    <row r="123" spans="1:32" x14ac:dyDescent="0.45">
      <c r="A123" s="5" t="s">
        <v>160</v>
      </c>
      <c r="B123" s="2">
        <f t="shared" si="4"/>
        <v>246925258.3110086</v>
      </c>
      <c r="C123" s="7">
        <v>187874622.80919924</v>
      </c>
      <c r="D123" s="8">
        <v>7.0181171591703478E-2</v>
      </c>
      <c r="E123" s="5">
        <v>368021629.090119</v>
      </c>
      <c r="F123" s="5">
        <v>247182994.56250399</v>
      </c>
      <c r="G123" s="5">
        <v>160141391.31526101</v>
      </c>
      <c r="H123" s="5">
        <v>350820311.75587702</v>
      </c>
      <c r="I123" s="5">
        <v>218302836.18803999</v>
      </c>
      <c r="J123" s="5">
        <v>143655495.09417501</v>
      </c>
      <c r="K123" s="5">
        <v>198772071.76267201</v>
      </c>
      <c r="L123" s="5">
        <v>450728689.21267802</v>
      </c>
      <c r="M123" s="5">
        <v>243802860.74028999</v>
      </c>
      <c r="N123" s="5">
        <v>245974559.12964499</v>
      </c>
      <c r="O123" s="5">
        <v>268490691.63349003</v>
      </c>
      <c r="P123" s="5">
        <v>174428546.84553</v>
      </c>
      <c r="Q123" s="5">
        <v>226553884.70244601</v>
      </c>
      <c r="R123" s="5">
        <v>136515832.43679801</v>
      </c>
      <c r="S123" s="5">
        <v>252545832.48296401</v>
      </c>
      <c r="T123" s="5">
        <v>273860194.26757902</v>
      </c>
      <c r="U123" s="5">
        <v>277332434.75844401</v>
      </c>
      <c r="V123" s="5">
        <v>232889830.206361</v>
      </c>
      <c r="W123" s="5">
        <v>270368328.87797099</v>
      </c>
      <c r="X123" s="5">
        <v>179109803.02171999</v>
      </c>
      <c r="Y123" s="5">
        <v>265932206.44661599</v>
      </c>
      <c r="Z123" s="5">
        <v>203756048.24623799</v>
      </c>
      <c r="AA123" s="5">
        <v>173665427.139568</v>
      </c>
      <c r="AB123" s="5">
        <v>192784560.58751199</v>
      </c>
      <c r="AC123" s="5">
        <v>181292455.26347899</v>
      </c>
      <c r="AD123">
        <f t="shared" si="5"/>
        <v>187874622.80919924</v>
      </c>
      <c r="AE123">
        <f t="shared" si="6"/>
        <v>13185261.14109898</v>
      </c>
      <c r="AF123">
        <f t="shared" si="7"/>
        <v>7.0181171591703478E-2</v>
      </c>
    </row>
    <row r="124" spans="1:32" x14ac:dyDescent="0.45">
      <c r="A124" s="5" t="s">
        <v>149</v>
      </c>
      <c r="B124" s="2">
        <f t="shared" si="4"/>
        <v>13395274.350579154</v>
      </c>
      <c r="C124" s="7">
        <v>10905474.0936676</v>
      </c>
      <c r="D124" s="7">
        <v>4.2177285632607642E-2</v>
      </c>
      <c r="E124" s="5">
        <v>19183845.495694499</v>
      </c>
      <c r="F124" s="5">
        <v>10299031.1740708</v>
      </c>
      <c r="G124" s="5">
        <v>10836790.6138165</v>
      </c>
      <c r="H124" s="5">
        <v>13387368.396143399</v>
      </c>
      <c r="I124" s="5">
        <v>11127587.239047199</v>
      </c>
      <c r="J124" s="5">
        <v>8162947.9409190901</v>
      </c>
      <c r="K124" s="5">
        <v>11959790.756127801</v>
      </c>
      <c r="L124" s="5">
        <v>16157875.0622056</v>
      </c>
      <c r="M124" s="5">
        <v>15699274.198818</v>
      </c>
      <c r="N124" s="5">
        <v>12569263.6269526</v>
      </c>
      <c r="O124" s="5">
        <v>15366207.3840292</v>
      </c>
      <c r="P124" s="5">
        <v>9814612.2659613602</v>
      </c>
      <c r="Q124" s="5">
        <v>15149808.4403506</v>
      </c>
      <c r="R124" s="5">
        <v>8863978.7782937996</v>
      </c>
      <c r="S124" s="5">
        <v>13428033.2699033</v>
      </c>
      <c r="T124" s="5">
        <v>18520207.093179401</v>
      </c>
      <c r="U124" s="5">
        <v>17356376.089666501</v>
      </c>
      <c r="V124" s="5">
        <v>13556801.662232401</v>
      </c>
      <c r="W124" s="5">
        <v>10728381.161259299</v>
      </c>
      <c r="X124" s="5">
        <v>11540052.3698896</v>
      </c>
      <c r="Y124" s="5">
        <v>17592528.343601301</v>
      </c>
      <c r="Z124" s="5">
        <v>11494488.6376159</v>
      </c>
      <c r="AA124" s="5">
        <v>10604264.5306862</v>
      </c>
      <c r="AB124" s="5">
        <v>11040513.8132581</v>
      </c>
      <c r="AC124" s="5">
        <v>10482629.393110201</v>
      </c>
      <c r="AD124">
        <f t="shared" si="5"/>
        <v>10905474.0936676</v>
      </c>
      <c r="AE124">
        <f t="shared" si="6"/>
        <v>459963.29580762133</v>
      </c>
      <c r="AF124">
        <f t="shared" si="7"/>
        <v>4.2177285632607642E-2</v>
      </c>
    </row>
    <row r="125" spans="1:32" x14ac:dyDescent="0.45">
      <c r="A125" s="5" t="s">
        <v>201</v>
      </c>
      <c r="B125" s="2">
        <f t="shared" si="4"/>
        <v>15716359.474417172</v>
      </c>
      <c r="C125" s="7">
        <v>11872717.045297951</v>
      </c>
      <c r="D125" s="8">
        <v>4.6665395876864316E-2</v>
      </c>
      <c r="E125" s="5">
        <v>14404008.478018399</v>
      </c>
      <c r="F125" s="5">
        <v>12033657.993961601</v>
      </c>
      <c r="G125" s="5">
        <v>15735598.338361699</v>
      </c>
      <c r="H125" s="5">
        <v>17248943.3494443</v>
      </c>
      <c r="I125" s="5">
        <v>16833238.909796901</v>
      </c>
      <c r="J125" s="5">
        <v>13106138.030362001</v>
      </c>
      <c r="K125" s="5">
        <v>13049692.679515401</v>
      </c>
      <c r="L125" s="5">
        <v>14581666.5343842</v>
      </c>
      <c r="M125" s="5">
        <v>15729211.7025855</v>
      </c>
      <c r="N125" s="5">
        <v>11273542.3884368</v>
      </c>
      <c r="O125" s="5">
        <v>18734680.824965701</v>
      </c>
      <c r="P125" s="5">
        <v>13003430.883051701</v>
      </c>
      <c r="Q125" s="5">
        <v>19037712.719236299</v>
      </c>
      <c r="R125" s="5">
        <v>19732136.047267798</v>
      </c>
      <c r="S125" s="5">
        <v>18996949.753536101</v>
      </c>
      <c r="T125" s="5">
        <v>18195235.7683198</v>
      </c>
      <c r="U125" s="5">
        <v>17474689.846326001</v>
      </c>
      <c r="V125" s="5">
        <v>15440876.2809324</v>
      </c>
      <c r="W125" s="5">
        <v>10981473.060737399</v>
      </c>
      <c r="X125" s="5">
        <v>14521203.310427001</v>
      </c>
      <c r="Y125" s="5">
        <v>19929462.063093599</v>
      </c>
      <c r="Z125" s="5">
        <v>11197161.471377101</v>
      </c>
      <c r="AA125" s="5">
        <v>11745145.628660001</v>
      </c>
      <c r="AB125" s="5">
        <v>12525020.885620899</v>
      </c>
      <c r="AC125" s="5">
        <v>12023540.195533801</v>
      </c>
      <c r="AD125">
        <f t="shared" si="5"/>
        <v>11872717.045297951</v>
      </c>
      <c r="AE125">
        <f t="shared" si="6"/>
        <v>554045.04105282365</v>
      </c>
      <c r="AF125">
        <f t="shared" si="7"/>
        <v>4.6665395876864316E-2</v>
      </c>
    </row>
    <row r="126" spans="1:32" x14ac:dyDescent="0.45">
      <c r="A126" s="5" t="s">
        <v>84</v>
      </c>
      <c r="B126" s="2">
        <f t="shared" si="4"/>
        <v>158636483.88990417</v>
      </c>
      <c r="C126" s="7">
        <v>161509835.63130426</v>
      </c>
      <c r="D126" s="7">
        <v>5.2009131717773521E-2</v>
      </c>
      <c r="E126" s="5">
        <v>9798387.5825121291</v>
      </c>
      <c r="F126" s="5">
        <v>211626082.645271</v>
      </c>
      <c r="G126" s="5">
        <v>283166882.05496901</v>
      </c>
      <c r="H126" s="5">
        <v>4766174.5107802097</v>
      </c>
      <c r="I126" s="5">
        <v>2745356.21282579</v>
      </c>
      <c r="J126" s="5">
        <v>293074371.58816499</v>
      </c>
      <c r="K126" s="5">
        <v>452316797.39209801</v>
      </c>
      <c r="L126" s="5">
        <v>56242483.049944997</v>
      </c>
      <c r="M126" s="5">
        <v>3099711.6746671498</v>
      </c>
      <c r="N126" s="5">
        <v>92415121.298370302</v>
      </c>
      <c r="O126" s="5">
        <v>2032597.97516984</v>
      </c>
      <c r="P126" s="5">
        <v>207078958.79392299</v>
      </c>
      <c r="Q126" s="5">
        <v>4508653.6640287004</v>
      </c>
      <c r="R126" s="5">
        <v>444960193.04672903</v>
      </c>
      <c r="S126" s="5">
        <v>508747964.77663302</v>
      </c>
      <c r="T126" s="5">
        <v>1188303.82025409</v>
      </c>
      <c r="U126" s="5">
        <v>1893286.7222589599</v>
      </c>
      <c r="V126" s="5">
        <v>2677045.3261359101</v>
      </c>
      <c r="W126" s="5">
        <v>249568667.661724</v>
      </c>
      <c r="X126" s="5">
        <v>372218622.74692702</v>
      </c>
      <c r="Y126" s="5">
        <v>127240499.14459901</v>
      </c>
      <c r="Z126" s="5">
        <v>153770487.797268</v>
      </c>
      <c r="AA126" s="5">
        <v>172426660.50293601</v>
      </c>
      <c r="AB126" s="5">
        <v>163633007.66796899</v>
      </c>
      <c r="AC126" s="5">
        <v>156209186.557044</v>
      </c>
      <c r="AD126">
        <f t="shared" si="5"/>
        <v>161509835.63130426</v>
      </c>
      <c r="AE126">
        <f t="shared" si="6"/>
        <v>8399986.3150644545</v>
      </c>
      <c r="AF126">
        <f t="shared" si="7"/>
        <v>5.2009131717773521E-2</v>
      </c>
    </row>
    <row r="127" spans="1:32" x14ac:dyDescent="0.45">
      <c r="A127" s="5" t="s">
        <v>202</v>
      </c>
      <c r="B127" s="2">
        <f t="shared" si="4"/>
        <v>16450775.992299501</v>
      </c>
      <c r="C127" s="7">
        <v>13946383.186987726</v>
      </c>
      <c r="D127" s="8">
        <v>0.10596283666285088</v>
      </c>
      <c r="E127" s="5">
        <v>17383865.8977319</v>
      </c>
      <c r="F127" s="5">
        <v>10006744.203588299</v>
      </c>
      <c r="G127" s="5">
        <v>16855515.286508601</v>
      </c>
      <c r="H127" s="5">
        <v>27895466.683508299</v>
      </c>
      <c r="I127" s="5">
        <v>17946128.1013324</v>
      </c>
      <c r="J127" s="5">
        <v>8741122.1053736992</v>
      </c>
      <c r="K127" s="5">
        <v>8727187.2030931804</v>
      </c>
      <c r="L127" s="5">
        <v>19929995.6655288</v>
      </c>
      <c r="M127" s="5">
        <v>18649515.279874701</v>
      </c>
      <c r="N127" s="5">
        <v>10014177.4972053</v>
      </c>
      <c r="O127" s="5">
        <v>21655244.974272698</v>
      </c>
      <c r="P127" s="5">
        <v>9895802.2851288095</v>
      </c>
      <c r="Q127" s="5">
        <v>16095272.2009202</v>
      </c>
      <c r="R127" s="5">
        <v>15892224.108408401</v>
      </c>
      <c r="S127" s="5">
        <v>23336315.889441501</v>
      </c>
      <c r="T127" s="5">
        <v>20293095.611139301</v>
      </c>
      <c r="U127" s="5">
        <v>20185904.833461601</v>
      </c>
      <c r="V127" s="5">
        <v>17700446.763925701</v>
      </c>
      <c r="W127" s="5">
        <v>10621328.4526507</v>
      </c>
      <c r="X127" s="5">
        <v>10177991.4878616</v>
      </c>
      <c r="Y127" s="5">
        <v>23462951.307333801</v>
      </c>
      <c r="Z127" s="5">
        <v>11761941.691720599</v>
      </c>
      <c r="AA127" s="5">
        <v>14321185.189870801</v>
      </c>
      <c r="AB127" s="5">
        <v>14882864.6025053</v>
      </c>
      <c r="AC127" s="5">
        <v>14819541.2638542</v>
      </c>
      <c r="AD127">
        <f t="shared" si="5"/>
        <v>13946383.186987726</v>
      </c>
      <c r="AE127">
        <f t="shared" si="6"/>
        <v>1477798.32368031</v>
      </c>
      <c r="AF127">
        <f t="shared" si="7"/>
        <v>0.10596283666285088</v>
      </c>
    </row>
    <row r="128" spans="1:32" x14ac:dyDescent="0.45">
      <c r="A128" s="5" t="s">
        <v>256</v>
      </c>
      <c r="B128" s="2">
        <f t="shared" si="4"/>
        <v>4585956.0473498832</v>
      </c>
      <c r="C128" s="2">
        <v>3739890.7289673151</v>
      </c>
      <c r="D128" s="2">
        <v>7.0102264782330892E-2</v>
      </c>
      <c r="E128" s="5">
        <v>10265647.939507499</v>
      </c>
      <c r="F128" s="5">
        <v>2755627.7715200898</v>
      </c>
      <c r="G128" s="5">
        <v>307384.72313806799</v>
      </c>
      <c r="H128" s="5">
        <v>4356998.93933459</v>
      </c>
      <c r="I128" s="5">
        <v>6901061.0214074701</v>
      </c>
      <c r="J128" s="5">
        <v>3335073.9435701198</v>
      </c>
      <c r="K128" s="5">
        <v>992188.04405872501</v>
      </c>
      <c r="L128" s="5">
        <v>6854642.2841392197</v>
      </c>
      <c r="M128" s="5">
        <v>3946384.43140226</v>
      </c>
      <c r="N128" s="5">
        <v>190530.00289573401</v>
      </c>
      <c r="O128" s="5">
        <v>4018921.1618685699</v>
      </c>
      <c r="P128" s="5">
        <v>2335325.5989711802</v>
      </c>
      <c r="Q128" s="5">
        <v>12881434.877404699</v>
      </c>
      <c r="R128" s="5">
        <v>852728.909255423</v>
      </c>
      <c r="S128" s="5">
        <v>4663530.7860215101</v>
      </c>
      <c r="T128" s="5">
        <v>4190079.7718749801</v>
      </c>
      <c r="U128" s="5">
        <v>7356507.7736356296</v>
      </c>
      <c r="V128" s="5">
        <v>8686805.6535754595</v>
      </c>
      <c r="W128" s="5">
        <v>3521261.7701698099</v>
      </c>
      <c r="X128" s="5">
        <v>2570210.6961544799</v>
      </c>
      <c r="Y128" s="5">
        <v>5322730.8944420498</v>
      </c>
      <c r="Z128" s="5">
        <v>3903715.4304010901</v>
      </c>
      <c r="AA128" s="5">
        <v>3831926.5920023001</v>
      </c>
      <c r="AB128" s="5">
        <v>3874796.3709373199</v>
      </c>
      <c r="AC128" s="5">
        <v>3349124.5225285501</v>
      </c>
      <c r="AD128">
        <f t="shared" si="5"/>
        <v>3739890.7289673151</v>
      </c>
      <c r="AE128">
        <f t="shared" si="6"/>
        <v>262174.81013905123</v>
      </c>
      <c r="AF128">
        <f t="shared" si="7"/>
        <v>7.0102264782330892E-2</v>
      </c>
    </row>
    <row r="129" spans="1:32" x14ac:dyDescent="0.45">
      <c r="A129" s="5" t="s">
        <v>257</v>
      </c>
      <c r="B129" s="2">
        <f t="shared" si="4"/>
        <v>11747065.878856506</v>
      </c>
      <c r="C129" s="2">
        <v>11426839.054901998</v>
      </c>
      <c r="D129" s="2">
        <v>2.9355146328860545E-2</v>
      </c>
      <c r="E129" s="5">
        <v>7248516.2754948502</v>
      </c>
      <c r="F129" s="5">
        <v>9969538.5819119606</v>
      </c>
      <c r="G129" s="5">
        <v>28388133.157404698</v>
      </c>
      <c r="H129" s="5">
        <v>2844499.2187181199</v>
      </c>
      <c r="I129" s="5">
        <v>4877599.6926372303</v>
      </c>
      <c r="J129" s="5">
        <v>12140117.016380999</v>
      </c>
      <c r="K129" s="5">
        <v>14904809.139099199</v>
      </c>
      <c r="L129" s="5">
        <v>12482662.393856799</v>
      </c>
      <c r="M129" s="5">
        <v>4921907.4365038602</v>
      </c>
      <c r="N129" s="5">
        <v>3066729.84629102</v>
      </c>
      <c r="O129" s="5">
        <v>5324983.0703873904</v>
      </c>
      <c r="P129" s="5">
        <v>7203610.2383067599</v>
      </c>
      <c r="Q129" s="5">
        <v>1754337.5682906499</v>
      </c>
      <c r="R129" s="5">
        <v>25646579.734976299</v>
      </c>
      <c r="S129" s="5">
        <v>57920178.943626001</v>
      </c>
      <c r="T129" s="5">
        <v>3123437.6151390099</v>
      </c>
      <c r="U129" s="5">
        <v>3346124.6830762201</v>
      </c>
      <c r="V129" s="5">
        <v>4063412.01289867</v>
      </c>
      <c r="W129" s="5">
        <v>13686481.882195501</v>
      </c>
      <c r="X129" s="5">
        <v>13094808.762709999</v>
      </c>
      <c r="Y129" s="5">
        <v>10679916.1860814</v>
      </c>
      <c r="Z129" s="5">
        <v>11450447.5095382</v>
      </c>
      <c r="AA129" s="5">
        <v>11285107.614255499</v>
      </c>
      <c r="AB129" s="5">
        <v>11092243.7673462</v>
      </c>
      <c r="AC129" s="5">
        <v>11879557.328468099</v>
      </c>
      <c r="AD129">
        <f t="shared" si="5"/>
        <v>11426839.054901998</v>
      </c>
      <c r="AE129">
        <f t="shared" si="6"/>
        <v>335436.53253298672</v>
      </c>
      <c r="AF129">
        <f t="shared" si="7"/>
        <v>2.9355146328860545E-2</v>
      </c>
    </row>
    <row r="130" spans="1:32" x14ac:dyDescent="0.45">
      <c r="A130" s="5" t="s">
        <v>258</v>
      </c>
      <c r="B130" s="2">
        <f t="shared" ref="B130:B193" si="8">AVERAGE(E130:Y130)</f>
        <v>2229411.9466729788</v>
      </c>
      <c r="C130" s="2">
        <v>1757992.152649475</v>
      </c>
      <c r="D130" s="2">
        <v>0.16453236073575983</v>
      </c>
      <c r="E130" s="5">
        <v>541825.93248777499</v>
      </c>
      <c r="F130" s="5">
        <v>4915826.79078143</v>
      </c>
      <c r="G130" s="5">
        <v>2372432.3823320498</v>
      </c>
      <c r="H130" s="5">
        <v>48362.438470562702</v>
      </c>
      <c r="I130" s="5">
        <v>1156550.6572743601</v>
      </c>
      <c r="J130" s="5">
        <v>6186545.9079758096</v>
      </c>
      <c r="K130" s="5">
        <v>8752954.5729784891</v>
      </c>
      <c r="L130" s="5">
        <v>568276.46772173</v>
      </c>
      <c r="M130" s="5">
        <v>311543.50262293301</v>
      </c>
      <c r="N130" s="5">
        <v>4327769.5829971004</v>
      </c>
      <c r="O130" s="5">
        <v>51494.632698242298</v>
      </c>
      <c r="P130" s="5">
        <v>2392610.7179528102</v>
      </c>
      <c r="Q130" s="5">
        <v>6757606.74580424</v>
      </c>
      <c r="R130" s="5">
        <v>1675520.56846079</v>
      </c>
      <c r="S130" s="5">
        <v>157324.92121514701</v>
      </c>
      <c r="T130" s="5">
        <v>68494.964588957504</v>
      </c>
      <c r="U130" s="5">
        <v>196063.403373357</v>
      </c>
      <c r="V130" s="5">
        <v>352264.27453266701</v>
      </c>
      <c r="W130" s="5">
        <v>3076206.5445508701</v>
      </c>
      <c r="X130" s="5">
        <v>2632313.5402413802</v>
      </c>
      <c r="Y130" s="5">
        <v>275662.33107184299</v>
      </c>
      <c r="Z130" s="5">
        <v>1516999.87342646</v>
      </c>
      <c r="AA130" s="5">
        <v>1679877.5825592601</v>
      </c>
      <c r="AB130" s="5">
        <v>1656876.2179568401</v>
      </c>
      <c r="AC130" s="5">
        <v>2178214.9366553398</v>
      </c>
      <c r="AD130">
        <f t="shared" ref="AD130:AD193" si="9">AVERAGE(Z130:AC130)</f>
        <v>1757992.152649475</v>
      </c>
      <c r="AE130">
        <f t="shared" ref="AE130:AE193" si="10">STDEV(Z130:AC130)</f>
        <v>289246.59903035837</v>
      </c>
      <c r="AF130">
        <f t="shared" ref="AF130:AF193" si="11">AE130/AD130</f>
        <v>0.16453236073575983</v>
      </c>
    </row>
    <row r="131" spans="1:32" x14ac:dyDescent="0.45">
      <c r="A131" s="5" t="s">
        <v>161</v>
      </c>
      <c r="B131" s="2">
        <f t="shared" si="8"/>
        <v>214194078.57356504</v>
      </c>
      <c r="C131" s="7">
        <v>172338237.41016749</v>
      </c>
      <c r="D131" s="7">
        <v>0.23236951116180954</v>
      </c>
      <c r="E131" s="5">
        <v>274618400.66367</v>
      </c>
      <c r="F131" s="5">
        <v>164788435.954759</v>
      </c>
      <c r="G131" s="5">
        <v>247172229.510097</v>
      </c>
      <c r="H131" s="5">
        <v>292920006.97467101</v>
      </c>
      <c r="I131" s="5">
        <v>220715443.74184299</v>
      </c>
      <c r="J131" s="5">
        <v>132665291.945647</v>
      </c>
      <c r="K131" s="5">
        <v>143006593.091791</v>
      </c>
      <c r="L131" s="5">
        <v>316619733.64541799</v>
      </c>
      <c r="M131" s="5">
        <v>282960106.38460898</v>
      </c>
      <c r="N131" s="5">
        <v>156613926.25115499</v>
      </c>
      <c r="O131" s="5">
        <v>253431506.54392999</v>
      </c>
      <c r="P131" s="5">
        <v>86087302.760567695</v>
      </c>
      <c r="Q131" s="5">
        <v>211900252.82348299</v>
      </c>
      <c r="R131" s="5">
        <v>213571931.03876901</v>
      </c>
      <c r="S131" s="5">
        <v>251159754.796846</v>
      </c>
      <c r="T131" s="5">
        <v>267056650.67541099</v>
      </c>
      <c r="U131" s="5">
        <v>222216734.11638999</v>
      </c>
      <c r="V131" s="5">
        <v>245412169.382824</v>
      </c>
      <c r="W131" s="5">
        <v>163675091.76964101</v>
      </c>
      <c r="X131" s="5">
        <v>95657943.837781295</v>
      </c>
      <c r="Y131" s="5">
        <v>255826144.13556299</v>
      </c>
      <c r="Z131" s="5">
        <v>204339312.78463101</v>
      </c>
      <c r="AA131" s="5">
        <v>193150782.92580599</v>
      </c>
      <c r="AB131" s="5">
        <v>177230090.78523099</v>
      </c>
      <c r="AC131" s="5">
        <v>114632763.14500199</v>
      </c>
      <c r="AD131">
        <f t="shared" si="9"/>
        <v>172338237.41016749</v>
      </c>
      <c r="AE131">
        <f t="shared" si="10"/>
        <v>40046151.981488496</v>
      </c>
      <c r="AF131">
        <f t="shared" si="11"/>
        <v>0.23236951116180954</v>
      </c>
    </row>
    <row r="132" spans="1:32" x14ac:dyDescent="0.45">
      <c r="A132" s="5" t="s">
        <v>259</v>
      </c>
      <c r="B132" s="2">
        <f t="shared" si="8"/>
        <v>34405916.447859392</v>
      </c>
      <c r="C132" s="2">
        <v>32253631.879818097</v>
      </c>
      <c r="D132" s="2">
        <v>7.2003702521875046E-2</v>
      </c>
      <c r="E132" s="5">
        <v>48432845.968585901</v>
      </c>
      <c r="F132" s="5">
        <v>30207296.3291706</v>
      </c>
      <c r="G132" s="5">
        <v>36048286.316983297</v>
      </c>
      <c r="H132" s="5">
        <v>42752553.507318497</v>
      </c>
      <c r="I132" s="5">
        <v>43560298.101821303</v>
      </c>
      <c r="J132" s="5">
        <v>21658834.818319499</v>
      </c>
      <c r="K132" s="5">
        <v>17007782.853417199</v>
      </c>
      <c r="L132" s="5">
        <v>56518838.707197897</v>
      </c>
      <c r="M132" s="5">
        <v>42402583.022204801</v>
      </c>
      <c r="N132" s="5">
        <v>21527990.493044201</v>
      </c>
      <c r="O132" s="5">
        <v>31198407.091005299</v>
      </c>
      <c r="P132" s="5">
        <v>24528914.4251188</v>
      </c>
      <c r="Q132" s="5">
        <v>49966099.946239702</v>
      </c>
      <c r="R132" s="5">
        <v>23561455.582049899</v>
      </c>
      <c r="S132" s="5">
        <v>34403179.155827403</v>
      </c>
      <c r="T132" s="5">
        <v>34740222.146774799</v>
      </c>
      <c r="U132" s="5">
        <v>37368672.335487597</v>
      </c>
      <c r="V132" s="5">
        <v>42745178.209367603</v>
      </c>
      <c r="W132" s="5">
        <v>34655437.778078601</v>
      </c>
      <c r="X132" s="5">
        <v>23443195.516431201</v>
      </c>
      <c r="Y132" s="5">
        <v>25796173.1006032</v>
      </c>
      <c r="Z132" s="5">
        <v>31184853.984762002</v>
      </c>
      <c r="AA132" s="5">
        <v>35654228.0414709</v>
      </c>
      <c r="AB132" s="5">
        <v>31702267.572784699</v>
      </c>
      <c r="AC132" s="5">
        <v>30473177.9202548</v>
      </c>
      <c r="AD132">
        <f t="shared" si="9"/>
        <v>32253631.879818097</v>
      </c>
      <c r="AE132">
        <f t="shared" si="10"/>
        <v>2322380.9151244876</v>
      </c>
      <c r="AF132">
        <f t="shared" si="11"/>
        <v>7.2003702521875046E-2</v>
      </c>
    </row>
    <row r="133" spans="1:32" x14ac:dyDescent="0.45">
      <c r="A133" s="5" t="s">
        <v>143</v>
      </c>
      <c r="B133" s="2">
        <f t="shared" si="8"/>
        <v>3497430.5435111602</v>
      </c>
      <c r="C133" s="7">
        <v>4022520.5054110698</v>
      </c>
      <c r="D133" s="8">
        <v>9.5119884176529806E-2</v>
      </c>
      <c r="E133" s="5">
        <v>4080721.5962777901</v>
      </c>
      <c r="F133" s="5">
        <v>2540852.3372593601</v>
      </c>
      <c r="G133" s="5">
        <v>1871163.6470447399</v>
      </c>
      <c r="H133" s="5">
        <v>3483126.1271391702</v>
      </c>
      <c r="I133" s="5">
        <v>3010525.7640473498</v>
      </c>
      <c r="J133" s="5">
        <v>2682043.7938273102</v>
      </c>
      <c r="K133" s="5">
        <v>6042595.7183218496</v>
      </c>
      <c r="L133" s="5">
        <v>1391330.3931004601</v>
      </c>
      <c r="M133" s="5">
        <v>3845580.0645909901</v>
      </c>
      <c r="N133" s="5">
        <v>1784050.72516622</v>
      </c>
      <c r="O133" s="5">
        <v>9050663.2917422298</v>
      </c>
      <c r="P133" s="5">
        <v>3981662.2784026698</v>
      </c>
      <c r="Q133" s="5">
        <v>3090455.36007943</v>
      </c>
      <c r="R133" s="5">
        <v>3989752.22467463</v>
      </c>
      <c r="S133" s="5">
        <v>3825265.8698633802</v>
      </c>
      <c r="T133" s="5">
        <v>1590224.7800539299</v>
      </c>
      <c r="U133" s="5">
        <v>2073890.67195782</v>
      </c>
      <c r="V133" s="5">
        <v>4006870.8442501002</v>
      </c>
      <c r="W133" s="5">
        <v>4048254.3126228899</v>
      </c>
      <c r="X133" s="5">
        <v>2700775.1327576502</v>
      </c>
      <c r="Y133" s="5">
        <v>4356236.4805543898</v>
      </c>
      <c r="Z133" s="5">
        <v>3929534.8490168201</v>
      </c>
      <c r="AA133" s="5">
        <v>3593743.6748839901</v>
      </c>
      <c r="AB133" s="5">
        <v>4048259.1204054998</v>
      </c>
      <c r="AC133" s="5">
        <v>4518544.3773379698</v>
      </c>
      <c r="AD133">
        <f t="shared" si="9"/>
        <v>4022520.5054110698</v>
      </c>
      <c r="AE133">
        <f t="shared" si="10"/>
        <v>382621.68457241711</v>
      </c>
      <c r="AF133">
        <f t="shared" si="11"/>
        <v>9.5119884176529806E-2</v>
      </c>
    </row>
    <row r="134" spans="1:32" x14ac:dyDescent="0.45">
      <c r="A134" s="5" t="s">
        <v>133</v>
      </c>
      <c r="B134" s="2">
        <f t="shared" si="8"/>
        <v>432097355.72956729</v>
      </c>
      <c r="C134" s="2">
        <v>367802501.89018202</v>
      </c>
      <c r="D134" s="2">
        <v>0.18989540066651808</v>
      </c>
      <c r="E134" s="5">
        <v>501336324.079669</v>
      </c>
      <c r="F134" s="5">
        <v>383058421.33846402</v>
      </c>
      <c r="G134" s="5">
        <v>571051930.66368401</v>
      </c>
      <c r="H134" s="5">
        <v>522717445.52827901</v>
      </c>
      <c r="I134" s="5">
        <v>728849714.08654797</v>
      </c>
      <c r="J134" s="5">
        <v>302835047.39004397</v>
      </c>
      <c r="K134" s="5">
        <v>117394142.403855</v>
      </c>
      <c r="L134" s="5">
        <v>406031673.21071202</v>
      </c>
      <c r="M134" s="5">
        <v>752192830.77281499</v>
      </c>
      <c r="N134" s="5">
        <v>161268364.23258501</v>
      </c>
      <c r="O134" s="5">
        <v>680632727.29682195</v>
      </c>
      <c r="P134" s="5">
        <v>152816974.6577</v>
      </c>
      <c r="Q134" s="5">
        <v>571431790.66222703</v>
      </c>
      <c r="R134" s="5">
        <v>544778748.62114203</v>
      </c>
      <c r="S134" s="5">
        <v>430666997.00560099</v>
      </c>
      <c r="T134" s="5">
        <v>616399840.90299296</v>
      </c>
      <c r="U134" s="5">
        <v>422103700.37435299</v>
      </c>
      <c r="V134" s="5">
        <v>706497600.74337196</v>
      </c>
      <c r="W134" s="5">
        <v>152090366.49853399</v>
      </c>
      <c r="X134" s="5">
        <v>163998640.748184</v>
      </c>
      <c r="Y134" s="5">
        <v>185891189.10332999</v>
      </c>
      <c r="Z134" s="5">
        <v>419422757.66891301</v>
      </c>
      <c r="AA134" s="5">
        <v>335383473.16849399</v>
      </c>
      <c r="AB134" s="5">
        <v>431463633.73015797</v>
      </c>
      <c r="AC134" s="5">
        <v>284940142.99316299</v>
      </c>
      <c r="AD134">
        <f t="shared" si="9"/>
        <v>367802501.89018202</v>
      </c>
      <c r="AE134">
        <f t="shared" si="10"/>
        <v>69844003.462583885</v>
      </c>
      <c r="AF134">
        <f t="shared" si="11"/>
        <v>0.18989540066651808</v>
      </c>
    </row>
    <row r="135" spans="1:32" x14ac:dyDescent="0.45">
      <c r="A135" s="5" t="s">
        <v>150</v>
      </c>
      <c r="B135" s="2">
        <f t="shared" si="8"/>
        <v>210913354.53539604</v>
      </c>
      <c r="C135" s="2">
        <v>195961106.301882</v>
      </c>
      <c r="D135" s="2">
        <v>4.4505541664988199E-2</v>
      </c>
      <c r="E135" s="5">
        <v>195686915.655294</v>
      </c>
      <c r="F135" s="5">
        <v>187844863.294209</v>
      </c>
      <c r="G135" s="5">
        <v>253396984.09752801</v>
      </c>
      <c r="H135" s="5">
        <v>199526570.506782</v>
      </c>
      <c r="I135" s="5">
        <v>227684701.40568399</v>
      </c>
      <c r="J135" s="5">
        <v>240870136.47961399</v>
      </c>
      <c r="K135" s="5">
        <v>197850796.65055701</v>
      </c>
      <c r="L135" s="5">
        <v>290744009.18362403</v>
      </c>
      <c r="M135" s="5">
        <v>200295702.19892099</v>
      </c>
      <c r="N135" s="5">
        <v>286015064.80176902</v>
      </c>
      <c r="O135" s="5">
        <v>146597204.24228299</v>
      </c>
      <c r="P135" s="5">
        <v>193158988.282258</v>
      </c>
      <c r="Q135" s="5">
        <v>151898164.63314301</v>
      </c>
      <c r="R135" s="5">
        <v>258627688.01371399</v>
      </c>
      <c r="S135" s="5">
        <v>275148955.49863499</v>
      </c>
      <c r="T135" s="5">
        <v>172030939.153074</v>
      </c>
      <c r="U135" s="5">
        <v>196331658.45153299</v>
      </c>
      <c r="V135" s="5">
        <v>115475987.17897899</v>
      </c>
      <c r="W135" s="5">
        <v>255446711.35765699</v>
      </c>
      <c r="X135" s="5">
        <v>193809905.216708</v>
      </c>
      <c r="Y135" s="5">
        <v>190738498.941351</v>
      </c>
      <c r="Z135" s="5">
        <v>185020785.16516</v>
      </c>
      <c r="AA135" s="5">
        <v>192891241.947788</v>
      </c>
      <c r="AB135" s="5">
        <v>203647655.62005001</v>
      </c>
      <c r="AC135" s="5">
        <v>202284742.47453001</v>
      </c>
      <c r="AD135">
        <f t="shared" si="9"/>
        <v>195961106.301882</v>
      </c>
      <c r="AE135">
        <f t="shared" si="10"/>
        <v>8721355.1812355909</v>
      </c>
      <c r="AF135">
        <f t="shared" si="11"/>
        <v>4.4505541664988199E-2</v>
      </c>
    </row>
    <row r="136" spans="1:32" x14ac:dyDescent="0.45">
      <c r="A136" s="5" t="s">
        <v>271</v>
      </c>
      <c r="B136" s="2">
        <f t="shared" si="8"/>
        <v>8151515.6915313704</v>
      </c>
      <c r="C136" s="2">
        <v>7474283.880006345</v>
      </c>
      <c r="D136" s="2">
        <v>3.4065556143824435E-2</v>
      </c>
      <c r="E136" s="5">
        <v>6081770.9648662498</v>
      </c>
      <c r="F136" s="5">
        <v>5604655.9371106997</v>
      </c>
      <c r="G136" s="5">
        <v>7447967.0827806601</v>
      </c>
      <c r="H136" s="5">
        <v>5993862.3381087398</v>
      </c>
      <c r="I136" s="5">
        <v>6148652.6789783603</v>
      </c>
      <c r="J136" s="5">
        <v>7486166.1902624303</v>
      </c>
      <c r="K136" s="5">
        <v>40562864.4942827</v>
      </c>
      <c r="L136" s="5">
        <v>6753177.9575285902</v>
      </c>
      <c r="M136" s="5">
        <v>6248481.0872896696</v>
      </c>
      <c r="N136" s="5">
        <v>6560109.7132745804</v>
      </c>
      <c r="O136" s="5">
        <v>5855395.8483819403</v>
      </c>
      <c r="P136" s="5">
        <v>6588168.2141759899</v>
      </c>
      <c r="Q136" s="5">
        <v>3110454.5651998199</v>
      </c>
      <c r="R136" s="5">
        <v>11313579.841588501</v>
      </c>
      <c r="S136" s="5">
        <v>8256892.5108735599</v>
      </c>
      <c r="T136" s="5">
        <v>6041361.7966381898</v>
      </c>
      <c r="U136" s="5">
        <v>6679730.5024901396</v>
      </c>
      <c r="V136" s="5">
        <v>5408886.0033240803</v>
      </c>
      <c r="W136" s="5">
        <v>5905945.5882523302</v>
      </c>
      <c r="X136" s="5">
        <v>6364661.6338241696</v>
      </c>
      <c r="Y136" s="5">
        <v>6769044.5729273995</v>
      </c>
      <c r="Z136" s="5">
        <v>7265716.3498298097</v>
      </c>
      <c r="AA136" s="5">
        <v>7293588.7352641998</v>
      </c>
      <c r="AB136" s="5">
        <v>7523015.4179062098</v>
      </c>
      <c r="AC136" s="5">
        <v>7814815.0170251597</v>
      </c>
      <c r="AD136">
        <f t="shared" si="9"/>
        <v>7474283.880006345</v>
      </c>
      <c r="AE136">
        <f t="shared" si="10"/>
        <v>254615.63714923809</v>
      </c>
      <c r="AF136">
        <f t="shared" si="11"/>
        <v>3.4065556143824435E-2</v>
      </c>
    </row>
    <row r="137" spans="1:32" x14ac:dyDescent="0.45">
      <c r="A137" s="5" t="s">
        <v>155</v>
      </c>
      <c r="B137" s="2">
        <f t="shared" si="8"/>
        <v>41549815.614422515</v>
      </c>
      <c r="C137" s="7">
        <v>33316912.59622195</v>
      </c>
      <c r="D137" s="8">
        <v>4.2676187368244946E-2</v>
      </c>
      <c r="E137" s="5">
        <v>52423975.914278097</v>
      </c>
      <c r="F137" s="5">
        <v>27286905.239941601</v>
      </c>
      <c r="G137" s="5">
        <v>32246151.335876599</v>
      </c>
      <c r="H137" s="5">
        <v>42042246.628573999</v>
      </c>
      <c r="I137" s="5">
        <v>34873623.293730997</v>
      </c>
      <c r="J137" s="5">
        <v>23181737.920157</v>
      </c>
      <c r="K137" s="5">
        <v>23495979.889733002</v>
      </c>
      <c r="L137" s="5">
        <v>48745983.599147096</v>
      </c>
      <c r="M137" s="5">
        <v>53235807.696136497</v>
      </c>
      <c r="N137" s="5">
        <v>35980888.898759</v>
      </c>
      <c r="O137" s="5">
        <v>39676794.116836399</v>
      </c>
      <c r="P137" s="5">
        <v>26726927.1725621</v>
      </c>
      <c r="Q137" s="5">
        <v>65605197.112760603</v>
      </c>
      <c r="R137" s="5">
        <v>39779308.371073604</v>
      </c>
      <c r="S137" s="5">
        <v>41019603.605635002</v>
      </c>
      <c r="T137" s="5">
        <v>62270687.545855701</v>
      </c>
      <c r="U137" s="5">
        <v>63028331.631047897</v>
      </c>
      <c r="V137" s="5">
        <v>34223608.7122721</v>
      </c>
      <c r="W137" s="5">
        <v>29634246.306816101</v>
      </c>
      <c r="X137" s="5">
        <v>34725614.170797899</v>
      </c>
      <c r="Y137" s="5">
        <v>62342508.740881503</v>
      </c>
      <c r="Z137" s="5">
        <v>34528778.306596197</v>
      </c>
      <c r="AA137" s="5">
        <v>33994771.4130973</v>
      </c>
      <c r="AB137" s="5">
        <v>33456309.593060501</v>
      </c>
      <c r="AC137" s="5">
        <v>31287791.072133798</v>
      </c>
      <c r="AD137">
        <f t="shared" si="9"/>
        <v>33316912.59622195</v>
      </c>
      <c r="AE137">
        <f t="shared" si="10"/>
        <v>1421838.8044878081</v>
      </c>
      <c r="AF137">
        <f t="shared" si="11"/>
        <v>4.2676187368244946E-2</v>
      </c>
    </row>
    <row r="138" spans="1:32" x14ac:dyDescent="0.45">
      <c r="A138" s="5" t="s">
        <v>210</v>
      </c>
      <c r="B138" s="2">
        <f t="shared" si="8"/>
        <v>986053.42239858489</v>
      </c>
      <c r="C138" s="7">
        <v>522424.3628525777</v>
      </c>
      <c r="D138" s="8">
        <v>0.19772967191192251</v>
      </c>
      <c r="E138" s="5">
        <v>2939549.44339548</v>
      </c>
      <c r="F138" s="5">
        <v>383863.80731802201</v>
      </c>
      <c r="G138" s="5">
        <v>648818.15206545405</v>
      </c>
      <c r="H138" s="5">
        <v>306121.14980190998</v>
      </c>
      <c r="I138" s="5">
        <v>2828445.30282749</v>
      </c>
      <c r="J138" s="5">
        <v>359251.33065990702</v>
      </c>
      <c r="K138" s="5">
        <v>157295.55691608001</v>
      </c>
      <c r="L138" s="5">
        <v>2498701.4333941299</v>
      </c>
      <c r="M138" s="5">
        <v>1212076.4677375499</v>
      </c>
      <c r="N138" s="5">
        <v>132974.71770974499</v>
      </c>
      <c r="O138" s="5">
        <v>213273.60459096401</v>
      </c>
      <c r="P138" s="5">
        <v>226479.66188071301</v>
      </c>
      <c r="Q138" s="5">
        <v>755048.89204968803</v>
      </c>
      <c r="R138" s="5">
        <v>727318.83480582002</v>
      </c>
      <c r="S138" s="5">
        <v>3455624.0347603899</v>
      </c>
      <c r="T138" s="5">
        <v>686218.55169379595</v>
      </c>
      <c r="U138" s="5">
        <v>430559.143696838</v>
      </c>
      <c r="V138" s="5">
        <v>842669.83702056098</v>
      </c>
      <c r="W138" s="5">
        <v>451216.13819523901</v>
      </c>
      <c r="X138" s="5">
        <v>340091.24762022501</v>
      </c>
      <c r="Y138" s="5">
        <v>1111524.5622302799</v>
      </c>
      <c r="Z138" s="5">
        <v>481376.02098048799</v>
      </c>
      <c r="AA138" s="5">
        <v>445351.59593365702</v>
      </c>
      <c r="AB138" s="5">
        <v>488183.12471583602</v>
      </c>
      <c r="AC138" s="5">
        <v>674786.70978032995</v>
      </c>
      <c r="AD138">
        <f t="shared" si="9"/>
        <v>522424.3628525777</v>
      </c>
      <c r="AE138">
        <f t="shared" si="10"/>
        <v>103298.79786563535</v>
      </c>
      <c r="AF138">
        <f t="shared" si="11"/>
        <v>0.19772967191192251</v>
      </c>
    </row>
    <row r="139" spans="1:32" x14ac:dyDescent="0.45">
      <c r="A139" s="5" t="s">
        <v>261</v>
      </c>
      <c r="B139" s="2">
        <f t="shared" si="8"/>
        <v>23126030.023978241</v>
      </c>
      <c r="C139" s="2">
        <v>28180849.890440375</v>
      </c>
      <c r="D139" s="2">
        <v>0.19719634859854657</v>
      </c>
      <c r="E139" s="5">
        <v>21748227.068365499</v>
      </c>
      <c r="F139" s="5">
        <v>9597926.0252467692</v>
      </c>
      <c r="G139" s="5">
        <v>10703011.1296813</v>
      </c>
      <c r="H139" s="5">
        <v>68587455.878312707</v>
      </c>
      <c r="I139" s="5">
        <v>42094583.900234498</v>
      </c>
      <c r="J139" s="5">
        <v>5452343.2009319896</v>
      </c>
      <c r="K139" s="5">
        <v>14341885.8863746</v>
      </c>
      <c r="L139" s="5">
        <v>27561416.036911201</v>
      </c>
      <c r="M139" s="5">
        <v>28609087.503691498</v>
      </c>
      <c r="N139" s="5">
        <v>6962434.8802768197</v>
      </c>
      <c r="O139" s="5">
        <v>43479157.789607897</v>
      </c>
      <c r="P139" s="5">
        <v>19102318.006237801</v>
      </c>
      <c r="Q139" s="5">
        <v>10244873.7967974</v>
      </c>
      <c r="R139" s="5">
        <v>45814770.266625203</v>
      </c>
      <c r="S139" s="5">
        <v>28248891.352044299</v>
      </c>
      <c r="T139" s="5">
        <v>14354856.399414301</v>
      </c>
      <c r="U139" s="5">
        <v>13398665.979422901</v>
      </c>
      <c r="V139" s="5">
        <v>13690354.9772864</v>
      </c>
      <c r="W139" s="5">
        <v>22536581.5262991</v>
      </c>
      <c r="X139" s="5">
        <v>25017810.750486199</v>
      </c>
      <c r="Y139" s="5">
        <v>14099978.1492946</v>
      </c>
      <c r="Z139" s="5">
        <v>29467741.8000287</v>
      </c>
      <c r="AA139" s="5">
        <v>31160424.4585586</v>
      </c>
      <c r="AB139" s="5">
        <v>32089585.7677022</v>
      </c>
      <c r="AC139" s="5">
        <v>20005647.535471998</v>
      </c>
      <c r="AD139">
        <f t="shared" si="9"/>
        <v>28180849.890440375</v>
      </c>
      <c r="AE139">
        <f t="shared" si="10"/>
        <v>5557160.6987985931</v>
      </c>
      <c r="AF139">
        <f t="shared" si="11"/>
        <v>0.19719634859854657</v>
      </c>
    </row>
    <row r="140" spans="1:32" x14ac:dyDescent="0.45">
      <c r="A140" s="5" t="s">
        <v>211</v>
      </c>
      <c r="B140" s="2">
        <f t="shared" si="8"/>
        <v>17010534.739782371</v>
      </c>
      <c r="C140" s="8">
        <v>14681588.845621599</v>
      </c>
      <c r="D140" s="7">
        <v>5.869122825445966E-2</v>
      </c>
      <c r="E140" s="5">
        <v>29826269.275114901</v>
      </c>
      <c r="F140" s="5">
        <v>11090759.213349801</v>
      </c>
      <c r="G140" s="5">
        <v>18875486.502740901</v>
      </c>
      <c r="H140" s="5">
        <v>28225865.663865902</v>
      </c>
      <c r="I140" s="5">
        <v>15491295.790985299</v>
      </c>
      <c r="J140" s="5">
        <v>7012872.9596553296</v>
      </c>
      <c r="K140" s="5">
        <v>10030500.8982246</v>
      </c>
      <c r="L140" s="5">
        <v>26101336.126791801</v>
      </c>
      <c r="M140" s="5">
        <v>14514566.712407099</v>
      </c>
      <c r="N140" s="5">
        <v>13953731.3376079</v>
      </c>
      <c r="O140" s="5">
        <v>20279559.0093721</v>
      </c>
      <c r="P140" s="5">
        <v>11050477.2256107</v>
      </c>
      <c r="Q140" s="5">
        <v>37170659.179063298</v>
      </c>
      <c r="R140" s="5">
        <v>9607953.0771510899</v>
      </c>
      <c r="S140" s="5">
        <v>15373610.1820681</v>
      </c>
      <c r="T140" s="5">
        <v>14319475.2856417</v>
      </c>
      <c r="U140" s="5">
        <v>14788796.1569968</v>
      </c>
      <c r="V140" s="5">
        <v>22733476.6867119</v>
      </c>
      <c r="W140" s="5">
        <v>14636023.508427201</v>
      </c>
      <c r="X140" s="5">
        <v>6860852.2070631497</v>
      </c>
      <c r="Y140" s="5">
        <v>15277662.536580199</v>
      </c>
      <c r="Z140" s="5">
        <v>15109846.7277782</v>
      </c>
      <c r="AA140" s="5">
        <v>15686106.080927899</v>
      </c>
      <c r="AB140" s="5">
        <v>14030767.2891616</v>
      </c>
      <c r="AC140" s="5">
        <v>13899635.2846187</v>
      </c>
      <c r="AD140">
        <f t="shared" si="9"/>
        <v>14681588.845621599</v>
      </c>
      <c r="AE140">
        <f t="shared" si="10"/>
        <v>861680.48207650613</v>
      </c>
      <c r="AF140">
        <f t="shared" si="11"/>
        <v>5.869122825445966E-2</v>
      </c>
    </row>
    <row r="141" spans="1:32" x14ac:dyDescent="0.45">
      <c r="A141" s="5" t="s">
        <v>93</v>
      </c>
      <c r="B141" s="2">
        <f t="shared" si="8"/>
        <v>34506340.039789163</v>
      </c>
      <c r="C141" s="8">
        <v>29754952.719379172</v>
      </c>
      <c r="D141" s="7">
        <v>2.7778743298272658E-2</v>
      </c>
      <c r="E141" s="5">
        <v>43449393.401913598</v>
      </c>
      <c r="F141" s="5">
        <v>28881181.6327435</v>
      </c>
      <c r="G141" s="5">
        <v>33602816.413231701</v>
      </c>
      <c r="H141" s="5">
        <v>53755708.852649003</v>
      </c>
      <c r="I141" s="5">
        <v>27002868.360527098</v>
      </c>
      <c r="J141" s="5">
        <v>28894715.146694802</v>
      </c>
      <c r="K141" s="5">
        <v>41374236.641106002</v>
      </c>
      <c r="L141" s="5">
        <v>28957763.124961201</v>
      </c>
      <c r="M141" s="5">
        <v>35093132.442817897</v>
      </c>
      <c r="N141" s="5">
        <v>26099131.575781699</v>
      </c>
      <c r="O141" s="5">
        <v>45262190.634660497</v>
      </c>
      <c r="P141" s="5">
        <v>28238109.978925601</v>
      </c>
      <c r="Q141" s="5">
        <v>68441568.454303995</v>
      </c>
      <c r="R141" s="5">
        <v>18758067.732104</v>
      </c>
      <c r="S141" s="5">
        <v>25709038.3708716</v>
      </c>
      <c r="T141" s="5">
        <v>32245216.2900308</v>
      </c>
      <c r="U141" s="5">
        <v>34600997.225693598</v>
      </c>
      <c r="V141" s="5">
        <v>45637971.128369197</v>
      </c>
      <c r="W141" s="5">
        <v>21973364.341425002</v>
      </c>
      <c r="X141" s="5">
        <v>25842053.575037099</v>
      </c>
      <c r="Y141" s="5">
        <v>30813615.511724502</v>
      </c>
      <c r="Z141" s="5">
        <v>29977280.563263699</v>
      </c>
      <c r="AA141" s="5">
        <v>30797627.214309499</v>
      </c>
      <c r="AB141" s="5">
        <v>28884896.048794601</v>
      </c>
      <c r="AC141" s="5">
        <v>29360007.051148899</v>
      </c>
      <c r="AD141">
        <f t="shared" si="9"/>
        <v>29754952.719379172</v>
      </c>
      <c r="AE141">
        <f t="shared" si="10"/>
        <v>826555.19344387401</v>
      </c>
      <c r="AF141">
        <f t="shared" si="11"/>
        <v>2.7778743298272658E-2</v>
      </c>
    </row>
    <row r="142" spans="1:32" x14ac:dyDescent="0.45">
      <c r="A142" s="5" t="s">
        <v>94</v>
      </c>
      <c r="B142" s="2">
        <f t="shared" si="8"/>
        <v>275901632.53765637</v>
      </c>
      <c r="C142" s="8">
        <v>324136948.68890178</v>
      </c>
      <c r="D142" s="7">
        <v>1.6571965957279649E-2</v>
      </c>
      <c r="E142" s="5">
        <v>35420634.275148101</v>
      </c>
      <c r="F142" s="5">
        <v>546218725.39128399</v>
      </c>
      <c r="G142" s="5">
        <v>61056606.253671803</v>
      </c>
      <c r="H142" s="5">
        <v>30993268.214318901</v>
      </c>
      <c r="I142" s="5">
        <v>31811140.429123901</v>
      </c>
      <c r="J142" s="5">
        <v>722765053.95175505</v>
      </c>
      <c r="K142" s="5">
        <v>1253623329.0494699</v>
      </c>
      <c r="L142" s="5">
        <v>36042461.094391704</v>
      </c>
      <c r="M142" s="5">
        <v>56433693.401855797</v>
      </c>
      <c r="N142" s="5">
        <v>713970706.36278999</v>
      </c>
      <c r="O142" s="5">
        <v>23855321.3060681</v>
      </c>
      <c r="P142" s="5">
        <v>774114170.64391696</v>
      </c>
      <c r="Q142" s="5">
        <v>43923525.742443897</v>
      </c>
      <c r="R142" s="5">
        <v>20228433.570144799</v>
      </c>
      <c r="S142" s="5">
        <v>25850408.568257701</v>
      </c>
      <c r="T142" s="5">
        <v>22521031.461946599</v>
      </c>
      <c r="U142" s="5">
        <v>61539389.998869203</v>
      </c>
      <c r="V142" s="5">
        <v>54978441.3721423</v>
      </c>
      <c r="W142" s="5">
        <v>584173307.56260502</v>
      </c>
      <c r="X142" s="5">
        <v>665972682.62444603</v>
      </c>
      <c r="Y142" s="5">
        <v>28441952.016135499</v>
      </c>
      <c r="Z142" s="5">
        <v>318609739.35913599</v>
      </c>
      <c r="AA142" s="5">
        <v>330814451.30062902</v>
      </c>
      <c r="AB142" s="5">
        <v>325881408.96371901</v>
      </c>
      <c r="AC142" s="5">
        <v>321242195.13212299</v>
      </c>
      <c r="AD142">
        <f t="shared" si="9"/>
        <v>324136948.68890178</v>
      </c>
      <c r="AE142">
        <f t="shared" si="10"/>
        <v>5371586.4791689804</v>
      </c>
      <c r="AF142">
        <f t="shared" si="11"/>
        <v>1.6571965957279649E-2</v>
      </c>
    </row>
    <row r="143" spans="1:32" x14ac:dyDescent="0.45">
      <c r="A143" s="5" t="s">
        <v>95</v>
      </c>
      <c r="B143" s="2">
        <f t="shared" si="8"/>
        <v>2918255.004127129</v>
      </c>
      <c r="C143" s="7">
        <v>2253085.6141993077</v>
      </c>
      <c r="D143" s="8">
        <v>0.11977647696794956</v>
      </c>
      <c r="E143" s="5">
        <v>5071837.15903138</v>
      </c>
      <c r="F143" s="5">
        <v>2601968.7547226502</v>
      </c>
      <c r="G143" s="5">
        <v>5749848.7710439302</v>
      </c>
      <c r="H143" s="5">
        <v>4384143.9953089803</v>
      </c>
      <c r="I143" s="5">
        <v>1803168.1588349801</v>
      </c>
      <c r="J143" s="5">
        <v>1245965.0224493099</v>
      </c>
      <c r="K143" s="5">
        <v>643994.30642449099</v>
      </c>
      <c r="L143" s="5">
        <v>2644707.5085847699</v>
      </c>
      <c r="M143" s="5">
        <v>1780700.7430270901</v>
      </c>
      <c r="N143" s="5">
        <v>975180.424985772</v>
      </c>
      <c r="O143" s="5">
        <v>6135538.1928033195</v>
      </c>
      <c r="P143" s="5">
        <v>539028.68739159603</v>
      </c>
      <c r="Q143" s="5">
        <v>7925939.6521946704</v>
      </c>
      <c r="R143" s="5">
        <v>2429120.0664660698</v>
      </c>
      <c r="S143" s="5">
        <v>2639823.2989232098</v>
      </c>
      <c r="T143" s="5">
        <v>2061853.5319463301</v>
      </c>
      <c r="U143" s="5">
        <v>2359785.3585920599</v>
      </c>
      <c r="V143" s="5">
        <v>4985516.9278546805</v>
      </c>
      <c r="W143" s="5">
        <v>1604107.68511635</v>
      </c>
      <c r="X143" s="5">
        <v>958023.10157748498</v>
      </c>
      <c r="Y143" s="5">
        <v>2743103.73939058</v>
      </c>
      <c r="Z143" s="5">
        <v>1853329.7753315701</v>
      </c>
      <c r="AA143" s="5">
        <v>2443155.0130564799</v>
      </c>
      <c r="AB143" s="5">
        <v>2374791.94947227</v>
      </c>
      <c r="AC143" s="5">
        <v>2341065.7189369099</v>
      </c>
      <c r="AD143">
        <f t="shared" si="9"/>
        <v>2253085.6141993077</v>
      </c>
      <c r="AE143">
        <f t="shared" si="10"/>
        <v>269866.65717596188</v>
      </c>
      <c r="AF143">
        <f t="shared" si="11"/>
        <v>0.11977647696794956</v>
      </c>
    </row>
    <row r="144" spans="1:32" x14ac:dyDescent="0.45">
      <c r="A144" s="5" t="s">
        <v>135</v>
      </c>
      <c r="B144" s="2">
        <f t="shared" si="8"/>
        <v>1293547.5724774594</v>
      </c>
      <c r="C144" s="2">
        <v>1451423.4995828301</v>
      </c>
      <c r="D144" s="2">
        <v>0.12328952926620677</v>
      </c>
      <c r="E144" s="5">
        <v>929338.93216382503</v>
      </c>
      <c r="F144" s="5">
        <v>1993962.09842049</v>
      </c>
      <c r="G144" s="5">
        <v>2503947.6610261602</v>
      </c>
      <c r="H144" s="5">
        <v>710699.55228117004</v>
      </c>
      <c r="I144" s="5">
        <v>1165814.8898198199</v>
      </c>
      <c r="J144" s="5">
        <v>2077027.1083557301</v>
      </c>
      <c r="K144" s="5">
        <v>1781421.70770846</v>
      </c>
      <c r="L144" s="5">
        <v>442961.70273531001</v>
      </c>
      <c r="M144" s="5">
        <v>597552.83346884896</v>
      </c>
      <c r="N144" s="5">
        <v>1609343.8303930999</v>
      </c>
      <c r="O144" s="5">
        <v>919200.22754388803</v>
      </c>
      <c r="P144" s="5">
        <v>1464926.1913358299</v>
      </c>
      <c r="Q144" s="5">
        <v>464632.42153297702</v>
      </c>
      <c r="R144" s="5">
        <v>2968972.9281404</v>
      </c>
      <c r="S144" s="5">
        <v>821061.76806449995</v>
      </c>
      <c r="T144" s="5">
        <v>1179962.907803</v>
      </c>
      <c r="U144" s="5">
        <v>643976.54194396897</v>
      </c>
      <c r="V144" s="5">
        <v>989976.85231737199</v>
      </c>
      <c r="W144" s="5">
        <v>1777098.9044560799</v>
      </c>
      <c r="X144" s="5">
        <v>1179083.5166515601</v>
      </c>
      <c r="Y144" s="5">
        <v>943536.44586416404</v>
      </c>
      <c r="Z144" s="5">
        <v>1215480.2061131101</v>
      </c>
      <c r="AA144" s="5">
        <v>1650316.4864044101</v>
      </c>
      <c r="AB144" s="5">
        <v>1478616.4706787099</v>
      </c>
      <c r="AC144" s="5">
        <v>1461280.8351350899</v>
      </c>
      <c r="AD144">
        <f t="shared" si="9"/>
        <v>1451423.4995828301</v>
      </c>
      <c r="AE144">
        <f t="shared" si="10"/>
        <v>178945.32002947759</v>
      </c>
      <c r="AF144">
        <f t="shared" si="11"/>
        <v>0.12328952926620677</v>
      </c>
    </row>
    <row r="145" spans="1:32" x14ac:dyDescent="0.45">
      <c r="A145" s="5" t="s">
        <v>96</v>
      </c>
      <c r="B145" s="2">
        <f t="shared" si="8"/>
        <v>702993.51825113676</v>
      </c>
      <c r="C145" s="2">
        <v>671285.17901393934</v>
      </c>
      <c r="D145" s="2">
        <v>4.266827496598094E-2</v>
      </c>
      <c r="E145" s="5">
        <v>347816.01925902697</v>
      </c>
      <c r="F145" s="5">
        <v>917078.81160829205</v>
      </c>
      <c r="G145" s="5">
        <v>277651.739063252</v>
      </c>
      <c r="H145" s="5">
        <v>221879.82150479199</v>
      </c>
      <c r="I145" s="5">
        <v>236134.975710564</v>
      </c>
      <c r="J145" s="5">
        <v>1073568.7622138499</v>
      </c>
      <c r="K145" s="5">
        <v>4497961.3036856297</v>
      </c>
      <c r="L145" s="5">
        <v>257431.81334449901</v>
      </c>
      <c r="M145" s="5">
        <v>242914.89920086</v>
      </c>
      <c r="N145" s="5">
        <v>1398274.36863982</v>
      </c>
      <c r="O145" s="5">
        <v>198681.928143075</v>
      </c>
      <c r="P145" s="5">
        <v>1513086.0657009799</v>
      </c>
      <c r="Q145" s="5">
        <v>504918.88692440599</v>
      </c>
      <c r="R145" s="5">
        <v>203218.89949073899</v>
      </c>
      <c r="S145" s="5">
        <v>251999.05101042101</v>
      </c>
      <c r="T145" s="5">
        <v>158130.146740367</v>
      </c>
      <c r="U145" s="5">
        <v>247201.13967355201</v>
      </c>
      <c r="V145" s="5">
        <v>292107.12714413297</v>
      </c>
      <c r="W145" s="5">
        <v>836665.16647109203</v>
      </c>
      <c r="X145" s="5">
        <v>917916.163525949</v>
      </c>
      <c r="Y145" s="5">
        <v>168226.794218572</v>
      </c>
      <c r="Z145" s="5">
        <v>705921.92448447098</v>
      </c>
      <c r="AA145" s="5">
        <v>653928.25675204606</v>
      </c>
      <c r="AB145" s="5">
        <v>682781.41944782902</v>
      </c>
      <c r="AC145" s="5">
        <v>642509.11537141097</v>
      </c>
      <c r="AD145">
        <f t="shared" si="9"/>
        <v>671285.17901393934</v>
      </c>
      <c r="AE145">
        <f t="shared" si="10"/>
        <v>28642.580598754503</v>
      </c>
      <c r="AF145">
        <f t="shared" si="11"/>
        <v>4.266827496598094E-2</v>
      </c>
    </row>
    <row r="146" spans="1:32" x14ac:dyDescent="0.45">
      <c r="A146" s="5" t="s">
        <v>97</v>
      </c>
      <c r="B146" s="2">
        <f t="shared" si="8"/>
        <v>41639442.522723451</v>
      </c>
      <c r="C146" s="7">
        <v>34282339.291157752</v>
      </c>
      <c r="D146" s="7">
        <v>3.0775439921310262E-2</v>
      </c>
      <c r="E146" s="5">
        <v>45763150.093362197</v>
      </c>
      <c r="F146" s="5">
        <v>25136406.585384101</v>
      </c>
      <c r="G146" s="5">
        <v>37369444.999741003</v>
      </c>
      <c r="H146" s="5">
        <v>53198191.054537699</v>
      </c>
      <c r="I146" s="5">
        <v>30772861.7563335</v>
      </c>
      <c r="J146" s="5">
        <v>26714807.503438</v>
      </c>
      <c r="K146" s="5">
        <v>31163336.673770599</v>
      </c>
      <c r="L146" s="5">
        <v>44771141.102547102</v>
      </c>
      <c r="M146" s="5">
        <v>50386732.462200999</v>
      </c>
      <c r="N146" s="5">
        <v>31402020.315551098</v>
      </c>
      <c r="O146" s="5">
        <v>38194018.007687099</v>
      </c>
      <c r="P146" s="5">
        <v>31028799.328804899</v>
      </c>
      <c r="Q146" s="5">
        <v>60672322.511498198</v>
      </c>
      <c r="R146" s="5">
        <v>49510341.6865343</v>
      </c>
      <c r="S146" s="5">
        <v>52670285.601611599</v>
      </c>
      <c r="T146" s="5">
        <v>54247079.539658703</v>
      </c>
      <c r="U146" s="5">
        <v>48092181.581040896</v>
      </c>
      <c r="V146" s="5">
        <v>42357639.323581301</v>
      </c>
      <c r="W146" s="5">
        <v>24407341.879869599</v>
      </c>
      <c r="X146" s="5">
        <v>35562342.813085303</v>
      </c>
      <c r="Y146" s="5">
        <v>61007848.156954199</v>
      </c>
      <c r="Z146" s="5">
        <v>33380780.312927298</v>
      </c>
      <c r="AA146" s="5">
        <v>34209017.623984903</v>
      </c>
      <c r="AB146" s="5">
        <v>35781223.259778298</v>
      </c>
      <c r="AC146" s="5">
        <v>33758335.967940502</v>
      </c>
      <c r="AD146">
        <f t="shared" si="9"/>
        <v>34282339.291157752</v>
      </c>
      <c r="AE146">
        <f t="shared" si="10"/>
        <v>1055054.0732169996</v>
      </c>
      <c r="AF146">
        <f t="shared" si="11"/>
        <v>3.0775439921310262E-2</v>
      </c>
    </row>
    <row r="147" spans="1:32" x14ac:dyDescent="0.45">
      <c r="A147" s="5" t="s">
        <v>98</v>
      </c>
      <c r="B147" s="2">
        <f t="shared" si="8"/>
        <v>510790.73265891511</v>
      </c>
      <c r="C147" s="7">
        <v>338324.70497426199</v>
      </c>
      <c r="D147" s="8">
        <v>4.643369785800492E-2</v>
      </c>
      <c r="E147" s="5">
        <v>656857.248465123</v>
      </c>
      <c r="F147" s="5">
        <v>159410.885953391</v>
      </c>
      <c r="G147" s="5">
        <v>518258.294223784</v>
      </c>
      <c r="H147" s="5">
        <v>762604.56623592402</v>
      </c>
      <c r="I147" s="5">
        <v>498866.65063442499</v>
      </c>
      <c r="J147" s="5">
        <v>134086.98410537399</v>
      </c>
      <c r="K147" s="5">
        <v>249913.46470804099</v>
      </c>
      <c r="L147" s="5">
        <v>898535.908762265</v>
      </c>
      <c r="M147" s="5">
        <v>660922.88245025103</v>
      </c>
      <c r="N147" s="5">
        <v>281210.58544340398</v>
      </c>
      <c r="O147" s="5">
        <v>639177.72831498098</v>
      </c>
      <c r="P147" s="5">
        <v>184703.26566777501</v>
      </c>
      <c r="Q147" s="5">
        <v>1009934.39085636</v>
      </c>
      <c r="R147" s="5">
        <v>378903.033723086</v>
      </c>
      <c r="S147" s="5">
        <v>764151.96924224403</v>
      </c>
      <c r="T147" s="5">
        <v>614343.998765531</v>
      </c>
      <c r="U147" s="5">
        <v>634121.97830900596</v>
      </c>
      <c r="V147" s="5">
        <v>593685.804140892</v>
      </c>
      <c r="W147" s="5">
        <v>176869.076651671</v>
      </c>
      <c r="X147" s="5">
        <v>153736.09454533699</v>
      </c>
      <c r="Y147" s="5">
        <v>756310.57463835296</v>
      </c>
      <c r="Z147" s="5">
        <v>336238.06092434499</v>
      </c>
      <c r="AA147" s="5">
        <v>357650.45845412201</v>
      </c>
      <c r="AB147" s="5">
        <v>319362.31104665098</v>
      </c>
      <c r="AC147" s="5">
        <v>340047.98947193002</v>
      </c>
      <c r="AD147">
        <f t="shared" si="9"/>
        <v>338324.70497426199</v>
      </c>
      <c r="AE147">
        <f t="shared" si="10"/>
        <v>15709.667128673536</v>
      </c>
      <c r="AF147">
        <f t="shared" si="11"/>
        <v>4.643369785800492E-2</v>
      </c>
    </row>
    <row r="148" spans="1:32" x14ac:dyDescent="0.45">
      <c r="A148" s="5" t="s">
        <v>99</v>
      </c>
      <c r="B148" s="2">
        <f t="shared" si="8"/>
        <v>37717871.62772087</v>
      </c>
      <c r="C148" s="7">
        <v>37798697.607289322</v>
      </c>
      <c r="D148" s="7">
        <v>8.8128756219765153E-2</v>
      </c>
      <c r="E148" s="5">
        <v>7574671.50271047</v>
      </c>
      <c r="F148" s="5">
        <v>57928357.338516504</v>
      </c>
      <c r="G148" s="5">
        <v>19592073.961296301</v>
      </c>
      <c r="H148" s="5">
        <v>13180187.597064501</v>
      </c>
      <c r="I148" s="5">
        <v>23262963.494684301</v>
      </c>
      <c r="J148" s="5">
        <v>106537486.803082</v>
      </c>
      <c r="K148" s="5">
        <v>41561169.117755704</v>
      </c>
      <c r="L148" s="5">
        <v>12680636.6557514</v>
      </c>
      <c r="M148" s="5">
        <v>17726429.368466899</v>
      </c>
      <c r="N148" s="5">
        <v>90027235.368651003</v>
      </c>
      <c r="O148" s="5">
        <v>12873907.6793372</v>
      </c>
      <c r="P148" s="5">
        <v>123822158.295817</v>
      </c>
      <c r="Q148" s="5">
        <v>15952541.5037216</v>
      </c>
      <c r="R148" s="5">
        <v>22609341.788054701</v>
      </c>
      <c r="S148" s="5">
        <v>12823946.257266499</v>
      </c>
      <c r="T148" s="5">
        <v>14415943.491750499</v>
      </c>
      <c r="U148" s="5">
        <v>15138603.9768485</v>
      </c>
      <c r="V148" s="5">
        <v>13462666.1030643</v>
      </c>
      <c r="W148" s="5">
        <v>93427011.421246603</v>
      </c>
      <c r="X148" s="5">
        <v>58706188.969110698</v>
      </c>
      <c r="Y148" s="5">
        <v>18771783.4879415</v>
      </c>
      <c r="Z148" s="5">
        <v>35323289.579232</v>
      </c>
      <c r="AA148" s="5">
        <v>34687820.447987497</v>
      </c>
      <c r="AB148" s="5">
        <v>41561693.894281097</v>
      </c>
      <c r="AC148" s="5">
        <v>39621986.507656701</v>
      </c>
      <c r="AD148">
        <f t="shared" si="9"/>
        <v>37798697.607289322</v>
      </c>
      <c r="AE148">
        <f t="shared" si="10"/>
        <v>3331152.206857421</v>
      </c>
      <c r="AF148">
        <f t="shared" si="11"/>
        <v>8.8128756219765153E-2</v>
      </c>
    </row>
    <row r="149" spans="1:32" x14ac:dyDescent="0.45">
      <c r="A149" s="5" t="s">
        <v>262</v>
      </c>
      <c r="B149" s="2">
        <f t="shared" si="8"/>
        <v>4694995.6845292412</v>
      </c>
      <c r="C149" s="2">
        <v>4331321.4658266045</v>
      </c>
      <c r="D149" s="2">
        <v>3.4207186405365485E-2</v>
      </c>
      <c r="E149" s="5">
        <v>6386630.5866645398</v>
      </c>
      <c r="F149" s="5">
        <v>4131564.2766576</v>
      </c>
      <c r="G149" s="5">
        <v>4139985.78587618</v>
      </c>
      <c r="H149" s="5">
        <v>3906532.3269605399</v>
      </c>
      <c r="I149" s="5">
        <v>3861849.5009361901</v>
      </c>
      <c r="J149" s="5">
        <v>3477554.4437826499</v>
      </c>
      <c r="K149" s="5">
        <v>3956132.3493301701</v>
      </c>
      <c r="L149" s="5">
        <v>6498623.9075097404</v>
      </c>
      <c r="M149" s="5">
        <v>5050196.6335541196</v>
      </c>
      <c r="N149" s="5">
        <v>3790841.6320599099</v>
      </c>
      <c r="O149" s="5">
        <v>5583706.1073361998</v>
      </c>
      <c r="P149" s="5">
        <v>4252071.0683421101</v>
      </c>
      <c r="Q149" s="5">
        <v>4164900.79337407</v>
      </c>
      <c r="R149" s="5">
        <v>5024961.3446335103</v>
      </c>
      <c r="S149" s="5">
        <v>6307839.4019354498</v>
      </c>
      <c r="T149" s="5">
        <v>4406276.8016913598</v>
      </c>
      <c r="U149" s="5">
        <v>5248216.8230021996</v>
      </c>
      <c r="V149" s="5">
        <v>4790491.7499037003</v>
      </c>
      <c r="W149" s="5">
        <v>5185735.8803285202</v>
      </c>
      <c r="X149" s="5">
        <v>3505544.0204511299</v>
      </c>
      <c r="Y149" s="5">
        <v>4925253.9407841899</v>
      </c>
      <c r="Z149" s="5">
        <v>4125538.49181754</v>
      </c>
      <c r="AA149" s="5">
        <v>4458416.4750073804</v>
      </c>
      <c r="AB149" s="5">
        <v>4324510.5556147797</v>
      </c>
      <c r="AC149" s="5">
        <v>4416820.3408667203</v>
      </c>
      <c r="AD149">
        <f t="shared" si="9"/>
        <v>4331321.4658266045</v>
      </c>
      <c r="AE149">
        <f t="shared" si="10"/>
        <v>148162.32076309153</v>
      </c>
      <c r="AF149">
        <f t="shared" si="11"/>
        <v>3.4207186405365485E-2</v>
      </c>
    </row>
    <row r="150" spans="1:32" x14ac:dyDescent="0.45">
      <c r="A150" s="5" t="s">
        <v>100</v>
      </c>
      <c r="B150" s="2">
        <f t="shared" si="8"/>
        <v>2358195.3519682535</v>
      </c>
      <c r="C150" s="7">
        <v>1955922.2161750125</v>
      </c>
      <c r="D150" s="8">
        <v>0.10358484682628893</v>
      </c>
      <c r="E150" s="5">
        <v>2844843.0035283002</v>
      </c>
      <c r="F150" s="5">
        <v>2105784.7074480602</v>
      </c>
      <c r="G150" s="5">
        <v>3332296.0465855999</v>
      </c>
      <c r="H150" s="5">
        <v>3807372.7539612502</v>
      </c>
      <c r="I150" s="5">
        <v>2414724.3123361999</v>
      </c>
      <c r="J150" s="5">
        <v>1416901.2336170101</v>
      </c>
      <c r="K150" s="5">
        <v>1512707.81124379</v>
      </c>
      <c r="L150" s="5">
        <v>2937986.1670757602</v>
      </c>
      <c r="M150" s="5">
        <v>1885271.3183327401</v>
      </c>
      <c r="N150" s="5">
        <v>2337227.3764279699</v>
      </c>
      <c r="O150" s="5">
        <v>3709555.3228835398</v>
      </c>
      <c r="P150" s="5">
        <v>1303785.3504890299</v>
      </c>
      <c r="Q150" s="5">
        <v>3968349.3919889401</v>
      </c>
      <c r="R150" s="5">
        <v>1500785.2688270099</v>
      </c>
      <c r="S150" s="5">
        <v>2122889.1495268098</v>
      </c>
      <c r="T150" s="5">
        <v>2001957.75167125</v>
      </c>
      <c r="U150" s="5">
        <v>2426308.6238158299</v>
      </c>
      <c r="V150" s="5">
        <v>1973186.14665694</v>
      </c>
      <c r="W150" s="5">
        <v>2057551.58205052</v>
      </c>
      <c r="X150" s="5">
        <v>1464278.67381548</v>
      </c>
      <c r="Y150" s="5">
        <v>2398340.3990512998</v>
      </c>
      <c r="Z150" s="5">
        <v>2059145.7138548801</v>
      </c>
      <c r="AA150" s="5">
        <v>2051947.7917564199</v>
      </c>
      <c r="AB150" s="5">
        <v>1652068.7314269401</v>
      </c>
      <c r="AC150" s="5">
        <v>2060526.62766181</v>
      </c>
      <c r="AD150">
        <f t="shared" si="9"/>
        <v>1955922.2161750125</v>
      </c>
      <c r="AE150">
        <f t="shared" si="10"/>
        <v>202603.90316662425</v>
      </c>
      <c r="AF150">
        <f t="shared" si="11"/>
        <v>0.10358484682628893</v>
      </c>
    </row>
    <row r="151" spans="1:32" x14ac:dyDescent="0.45">
      <c r="A151" s="5" t="s">
        <v>212</v>
      </c>
      <c r="B151" s="2">
        <f t="shared" si="8"/>
        <v>6505910.1144183418</v>
      </c>
      <c r="C151" s="7">
        <v>5852523.1067699399</v>
      </c>
      <c r="D151" s="7">
        <v>5.9437486882946262E-2</v>
      </c>
      <c r="E151" s="5">
        <v>16253347.792053901</v>
      </c>
      <c r="F151" s="5">
        <v>7278989.41047257</v>
      </c>
      <c r="G151" s="5">
        <v>4011431.3063870901</v>
      </c>
      <c r="H151" s="5">
        <v>1772185.24958654</v>
      </c>
      <c r="I151" s="5">
        <v>10265803.8148594</v>
      </c>
      <c r="J151" s="5">
        <v>10165991.651990499</v>
      </c>
      <c r="K151" s="5">
        <v>3067747.0096415998</v>
      </c>
      <c r="L151" s="5">
        <v>9965029.45129296</v>
      </c>
      <c r="M151" s="5">
        <v>12296373.2989711</v>
      </c>
      <c r="N151" s="5">
        <v>5373373.13459545</v>
      </c>
      <c r="O151" s="5">
        <v>2205596.3315019701</v>
      </c>
      <c r="P151" s="5">
        <v>4604563.4720514398</v>
      </c>
      <c r="Q151" s="5">
        <v>1841719.0418664999</v>
      </c>
      <c r="R151" s="5">
        <v>2855531.79549838</v>
      </c>
      <c r="S151" s="5">
        <v>11347108.931585601</v>
      </c>
      <c r="T151" s="5">
        <v>4328812.7295306204</v>
      </c>
      <c r="U151" s="5">
        <v>4743485.8654327802</v>
      </c>
      <c r="V151" s="5">
        <v>4260265.6257954296</v>
      </c>
      <c r="W151" s="5">
        <v>8139885.6360266404</v>
      </c>
      <c r="X151" s="5">
        <v>5922709.1168671697</v>
      </c>
      <c r="Y151" s="5">
        <v>5924161.7367775198</v>
      </c>
      <c r="Z151" s="5">
        <v>6333291.0894980803</v>
      </c>
      <c r="AA151" s="5">
        <v>5877898.1783213997</v>
      </c>
      <c r="AB151" s="5">
        <v>5559790.1223689197</v>
      </c>
      <c r="AC151" s="5">
        <v>5639113.0368913598</v>
      </c>
      <c r="AD151">
        <f t="shared" si="9"/>
        <v>5852523.1067699399</v>
      </c>
      <c r="AE151">
        <f t="shared" si="10"/>
        <v>347859.26539077819</v>
      </c>
      <c r="AF151">
        <f t="shared" si="11"/>
        <v>5.9437486882946262E-2</v>
      </c>
    </row>
    <row r="152" spans="1:32" x14ac:dyDescent="0.45">
      <c r="A152" s="5" t="s">
        <v>101</v>
      </c>
      <c r="B152" s="2">
        <f t="shared" si="8"/>
        <v>2613731.0258639432</v>
      </c>
      <c r="C152" s="7">
        <v>2049338.1073028576</v>
      </c>
      <c r="D152" s="8">
        <v>4.0305244402155778E-2</v>
      </c>
      <c r="E152" s="5">
        <v>3282054.1935155299</v>
      </c>
      <c r="F152" s="5">
        <v>1250930.6950968599</v>
      </c>
      <c r="G152" s="5">
        <v>1035755.902285</v>
      </c>
      <c r="H152" s="5">
        <v>4787622.42432159</v>
      </c>
      <c r="I152" s="5">
        <v>3616585.3410264798</v>
      </c>
      <c r="J152" s="5">
        <v>1061159.0418056799</v>
      </c>
      <c r="K152" s="5">
        <v>1365300.6782947001</v>
      </c>
      <c r="L152" s="5">
        <v>2888784.3305904302</v>
      </c>
      <c r="M152" s="5">
        <v>3452985.8946949202</v>
      </c>
      <c r="N152" s="5">
        <v>1179914.44506751</v>
      </c>
      <c r="O152" s="5">
        <v>4540046.6434147405</v>
      </c>
      <c r="P152" s="5">
        <v>2107637.7754223798</v>
      </c>
      <c r="Q152" s="5">
        <v>1735035.36434566</v>
      </c>
      <c r="R152" s="5">
        <v>1662547.13164536</v>
      </c>
      <c r="S152" s="5">
        <v>3808305.99371946</v>
      </c>
      <c r="T152" s="5">
        <v>2123815.9846529602</v>
      </c>
      <c r="U152" s="5">
        <v>2271474.7225516601</v>
      </c>
      <c r="V152" s="5">
        <v>6855623.1747089503</v>
      </c>
      <c r="W152" s="5">
        <v>1799016.6168701099</v>
      </c>
      <c r="X152" s="5">
        <v>1211887.25181591</v>
      </c>
      <c r="Y152" s="5">
        <v>2851867.9372969298</v>
      </c>
      <c r="Z152" s="5">
        <v>1954269.5375948499</v>
      </c>
      <c r="AA152" s="5">
        <v>2136669.2073303601</v>
      </c>
      <c r="AB152" s="5">
        <v>2009772.22160814</v>
      </c>
      <c r="AC152" s="5">
        <v>2096641.46267808</v>
      </c>
      <c r="AD152">
        <f t="shared" si="9"/>
        <v>2049338.1073028576</v>
      </c>
      <c r="AE152">
        <f t="shared" si="10"/>
        <v>82599.073277493022</v>
      </c>
      <c r="AF152">
        <f t="shared" si="11"/>
        <v>4.0305244402155778E-2</v>
      </c>
    </row>
    <row r="153" spans="1:32" x14ac:dyDescent="0.45">
      <c r="A153" s="5" t="s">
        <v>136</v>
      </c>
      <c r="B153" s="2">
        <f t="shared" si="8"/>
        <v>223020089.60539174</v>
      </c>
      <c r="C153" s="2">
        <v>201654695.31849924</v>
      </c>
      <c r="D153" s="2">
        <v>7.3082917410423498E-2</v>
      </c>
      <c r="E153" s="5">
        <v>214607246.79714999</v>
      </c>
      <c r="F153" s="5">
        <v>160756652.73508599</v>
      </c>
      <c r="G153" s="5">
        <v>282665587.790703</v>
      </c>
      <c r="H153" s="5">
        <v>386592653.21519703</v>
      </c>
      <c r="I153" s="5">
        <v>422903194.73768401</v>
      </c>
      <c r="J153" s="5">
        <v>153449040.25143099</v>
      </c>
      <c r="K153" s="5">
        <v>121048076.534851</v>
      </c>
      <c r="L153" s="5">
        <v>191683445.795414</v>
      </c>
      <c r="M153" s="5">
        <v>134092963.26293001</v>
      </c>
      <c r="N153" s="5">
        <v>149574283.83083099</v>
      </c>
      <c r="O153" s="5">
        <v>338275985.706321</v>
      </c>
      <c r="P153" s="5">
        <v>94846819.199968904</v>
      </c>
      <c r="Q153" s="5">
        <v>247706524.869205</v>
      </c>
      <c r="R153" s="5">
        <v>268267194.64197299</v>
      </c>
      <c r="S153" s="5">
        <v>230815540.845741</v>
      </c>
      <c r="T153" s="5">
        <v>305651131.13507402</v>
      </c>
      <c r="U153" s="5">
        <v>120563712.987391</v>
      </c>
      <c r="V153" s="5">
        <v>361124791.03157502</v>
      </c>
      <c r="W153" s="5">
        <v>149473460.47549999</v>
      </c>
      <c r="X153" s="5">
        <v>191217397.18982399</v>
      </c>
      <c r="Y153" s="5">
        <v>158106178.67937699</v>
      </c>
      <c r="Z153" s="5">
        <v>186254876.80178499</v>
      </c>
      <c r="AA153" s="5">
        <v>221123984.122852</v>
      </c>
      <c r="AB153" s="5">
        <v>203300652.79808199</v>
      </c>
      <c r="AC153" s="5">
        <v>195939267.551278</v>
      </c>
      <c r="AD153">
        <f t="shared" si="9"/>
        <v>201654695.31849924</v>
      </c>
      <c r="AE153">
        <f t="shared" si="10"/>
        <v>14737513.443385994</v>
      </c>
      <c r="AF153">
        <f t="shared" si="11"/>
        <v>7.3082917410423498E-2</v>
      </c>
    </row>
    <row r="154" spans="1:32" x14ac:dyDescent="0.45">
      <c r="A154" s="5" t="s">
        <v>137</v>
      </c>
      <c r="B154" s="2">
        <f t="shared" si="8"/>
        <v>37813226.248433739</v>
      </c>
      <c r="C154" s="2">
        <v>34767061.304978922</v>
      </c>
      <c r="D154" s="2">
        <v>3.8272774777392896E-2</v>
      </c>
      <c r="E154" s="5">
        <v>50637354.152227797</v>
      </c>
      <c r="F154" s="5">
        <v>29812621.136905499</v>
      </c>
      <c r="G154" s="5">
        <v>32880703.545958199</v>
      </c>
      <c r="H154" s="5">
        <v>55578171.477693297</v>
      </c>
      <c r="I154" s="5">
        <v>32308496.054028202</v>
      </c>
      <c r="J154" s="5">
        <v>30567680.623750199</v>
      </c>
      <c r="K154" s="5">
        <v>39125980.262525298</v>
      </c>
      <c r="L154" s="5">
        <v>29686096.088340901</v>
      </c>
      <c r="M154" s="5">
        <v>37793119.469378203</v>
      </c>
      <c r="N154" s="5">
        <v>31243177.630669199</v>
      </c>
      <c r="O154" s="5">
        <v>35723393.394355603</v>
      </c>
      <c r="P154" s="5">
        <v>35508827.092695102</v>
      </c>
      <c r="Q154" s="5">
        <v>65047551.307138197</v>
      </c>
      <c r="R154" s="5">
        <v>25640259.4811791</v>
      </c>
      <c r="S154" s="5">
        <v>32004432.380633499</v>
      </c>
      <c r="T154" s="5">
        <v>40268964.906753197</v>
      </c>
      <c r="U154" s="5">
        <v>42481918.4744002</v>
      </c>
      <c r="V154" s="5">
        <v>43421781.319930702</v>
      </c>
      <c r="W154" s="5">
        <v>28741308.922270902</v>
      </c>
      <c r="X154" s="5">
        <v>37583004.958799198</v>
      </c>
      <c r="Y154" s="5">
        <v>38022908.537476003</v>
      </c>
      <c r="Z154" s="5">
        <v>33003179.422062598</v>
      </c>
      <c r="AA154" s="5">
        <v>34847993.424225397</v>
      </c>
      <c r="AB154" s="5">
        <v>36232136.4423595</v>
      </c>
      <c r="AC154" s="5">
        <v>34984935.9312682</v>
      </c>
      <c r="AD154">
        <f t="shared" si="9"/>
        <v>34767061.304978922</v>
      </c>
      <c r="AE154">
        <f t="shared" si="10"/>
        <v>1330631.9069972697</v>
      </c>
      <c r="AF154">
        <f t="shared" si="11"/>
        <v>3.8272774777392896E-2</v>
      </c>
    </row>
    <row r="155" spans="1:32" x14ac:dyDescent="0.45">
      <c r="A155" s="5" t="s">
        <v>263</v>
      </c>
      <c r="B155" s="2">
        <f t="shared" si="8"/>
        <v>105577102.27128804</v>
      </c>
      <c r="C155" s="2">
        <v>90670093.812769622</v>
      </c>
      <c r="D155" s="2">
        <v>0.2460312768787275</v>
      </c>
      <c r="E155" s="5">
        <v>123332071.54549</v>
      </c>
      <c r="F155" s="5">
        <v>95798955.4474608</v>
      </c>
      <c r="G155" s="5">
        <v>115945684.317063</v>
      </c>
      <c r="H155" s="5">
        <v>344039026.45169997</v>
      </c>
      <c r="I155" s="5">
        <v>187868887.996398</v>
      </c>
      <c r="J155" s="5">
        <v>83627193.820366994</v>
      </c>
      <c r="K155" s="5">
        <v>65787799.2192384</v>
      </c>
      <c r="L155" s="5">
        <v>140781169.24343401</v>
      </c>
      <c r="M155" s="5">
        <v>155098963.73502299</v>
      </c>
      <c r="N155" s="5">
        <v>32296149.633485101</v>
      </c>
      <c r="O155" s="5">
        <v>173088203.10271999</v>
      </c>
      <c r="P155" s="5">
        <v>51463229.938211598</v>
      </c>
      <c r="Q155" s="5">
        <v>34273261.109415703</v>
      </c>
      <c r="R155" s="5">
        <v>99695813.603411198</v>
      </c>
      <c r="S155" s="5">
        <v>69098933.300029099</v>
      </c>
      <c r="T155" s="5">
        <v>79040741.044553295</v>
      </c>
      <c r="U155" s="5">
        <v>79218422.204209596</v>
      </c>
      <c r="V155" s="5">
        <v>54557428.5184028</v>
      </c>
      <c r="W155" s="5">
        <v>61975979.977967598</v>
      </c>
      <c r="X155" s="5">
        <v>109051659.460885</v>
      </c>
      <c r="Y155" s="5">
        <v>61079574.027583599</v>
      </c>
      <c r="Z155" s="5">
        <v>123150525.107783</v>
      </c>
      <c r="AA155" s="5">
        <v>85515387.564641997</v>
      </c>
      <c r="AB155" s="5">
        <v>72648298.9167528</v>
      </c>
      <c r="AC155" s="5">
        <v>81366163.661900699</v>
      </c>
      <c r="AD155">
        <f t="shared" si="9"/>
        <v>90670093.812769622</v>
      </c>
      <c r="AE155">
        <f t="shared" si="10"/>
        <v>22307678.95546972</v>
      </c>
      <c r="AF155">
        <f t="shared" si="11"/>
        <v>0.2460312768787275</v>
      </c>
    </row>
    <row r="156" spans="1:32" x14ac:dyDescent="0.45">
      <c r="A156" s="5" t="s">
        <v>213</v>
      </c>
      <c r="B156" s="2">
        <f t="shared" si="8"/>
        <v>10287661.907772405</v>
      </c>
      <c r="C156" s="7">
        <v>8392375.0412897449</v>
      </c>
      <c r="D156" s="7">
        <v>3.7698924625191407E-2</v>
      </c>
      <c r="E156" s="5">
        <v>9239428.5984381009</v>
      </c>
      <c r="F156" s="5">
        <v>8562691.1873197202</v>
      </c>
      <c r="G156" s="5">
        <v>10373893.878371401</v>
      </c>
      <c r="H156" s="5">
        <v>11384379.5027906</v>
      </c>
      <c r="I156" s="5">
        <v>10731308.5984757</v>
      </c>
      <c r="J156" s="5">
        <v>8811610.9865399394</v>
      </c>
      <c r="K156" s="5">
        <v>13679314.9422525</v>
      </c>
      <c r="L156" s="5">
        <v>8402909.1234585308</v>
      </c>
      <c r="M156" s="5">
        <v>9326239.4259939492</v>
      </c>
      <c r="N156" s="5">
        <v>9472582.0631908402</v>
      </c>
      <c r="O156" s="5">
        <v>14032500.3367416</v>
      </c>
      <c r="P156" s="5">
        <v>13584992.626056399</v>
      </c>
      <c r="Q156" s="5">
        <v>14868032.6682449</v>
      </c>
      <c r="R156" s="5">
        <v>7898509.5088096699</v>
      </c>
      <c r="S156" s="5">
        <v>7199612.4494906198</v>
      </c>
      <c r="T156" s="5">
        <v>10831611.019848701</v>
      </c>
      <c r="U156" s="5">
        <v>9508102.9401092306</v>
      </c>
      <c r="V156" s="5">
        <v>9620876.0922292508</v>
      </c>
      <c r="W156" s="5">
        <v>8721794.9700832404</v>
      </c>
      <c r="X156" s="5">
        <v>10344057.4184172</v>
      </c>
      <c r="Y156" s="5">
        <v>9446451.7263584808</v>
      </c>
      <c r="Z156" s="5">
        <v>8532808.0210979506</v>
      </c>
      <c r="AA156" s="5">
        <v>7918235.6260460299</v>
      </c>
      <c r="AB156" s="5">
        <v>8552671.4088937696</v>
      </c>
      <c r="AC156" s="5">
        <v>8565785.1091212295</v>
      </c>
      <c r="AD156">
        <f t="shared" si="9"/>
        <v>8392375.0412897449</v>
      </c>
      <c r="AE156">
        <f t="shared" si="10"/>
        <v>316383.51410791971</v>
      </c>
      <c r="AF156">
        <f t="shared" si="11"/>
        <v>3.7698924625191407E-2</v>
      </c>
    </row>
    <row r="157" spans="1:32" x14ac:dyDescent="0.45">
      <c r="A157" s="5" t="s">
        <v>214</v>
      </c>
      <c r="B157" s="2">
        <f t="shared" si="8"/>
        <v>6982246.2226344403</v>
      </c>
      <c r="C157" s="7">
        <v>6874719.231452493</v>
      </c>
      <c r="D157" s="7">
        <v>8.346974134904829E-2</v>
      </c>
      <c r="E157" s="5">
        <v>3456347.32270345</v>
      </c>
      <c r="F157" s="5">
        <v>6437076.0626502903</v>
      </c>
      <c r="G157" s="5">
        <v>2334845.6619633101</v>
      </c>
      <c r="H157" s="5">
        <v>5841532.3226405298</v>
      </c>
      <c r="I157" s="5">
        <v>1949464.8673481201</v>
      </c>
      <c r="J157" s="5">
        <v>10397092.397585601</v>
      </c>
      <c r="K157" s="5">
        <v>36589964.716819599</v>
      </c>
      <c r="L157" s="5">
        <v>1772400.8576041099</v>
      </c>
      <c r="M157" s="5">
        <v>2152040.3421927299</v>
      </c>
      <c r="N157" s="5">
        <v>14990144.972322499</v>
      </c>
      <c r="O157" s="5">
        <v>2710412.1324179801</v>
      </c>
      <c r="P157" s="5">
        <v>19308371.083363</v>
      </c>
      <c r="Q157" s="5">
        <v>1958016.7354071401</v>
      </c>
      <c r="R157" s="5">
        <v>2553961.1767880898</v>
      </c>
      <c r="S157" s="5">
        <v>2285492.7542409599</v>
      </c>
      <c r="T157" s="5">
        <v>2363277.7023496898</v>
      </c>
      <c r="U157" s="5">
        <v>2698502.0681465901</v>
      </c>
      <c r="V157" s="5">
        <v>4542446.1787970504</v>
      </c>
      <c r="W157" s="5">
        <v>8210654.0070916899</v>
      </c>
      <c r="X157" s="5">
        <v>11327580.3736692</v>
      </c>
      <c r="Y157" s="5">
        <v>2747546.9392216299</v>
      </c>
      <c r="Z157" s="5">
        <v>7713024.9901954699</v>
      </c>
      <c r="AA157" s="5">
        <v>6579117.5959813502</v>
      </c>
      <c r="AB157" s="5">
        <v>6444550.5787116997</v>
      </c>
      <c r="AC157" s="5">
        <v>6762183.7609214503</v>
      </c>
      <c r="AD157">
        <f t="shared" si="9"/>
        <v>6874719.231452493</v>
      </c>
      <c r="AE157">
        <f t="shared" si="10"/>
        <v>573831.03609666764</v>
      </c>
      <c r="AF157">
        <f t="shared" si="11"/>
        <v>8.346974134904829E-2</v>
      </c>
    </row>
    <row r="158" spans="1:32" x14ac:dyDescent="0.45">
      <c r="A158" s="5" t="s">
        <v>138</v>
      </c>
      <c r="B158" s="2">
        <f t="shared" si="8"/>
        <v>24854208.651109163</v>
      </c>
      <c r="C158" s="2">
        <v>22384611.759856973</v>
      </c>
      <c r="D158" s="2">
        <v>2.3129814091285904E-2</v>
      </c>
      <c r="E158" s="5">
        <v>29423105.1309621</v>
      </c>
      <c r="F158" s="5">
        <v>21795775.280508999</v>
      </c>
      <c r="G158" s="5">
        <v>29808509.019347701</v>
      </c>
      <c r="H158" s="5">
        <v>36228248.434772499</v>
      </c>
      <c r="I158" s="5">
        <v>25029309.627934799</v>
      </c>
      <c r="J158" s="5">
        <v>14600416.535595199</v>
      </c>
      <c r="K158" s="5">
        <v>15396318.6090737</v>
      </c>
      <c r="L158" s="5">
        <v>32359940.604484402</v>
      </c>
      <c r="M158" s="5">
        <v>22646683.372828599</v>
      </c>
      <c r="N158" s="5">
        <v>15285575.054563999</v>
      </c>
      <c r="O158" s="5">
        <v>26946317.816424701</v>
      </c>
      <c r="P158" s="5">
        <v>20557816.739984099</v>
      </c>
      <c r="Q158" s="5">
        <v>34903477.5385499</v>
      </c>
      <c r="R158" s="5">
        <v>27106913.658468001</v>
      </c>
      <c r="S158" s="5">
        <v>26475257.5799792</v>
      </c>
      <c r="T158" s="5">
        <v>25321441.529045701</v>
      </c>
      <c r="U158" s="5">
        <v>37843887.894529097</v>
      </c>
      <c r="V158" s="5">
        <v>19499417.999898002</v>
      </c>
      <c r="W158" s="5">
        <v>16013847.739060501</v>
      </c>
      <c r="X158" s="5">
        <v>11986785.313859399</v>
      </c>
      <c r="Y158" s="5">
        <v>32709336.193421699</v>
      </c>
      <c r="Z158" s="5">
        <v>22002635.429886401</v>
      </c>
      <c r="AA158" s="5">
        <v>22191989.691759098</v>
      </c>
      <c r="AB158" s="5">
        <v>22194359.768445</v>
      </c>
      <c r="AC158" s="5">
        <v>23149462.1493374</v>
      </c>
      <c r="AD158">
        <f t="shared" si="9"/>
        <v>22384611.759856973</v>
      </c>
      <c r="AE158">
        <f t="shared" si="10"/>
        <v>517751.908511104</v>
      </c>
      <c r="AF158">
        <f t="shared" si="11"/>
        <v>2.3129814091285904E-2</v>
      </c>
    </row>
    <row r="159" spans="1:32" x14ac:dyDescent="0.45">
      <c r="A159" s="5" t="s">
        <v>264</v>
      </c>
      <c r="B159" s="2">
        <f t="shared" si="8"/>
        <v>2457108.9140990586</v>
      </c>
      <c r="C159" s="2">
        <v>2357414.2179095526</v>
      </c>
      <c r="D159" s="2">
        <v>0.24678751630211321</v>
      </c>
      <c r="E159" s="5">
        <v>2582147.5743545499</v>
      </c>
      <c r="F159" s="5">
        <v>1823658.0359418399</v>
      </c>
      <c r="G159" s="5">
        <v>2374085.6623512199</v>
      </c>
      <c r="H159" s="5">
        <v>3556497.9406318902</v>
      </c>
      <c r="I159" s="5">
        <v>2994512.6464521098</v>
      </c>
      <c r="J159" s="5">
        <v>1765972.4259649301</v>
      </c>
      <c r="K159" s="5">
        <v>2072057.2489356999</v>
      </c>
      <c r="L159" s="5">
        <v>2659546.0266960901</v>
      </c>
      <c r="M159" s="5">
        <v>1375433.93134107</v>
      </c>
      <c r="N159" s="5">
        <v>1763615.5915532301</v>
      </c>
      <c r="O159" s="5">
        <v>3110576.5331775402</v>
      </c>
      <c r="P159" s="5">
        <v>1867894.71372744</v>
      </c>
      <c r="Q159" s="5">
        <v>2389010.2357455301</v>
      </c>
      <c r="R159" s="5">
        <v>4601216.0113728102</v>
      </c>
      <c r="S159" s="5">
        <v>2293071.9673824101</v>
      </c>
      <c r="T159" s="5">
        <v>3777771.55359845</v>
      </c>
      <c r="U159" s="5">
        <v>3140433.54503563</v>
      </c>
      <c r="V159" s="5">
        <v>1783828.6712111901</v>
      </c>
      <c r="W159" s="5">
        <v>1848661.7820644199</v>
      </c>
      <c r="X159" s="5">
        <v>1835232.76987278</v>
      </c>
      <c r="Y159" s="5">
        <v>1984062.3286694</v>
      </c>
      <c r="Z159" s="5">
        <v>2413512.2015813799</v>
      </c>
      <c r="AA159" s="5">
        <v>2719405.15861553</v>
      </c>
      <c r="AB159" s="5">
        <v>2778378.36727774</v>
      </c>
      <c r="AC159" s="5">
        <v>1518361.1441635599</v>
      </c>
      <c r="AD159">
        <f t="shared" si="9"/>
        <v>2357414.2179095526</v>
      </c>
      <c r="AE159">
        <f t="shared" si="10"/>
        <v>581780.39973318717</v>
      </c>
      <c r="AF159">
        <f t="shared" si="11"/>
        <v>0.24678751630211321</v>
      </c>
    </row>
    <row r="160" spans="1:32" x14ac:dyDescent="0.45">
      <c r="A160" s="5" t="s">
        <v>139</v>
      </c>
      <c r="B160" s="2">
        <f t="shared" si="8"/>
        <v>742251.82557878701</v>
      </c>
      <c r="C160" s="7">
        <v>371948.05335738999</v>
      </c>
      <c r="D160" s="8">
        <v>8.7572783846467592E-2</v>
      </c>
      <c r="E160" s="5">
        <v>735456.59021046502</v>
      </c>
      <c r="F160" s="5">
        <v>207453.969984564</v>
      </c>
      <c r="G160" s="5">
        <v>670209.81454587402</v>
      </c>
      <c r="H160" s="5">
        <v>1188953.5527246101</v>
      </c>
      <c r="I160" s="5">
        <v>1030115.4267569199</v>
      </c>
      <c r="J160" s="5">
        <v>207641.425057452</v>
      </c>
      <c r="K160" s="5">
        <v>230452.434524093</v>
      </c>
      <c r="L160" s="5">
        <v>924377.77664665703</v>
      </c>
      <c r="M160" s="5">
        <v>861961.71912269096</v>
      </c>
      <c r="N160" s="5">
        <v>199047.60375101</v>
      </c>
      <c r="O160" s="5">
        <v>1207601.8411648001</v>
      </c>
      <c r="P160" s="5">
        <v>292491.02894594998</v>
      </c>
      <c r="Q160" s="5">
        <v>968410.17497112905</v>
      </c>
      <c r="R160" s="5">
        <v>1123198.1796299</v>
      </c>
      <c r="S160" s="5">
        <v>1254220.01852499</v>
      </c>
      <c r="T160" s="5">
        <v>974982.55533147801</v>
      </c>
      <c r="U160" s="5">
        <v>829403.31063428801</v>
      </c>
      <c r="V160" s="5">
        <v>919591.53609028202</v>
      </c>
      <c r="W160" s="5">
        <v>245720.820008448</v>
      </c>
      <c r="X160" s="5">
        <v>258411.40989743799</v>
      </c>
      <c r="Y160" s="5">
        <v>1257587.1486314901</v>
      </c>
      <c r="Z160" s="5">
        <v>324254.26982858701</v>
      </c>
      <c r="AA160" s="5">
        <v>382960.09474999999</v>
      </c>
      <c r="AB160" s="5">
        <v>397844.42896306497</v>
      </c>
      <c r="AC160" s="5">
        <v>382733.41988790798</v>
      </c>
      <c r="AD160">
        <f t="shared" si="9"/>
        <v>371948.05335738999</v>
      </c>
      <c r="AE160">
        <f t="shared" si="10"/>
        <v>32572.52647878111</v>
      </c>
      <c r="AF160">
        <f t="shared" si="11"/>
        <v>8.7572783846467592E-2</v>
      </c>
    </row>
    <row r="161" spans="1:32" x14ac:dyDescent="0.45">
      <c r="A161" s="5" t="s">
        <v>278</v>
      </c>
      <c r="B161" s="2">
        <f t="shared" si="8"/>
        <v>52253.972472259389</v>
      </c>
      <c r="C161" s="7">
        <v>40205.866922738773</v>
      </c>
      <c r="D161" s="8">
        <v>3.1150147049406527E-2</v>
      </c>
      <c r="E161" s="5">
        <v>44081.490236334597</v>
      </c>
      <c r="F161" s="5">
        <v>22856.083580800499</v>
      </c>
      <c r="G161" s="5">
        <v>57177.759369244501</v>
      </c>
      <c r="H161" s="5">
        <v>58525.721530671202</v>
      </c>
      <c r="I161" s="5">
        <v>65332.697637802703</v>
      </c>
      <c r="J161" s="5">
        <v>25276.404066863801</v>
      </c>
      <c r="K161" s="5">
        <v>33072.467971958104</v>
      </c>
      <c r="L161" s="5">
        <v>52505.744496313702</v>
      </c>
      <c r="M161" s="5">
        <v>73696.838581255201</v>
      </c>
      <c r="N161" s="5">
        <v>24534.915446262701</v>
      </c>
      <c r="O161" s="5">
        <v>92726.399048585401</v>
      </c>
      <c r="P161" s="5">
        <v>27402.483870272801</v>
      </c>
      <c r="Q161" s="5">
        <v>66705.662054474</v>
      </c>
      <c r="R161" s="5">
        <v>65588.751936051805</v>
      </c>
      <c r="S161" s="5">
        <v>71345.975941588404</v>
      </c>
      <c r="T161" s="5">
        <v>73251.277152227995</v>
      </c>
      <c r="U161" s="5">
        <v>64539.535837677002</v>
      </c>
      <c r="V161" s="5">
        <v>34940.073090349397</v>
      </c>
      <c r="W161" s="5">
        <v>25156.853049899499</v>
      </c>
      <c r="X161" s="5">
        <v>31532.9721048885</v>
      </c>
      <c r="Y161" s="5">
        <v>87083.314913925293</v>
      </c>
      <c r="Z161" s="5">
        <v>41606.949517520203</v>
      </c>
      <c r="AA161" s="5">
        <v>40832.229714087902</v>
      </c>
      <c r="AB161" s="5">
        <v>39576.219333580797</v>
      </c>
      <c r="AC161" s="5">
        <v>38808.069125766197</v>
      </c>
      <c r="AD161">
        <f t="shared" si="9"/>
        <v>40205.866922738773</v>
      </c>
      <c r="AE161">
        <f t="shared" si="10"/>
        <v>1252.4186668921827</v>
      </c>
      <c r="AF161">
        <f t="shared" si="11"/>
        <v>3.1150147049406527E-2</v>
      </c>
    </row>
    <row r="162" spans="1:32" x14ac:dyDescent="0.45">
      <c r="A162" s="5" t="s">
        <v>215</v>
      </c>
      <c r="B162" s="2">
        <f t="shared" si="8"/>
        <v>1538352.9913671839</v>
      </c>
      <c r="C162" s="7">
        <v>1088116.9294570235</v>
      </c>
      <c r="D162" s="8">
        <v>0.11853513727949444</v>
      </c>
      <c r="E162" s="5">
        <v>1392705.6747377701</v>
      </c>
      <c r="F162" s="5">
        <v>921611.94852954196</v>
      </c>
      <c r="G162" s="5">
        <v>1883035.27032904</v>
      </c>
      <c r="H162" s="5">
        <v>2223228.99852151</v>
      </c>
      <c r="I162" s="5">
        <v>1404209.4500297001</v>
      </c>
      <c r="J162" s="5">
        <v>1263922.80578313</v>
      </c>
      <c r="K162" s="5">
        <v>855368.38295155996</v>
      </c>
      <c r="L162" s="5">
        <v>1790782.5652564899</v>
      </c>
      <c r="M162" s="5">
        <v>1392158.7492742201</v>
      </c>
      <c r="N162" s="5">
        <v>938860.76036442595</v>
      </c>
      <c r="O162" s="5">
        <v>1616010.6546189999</v>
      </c>
      <c r="P162" s="5">
        <v>860960.38889025897</v>
      </c>
      <c r="Q162" s="5">
        <v>1886223.84177157</v>
      </c>
      <c r="R162" s="5">
        <v>2727751.33525234</v>
      </c>
      <c r="S162" s="5">
        <v>2047601.8934301999</v>
      </c>
      <c r="T162" s="5">
        <v>1881334.04035666</v>
      </c>
      <c r="U162" s="5">
        <v>1719413.98355891</v>
      </c>
      <c r="V162" s="5">
        <v>1388304.2011271</v>
      </c>
      <c r="W162" s="5">
        <v>1137910.6754624101</v>
      </c>
      <c r="X162" s="5">
        <v>1036227.62650237</v>
      </c>
      <c r="Y162" s="5">
        <v>1937789.5719626599</v>
      </c>
      <c r="Z162" s="5">
        <v>906140.20794198394</v>
      </c>
      <c r="AA162" s="5">
        <v>1098199.57006217</v>
      </c>
      <c r="AB162" s="5">
        <v>1205020.52177122</v>
      </c>
      <c r="AC162" s="5">
        <v>1143107.4180527199</v>
      </c>
      <c r="AD162">
        <f t="shared" si="9"/>
        <v>1088116.9294570235</v>
      </c>
      <c r="AE162">
        <f t="shared" si="10"/>
        <v>128980.08960933024</v>
      </c>
      <c r="AF162">
        <f t="shared" si="11"/>
        <v>0.11853513727949444</v>
      </c>
    </row>
    <row r="163" spans="1:32" x14ac:dyDescent="0.45">
      <c r="A163" s="5" t="s">
        <v>265</v>
      </c>
      <c r="B163" s="2">
        <f t="shared" si="8"/>
        <v>4036491.7905284734</v>
      </c>
      <c r="C163" s="2">
        <v>2937143.1794177899</v>
      </c>
      <c r="D163" s="2">
        <v>0.10484145674143831</v>
      </c>
      <c r="E163" s="5">
        <v>7263006.1333568497</v>
      </c>
      <c r="F163" s="5">
        <v>5821775.3245438896</v>
      </c>
      <c r="G163" s="5">
        <v>2098720.8856489202</v>
      </c>
      <c r="H163" s="5">
        <v>5562323.1844426896</v>
      </c>
      <c r="I163" s="5">
        <v>3945998.5303850998</v>
      </c>
      <c r="J163" s="5">
        <v>1811612.43457974</v>
      </c>
      <c r="K163" s="5">
        <v>851734.36692244303</v>
      </c>
      <c r="L163" s="5">
        <v>4314755.8239178499</v>
      </c>
      <c r="M163" s="5">
        <v>1475783.0123012899</v>
      </c>
      <c r="N163" s="5">
        <v>1439637.6466582001</v>
      </c>
      <c r="O163" s="5">
        <v>3010447.4739791499</v>
      </c>
      <c r="P163" s="5">
        <v>9200000.42088053</v>
      </c>
      <c r="Q163" s="5">
        <v>2278050.8456818098</v>
      </c>
      <c r="R163" s="5">
        <v>1051446.60398089</v>
      </c>
      <c r="S163" s="5">
        <v>1334567.99647465</v>
      </c>
      <c r="T163" s="5">
        <v>1682692.7928318901</v>
      </c>
      <c r="U163" s="5">
        <v>9291029.8798980694</v>
      </c>
      <c r="V163" s="5">
        <v>17922910.560247201</v>
      </c>
      <c r="W163" s="5">
        <v>1755048.7181975101</v>
      </c>
      <c r="X163" s="5">
        <v>972900.83927872102</v>
      </c>
      <c r="Y163" s="5">
        <v>1681884.1268905301</v>
      </c>
      <c r="Z163" s="5">
        <v>2961199.7278931802</v>
      </c>
      <c r="AA163" s="5">
        <v>3298699.0644985</v>
      </c>
      <c r="AB163" s="5">
        <v>2942857.5886509102</v>
      </c>
      <c r="AC163" s="5">
        <v>2545816.3366285702</v>
      </c>
      <c r="AD163">
        <f t="shared" si="9"/>
        <v>2937143.1794177899</v>
      </c>
      <c r="AE163">
        <f t="shared" si="10"/>
        <v>307934.36958834081</v>
      </c>
      <c r="AF163">
        <f t="shared" si="11"/>
        <v>0.10484145674143831</v>
      </c>
    </row>
    <row r="164" spans="1:32" x14ac:dyDescent="0.45">
      <c r="A164" s="5" t="s">
        <v>162</v>
      </c>
      <c r="B164" s="2">
        <f t="shared" si="8"/>
        <v>30527460.445288941</v>
      </c>
      <c r="C164" s="2">
        <v>27718754.099857125</v>
      </c>
      <c r="D164" s="2">
        <v>8.3871698108588119E-2</v>
      </c>
      <c r="E164" s="5">
        <v>34428629.367053702</v>
      </c>
      <c r="F164" s="5">
        <v>25489009.786563501</v>
      </c>
      <c r="G164" s="5">
        <v>29861161.0866847</v>
      </c>
      <c r="H164" s="5">
        <v>40074069.463849701</v>
      </c>
      <c r="I164" s="5">
        <v>30435085.400394499</v>
      </c>
      <c r="J164" s="5">
        <v>24469761.524273999</v>
      </c>
      <c r="K164" s="5">
        <v>25688286.670477301</v>
      </c>
      <c r="L164" s="5">
        <v>34213527.661934704</v>
      </c>
      <c r="M164" s="5">
        <v>31920307.253525499</v>
      </c>
      <c r="N164" s="5">
        <v>24196749.003536701</v>
      </c>
      <c r="O164" s="5">
        <v>34595088.993446201</v>
      </c>
      <c r="P164" s="5">
        <v>27591752.773529999</v>
      </c>
      <c r="Q164" s="5">
        <v>32473325.827751901</v>
      </c>
      <c r="R164" s="5">
        <v>31768917.1445271</v>
      </c>
      <c r="S164" s="5">
        <v>31279350.773403101</v>
      </c>
      <c r="T164" s="5">
        <v>31227884.184116598</v>
      </c>
      <c r="U164" s="5">
        <v>35898838.466195002</v>
      </c>
      <c r="V164" s="5">
        <v>31331488.697236799</v>
      </c>
      <c r="W164" s="5">
        <v>25254845.616342202</v>
      </c>
      <c r="X164" s="5">
        <v>27279022.309339002</v>
      </c>
      <c r="Y164" s="5">
        <v>31599567.346885599</v>
      </c>
      <c r="Z164" s="5">
        <v>24339176.975107301</v>
      </c>
      <c r="AA164" s="5">
        <v>28235995.7945484</v>
      </c>
      <c r="AB164" s="5">
        <v>29612948.402085699</v>
      </c>
      <c r="AC164" s="5">
        <v>28686895.227687102</v>
      </c>
      <c r="AD164">
        <f t="shared" si="9"/>
        <v>27718754.099857125</v>
      </c>
      <c r="AE164">
        <f t="shared" si="10"/>
        <v>2324818.975809406</v>
      </c>
      <c r="AF164">
        <f t="shared" si="11"/>
        <v>8.3871698108588119E-2</v>
      </c>
    </row>
    <row r="165" spans="1:32" x14ac:dyDescent="0.45">
      <c r="A165" s="5" t="s">
        <v>216</v>
      </c>
      <c r="B165" s="2">
        <f t="shared" si="8"/>
        <v>38446224.970791481</v>
      </c>
      <c r="C165" s="2">
        <v>40159791.421147972</v>
      </c>
      <c r="D165" s="2">
        <v>9.9954642200638516E-2</v>
      </c>
      <c r="E165" s="5">
        <v>1686135.60887782</v>
      </c>
      <c r="F165" s="5">
        <v>101843787.022688</v>
      </c>
      <c r="G165" s="5">
        <v>13864605.0360387</v>
      </c>
      <c r="H165" s="5">
        <v>412040.00006982603</v>
      </c>
      <c r="I165" s="5">
        <v>3765370.1522122002</v>
      </c>
      <c r="J165" s="5">
        <v>116270158.522383</v>
      </c>
      <c r="K165" s="5">
        <v>103157980.53369799</v>
      </c>
      <c r="L165" s="5">
        <v>1915028.0842580199</v>
      </c>
      <c r="M165" s="5">
        <v>7285797.8697285196</v>
      </c>
      <c r="N165" s="5">
        <v>107038533.79032101</v>
      </c>
      <c r="O165" s="5">
        <v>432573.68524203397</v>
      </c>
      <c r="P165" s="5">
        <v>101341969.173107</v>
      </c>
      <c r="Q165" s="5">
        <v>192736.09711818601</v>
      </c>
      <c r="R165" s="5">
        <v>1623822.7805024299</v>
      </c>
      <c r="S165" s="5">
        <v>1435289.2323088199</v>
      </c>
      <c r="T165" s="5">
        <v>552176.88893195195</v>
      </c>
      <c r="U165" s="5">
        <v>11683662.5788144</v>
      </c>
      <c r="V165" s="5">
        <v>5656085.0671713501</v>
      </c>
      <c r="W165" s="5">
        <v>98207296.698595405</v>
      </c>
      <c r="X165" s="5">
        <v>127260801.064364</v>
      </c>
      <c r="Y165" s="5">
        <v>1744874.5001904799</v>
      </c>
      <c r="Z165" s="5">
        <v>34544983.696502604</v>
      </c>
      <c r="AA165" s="5">
        <v>40763516.909714296</v>
      </c>
      <c r="AB165" s="5">
        <v>44060746.5367584</v>
      </c>
      <c r="AC165" s="5">
        <v>41269918.541616596</v>
      </c>
      <c r="AD165">
        <f t="shared" si="9"/>
        <v>40159791.421147972</v>
      </c>
      <c r="AE165">
        <f t="shared" si="10"/>
        <v>4014157.5823531179</v>
      </c>
      <c r="AF165">
        <f t="shared" si="11"/>
        <v>9.9954642200638516E-2</v>
      </c>
    </row>
    <row r="166" spans="1:32" x14ac:dyDescent="0.45">
      <c r="A166" s="5" t="s">
        <v>102</v>
      </c>
      <c r="B166" s="2">
        <f t="shared" si="8"/>
        <v>24931106.081782624</v>
      </c>
      <c r="C166" s="7">
        <v>25568037.256219678</v>
      </c>
      <c r="D166" s="8">
        <v>0.1044816890180635</v>
      </c>
      <c r="E166" s="5">
        <v>11435201.0770273</v>
      </c>
      <c r="F166" s="5">
        <v>37276573.783176497</v>
      </c>
      <c r="G166" s="5">
        <v>6588293.0393205304</v>
      </c>
      <c r="H166" s="5">
        <v>12728545.864024401</v>
      </c>
      <c r="I166" s="5">
        <v>11189761.377364401</v>
      </c>
      <c r="J166" s="5">
        <v>50058566.902027197</v>
      </c>
      <c r="K166" s="5">
        <v>82381556.808670893</v>
      </c>
      <c r="L166" s="5">
        <v>11719854.0295466</v>
      </c>
      <c r="M166" s="5">
        <v>12437463.8471111</v>
      </c>
      <c r="N166" s="5">
        <v>47066542.564458899</v>
      </c>
      <c r="O166" s="5">
        <v>11522352.1032956</v>
      </c>
      <c r="P166" s="5">
        <v>52284298.111086197</v>
      </c>
      <c r="Q166" s="5">
        <v>20925547.176977701</v>
      </c>
      <c r="R166" s="5">
        <v>8122277.2965267701</v>
      </c>
      <c r="S166" s="5">
        <v>9858480.9176900797</v>
      </c>
      <c r="T166" s="5">
        <v>10221198.6438732</v>
      </c>
      <c r="U166" s="5">
        <v>14250947.0277321</v>
      </c>
      <c r="V166" s="5">
        <v>15672699.496271901</v>
      </c>
      <c r="W166" s="5">
        <v>40899062.133098401</v>
      </c>
      <c r="X166" s="5">
        <v>45955214.521986</v>
      </c>
      <c r="Y166" s="5">
        <v>10958790.996169301</v>
      </c>
      <c r="Z166" s="5">
        <v>21568445.8227784</v>
      </c>
      <c r="AA166" s="5">
        <v>26701139.986922201</v>
      </c>
      <c r="AB166" s="5">
        <v>27101203.950533599</v>
      </c>
      <c r="AC166" s="5">
        <v>26901359.2646445</v>
      </c>
      <c r="AD166">
        <f t="shared" si="9"/>
        <v>25568037.256219678</v>
      </c>
      <c r="AE166">
        <f t="shared" si="10"/>
        <v>2671391.7174066058</v>
      </c>
      <c r="AF166">
        <f t="shared" si="11"/>
        <v>0.1044816890180635</v>
      </c>
    </row>
    <row r="167" spans="1:32" x14ac:dyDescent="0.45">
      <c r="A167" s="5" t="s">
        <v>144</v>
      </c>
      <c r="B167" s="2">
        <f t="shared" si="8"/>
        <v>30673005.868658021</v>
      </c>
      <c r="C167" s="7">
        <v>24248342.910066772</v>
      </c>
      <c r="D167" s="8">
        <v>3.9695595513262037E-2</v>
      </c>
      <c r="E167" s="5">
        <v>49967799.782867797</v>
      </c>
      <c r="F167" s="5">
        <v>20318871.864263501</v>
      </c>
      <c r="G167" s="5">
        <v>25629900.269099299</v>
      </c>
      <c r="H167" s="5">
        <v>33374044.481678199</v>
      </c>
      <c r="I167" s="5">
        <v>37228421.141860202</v>
      </c>
      <c r="J167" s="5">
        <v>24046657.740989499</v>
      </c>
      <c r="K167" s="5">
        <v>18722990.294516198</v>
      </c>
      <c r="L167" s="5">
        <v>43220306.027625203</v>
      </c>
      <c r="M167" s="5">
        <v>38068666.165773198</v>
      </c>
      <c r="N167" s="5">
        <v>15573346.0219742</v>
      </c>
      <c r="O167" s="5">
        <v>23240848.932700101</v>
      </c>
      <c r="P167" s="5">
        <v>20517728.1138038</v>
      </c>
      <c r="Q167" s="5">
        <v>35712563.086119398</v>
      </c>
      <c r="R167" s="5">
        <v>27173609.592444099</v>
      </c>
      <c r="S167" s="5">
        <v>34359791.586475499</v>
      </c>
      <c r="T167" s="5">
        <v>35346264.369371302</v>
      </c>
      <c r="U167" s="5">
        <v>39319561.185874701</v>
      </c>
      <c r="V167" s="5">
        <v>41633474.866856597</v>
      </c>
      <c r="W167" s="5">
        <v>20264115.3793942</v>
      </c>
      <c r="X167" s="5">
        <v>19488403.338113099</v>
      </c>
      <c r="Y167" s="5">
        <v>40925759.000018403</v>
      </c>
      <c r="Z167" s="5">
        <v>23771281.801646799</v>
      </c>
      <c r="AA167" s="5">
        <v>25629825.8630796</v>
      </c>
      <c r="AB167" s="5">
        <v>24138513.0259168</v>
      </c>
      <c r="AC167" s="5">
        <v>23453750.949623901</v>
      </c>
      <c r="AD167">
        <f t="shared" si="9"/>
        <v>24248342.910066772</v>
      </c>
      <c r="AE167">
        <f t="shared" si="10"/>
        <v>962552.41202488588</v>
      </c>
      <c r="AF167">
        <f t="shared" si="11"/>
        <v>3.9695595513262037E-2</v>
      </c>
    </row>
    <row r="168" spans="1:32" x14ac:dyDescent="0.45">
      <c r="A168" s="5" t="s">
        <v>103</v>
      </c>
      <c r="B168" s="2">
        <f t="shared" si="8"/>
        <v>6928875.820678887</v>
      </c>
      <c r="C168" s="7">
        <v>6581450.9402788822</v>
      </c>
      <c r="D168" s="7">
        <v>2.4630820970666517E-2</v>
      </c>
      <c r="E168" s="5">
        <v>3258255.3741390002</v>
      </c>
      <c r="F168" s="5">
        <v>8658670.4578468408</v>
      </c>
      <c r="G168" s="5">
        <v>3680701.3024159102</v>
      </c>
      <c r="H168" s="5">
        <v>2900833.5783637101</v>
      </c>
      <c r="I168" s="5">
        <v>2439588.4009658401</v>
      </c>
      <c r="J168" s="5">
        <v>11987727.5485128</v>
      </c>
      <c r="K168" s="5">
        <v>37901899.565770097</v>
      </c>
      <c r="L168" s="5">
        <v>2666824.76428694</v>
      </c>
      <c r="M168" s="5">
        <v>3328024.0095957802</v>
      </c>
      <c r="N168" s="5">
        <v>11434806.653107099</v>
      </c>
      <c r="O168" s="5">
        <v>2943718.0451505501</v>
      </c>
      <c r="P168" s="5">
        <v>13898615.077672901</v>
      </c>
      <c r="Q168" s="5">
        <v>3295840.0518171298</v>
      </c>
      <c r="R168" s="5">
        <v>2792716.1963607301</v>
      </c>
      <c r="S168" s="5">
        <v>3234486.7946104398</v>
      </c>
      <c r="T168" s="5">
        <v>2259862.2339178701</v>
      </c>
      <c r="U168" s="5">
        <v>2785737.8410954801</v>
      </c>
      <c r="V168" s="5">
        <v>3157199.0444985898</v>
      </c>
      <c r="W168" s="5">
        <v>8911719.2305753697</v>
      </c>
      <c r="X168" s="5">
        <v>11356416.496233501</v>
      </c>
      <c r="Y168" s="5">
        <v>2612749.5673200102</v>
      </c>
      <c r="Z168" s="5">
        <v>6766653.1012046598</v>
      </c>
      <c r="AA168" s="5">
        <v>6656261.2887162101</v>
      </c>
      <c r="AB168" s="5">
        <v>6400769.6936562303</v>
      </c>
      <c r="AC168" s="5">
        <v>6502119.6775384303</v>
      </c>
      <c r="AD168">
        <f t="shared" si="9"/>
        <v>6581450.9402788822</v>
      </c>
      <c r="AE168">
        <f t="shared" si="10"/>
        <v>162106.53983723396</v>
      </c>
      <c r="AF168">
        <f t="shared" si="11"/>
        <v>2.4630820970666517E-2</v>
      </c>
    </row>
    <row r="169" spans="1:32" x14ac:dyDescent="0.45">
      <c r="A169" s="5" t="s">
        <v>217</v>
      </c>
      <c r="B169" s="2">
        <f t="shared" si="8"/>
        <v>6818424.9540337753</v>
      </c>
      <c r="C169" s="7">
        <v>6896130.8550812844</v>
      </c>
      <c r="D169" s="7">
        <v>5.8658314416247609E-2</v>
      </c>
      <c r="E169" s="5">
        <v>435654.450570655</v>
      </c>
      <c r="F169" s="5">
        <v>12285017.1886294</v>
      </c>
      <c r="G169" s="5">
        <v>924375.10992852401</v>
      </c>
      <c r="H169" s="5">
        <v>147110.91091923899</v>
      </c>
      <c r="I169" s="5">
        <v>375049.537141548</v>
      </c>
      <c r="J169" s="5">
        <v>18527367.039699499</v>
      </c>
      <c r="K169" s="5">
        <v>40260029.294826798</v>
      </c>
      <c r="L169" s="5">
        <v>428861.20707647101</v>
      </c>
      <c r="M169" s="5">
        <v>771422.27188686805</v>
      </c>
      <c r="N169" s="5">
        <v>19217468.913805299</v>
      </c>
      <c r="O169" s="5">
        <v>206636.43889404801</v>
      </c>
      <c r="P169" s="5">
        <v>20017555.420362201</v>
      </c>
      <c r="Q169" s="5">
        <v>763076.06613941898</v>
      </c>
      <c r="R169" s="5">
        <v>232621.431277675</v>
      </c>
      <c r="S169" s="5">
        <v>118230.537494501</v>
      </c>
      <c r="T169" s="5">
        <v>112264.478350554</v>
      </c>
      <c r="U169" s="5">
        <v>738168.43818886101</v>
      </c>
      <c r="V169" s="5">
        <v>660418.453775228</v>
      </c>
      <c r="W169" s="5">
        <v>11724458.1962067</v>
      </c>
      <c r="X169" s="5">
        <v>14980332.568790101</v>
      </c>
      <c r="Y169" s="5">
        <v>260806.08074567001</v>
      </c>
      <c r="Z169" s="5">
        <v>7479253.1256278204</v>
      </c>
      <c r="AA169" s="5">
        <v>6850226.1514350399</v>
      </c>
      <c r="AB169" s="5">
        <v>6580309.9216851201</v>
      </c>
      <c r="AC169" s="5">
        <v>6674734.2215771601</v>
      </c>
      <c r="AD169">
        <f t="shared" si="9"/>
        <v>6896130.8550812844</v>
      </c>
      <c r="AE169">
        <f t="shared" si="10"/>
        <v>404515.41195294447</v>
      </c>
      <c r="AF169">
        <f t="shared" si="11"/>
        <v>5.8658314416247609E-2</v>
      </c>
    </row>
    <row r="170" spans="1:32" x14ac:dyDescent="0.45">
      <c r="A170" s="5" t="s">
        <v>145</v>
      </c>
      <c r="B170" s="2">
        <f t="shared" si="8"/>
        <v>204904585.9223128</v>
      </c>
      <c r="C170" s="8">
        <v>169956100.21802598</v>
      </c>
      <c r="D170" s="8">
        <v>3.2157687126749414E-2</v>
      </c>
      <c r="E170" s="5">
        <v>275554673.35254502</v>
      </c>
      <c r="F170" s="5">
        <v>165770503.39383999</v>
      </c>
      <c r="G170" s="5">
        <v>179965960.927331</v>
      </c>
      <c r="H170" s="5">
        <v>260945964.53529599</v>
      </c>
      <c r="I170" s="5">
        <v>151417820.88790801</v>
      </c>
      <c r="J170" s="5">
        <v>120073722.135958</v>
      </c>
      <c r="K170" s="5">
        <v>127674952.524281</v>
      </c>
      <c r="L170" s="5">
        <v>209227411.221459</v>
      </c>
      <c r="M170" s="5">
        <v>226893802.94001299</v>
      </c>
      <c r="N170" s="5">
        <v>163630799.73101199</v>
      </c>
      <c r="O170" s="5">
        <v>201490592.08852899</v>
      </c>
      <c r="P170" s="5">
        <v>110984589.858209</v>
      </c>
      <c r="Q170" s="5">
        <v>481504564.01034099</v>
      </c>
      <c r="R170" s="5">
        <v>151400330.88460201</v>
      </c>
      <c r="S170" s="5">
        <v>183067823.85381901</v>
      </c>
      <c r="T170" s="5">
        <v>226918864.846156</v>
      </c>
      <c r="U170" s="5">
        <v>276327633.955796</v>
      </c>
      <c r="V170" s="5">
        <v>208431980.98296601</v>
      </c>
      <c r="W170" s="5">
        <v>151683362.65818599</v>
      </c>
      <c r="X170" s="5">
        <v>143247010.69690701</v>
      </c>
      <c r="Y170" s="5">
        <v>286783938.88341397</v>
      </c>
      <c r="Z170" s="5">
        <v>171668082.370157</v>
      </c>
      <c r="AA170" s="5">
        <v>176689857.65618601</v>
      </c>
      <c r="AB170" s="5">
        <v>167417273.16736799</v>
      </c>
      <c r="AC170" s="5">
        <v>164049187.67839301</v>
      </c>
      <c r="AD170">
        <f t="shared" si="9"/>
        <v>169956100.21802598</v>
      </c>
      <c r="AE170">
        <f t="shared" si="10"/>
        <v>5465395.0960937478</v>
      </c>
      <c r="AF170">
        <f t="shared" si="11"/>
        <v>3.2157687126749414E-2</v>
      </c>
    </row>
    <row r="171" spans="1:32" x14ac:dyDescent="0.45">
      <c r="A171" s="5" t="s">
        <v>104</v>
      </c>
      <c r="B171" s="2">
        <f t="shared" si="8"/>
        <v>13831995.857656339</v>
      </c>
      <c r="C171" s="7">
        <v>12008421.006677726</v>
      </c>
      <c r="D171" s="7">
        <v>1.3326863241102519E-2</v>
      </c>
      <c r="E171" s="5">
        <v>12961321.085847801</v>
      </c>
      <c r="F171" s="5">
        <v>22530226.095633999</v>
      </c>
      <c r="G171" s="5">
        <v>18066717.578709599</v>
      </c>
      <c r="H171" s="5">
        <v>12278584.578157</v>
      </c>
      <c r="I171" s="5">
        <v>9041318.33420901</v>
      </c>
      <c r="J171" s="5">
        <v>9739533.4435617309</v>
      </c>
      <c r="K171" s="5">
        <v>17614427.527486999</v>
      </c>
      <c r="L171" s="5">
        <v>9953376.4113364592</v>
      </c>
      <c r="M171" s="5">
        <v>13051366.448534399</v>
      </c>
      <c r="N171" s="5">
        <v>9246287.1936179698</v>
      </c>
      <c r="O171" s="5">
        <v>12072657.160958299</v>
      </c>
      <c r="P171" s="5">
        <v>10571364.702379599</v>
      </c>
      <c r="Q171" s="5">
        <v>27193869.579668101</v>
      </c>
      <c r="R171" s="5">
        <v>17621479.442679901</v>
      </c>
      <c r="S171" s="5">
        <v>13468234.443379</v>
      </c>
      <c r="T171" s="5">
        <v>10780942.8589593</v>
      </c>
      <c r="U171" s="5">
        <v>13879317.8879779</v>
      </c>
      <c r="V171" s="5">
        <v>14347760.3979061</v>
      </c>
      <c r="W171" s="5">
        <v>8610747.8670000602</v>
      </c>
      <c r="X171" s="5">
        <v>14235183.2965704</v>
      </c>
      <c r="Y171" s="5">
        <v>13207196.6762095</v>
      </c>
      <c r="Z171" s="5">
        <v>12117840.3327317</v>
      </c>
      <c r="AA171" s="5">
        <v>12116544.365852401</v>
      </c>
      <c r="AB171" s="5">
        <v>12021114.772313399</v>
      </c>
      <c r="AC171" s="5">
        <v>11778184.5558134</v>
      </c>
      <c r="AD171">
        <f t="shared" si="9"/>
        <v>12008421.006677726</v>
      </c>
      <c r="AE171">
        <f t="shared" si="10"/>
        <v>160034.5844975767</v>
      </c>
      <c r="AF171">
        <f t="shared" si="11"/>
        <v>1.3326863241102519E-2</v>
      </c>
    </row>
    <row r="172" spans="1:32" x14ac:dyDescent="0.45">
      <c r="A172" s="5" t="s">
        <v>218</v>
      </c>
      <c r="B172" s="2">
        <f t="shared" si="8"/>
        <v>58304179.758919634</v>
      </c>
      <c r="C172" s="7">
        <v>49106874.747927047</v>
      </c>
      <c r="D172" s="7">
        <v>4.7099186229042654E-2</v>
      </c>
      <c r="E172" s="5">
        <v>72998921.939102605</v>
      </c>
      <c r="F172" s="5">
        <v>43101018.217038497</v>
      </c>
      <c r="G172" s="5">
        <v>53075020.051086098</v>
      </c>
      <c r="H172" s="5">
        <v>45239857.395447798</v>
      </c>
      <c r="I172" s="5">
        <v>53650667.435003601</v>
      </c>
      <c r="J172" s="5">
        <v>21972439.806740899</v>
      </c>
      <c r="K172" s="5">
        <v>22608330.434561301</v>
      </c>
      <c r="L172" s="5">
        <v>120650747.413352</v>
      </c>
      <c r="M172" s="5">
        <v>52291055.688244604</v>
      </c>
      <c r="N172" s="5">
        <v>59637104.477703303</v>
      </c>
      <c r="O172" s="5">
        <v>52417770.735541597</v>
      </c>
      <c r="P172" s="5">
        <v>29739910.5750397</v>
      </c>
      <c r="Q172" s="5">
        <v>54917744.8271828</v>
      </c>
      <c r="R172" s="5">
        <v>36270454.328683197</v>
      </c>
      <c r="S172" s="5">
        <v>95512386.701784894</v>
      </c>
      <c r="T172" s="5">
        <v>88251784.1903442</v>
      </c>
      <c r="U172" s="5">
        <v>105648792.70119999</v>
      </c>
      <c r="V172" s="5">
        <v>34952025.126785301</v>
      </c>
      <c r="W172" s="5">
        <v>47477204.291085899</v>
      </c>
      <c r="X172" s="5">
        <v>19773514.344739199</v>
      </c>
      <c r="Y172" s="5">
        <v>114201024.25664499</v>
      </c>
      <c r="Z172" s="5">
        <v>51535823.343935996</v>
      </c>
      <c r="AA172" s="5">
        <v>50613972.358959898</v>
      </c>
      <c r="AB172" s="5">
        <v>47394849.072667599</v>
      </c>
      <c r="AC172" s="5">
        <v>46882854.216144703</v>
      </c>
      <c r="AD172">
        <f t="shared" si="9"/>
        <v>49106874.747927047</v>
      </c>
      <c r="AE172">
        <f t="shared" si="10"/>
        <v>2312893.8388788882</v>
      </c>
      <c r="AF172">
        <f t="shared" si="11"/>
        <v>4.7099186229042654E-2</v>
      </c>
    </row>
    <row r="173" spans="1:32" x14ac:dyDescent="0.45">
      <c r="A173" s="5" t="s">
        <v>105</v>
      </c>
      <c r="B173" s="2">
        <f t="shared" si="8"/>
        <v>3155286.8832948171</v>
      </c>
      <c r="C173" s="7">
        <v>2610849.8455567248</v>
      </c>
      <c r="D173" s="8">
        <v>4.8185687448887793E-2</v>
      </c>
      <c r="E173" s="5">
        <v>3173678.43681128</v>
      </c>
      <c r="F173" s="5">
        <v>3145099.7391774398</v>
      </c>
      <c r="G173" s="5">
        <v>2793521.0418753601</v>
      </c>
      <c r="H173" s="5">
        <v>4173445.3529188801</v>
      </c>
      <c r="I173" s="5">
        <v>3374000.0400924799</v>
      </c>
      <c r="J173" s="5">
        <v>1940510.7192824299</v>
      </c>
      <c r="K173" s="5">
        <v>2357581.4642011798</v>
      </c>
      <c r="L173" s="5">
        <v>3711583.7274737</v>
      </c>
      <c r="M173" s="5">
        <v>3957160.6308784098</v>
      </c>
      <c r="N173" s="5">
        <v>1712553.86059207</v>
      </c>
      <c r="O173" s="5">
        <v>3102821.2244932898</v>
      </c>
      <c r="P173" s="5">
        <v>2266550.8580853702</v>
      </c>
      <c r="Q173" s="5">
        <v>3328812.4244259899</v>
      </c>
      <c r="R173" s="5">
        <v>2919301.2558911098</v>
      </c>
      <c r="S173" s="5">
        <v>3463418.8473185999</v>
      </c>
      <c r="T173" s="5">
        <v>4235631.4317701003</v>
      </c>
      <c r="U173" s="5">
        <v>4145437.9390522898</v>
      </c>
      <c r="V173" s="5">
        <v>3359943.8510447801</v>
      </c>
      <c r="W173" s="5">
        <v>3185051.67643434</v>
      </c>
      <c r="X173" s="5">
        <v>2145055.27867084</v>
      </c>
      <c r="Y173" s="5">
        <v>3769864.7487012199</v>
      </c>
      <c r="Z173" s="5">
        <v>2728861.5973783201</v>
      </c>
      <c r="AA173" s="5">
        <v>2701112.0426340401</v>
      </c>
      <c r="AB173" s="5">
        <v>2463596.24879392</v>
      </c>
      <c r="AC173" s="5">
        <v>2549829.49342062</v>
      </c>
      <c r="AD173">
        <f t="shared" si="9"/>
        <v>2610849.8455567248</v>
      </c>
      <c r="AE173">
        <f t="shared" si="10"/>
        <v>125805.59463397331</v>
      </c>
      <c r="AF173">
        <f t="shared" si="11"/>
        <v>4.8185687448887793E-2</v>
      </c>
    </row>
    <row r="174" spans="1:32" x14ac:dyDescent="0.45">
      <c r="A174" s="5" t="s">
        <v>140</v>
      </c>
      <c r="B174" s="2">
        <f t="shared" si="8"/>
        <v>11026117.328322377</v>
      </c>
      <c r="C174" s="2">
        <v>9810600.1261286326</v>
      </c>
      <c r="D174" s="2">
        <v>3.7942091909207241E-2</v>
      </c>
      <c r="E174" s="5">
        <v>13967688.9505983</v>
      </c>
      <c r="F174" s="5">
        <v>8722990.5665440504</v>
      </c>
      <c r="G174" s="5">
        <v>12546934.068156799</v>
      </c>
      <c r="H174" s="5">
        <v>14516994.1125907</v>
      </c>
      <c r="I174" s="5">
        <v>10314770.095716</v>
      </c>
      <c r="J174" s="5">
        <v>10067130.887041699</v>
      </c>
      <c r="K174" s="5">
        <v>9344652.6044966895</v>
      </c>
      <c r="L174" s="5">
        <v>7988021.8188082501</v>
      </c>
      <c r="M174" s="5">
        <v>10363954.120390199</v>
      </c>
      <c r="N174" s="5">
        <v>6487937.6195085002</v>
      </c>
      <c r="O174" s="5">
        <v>12265143.258004701</v>
      </c>
      <c r="P174" s="5">
        <v>10028427.4282567</v>
      </c>
      <c r="Q174" s="5">
        <v>20001322.081905901</v>
      </c>
      <c r="R174" s="5">
        <v>12198777.287311999</v>
      </c>
      <c r="S174" s="5">
        <v>10176881.167556601</v>
      </c>
      <c r="T174" s="5">
        <v>10747605.6978893</v>
      </c>
      <c r="U174" s="5">
        <v>12044338.7946428</v>
      </c>
      <c r="V174" s="5">
        <v>14955462.182997501</v>
      </c>
      <c r="W174" s="5">
        <v>5761782.3099570395</v>
      </c>
      <c r="X174" s="5">
        <v>8215799.0088317702</v>
      </c>
      <c r="Y174" s="5">
        <v>10831849.833564401</v>
      </c>
      <c r="Z174" s="5">
        <v>9261395.1350508202</v>
      </c>
      <c r="AA174" s="5">
        <v>9917208.4824941307</v>
      </c>
      <c r="AB174" s="5">
        <v>10080574.118349301</v>
      </c>
      <c r="AC174" s="5">
        <v>9983222.7686202805</v>
      </c>
      <c r="AD174">
        <f t="shared" si="9"/>
        <v>9810600.1261286326</v>
      </c>
      <c r="AE174">
        <f t="shared" si="10"/>
        <v>372234.69167005277</v>
      </c>
      <c r="AF174">
        <f t="shared" si="11"/>
        <v>3.7942091909207241E-2</v>
      </c>
    </row>
    <row r="175" spans="1:32" x14ac:dyDescent="0.45">
      <c r="A175" s="5" t="s">
        <v>146</v>
      </c>
      <c r="B175" s="2">
        <f t="shared" si="8"/>
        <v>273034078.31288332</v>
      </c>
      <c r="C175" s="8">
        <v>232137304.35381621</v>
      </c>
      <c r="D175" s="7">
        <v>4.1482001420864785E-2</v>
      </c>
      <c r="E175" s="5">
        <v>347754770.65239102</v>
      </c>
      <c r="F175" s="5">
        <v>185004133.86799601</v>
      </c>
      <c r="G175" s="5">
        <v>221550481.82065099</v>
      </c>
      <c r="H175" s="5">
        <v>402642800.57976902</v>
      </c>
      <c r="I175" s="5">
        <v>303894735.31424201</v>
      </c>
      <c r="J175" s="5">
        <v>177766599.932928</v>
      </c>
      <c r="K175" s="5">
        <v>195731939.879282</v>
      </c>
      <c r="L175" s="5">
        <v>331653944.37360799</v>
      </c>
      <c r="M175" s="5">
        <v>341765420.26474202</v>
      </c>
      <c r="N175" s="5">
        <v>181230781.04504001</v>
      </c>
      <c r="O175" s="5">
        <v>328375043.44404203</v>
      </c>
      <c r="P175" s="5">
        <v>184585343.655231</v>
      </c>
      <c r="Q175" s="5">
        <v>360276899.31733203</v>
      </c>
      <c r="R175" s="5">
        <v>216266368.395834</v>
      </c>
      <c r="S175" s="5">
        <v>315308974.39067203</v>
      </c>
      <c r="T175" s="5">
        <v>322901485.30427301</v>
      </c>
      <c r="U175" s="5">
        <v>308484878.55997998</v>
      </c>
      <c r="V175" s="5">
        <v>302012380.65496701</v>
      </c>
      <c r="W175" s="5">
        <v>205850532.834465</v>
      </c>
      <c r="X175" s="5">
        <v>190805466.23309401</v>
      </c>
      <c r="Y175" s="5">
        <v>309852664.05001003</v>
      </c>
      <c r="Z175" s="5">
        <v>242417632.233138</v>
      </c>
      <c r="AA175" s="5">
        <v>237594214.36640799</v>
      </c>
      <c r="AB175" s="5">
        <v>227341927.11921099</v>
      </c>
      <c r="AC175" s="5">
        <v>221195443.69650799</v>
      </c>
      <c r="AD175">
        <f t="shared" si="9"/>
        <v>232137304.35381621</v>
      </c>
      <c r="AE175">
        <f t="shared" si="10"/>
        <v>9629519.9890407249</v>
      </c>
      <c r="AF175">
        <f t="shared" si="11"/>
        <v>4.1482001420864785E-2</v>
      </c>
    </row>
    <row r="176" spans="1:32" x14ac:dyDescent="0.45">
      <c r="A176" s="5" t="s">
        <v>167</v>
      </c>
      <c r="B176" s="2">
        <f t="shared" si="8"/>
        <v>524419.57657300681</v>
      </c>
      <c r="C176" s="7">
        <v>542169.3607431422</v>
      </c>
      <c r="D176" s="8">
        <v>5.2414708589991962E-2</v>
      </c>
      <c r="E176" s="5">
        <v>599129.30207266903</v>
      </c>
      <c r="F176" s="5">
        <v>417323.34814908402</v>
      </c>
      <c r="G176" s="5">
        <v>445090.18964758201</v>
      </c>
      <c r="H176" s="5">
        <v>731324.14773152303</v>
      </c>
      <c r="I176" s="5">
        <v>421684.06353716698</v>
      </c>
      <c r="J176" s="5">
        <v>384306.64502244099</v>
      </c>
      <c r="K176" s="5">
        <v>632517.11432803306</v>
      </c>
      <c r="L176" s="5">
        <v>445525.18831825297</v>
      </c>
      <c r="M176" s="5">
        <v>625957.79852409195</v>
      </c>
      <c r="N176" s="5">
        <v>603860.79625073902</v>
      </c>
      <c r="O176" s="5">
        <v>384895.13739376899</v>
      </c>
      <c r="P176" s="5">
        <v>546700.79581396806</v>
      </c>
      <c r="Q176" s="5">
        <v>614879.33147478302</v>
      </c>
      <c r="R176" s="5">
        <v>442119.13449286798</v>
      </c>
      <c r="S176" s="5">
        <v>500357.76274992601</v>
      </c>
      <c r="T176" s="5">
        <v>523101.89131681802</v>
      </c>
      <c r="U176" s="5">
        <v>640919.49215007597</v>
      </c>
      <c r="V176" s="5">
        <v>586995.64045716706</v>
      </c>
      <c r="W176" s="5">
        <v>400397.75391821901</v>
      </c>
      <c r="X176" s="5">
        <v>416179.963934328</v>
      </c>
      <c r="Y176" s="5">
        <v>649545.61074963596</v>
      </c>
      <c r="Z176" s="5">
        <v>555294.57835449895</v>
      </c>
      <c r="AA176" s="5">
        <v>536131.25172474503</v>
      </c>
      <c r="AB176" s="5">
        <v>505543.75179024303</v>
      </c>
      <c r="AC176" s="5">
        <v>571707.86110308196</v>
      </c>
      <c r="AD176">
        <f t="shared" si="9"/>
        <v>542169.3607431422</v>
      </c>
      <c r="AE176">
        <f t="shared" si="10"/>
        <v>28417.649049774027</v>
      </c>
      <c r="AF176">
        <f t="shared" si="11"/>
        <v>5.2414708589991962E-2</v>
      </c>
    </row>
    <row r="177" spans="1:32" x14ac:dyDescent="0.45">
      <c r="A177" s="5" t="s">
        <v>280</v>
      </c>
      <c r="B177" s="2">
        <f t="shared" si="8"/>
        <v>13599306.061568672</v>
      </c>
      <c r="C177" s="2">
        <v>13984723.805297075</v>
      </c>
      <c r="D177" s="2">
        <v>3.6360973355387113E-2</v>
      </c>
      <c r="E177" s="5">
        <v>16495485.258021301</v>
      </c>
      <c r="F177" s="5">
        <v>21130300.705812201</v>
      </c>
      <c r="G177" s="5">
        <v>18905982.678393099</v>
      </c>
      <c r="H177" s="5">
        <v>3443794.8030437599</v>
      </c>
      <c r="I177" s="5">
        <v>10983186.982388699</v>
      </c>
      <c r="J177" s="5">
        <v>20137680.7225978</v>
      </c>
      <c r="K177" s="5">
        <v>19550233.279885601</v>
      </c>
      <c r="L177" s="5">
        <v>11823788.472478</v>
      </c>
      <c r="M177" s="5">
        <v>7503157.5195788601</v>
      </c>
      <c r="N177" s="5">
        <v>19652509.9329454</v>
      </c>
      <c r="O177" s="5">
        <v>15032032.2242433</v>
      </c>
      <c r="P177" s="5">
        <v>12900234.8520135</v>
      </c>
      <c r="Q177" s="5">
        <v>12727487.4796257</v>
      </c>
      <c r="R177" s="5">
        <v>12553183.773947001</v>
      </c>
      <c r="S177" s="5">
        <v>10746173.102684399</v>
      </c>
      <c r="T177" s="5">
        <v>4110341.2210146901</v>
      </c>
      <c r="U177" s="5">
        <v>5835091.8253037799</v>
      </c>
      <c r="V177" s="5">
        <v>9673756.6034769006</v>
      </c>
      <c r="W177" s="5">
        <v>23026498.752966601</v>
      </c>
      <c r="X177" s="5">
        <v>20810629.079034202</v>
      </c>
      <c r="Y177" s="5">
        <v>8543878.0234872699</v>
      </c>
      <c r="Z177" s="5">
        <v>13230884.332668399</v>
      </c>
      <c r="AA177" s="5">
        <v>14344535.645888999</v>
      </c>
      <c r="AB177" s="5">
        <v>14194848.0586871</v>
      </c>
      <c r="AC177" s="5">
        <v>14168627.183943801</v>
      </c>
      <c r="AD177">
        <f t="shared" si="9"/>
        <v>13984723.805297075</v>
      </c>
      <c r="AE177">
        <f t="shared" si="10"/>
        <v>508498.16966685484</v>
      </c>
      <c r="AF177">
        <f t="shared" si="11"/>
        <v>3.6360973355387113E-2</v>
      </c>
    </row>
    <row r="178" spans="1:32" x14ac:dyDescent="0.45">
      <c r="A178" s="5" t="s">
        <v>279</v>
      </c>
      <c r="B178" s="2">
        <f t="shared" si="8"/>
        <v>1911568.9400250162</v>
      </c>
      <c r="C178" s="2">
        <v>1033205.7937803988</v>
      </c>
      <c r="D178" s="2">
        <v>3.953327570829656E-2</v>
      </c>
      <c r="E178" s="5">
        <v>848182.61883097095</v>
      </c>
      <c r="F178" s="5">
        <v>3561616.8888481501</v>
      </c>
      <c r="G178" s="5">
        <v>1062024.31406771</v>
      </c>
      <c r="H178" s="5">
        <v>3443794.8030437599</v>
      </c>
      <c r="I178" s="5">
        <v>548612.59296182904</v>
      </c>
      <c r="J178" s="5">
        <v>3982457.8925323202</v>
      </c>
      <c r="K178" s="5">
        <v>5347750.9746885402</v>
      </c>
      <c r="L178" s="5">
        <v>769473.76314391405</v>
      </c>
      <c r="M178" s="5">
        <v>489825.02927244402</v>
      </c>
      <c r="N178" s="5">
        <v>3712729.0650843498</v>
      </c>
      <c r="O178" s="5">
        <v>575256.63899153704</v>
      </c>
      <c r="P178" s="5">
        <v>2554104.5703038601</v>
      </c>
      <c r="Q178" s="5">
        <v>671945.19766085898</v>
      </c>
      <c r="R178" s="5">
        <v>536152.83692928695</v>
      </c>
      <c r="S178" s="5">
        <v>2645570.0702383299</v>
      </c>
      <c r="T178" s="5">
        <v>188621.13450894499</v>
      </c>
      <c r="U178" s="5">
        <v>412263.30545284599</v>
      </c>
      <c r="V178" s="5">
        <v>668207.77902968996</v>
      </c>
      <c r="W178" s="5">
        <v>3741924.97300083</v>
      </c>
      <c r="X178" s="5">
        <v>3943727.3813822102</v>
      </c>
      <c r="Y178" s="5">
        <v>438705.91055294598</v>
      </c>
      <c r="Z178" s="5">
        <v>1032434.43984447</v>
      </c>
      <c r="AA178" s="5">
        <v>1060020.99006975</v>
      </c>
      <c r="AB178" s="5">
        <v>975763.16303475504</v>
      </c>
      <c r="AC178" s="5">
        <v>1064604.5821726201</v>
      </c>
      <c r="AD178">
        <f t="shared" si="9"/>
        <v>1033205.7937803988</v>
      </c>
      <c r="AE178">
        <f t="shared" si="10"/>
        <v>40846.009508929907</v>
      </c>
      <c r="AF178">
        <f t="shared" si="11"/>
        <v>3.953327570829656E-2</v>
      </c>
    </row>
    <row r="179" spans="1:32" x14ac:dyDescent="0.45">
      <c r="A179" s="5" t="s">
        <v>281</v>
      </c>
      <c r="B179" s="2">
        <f t="shared" si="8"/>
        <v>2367416.9847183609</v>
      </c>
      <c r="C179" s="2">
        <v>2121316.7438564226</v>
      </c>
      <c r="D179" s="2">
        <v>6.2323905872886332E-2</v>
      </c>
      <c r="E179" s="5">
        <v>1705285.4343594599</v>
      </c>
      <c r="F179" s="5">
        <v>1456316.7122374</v>
      </c>
      <c r="G179" s="5">
        <v>1978792.29114271</v>
      </c>
      <c r="H179" s="5">
        <v>1493778.3894182299</v>
      </c>
      <c r="I179" s="5">
        <v>1666872.7678510901</v>
      </c>
      <c r="J179" s="5">
        <v>1908672.14526422</v>
      </c>
      <c r="K179" s="5">
        <v>2208210.2279298799</v>
      </c>
      <c r="L179" s="5">
        <v>3387954.9097703299</v>
      </c>
      <c r="M179" s="5">
        <v>2084791.1441001</v>
      </c>
      <c r="N179" s="5">
        <v>2920073.56470535</v>
      </c>
      <c r="O179" s="5">
        <v>2115942.52078884</v>
      </c>
      <c r="P179" s="5">
        <v>2490625.6067509302</v>
      </c>
      <c r="Q179" s="5">
        <v>4999469.49500388</v>
      </c>
      <c r="R179" s="5">
        <v>1602833.6491328799</v>
      </c>
      <c r="S179" s="5">
        <v>2162478.7010429199</v>
      </c>
      <c r="T179" s="5">
        <v>1678301.6460013399</v>
      </c>
      <c r="U179" s="5">
        <v>5746541.3746272204</v>
      </c>
      <c r="V179" s="5">
        <v>1396310.9852254901</v>
      </c>
      <c r="W179" s="5">
        <v>1348209.34654052</v>
      </c>
      <c r="X179" s="5">
        <v>1575103.4680072099</v>
      </c>
      <c r="Y179" s="5">
        <v>3789192.2991855899</v>
      </c>
      <c r="Z179" s="5">
        <v>1996253.7696733</v>
      </c>
      <c r="AA179" s="5">
        <v>2018827.84817269</v>
      </c>
      <c r="AB179" s="5">
        <v>2220900.9764686702</v>
      </c>
      <c r="AC179" s="5">
        <v>2249284.38111103</v>
      </c>
      <c r="AD179">
        <f t="shared" si="9"/>
        <v>2121316.7438564226</v>
      </c>
      <c r="AE179">
        <f t="shared" si="10"/>
        <v>132208.7450706854</v>
      </c>
      <c r="AF179">
        <f t="shared" si="11"/>
        <v>6.2323905872886332E-2</v>
      </c>
    </row>
    <row r="180" spans="1:32" x14ac:dyDescent="0.45">
      <c r="A180" s="5" t="s">
        <v>282</v>
      </c>
      <c r="B180" s="2">
        <f t="shared" si="8"/>
        <v>13166560.518653469</v>
      </c>
      <c r="C180" s="2">
        <v>15501330.088025849</v>
      </c>
      <c r="D180" s="2">
        <v>6.1508100257682781E-2</v>
      </c>
      <c r="E180" s="5">
        <v>1282782.80428808</v>
      </c>
      <c r="F180" s="5">
        <v>35234347.494868003</v>
      </c>
      <c r="G180" s="5">
        <v>2376398.0582631198</v>
      </c>
      <c r="H180" s="5">
        <v>577501.21173982206</v>
      </c>
      <c r="I180" s="5">
        <v>3680049.8285926101</v>
      </c>
      <c r="J180" s="5">
        <v>30343395.931092702</v>
      </c>
      <c r="K180" s="5">
        <v>42428904.529536203</v>
      </c>
      <c r="L180" s="5">
        <v>2748061.7095815102</v>
      </c>
      <c r="M180" s="5">
        <v>2551818.9354011002</v>
      </c>
      <c r="N180" s="5">
        <v>23866593.402005799</v>
      </c>
      <c r="O180" s="5">
        <v>857513.31549603899</v>
      </c>
      <c r="P180" s="5">
        <v>29936776.146221399</v>
      </c>
      <c r="Q180" s="5">
        <v>2017513.86480966</v>
      </c>
      <c r="R180" s="5">
        <v>1377198.7683311801</v>
      </c>
      <c r="S180" s="5">
        <v>2343992.4860497401</v>
      </c>
      <c r="T180" s="5">
        <v>590833.88126134698</v>
      </c>
      <c r="U180" s="5">
        <v>2515587.74678778</v>
      </c>
      <c r="V180" s="5">
        <v>1275533.5553866799</v>
      </c>
      <c r="W180" s="5">
        <v>35653243.871511899</v>
      </c>
      <c r="X180" s="5">
        <v>53554318.022791997</v>
      </c>
      <c r="Y180" s="5">
        <v>1285405.32770615</v>
      </c>
      <c r="Z180" s="5">
        <v>14220849.7706651</v>
      </c>
      <c r="AA180" s="5">
        <v>15558233.3813635</v>
      </c>
      <c r="AB180" s="5">
        <v>16522877.460135801</v>
      </c>
      <c r="AC180" s="5">
        <v>15703359.739939</v>
      </c>
      <c r="AD180">
        <f t="shared" si="9"/>
        <v>15501330.088025849</v>
      </c>
      <c r="AE180">
        <f t="shared" si="10"/>
        <v>953457.36518172862</v>
      </c>
      <c r="AF180">
        <f t="shared" si="11"/>
        <v>6.1508100257682781E-2</v>
      </c>
    </row>
    <row r="181" spans="1:32" x14ac:dyDescent="0.45">
      <c r="A181" s="5" t="s">
        <v>151</v>
      </c>
      <c r="B181" s="2">
        <f t="shared" si="8"/>
        <v>14099519.249088421</v>
      </c>
      <c r="C181" s="8">
        <v>12318781.700771825</v>
      </c>
      <c r="D181" s="8">
        <v>3.8044683815041017E-2</v>
      </c>
      <c r="E181" s="5">
        <v>15966095.681325199</v>
      </c>
      <c r="F181" s="5">
        <v>11670781.577832799</v>
      </c>
      <c r="G181" s="5">
        <v>11955675.8470506</v>
      </c>
      <c r="H181" s="5">
        <v>17673880.798025701</v>
      </c>
      <c r="I181" s="5">
        <v>12541462.403023601</v>
      </c>
      <c r="J181" s="5">
        <v>11260236.344340101</v>
      </c>
      <c r="K181" s="5">
        <v>16277717.8288661</v>
      </c>
      <c r="L181" s="5">
        <v>14703698.759105399</v>
      </c>
      <c r="M181" s="5">
        <v>16086578.081091501</v>
      </c>
      <c r="N181" s="5">
        <v>15927337.109456399</v>
      </c>
      <c r="O181" s="5">
        <v>13962553.150161199</v>
      </c>
      <c r="P181" s="5">
        <v>12531813.1787528</v>
      </c>
      <c r="Q181" s="5">
        <v>15893525.1881912</v>
      </c>
      <c r="R181" s="5">
        <v>9564960.8185183108</v>
      </c>
      <c r="S181" s="5">
        <v>12776560.5454721</v>
      </c>
      <c r="T181" s="5">
        <v>17126241.436561</v>
      </c>
      <c r="U181" s="5">
        <v>18001381.778047901</v>
      </c>
      <c r="V181" s="5">
        <v>11229681.1640078</v>
      </c>
      <c r="W181" s="5">
        <v>12472688.0173494</v>
      </c>
      <c r="X181" s="5">
        <v>12546292.911481701</v>
      </c>
      <c r="Y181" s="5">
        <v>15920741.612196</v>
      </c>
      <c r="Z181" s="5">
        <v>12953690.753219301</v>
      </c>
      <c r="AA181" s="5">
        <v>12354322.7657356</v>
      </c>
      <c r="AB181" s="5">
        <v>12105650.699691599</v>
      </c>
      <c r="AC181" s="5">
        <v>11861462.584440799</v>
      </c>
      <c r="AD181">
        <f t="shared" si="9"/>
        <v>12318781.700771825</v>
      </c>
      <c r="AE181">
        <f t="shared" si="10"/>
        <v>468664.15479237732</v>
      </c>
      <c r="AF181">
        <f t="shared" si="11"/>
        <v>3.8044683815041017E-2</v>
      </c>
    </row>
    <row r="182" spans="1:32" x14ac:dyDescent="0.45">
      <c r="A182" s="5" t="s">
        <v>219</v>
      </c>
      <c r="B182" s="2">
        <f t="shared" si="8"/>
        <v>6980423.6835416015</v>
      </c>
      <c r="C182" s="7">
        <v>5680575.9318805933</v>
      </c>
      <c r="D182" s="8">
        <v>0.15384943149479313</v>
      </c>
      <c r="E182" s="5">
        <v>21229884.003840599</v>
      </c>
      <c r="F182" s="5">
        <v>4467533.9049412804</v>
      </c>
      <c r="G182" s="5">
        <v>7889163.4810055001</v>
      </c>
      <c r="H182" s="5">
        <v>1894551.8032408201</v>
      </c>
      <c r="I182" s="5">
        <v>18450474.405767702</v>
      </c>
      <c r="J182" s="5">
        <v>2985837.19912139</v>
      </c>
      <c r="K182" s="5">
        <v>1593194.06736598</v>
      </c>
      <c r="L182" s="5">
        <v>17494500.6205214</v>
      </c>
      <c r="M182" s="5">
        <v>6941365.30909066</v>
      </c>
      <c r="N182" s="5">
        <v>1222142.4031485899</v>
      </c>
      <c r="O182" s="5">
        <v>1225706.4226748999</v>
      </c>
      <c r="P182" s="5">
        <v>2313487.90352639</v>
      </c>
      <c r="Q182" s="5">
        <v>4959306.5642860997</v>
      </c>
      <c r="R182" s="5">
        <v>6558238.3081990704</v>
      </c>
      <c r="S182" s="5">
        <v>19735262.476812899</v>
      </c>
      <c r="T182" s="5">
        <v>5411626.6279179603</v>
      </c>
      <c r="U182" s="5">
        <v>2783595.9522986799</v>
      </c>
      <c r="V182" s="5">
        <v>6313396.9726382904</v>
      </c>
      <c r="W182" s="5">
        <v>5523135.2134554395</v>
      </c>
      <c r="X182" s="5">
        <v>2965491.8562635402</v>
      </c>
      <c r="Y182" s="5">
        <v>4631001.8582563903</v>
      </c>
      <c r="Z182" s="5">
        <v>6838815.9121114602</v>
      </c>
      <c r="AA182" s="5">
        <v>5866995.87159249</v>
      </c>
      <c r="AB182" s="5">
        <v>4933895.0364338998</v>
      </c>
      <c r="AC182" s="5">
        <v>5082596.9073845204</v>
      </c>
      <c r="AD182">
        <f t="shared" si="9"/>
        <v>5680575.9318805933</v>
      </c>
      <c r="AE182">
        <f t="shared" si="10"/>
        <v>873953.37768283405</v>
      </c>
      <c r="AF182">
        <f t="shared" si="11"/>
        <v>0.15384943149479313</v>
      </c>
    </row>
    <row r="183" spans="1:32" x14ac:dyDescent="0.45">
      <c r="A183" s="5" t="s">
        <v>152</v>
      </c>
      <c r="B183" s="2">
        <f t="shared" si="8"/>
        <v>495249130.95051557</v>
      </c>
      <c r="C183" s="7">
        <v>420122128.1073513</v>
      </c>
      <c r="D183" s="7">
        <v>2.625292035614132E-2</v>
      </c>
      <c r="E183" s="5">
        <v>596653823.45951402</v>
      </c>
      <c r="F183" s="5">
        <v>410201936.65987498</v>
      </c>
      <c r="G183" s="5">
        <v>514514774.59530401</v>
      </c>
      <c r="H183" s="5">
        <v>920935778.74935603</v>
      </c>
      <c r="I183" s="5">
        <v>502113621.03520101</v>
      </c>
      <c r="J183" s="5">
        <v>404434612.66376603</v>
      </c>
      <c r="K183" s="5">
        <v>290637860.09880102</v>
      </c>
      <c r="L183" s="5">
        <v>701995385.82776296</v>
      </c>
      <c r="M183" s="5">
        <v>463846411.78651202</v>
      </c>
      <c r="N183" s="5">
        <v>377702282.05848497</v>
      </c>
      <c r="O183" s="5">
        <v>359814330.56791598</v>
      </c>
      <c r="P183" s="5">
        <v>386470537.19017798</v>
      </c>
      <c r="Q183" s="5">
        <v>901795887.56556404</v>
      </c>
      <c r="R183" s="5">
        <v>230079403.629742</v>
      </c>
      <c r="S183" s="5">
        <v>504568145.61471099</v>
      </c>
      <c r="T183" s="5">
        <v>400722267.75392598</v>
      </c>
      <c r="U183" s="5">
        <v>702097408.39949405</v>
      </c>
      <c r="V183" s="5">
        <v>413114294.95796198</v>
      </c>
      <c r="W183" s="5">
        <v>381839969.79501301</v>
      </c>
      <c r="X183" s="5">
        <v>356612138.36377001</v>
      </c>
      <c r="Y183" s="5">
        <v>580080879.18797302</v>
      </c>
      <c r="Z183" s="5">
        <v>408648088.06751001</v>
      </c>
      <c r="AA183" s="5">
        <v>430523008.19867498</v>
      </c>
      <c r="AB183" s="5">
        <v>428549760.73552698</v>
      </c>
      <c r="AC183" s="5">
        <v>412767655.42769301</v>
      </c>
      <c r="AD183">
        <f t="shared" si="9"/>
        <v>420122128.1073513</v>
      </c>
      <c r="AE183">
        <f t="shared" si="10"/>
        <v>11029432.769054895</v>
      </c>
      <c r="AF183">
        <f t="shared" si="11"/>
        <v>2.625292035614132E-2</v>
      </c>
    </row>
    <row r="184" spans="1:32" x14ac:dyDescent="0.45">
      <c r="A184" s="5" t="s">
        <v>141</v>
      </c>
      <c r="B184" s="2">
        <f t="shared" si="8"/>
        <v>455690.9936971959</v>
      </c>
      <c r="C184" s="2">
        <v>472270.68431256799</v>
      </c>
      <c r="D184" s="2">
        <v>3.2265150855301974E-2</v>
      </c>
      <c r="E184" s="5">
        <v>165106.21829187599</v>
      </c>
      <c r="F184" s="5">
        <v>76246.749291133703</v>
      </c>
      <c r="G184" s="5">
        <v>47416.000986278297</v>
      </c>
      <c r="H184" s="5">
        <v>70645.5548886006</v>
      </c>
      <c r="I184" s="5">
        <v>1579261.95224001</v>
      </c>
      <c r="J184" s="5">
        <v>1382609.4676153499</v>
      </c>
      <c r="K184" s="5">
        <v>108606.657230888</v>
      </c>
      <c r="L184" s="5">
        <v>754976.85715392104</v>
      </c>
      <c r="M184" s="5">
        <v>33259.618571031497</v>
      </c>
      <c r="N184" s="5">
        <v>2811985.2959044501</v>
      </c>
      <c r="O184" s="5">
        <v>51006.955792524699</v>
      </c>
      <c r="P184" s="5">
        <v>236329.48881300699</v>
      </c>
      <c r="Q184" s="5">
        <v>163215.882815252</v>
      </c>
      <c r="R184" s="5">
        <v>38682.636999507798</v>
      </c>
      <c r="S184" s="5">
        <v>31817.2428693289</v>
      </c>
      <c r="T184" s="5">
        <v>39239.104397035902</v>
      </c>
      <c r="U184" s="5">
        <v>159671.75913631701</v>
      </c>
      <c r="V184" s="5">
        <v>33203.682933881799</v>
      </c>
      <c r="W184" s="5">
        <v>1522883.17222613</v>
      </c>
      <c r="X184" s="5">
        <v>147099.37660466199</v>
      </c>
      <c r="Y184" s="5">
        <v>116247.192879927</v>
      </c>
      <c r="Z184" s="5">
        <v>453415.27396672597</v>
      </c>
      <c r="AA184" s="5">
        <v>477123.17697339499</v>
      </c>
      <c r="AB184" s="5">
        <v>489747.48014509398</v>
      </c>
      <c r="AC184" s="5">
        <v>468796.806165057</v>
      </c>
      <c r="AD184">
        <f t="shared" si="9"/>
        <v>472270.68431256799</v>
      </c>
      <c r="AE184">
        <f t="shared" si="10"/>
        <v>15237.884873881703</v>
      </c>
      <c r="AF184">
        <f t="shared" si="11"/>
        <v>3.2265150855301974E-2</v>
      </c>
    </row>
    <row r="185" spans="1:32" x14ac:dyDescent="0.45">
      <c r="A185" s="5" t="s">
        <v>106</v>
      </c>
      <c r="B185" s="2">
        <f t="shared" si="8"/>
        <v>551403979.63294291</v>
      </c>
      <c r="C185" s="7">
        <v>474451328.35275531</v>
      </c>
      <c r="D185" s="8">
        <v>1.6937029793921372E-2</v>
      </c>
      <c r="E185" s="5">
        <v>679425982.09742796</v>
      </c>
      <c r="F185" s="5">
        <v>600251020.09050202</v>
      </c>
      <c r="G185" s="5">
        <v>489679945.59352303</v>
      </c>
      <c r="H185" s="5">
        <v>571034170.75028598</v>
      </c>
      <c r="I185" s="5">
        <v>640756618.93078196</v>
      </c>
      <c r="J185" s="5">
        <v>534373079.35209697</v>
      </c>
      <c r="K185" s="5">
        <v>356871991.21333402</v>
      </c>
      <c r="L185" s="5">
        <v>504041817.52493</v>
      </c>
      <c r="M185" s="5">
        <v>651889271.921767</v>
      </c>
      <c r="N185" s="5">
        <v>448268198.43485498</v>
      </c>
      <c r="O185" s="5">
        <v>551977726.14505899</v>
      </c>
      <c r="P185" s="5">
        <v>427410053.09708202</v>
      </c>
      <c r="Q185" s="5">
        <v>657504098.32128501</v>
      </c>
      <c r="R185" s="5">
        <v>646718805.13004601</v>
      </c>
      <c r="S185" s="5">
        <v>643874909.72609997</v>
      </c>
      <c r="T185" s="5">
        <v>534573457.87388998</v>
      </c>
      <c r="U185" s="5">
        <v>550791432.96494401</v>
      </c>
      <c r="V185" s="5">
        <v>534352988.30942601</v>
      </c>
      <c r="W185" s="5">
        <v>494376108.44435698</v>
      </c>
      <c r="X185" s="5">
        <v>436837498.62034798</v>
      </c>
      <c r="Y185" s="5">
        <v>624474397.74976003</v>
      </c>
      <c r="Z185" s="5">
        <v>467824480.52451402</v>
      </c>
      <c r="AA185" s="5">
        <v>485530879.69003999</v>
      </c>
      <c r="AB185" s="5">
        <v>475152194.69000602</v>
      </c>
      <c r="AC185" s="5">
        <v>469297758.50646102</v>
      </c>
      <c r="AD185">
        <f t="shared" si="9"/>
        <v>474451328.35275531</v>
      </c>
      <c r="AE185">
        <f t="shared" si="10"/>
        <v>8035796.2840761887</v>
      </c>
      <c r="AF185">
        <f t="shared" si="11"/>
        <v>1.6937029793921372E-2</v>
      </c>
    </row>
    <row r="186" spans="1:32" x14ac:dyDescent="0.45">
      <c r="A186" s="5" t="s">
        <v>107</v>
      </c>
      <c r="B186" s="2">
        <f t="shared" si="8"/>
        <v>15112971.873319246</v>
      </c>
      <c r="C186" s="2">
        <v>10389064.24349805</v>
      </c>
      <c r="D186" s="2">
        <v>0.13093131964722982</v>
      </c>
      <c r="E186" s="5">
        <v>1137580.0587288099</v>
      </c>
      <c r="F186" s="5">
        <v>283366.723812218</v>
      </c>
      <c r="G186" s="5">
        <v>1748908.86143297</v>
      </c>
      <c r="H186" s="5">
        <v>143746800.71311799</v>
      </c>
      <c r="I186" s="5">
        <v>1380042.59774266</v>
      </c>
      <c r="J186" s="5">
        <v>2529658.17439073</v>
      </c>
      <c r="K186" s="5">
        <v>235111.56463643399</v>
      </c>
      <c r="L186" s="5">
        <v>1628877.71213445</v>
      </c>
      <c r="M186" s="5">
        <v>86618058.729953095</v>
      </c>
      <c r="N186" s="5">
        <v>2973147.5735485102</v>
      </c>
      <c r="O186" s="5">
        <v>733710.904972338</v>
      </c>
      <c r="P186" s="5">
        <v>1330567.0477710301</v>
      </c>
      <c r="Q186" s="5">
        <v>38256065.221831597</v>
      </c>
      <c r="R186" s="5">
        <v>529172.57664115005</v>
      </c>
      <c r="S186" s="5">
        <v>818268.88307643996</v>
      </c>
      <c r="T186" s="5">
        <v>1567104.4031754001</v>
      </c>
      <c r="U186" s="5">
        <v>229978.85129293799</v>
      </c>
      <c r="V186" s="5">
        <v>1676210.19271808</v>
      </c>
      <c r="W186" s="5">
        <v>998260.22251359897</v>
      </c>
      <c r="X186" s="5">
        <v>269934.273832192</v>
      </c>
      <c r="Y186" s="5">
        <v>28681584.052381501</v>
      </c>
      <c r="Z186" s="5">
        <v>11158778.519935399</v>
      </c>
      <c r="AA186" s="5">
        <v>9240088.8222823292</v>
      </c>
      <c r="AB186" s="5">
        <v>9243339.4600885697</v>
      </c>
      <c r="AC186" s="5">
        <v>11914050.171685901</v>
      </c>
      <c r="AD186">
        <f t="shared" si="9"/>
        <v>10389064.24349805</v>
      </c>
      <c r="AE186">
        <f t="shared" si="10"/>
        <v>1360253.8913010489</v>
      </c>
      <c r="AF186">
        <f t="shared" si="11"/>
        <v>0.13093131964722982</v>
      </c>
    </row>
    <row r="187" spans="1:32" x14ac:dyDescent="0.45">
      <c r="A187" s="5" t="s">
        <v>220</v>
      </c>
      <c r="B187" s="2">
        <f t="shared" si="8"/>
        <v>7711638.7237042459</v>
      </c>
      <c r="C187" s="8">
        <v>7014532.7556056269</v>
      </c>
      <c r="D187" s="7">
        <v>2.6690058949653473E-2</v>
      </c>
      <c r="E187" s="5">
        <v>11381067.354959</v>
      </c>
      <c r="F187" s="5">
        <v>5950321.5041553499</v>
      </c>
      <c r="G187" s="5">
        <v>9793722.0867518205</v>
      </c>
      <c r="H187" s="5">
        <v>9918071.1568509396</v>
      </c>
      <c r="I187" s="5">
        <v>7888658.9174887799</v>
      </c>
      <c r="J187" s="5">
        <v>4651090.6794912601</v>
      </c>
      <c r="K187" s="5">
        <v>3047888.6544946898</v>
      </c>
      <c r="L187" s="5">
        <v>11033183.031955799</v>
      </c>
      <c r="M187" s="5">
        <v>7224061.6478271503</v>
      </c>
      <c r="N187" s="5">
        <v>5975357.4757580403</v>
      </c>
      <c r="O187" s="5">
        <v>10081541.9867782</v>
      </c>
      <c r="P187" s="5">
        <v>5081820.6348888101</v>
      </c>
      <c r="Q187" s="5">
        <v>6051477.4282878302</v>
      </c>
      <c r="R187" s="5">
        <v>6661907.7536846101</v>
      </c>
      <c r="S187" s="5">
        <v>10821035.2099822</v>
      </c>
      <c r="T187" s="5">
        <v>9131167.8471708801</v>
      </c>
      <c r="U187" s="5">
        <v>7165066.74672997</v>
      </c>
      <c r="V187" s="5">
        <v>9194084.6948375404</v>
      </c>
      <c r="W187" s="5">
        <v>7467324.99577762</v>
      </c>
      <c r="X187" s="5">
        <v>4766340.4937455496</v>
      </c>
      <c r="Y187" s="5">
        <v>8659222.8961731605</v>
      </c>
      <c r="Z187" s="5">
        <v>7265585.6323052105</v>
      </c>
      <c r="AA187" s="5">
        <v>6900466.7654130496</v>
      </c>
      <c r="AB187" s="5">
        <v>6846714.6757632</v>
      </c>
      <c r="AC187" s="5">
        <v>7045363.9489410501</v>
      </c>
      <c r="AD187">
        <f t="shared" si="9"/>
        <v>7014532.7556056269</v>
      </c>
      <c r="AE187">
        <f t="shared" si="10"/>
        <v>187218.29275138941</v>
      </c>
      <c r="AF187">
        <f t="shared" si="11"/>
        <v>2.6690058949653473E-2</v>
      </c>
    </row>
    <row r="188" spans="1:32" x14ac:dyDescent="0.45">
      <c r="A188" s="5" t="s">
        <v>221</v>
      </c>
      <c r="B188" s="2">
        <f t="shared" si="8"/>
        <v>3074245.1710361727</v>
      </c>
      <c r="C188" s="7">
        <v>2581278.4548482252</v>
      </c>
      <c r="D188" s="7">
        <v>0.15423490968925352</v>
      </c>
      <c r="E188" s="5">
        <v>2952231.2739377199</v>
      </c>
      <c r="F188" s="5">
        <v>3098236.2388451998</v>
      </c>
      <c r="G188" s="5">
        <v>4857972.1585423704</v>
      </c>
      <c r="H188" s="5">
        <v>2669048.8728171</v>
      </c>
      <c r="I188" s="5">
        <v>3651269.6287447698</v>
      </c>
      <c r="J188" s="5">
        <v>3631179.6942676902</v>
      </c>
      <c r="K188" s="5">
        <v>3697399.8809776301</v>
      </c>
      <c r="L188" s="5">
        <v>2557260.7260742602</v>
      </c>
      <c r="M188" s="5">
        <v>2252524.25327776</v>
      </c>
      <c r="N188" s="5">
        <v>3215752.4134178502</v>
      </c>
      <c r="O188" s="5">
        <v>3339530.6948064798</v>
      </c>
      <c r="P188" s="5">
        <v>3509124.03623561</v>
      </c>
      <c r="Q188" s="5">
        <v>2708516.02497544</v>
      </c>
      <c r="R188" s="5">
        <v>2940184.6414370402</v>
      </c>
      <c r="S188" s="5">
        <v>2390971.1482998799</v>
      </c>
      <c r="T188" s="5">
        <v>2463770.25056651</v>
      </c>
      <c r="U188" s="5">
        <v>2710428.5769768902</v>
      </c>
      <c r="V188" s="5">
        <v>3047985.6800227799</v>
      </c>
      <c r="W188" s="5">
        <v>3029176.98695692</v>
      </c>
      <c r="X188" s="5">
        <v>3407825.0109143499</v>
      </c>
      <c r="Y188" s="5">
        <v>2428760.3996653701</v>
      </c>
      <c r="Z188" s="5">
        <v>2072465.4651290399</v>
      </c>
      <c r="AA188" s="5">
        <v>3014174.5319725401</v>
      </c>
      <c r="AB188" s="5">
        <v>2504487.1744303601</v>
      </c>
      <c r="AC188" s="5">
        <v>2733986.6478609601</v>
      </c>
      <c r="AD188">
        <f t="shared" si="9"/>
        <v>2581278.4548482252</v>
      </c>
      <c r="AE188">
        <f t="shared" si="10"/>
        <v>398123.2493663319</v>
      </c>
      <c r="AF188">
        <f t="shared" si="11"/>
        <v>0.15423490968925352</v>
      </c>
    </row>
    <row r="189" spans="1:32" x14ac:dyDescent="0.45">
      <c r="A189" s="5" t="s">
        <v>163</v>
      </c>
      <c r="B189" s="2">
        <f t="shared" si="8"/>
        <v>11004829.13358843</v>
      </c>
      <c r="C189" s="2">
        <v>9797194.6341125071</v>
      </c>
      <c r="D189" s="2">
        <v>6.5375100863358376E-2</v>
      </c>
      <c r="E189" s="5">
        <v>11195065.5345394</v>
      </c>
      <c r="F189" s="5">
        <v>9076231.7821778804</v>
      </c>
      <c r="G189" s="5">
        <v>9889185.4639236704</v>
      </c>
      <c r="H189" s="5">
        <v>10276418.881743001</v>
      </c>
      <c r="I189" s="5">
        <v>9917188.1295177191</v>
      </c>
      <c r="J189" s="5">
        <v>12824546.5860488</v>
      </c>
      <c r="K189" s="5">
        <v>19336305.941470899</v>
      </c>
      <c r="L189" s="5">
        <v>10943220.827820901</v>
      </c>
      <c r="M189" s="5">
        <v>9711903.47974368</v>
      </c>
      <c r="N189" s="5">
        <v>10220195.3252248</v>
      </c>
      <c r="O189" s="5">
        <v>10313304.311106101</v>
      </c>
      <c r="P189" s="5">
        <v>16000269.784488499</v>
      </c>
      <c r="Q189" s="5">
        <v>9346597.1032935493</v>
      </c>
      <c r="R189" s="5">
        <v>8284078.7526123002</v>
      </c>
      <c r="S189" s="5">
        <v>10596410.955585999</v>
      </c>
      <c r="T189" s="5">
        <v>10126152.6063614</v>
      </c>
      <c r="U189" s="5">
        <v>10792076.529445199</v>
      </c>
      <c r="V189" s="5">
        <v>11348927.3505316</v>
      </c>
      <c r="W189" s="5">
        <v>9469473.5842496492</v>
      </c>
      <c r="X189" s="5">
        <v>11431974.093123401</v>
      </c>
      <c r="Y189" s="5">
        <v>10001884.782348599</v>
      </c>
      <c r="Z189" s="5">
        <v>9112262.1493039392</v>
      </c>
      <c r="AA189" s="5">
        <v>9534901.5097535104</v>
      </c>
      <c r="AB189" s="5">
        <v>9921419.4778887797</v>
      </c>
      <c r="AC189" s="5">
        <v>10620195.399503799</v>
      </c>
      <c r="AD189">
        <f t="shared" si="9"/>
        <v>9797194.6341125071</v>
      </c>
      <c r="AE189">
        <f t="shared" si="10"/>
        <v>640492.58738305862</v>
      </c>
      <c r="AF189">
        <f t="shared" si="11"/>
        <v>6.5375100863358376E-2</v>
      </c>
    </row>
    <row r="190" spans="1:32" x14ac:dyDescent="0.45">
      <c r="A190" s="5" t="s">
        <v>108</v>
      </c>
      <c r="B190" s="2">
        <f t="shared" si="8"/>
        <v>1866298.8591952766</v>
      </c>
      <c r="C190" s="2">
        <v>1836709.28505792</v>
      </c>
      <c r="D190" s="2">
        <v>0.15464619674268948</v>
      </c>
      <c r="E190" s="5">
        <v>2506875.3155467799</v>
      </c>
      <c r="F190" s="5">
        <v>1323103.41393136</v>
      </c>
      <c r="G190" s="5">
        <v>1449579.68135699</v>
      </c>
      <c r="H190" s="5">
        <v>2052372.60199528</v>
      </c>
      <c r="I190" s="5">
        <v>1524326.5751654899</v>
      </c>
      <c r="J190" s="5">
        <v>1038910.99995626</v>
      </c>
      <c r="K190" s="5">
        <v>1429461.54775482</v>
      </c>
      <c r="L190" s="5">
        <v>1757568.2254439399</v>
      </c>
      <c r="M190" s="5">
        <v>2272463.35521399</v>
      </c>
      <c r="N190" s="5">
        <v>2159170.6060834001</v>
      </c>
      <c r="O190" s="5">
        <v>2903699.2791613801</v>
      </c>
      <c r="P190" s="5">
        <v>1770652.1235447801</v>
      </c>
      <c r="Q190" s="5">
        <v>3023062.37784694</v>
      </c>
      <c r="R190" s="5">
        <v>1805750.7301586999</v>
      </c>
      <c r="S190" s="5">
        <v>1771078.0426741501</v>
      </c>
      <c r="T190" s="5">
        <v>1717592.8771488999</v>
      </c>
      <c r="U190" s="5">
        <v>1983318.45911921</v>
      </c>
      <c r="V190" s="5">
        <v>1923200.3493065301</v>
      </c>
      <c r="W190" s="5">
        <v>1042069.64783883</v>
      </c>
      <c r="X190" s="5">
        <v>1282576.7249548</v>
      </c>
      <c r="Y190" s="5">
        <v>2455443.1088982802</v>
      </c>
      <c r="Z190" s="5">
        <v>1502787.61295376</v>
      </c>
      <c r="AA190" s="5">
        <v>1768980.84252006</v>
      </c>
      <c r="AB190" s="5">
        <v>1887061.5671049999</v>
      </c>
      <c r="AC190" s="5">
        <v>2188007.11765286</v>
      </c>
      <c r="AD190">
        <f t="shared" si="9"/>
        <v>1836709.28505792</v>
      </c>
      <c r="AE190">
        <f t="shared" si="10"/>
        <v>284040.10545619164</v>
      </c>
      <c r="AF190">
        <f t="shared" si="11"/>
        <v>0.15464619674268948</v>
      </c>
    </row>
    <row r="191" spans="1:32" x14ac:dyDescent="0.45">
      <c r="A191" s="5" t="s">
        <v>109</v>
      </c>
      <c r="B191" s="2">
        <f t="shared" si="8"/>
        <v>1894890.5229258828</v>
      </c>
      <c r="C191" s="7">
        <v>1395709.050309225</v>
      </c>
      <c r="D191" s="8">
        <v>0.21583344341162644</v>
      </c>
      <c r="E191" s="5">
        <v>2421896.2949425401</v>
      </c>
      <c r="F191" s="5">
        <v>993009.59320717095</v>
      </c>
      <c r="G191" s="5">
        <v>2078361.74396708</v>
      </c>
      <c r="H191" s="5">
        <v>2344424.1279440499</v>
      </c>
      <c r="I191" s="5">
        <v>1258493.66833094</v>
      </c>
      <c r="J191" s="5">
        <v>1252137.6527549699</v>
      </c>
      <c r="K191" s="5">
        <v>654435.74112667504</v>
      </c>
      <c r="L191" s="5">
        <v>1718046.9256913899</v>
      </c>
      <c r="M191" s="5">
        <v>2034697.2150222301</v>
      </c>
      <c r="N191" s="5">
        <v>1275858.29636354</v>
      </c>
      <c r="O191" s="5">
        <v>2051802.5016323801</v>
      </c>
      <c r="P191" s="5">
        <v>881160.98310080799</v>
      </c>
      <c r="Q191" s="5">
        <v>3276977.9638392101</v>
      </c>
      <c r="R191" s="5">
        <v>6015208.7231189404</v>
      </c>
      <c r="S191" s="5">
        <v>2215237.79991072</v>
      </c>
      <c r="T191" s="5">
        <v>1894851.25403325</v>
      </c>
      <c r="U191" s="5">
        <v>1244547.27254732</v>
      </c>
      <c r="V191" s="5">
        <v>1569856.1670174401</v>
      </c>
      <c r="W191" s="5">
        <v>942582.14022623503</v>
      </c>
      <c r="X191" s="5">
        <v>748622.54825542297</v>
      </c>
      <c r="Y191" s="5">
        <v>2920492.3684112299</v>
      </c>
      <c r="Z191" s="5">
        <v>1135700.9936963201</v>
      </c>
      <c r="AA191" s="5">
        <v>1143315.44961673</v>
      </c>
      <c r="AB191" s="5">
        <v>1582435.3795002699</v>
      </c>
      <c r="AC191" s="5">
        <v>1721384.37842358</v>
      </c>
      <c r="AD191">
        <f t="shared" si="9"/>
        <v>1395709.050309225</v>
      </c>
      <c r="AE191">
        <f t="shared" si="10"/>
        <v>301240.69032901101</v>
      </c>
      <c r="AF191">
        <f t="shared" si="11"/>
        <v>0.21583344341162644</v>
      </c>
    </row>
    <row r="192" spans="1:32" x14ac:dyDescent="0.45">
      <c r="A192" s="5" t="s">
        <v>110</v>
      </c>
      <c r="B192" s="2">
        <f t="shared" si="8"/>
        <v>276730915.55226678</v>
      </c>
      <c r="C192" s="7">
        <v>227645749.44936949</v>
      </c>
      <c r="D192" s="7">
        <v>2.3810387065090938E-2</v>
      </c>
      <c r="E192" s="5">
        <v>344875894.07349002</v>
      </c>
      <c r="F192" s="5">
        <v>153189355.55290499</v>
      </c>
      <c r="G192" s="5">
        <v>304268970.42536497</v>
      </c>
      <c r="H192" s="5">
        <v>368035810.95529801</v>
      </c>
      <c r="I192" s="5">
        <v>290477213.610349</v>
      </c>
      <c r="J192" s="5">
        <v>128275322.64100599</v>
      </c>
      <c r="K192" s="5">
        <v>137341671.17166501</v>
      </c>
      <c r="L192" s="5">
        <v>345018684.87113798</v>
      </c>
      <c r="M192" s="5">
        <v>333984372.43207002</v>
      </c>
      <c r="N192" s="5">
        <v>164720281.02158099</v>
      </c>
      <c r="O192" s="5">
        <v>329776557.674182</v>
      </c>
      <c r="P192" s="5">
        <v>171262640.88860101</v>
      </c>
      <c r="Q192" s="5">
        <v>353751165.08918399</v>
      </c>
      <c r="R192" s="5">
        <v>243761921.56711701</v>
      </c>
      <c r="S192" s="5">
        <v>338644590.55723202</v>
      </c>
      <c r="T192" s="5">
        <v>403032846.67531401</v>
      </c>
      <c r="U192" s="5">
        <v>359488190.92567098</v>
      </c>
      <c r="V192" s="5">
        <v>282844447.63034302</v>
      </c>
      <c r="W192" s="5">
        <v>181215699.02836499</v>
      </c>
      <c r="X192" s="5">
        <v>202822373.713911</v>
      </c>
      <c r="Y192" s="5">
        <v>374561216.09281498</v>
      </c>
      <c r="Z192" s="5">
        <v>223313712.581765</v>
      </c>
      <c r="AA192" s="5">
        <v>231801479.27006599</v>
      </c>
      <c r="AB192" s="5">
        <v>232837228.69792601</v>
      </c>
      <c r="AC192" s="5">
        <v>222630577.24772099</v>
      </c>
      <c r="AD192">
        <f t="shared" si="9"/>
        <v>227645749.44936949</v>
      </c>
      <c r="AE192">
        <f t="shared" si="10"/>
        <v>5420333.4081122</v>
      </c>
      <c r="AF192">
        <f t="shared" si="11"/>
        <v>2.3810387065090938E-2</v>
      </c>
    </row>
    <row r="193" spans="1:32" x14ac:dyDescent="0.45">
      <c r="A193" s="5" t="s">
        <v>111</v>
      </c>
      <c r="B193" s="2">
        <f t="shared" si="8"/>
        <v>85528081.363334</v>
      </c>
      <c r="C193" s="7">
        <v>72057614.703654468</v>
      </c>
      <c r="D193" s="7">
        <v>3.1089391724806126E-2</v>
      </c>
      <c r="E193" s="5">
        <v>120737891.97080401</v>
      </c>
      <c r="F193" s="5">
        <v>90739364.669414699</v>
      </c>
      <c r="G193" s="5">
        <v>64309121.980518997</v>
      </c>
      <c r="H193" s="5">
        <v>99177513.456816807</v>
      </c>
      <c r="I193" s="5">
        <v>68308119.192688793</v>
      </c>
      <c r="J193" s="5">
        <v>77760585.015671402</v>
      </c>
      <c r="K193" s="5">
        <v>51575449.622960798</v>
      </c>
      <c r="L193" s="5">
        <v>126612232.491394</v>
      </c>
      <c r="M193" s="5">
        <v>85854767.192650303</v>
      </c>
      <c r="N193" s="5">
        <v>81274091.073591605</v>
      </c>
      <c r="O193" s="5">
        <v>69354278.227053195</v>
      </c>
      <c r="P193" s="5">
        <v>52629275.7610102</v>
      </c>
      <c r="Q193" s="5">
        <v>139608889.90803301</v>
      </c>
      <c r="R193" s="5">
        <v>45882952.6465545</v>
      </c>
      <c r="S193" s="5">
        <v>74457550.252174407</v>
      </c>
      <c r="T193" s="5">
        <v>75503519.138659403</v>
      </c>
      <c r="U193" s="5">
        <v>175351392.969428</v>
      </c>
      <c r="V193" s="5">
        <v>50628170.307077602</v>
      </c>
      <c r="W193" s="5">
        <v>79084026.928838506</v>
      </c>
      <c r="X193" s="5">
        <v>53172597.894793801</v>
      </c>
      <c r="Y193" s="5">
        <v>114067917.92987999</v>
      </c>
      <c r="Z193" s="5">
        <v>68895118.948321104</v>
      </c>
      <c r="AA193" s="5">
        <v>73211242.608294994</v>
      </c>
      <c r="AB193" s="5">
        <v>73985586.6042974</v>
      </c>
      <c r="AC193" s="5">
        <v>72138510.653704405</v>
      </c>
      <c r="AD193">
        <f t="shared" si="9"/>
        <v>72057614.703654468</v>
      </c>
      <c r="AE193">
        <f t="shared" si="10"/>
        <v>2240227.4102770635</v>
      </c>
      <c r="AF193">
        <f t="shared" si="11"/>
        <v>3.1089391724806126E-2</v>
      </c>
    </row>
    <row r="194" spans="1:32" x14ac:dyDescent="0.45">
      <c r="A194" s="5" t="s">
        <v>112</v>
      </c>
      <c r="B194" s="2">
        <f t="shared" ref="B194:B213" si="12">AVERAGE(E194:Y194)</f>
        <v>3516075.3131029224</v>
      </c>
      <c r="C194" s="7">
        <v>2618298.3107713326</v>
      </c>
      <c r="D194" s="8">
        <v>9.9167745292059961E-2</v>
      </c>
      <c r="E194" s="5">
        <v>760264.39946933906</v>
      </c>
      <c r="F194" s="5">
        <v>897704.23481509998</v>
      </c>
      <c r="G194" s="5">
        <v>2101450.89962989</v>
      </c>
      <c r="H194" s="5">
        <v>9853518.4827728402</v>
      </c>
      <c r="I194" s="5">
        <v>186131.00667664601</v>
      </c>
      <c r="J194" s="5">
        <v>1220629.81509243</v>
      </c>
      <c r="K194" s="5">
        <v>1028410.54633039</v>
      </c>
      <c r="L194" s="5">
        <v>528029.38721852005</v>
      </c>
      <c r="M194" s="5">
        <v>4712839.5654521501</v>
      </c>
      <c r="N194" s="5">
        <v>132917.82838501901</v>
      </c>
      <c r="O194" s="5">
        <v>3929305.0780649199</v>
      </c>
      <c r="P194" s="5">
        <v>5383591.0997514501</v>
      </c>
      <c r="Q194" s="5">
        <v>2688717.0256252498</v>
      </c>
      <c r="R194" s="5">
        <v>5647396.6615953799</v>
      </c>
      <c r="S194" s="5">
        <v>12079372.255744999</v>
      </c>
      <c r="T194" s="5">
        <v>5063379.1443288997</v>
      </c>
      <c r="U194" s="5">
        <v>4945431.11876971</v>
      </c>
      <c r="V194" s="5">
        <v>4878771.3079374796</v>
      </c>
      <c r="W194" s="5">
        <v>50493.896064292501</v>
      </c>
      <c r="X194" s="5">
        <v>1990786.0198349</v>
      </c>
      <c r="Y194" s="5">
        <v>5758441.8016017498</v>
      </c>
      <c r="Z194" s="5">
        <v>2385887.3426900501</v>
      </c>
      <c r="AA194" s="5">
        <v>2487128.67529862</v>
      </c>
      <c r="AB194" s="5">
        <v>2619894.60415253</v>
      </c>
      <c r="AC194" s="5">
        <v>2980282.6209441298</v>
      </c>
      <c r="AD194">
        <f t="shared" ref="AD194:AD213" si="13">AVERAGE(Z194:AC194)</f>
        <v>2618298.3107713326</v>
      </c>
      <c r="AE194">
        <f t="shared" ref="AE194:AE213" si="14">STDEV(Z194:AC194)</f>
        <v>259650.73998120235</v>
      </c>
      <c r="AF194">
        <f t="shared" ref="AF194:AF213" si="15">AE194/AD194</f>
        <v>9.9167745292059961E-2</v>
      </c>
    </row>
    <row r="195" spans="1:32" x14ac:dyDescent="0.45">
      <c r="A195" s="5" t="s">
        <v>153</v>
      </c>
      <c r="B195" s="2">
        <f t="shared" si="12"/>
        <v>91204608.180564284</v>
      </c>
      <c r="C195" s="7">
        <v>74990333.154519573</v>
      </c>
      <c r="D195" s="8">
        <v>4.3823231133708243E-2</v>
      </c>
      <c r="E195" s="5">
        <v>120157576.744047</v>
      </c>
      <c r="F195" s="5">
        <v>52733644.898921803</v>
      </c>
      <c r="G195" s="5">
        <v>100528946.722206</v>
      </c>
      <c r="H195" s="5">
        <v>121167001.577638</v>
      </c>
      <c r="I195" s="5">
        <v>92039002.521173403</v>
      </c>
      <c r="J195" s="5">
        <v>40020028.877116099</v>
      </c>
      <c r="K195" s="5">
        <v>42321916.199452199</v>
      </c>
      <c r="L195" s="5">
        <v>119263116.295158</v>
      </c>
      <c r="M195" s="5">
        <v>115502659.80570599</v>
      </c>
      <c r="N195" s="5">
        <v>55359020.333698802</v>
      </c>
      <c r="O195" s="5">
        <v>106207565.47249</v>
      </c>
      <c r="P195" s="5">
        <v>56006602.938992701</v>
      </c>
      <c r="Q195" s="5">
        <v>114385107.07939699</v>
      </c>
      <c r="R195" s="5">
        <v>75769819.063060895</v>
      </c>
      <c r="S195" s="5">
        <v>109021978.672571</v>
      </c>
      <c r="T195" s="5">
        <v>137885213.52073699</v>
      </c>
      <c r="U195" s="5">
        <v>121509985.712084</v>
      </c>
      <c r="V195" s="5">
        <v>92597139.114111498</v>
      </c>
      <c r="W195" s="5">
        <v>58408691.051850401</v>
      </c>
      <c r="X195" s="5">
        <v>65077747.447695598</v>
      </c>
      <c r="Y195" s="5">
        <v>119334007.743743</v>
      </c>
      <c r="Z195" s="5">
        <v>78588019.425695404</v>
      </c>
      <c r="AA195" s="5">
        <v>75885057.717035994</v>
      </c>
      <c r="AB195" s="5">
        <v>74813537.768061295</v>
      </c>
      <c r="AC195" s="5">
        <v>70674717.707285598</v>
      </c>
      <c r="AD195">
        <f t="shared" si="13"/>
        <v>74990333.154519573</v>
      </c>
      <c r="AE195">
        <f t="shared" si="14"/>
        <v>3286318.7026242954</v>
      </c>
      <c r="AF195">
        <f t="shared" si="15"/>
        <v>4.3823231133708243E-2</v>
      </c>
    </row>
    <row r="196" spans="1:32" x14ac:dyDescent="0.45">
      <c r="A196" s="5" t="s">
        <v>113</v>
      </c>
      <c r="B196" s="2">
        <f t="shared" si="12"/>
        <v>3231037.9320736038</v>
      </c>
      <c r="C196" s="7">
        <v>3532486.4839443853</v>
      </c>
      <c r="D196" s="8">
        <v>3.9604703630709927E-2</v>
      </c>
      <c r="E196" s="5">
        <v>6426089.4949807199</v>
      </c>
      <c r="F196" s="5">
        <v>2575856.1848696098</v>
      </c>
      <c r="G196" s="5">
        <v>3959578.5184557</v>
      </c>
      <c r="H196" s="5">
        <v>2897699.3437957899</v>
      </c>
      <c r="I196" s="5">
        <v>2861668.6811425802</v>
      </c>
      <c r="J196" s="5">
        <v>2378034.5848999401</v>
      </c>
      <c r="K196" s="5">
        <v>2656687.1143638999</v>
      </c>
      <c r="L196" s="5">
        <v>3013772.0675570299</v>
      </c>
      <c r="M196" s="5">
        <v>3055628.4742707498</v>
      </c>
      <c r="N196" s="5">
        <v>2365957.89685742</v>
      </c>
      <c r="O196" s="5">
        <v>3079763.7214808501</v>
      </c>
      <c r="P196" s="5">
        <v>2509706.5050692698</v>
      </c>
      <c r="Q196" s="5">
        <v>3477756.47685462</v>
      </c>
      <c r="R196" s="5">
        <v>6077716.5737934196</v>
      </c>
      <c r="S196" s="5">
        <v>2659449.3204010301</v>
      </c>
      <c r="T196" s="5">
        <v>3095166.0854028999</v>
      </c>
      <c r="U196" s="5">
        <v>3386531.3087285501</v>
      </c>
      <c r="V196" s="5">
        <v>2097590.1321599302</v>
      </c>
      <c r="W196" s="5">
        <v>2510525.8512089602</v>
      </c>
      <c r="X196" s="5">
        <v>2452608.8332174099</v>
      </c>
      <c r="Y196" s="5">
        <v>4314009.4040352898</v>
      </c>
      <c r="Z196" s="5">
        <v>3336848.9450823702</v>
      </c>
      <c r="AA196" s="5">
        <v>3590689.8462067</v>
      </c>
      <c r="AB196" s="5">
        <v>3662899.8491691202</v>
      </c>
      <c r="AC196" s="5">
        <v>3539507.29531935</v>
      </c>
      <c r="AD196">
        <f t="shared" si="13"/>
        <v>3532486.4839443853</v>
      </c>
      <c r="AE196">
        <f t="shared" si="14"/>
        <v>139903.08027610593</v>
      </c>
      <c r="AF196">
        <f t="shared" si="15"/>
        <v>3.9604703630709927E-2</v>
      </c>
    </row>
    <row r="197" spans="1:32" x14ac:dyDescent="0.45">
      <c r="A197" s="5" t="s">
        <v>164</v>
      </c>
      <c r="B197" s="2">
        <f t="shared" si="12"/>
        <v>65317070.210664406</v>
      </c>
      <c r="C197" s="8">
        <v>53933669.989305474</v>
      </c>
      <c r="D197" s="8">
        <v>5.3499915600336664E-2</v>
      </c>
      <c r="E197" s="5">
        <v>78993673.095376506</v>
      </c>
      <c r="F197" s="5">
        <v>40828645.688396603</v>
      </c>
      <c r="G197" s="5">
        <v>59596454.188245103</v>
      </c>
      <c r="H197" s="5">
        <v>82421494.582187697</v>
      </c>
      <c r="I197" s="5">
        <v>47109940.799685501</v>
      </c>
      <c r="J197" s="5">
        <v>39539898.135522</v>
      </c>
      <c r="K197" s="5">
        <v>45367849.713527702</v>
      </c>
      <c r="L197" s="5">
        <v>76677230.301937893</v>
      </c>
      <c r="M197" s="5">
        <v>83527527.927723601</v>
      </c>
      <c r="N197" s="5">
        <v>50896217.2158866</v>
      </c>
      <c r="O197" s="5">
        <v>58711088.764398798</v>
      </c>
      <c r="P197" s="5">
        <v>48769797.107697897</v>
      </c>
      <c r="Q197" s="5">
        <v>92958778.176270097</v>
      </c>
      <c r="R197" s="5">
        <v>74296463.979290307</v>
      </c>
      <c r="S197" s="5">
        <v>79279954.962174505</v>
      </c>
      <c r="T197" s="5">
        <v>88936353.063397303</v>
      </c>
      <c r="U197" s="5">
        <v>78316408.853836</v>
      </c>
      <c r="V197" s="5">
        <v>65467664.070359901</v>
      </c>
      <c r="W197" s="5">
        <v>36201489.4282673</v>
      </c>
      <c r="X197" s="5">
        <v>53403345.164208703</v>
      </c>
      <c r="Y197" s="5">
        <v>90358199.205562606</v>
      </c>
      <c r="Z197" s="5">
        <v>57071070.954415202</v>
      </c>
      <c r="AA197" s="5">
        <v>54309926.801498301</v>
      </c>
      <c r="AB197" s="5">
        <v>54276800.6340129</v>
      </c>
      <c r="AC197" s="5">
        <v>50076881.567295499</v>
      </c>
      <c r="AD197">
        <f t="shared" si="13"/>
        <v>53933669.989305474</v>
      </c>
      <c r="AE197">
        <f t="shared" si="14"/>
        <v>2885446.7924442533</v>
      </c>
      <c r="AF197">
        <f t="shared" si="15"/>
        <v>5.3499915600336664E-2</v>
      </c>
    </row>
    <row r="198" spans="1:32" x14ac:dyDescent="0.45">
      <c r="A198" s="5" t="s">
        <v>266</v>
      </c>
      <c r="B198" s="2">
        <f t="shared" si="12"/>
        <v>378972.25170041248</v>
      </c>
      <c r="C198" s="2">
        <v>338683.74831944448</v>
      </c>
      <c r="D198" s="2">
        <v>6.4235994324522427E-2</v>
      </c>
      <c r="E198" s="5">
        <v>27786.276273020001</v>
      </c>
      <c r="F198" s="5">
        <v>746039.91511882795</v>
      </c>
      <c r="G198" s="5">
        <v>110657.411510291</v>
      </c>
      <c r="H198" s="5">
        <v>12151.780219308201</v>
      </c>
      <c r="I198" s="5">
        <v>135788.81462759501</v>
      </c>
      <c r="J198" s="5">
        <v>1199105.44951525</v>
      </c>
      <c r="K198" s="5">
        <v>1271236.59948473</v>
      </c>
      <c r="L198" s="5">
        <v>35098.758417413097</v>
      </c>
      <c r="M198" s="5">
        <v>32241.0776238572</v>
      </c>
      <c r="N198" s="5">
        <v>1083990.8598674899</v>
      </c>
      <c r="O198" s="5">
        <v>11538.359676191199</v>
      </c>
      <c r="P198" s="5">
        <v>986170.14557643002</v>
      </c>
      <c r="Q198" s="5">
        <v>50723.233673258597</v>
      </c>
      <c r="R198" s="5">
        <v>37843.583518828404</v>
      </c>
      <c r="S198" s="5">
        <v>10653.9201917754</v>
      </c>
      <c r="T198" s="5">
        <v>11530.373119032</v>
      </c>
      <c r="U198" s="5">
        <v>37267.308117441797</v>
      </c>
      <c r="V198" s="5">
        <v>12154.4930553537</v>
      </c>
      <c r="W198" s="5">
        <v>1276392.31758671</v>
      </c>
      <c r="X198" s="5">
        <v>847012.24457230896</v>
      </c>
      <c r="Y198" s="5">
        <v>23034.363963549698</v>
      </c>
      <c r="Z198" s="5">
        <v>307207.32865821401</v>
      </c>
      <c r="AA198" s="5">
        <v>347547.50504558202</v>
      </c>
      <c r="AB198" s="5">
        <v>356879.64993823803</v>
      </c>
      <c r="AC198" s="5">
        <v>343100.50963574398</v>
      </c>
      <c r="AD198">
        <f t="shared" si="13"/>
        <v>338683.74831944448</v>
      </c>
      <c r="AE198">
        <f t="shared" si="14"/>
        <v>21755.687334855818</v>
      </c>
      <c r="AF198">
        <f t="shared" si="15"/>
        <v>6.4235994324522427E-2</v>
      </c>
    </row>
    <row r="199" spans="1:32" x14ac:dyDescent="0.45">
      <c r="A199" s="5" t="s">
        <v>267</v>
      </c>
      <c r="B199" s="2">
        <f t="shared" si="12"/>
        <v>565052.62471898831</v>
      </c>
      <c r="C199" s="2">
        <v>573953.0592869008</v>
      </c>
      <c r="D199" s="2">
        <v>6.3392549508978199E-2</v>
      </c>
      <c r="E199" s="5">
        <v>176190.30451172299</v>
      </c>
      <c r="F199" s="5">
        <v>940131.68523500103</v>
      </c>
      <c r="G199" s="5">
        <v>250068.94315724101</v>
      </c>
      <c r="H199" s="5">
        <v>112413.626204164</v>
      </c>
      <c r="I199" s="5">
        <v>360939.79829293001</v>
      </c>
      <c r="J199" s="5">
        <v>1588938.50901521</v>
      </c>
      <c r="K199" s="5">
        <v>2260691.99247916</v>
      </c>
      <c r="L199" s="5">
        <v>101311.20630356199</v>
      </c>
      <c r="M199" s="5">
        <v>141920.620406203</v>
      </c>
      <c r="N199" s="5">
        <v>1546695.7965595101</v>
      </c>
      <c r="O199" s="5">
        <v>114833.344349169</v>
      </c>
      <c r="P199" s="5">
        <v>1505188.2918692401</v>
      </c>
      <c r="Q199" s="5">
        <v>191740.02135093999</v>
      </c>
      <c r="R199" s="5">
        <v>116877.067223808</v>
      </c>
      <c r="S199" s="5">
        <v>93847.919628276301</v>
      </c>
      <c r="T199" s="5">
        <v>91567.472502856996</v>
      </c>
      <c r="U199" s="5">
        <v>132583.719787145</v>
      </c>
      <c r="V199" s="5">
        <v>150920.72321933199</v>
      </c>
      <c r="W199" s="5">
        <v>1043708.14471914</v>
      </c>
      <c r="X199" s="5">
        <v>853591.86571413698</v>
      </c>
      <c r="Y199" s="5">
        <v>91944.066570005394</v>
      </c>
      <c r="Z199" s="5">
        <v>587252.48496635701</v>
      </c>
      <c r="AA199" s="5">
        <v>521396.13848540199</v>
      </c>
      <c r="AB199" s="5">
        <v>582141.04268376599</v>
      </c>
      <c r="AC199" s="5">
        <v>605022.57101207797</v>
      </c>
      <c r="AD199">
        <f t="shared" si="13"/>
        <v>573953.0592869008</v>
      </c>
      <c r="AE199">
        <f t="shared" si="14"/>
        <v>36384.347726674358</v>
      </c>
      <c r="AF199">
        <f t="shared" si="15"/>
        <v>6.3392549508978199E-2</v>
      </c>
    </row>
    <row r="200" spans="1:32" x14ac:dyDescent="0.45">
      <c r="A200" s="5" t="s">
        <v>114</v>
      </c>
      <c r="B200" s="2">
        <f t="shared" si="12"/>
        <v>40091348.215166271</v>
      </c>
      <c r="C200" s="7">
        <v>31903670.548619773</v>
      </c>
      <c r="D200" s="8">
        <v>9.0241694587236007E-2</v>
      </c>
      <c r="E200" s="5">
        <v>33886808.874857903</v>
      </c>
      <c r="F200" s="5">
        <v>28871199.533607099</v>
      </c>
      <c r="G200" s="5">
        <v>48130775.946182601</v>
      </c>
      <c r="H200" s="5">
        <v>44183409.7909723</v>
      </c>
      <c r="I200" s="5">
        <v>40964705.646025799</v>
      </c>
      <c r="J200" s="5">
        <v>21055619.8750281</v>
      </c>
      <c r="K200" s="5">
        <v>28770274.814324901</v>
      </c>
      <c r="L200" s="5">
        <v>54900386.043422699</v>
      </c>
      <c r="M200" s="5">
        <v>55194880.638124198</v>
      </c>
      <c r="N200" s="5">
        <v>24889459.5040082</v>
      </c>
      <c r="O200" s="5">
        <v>41188677.426991098</v>
      </c>
      <c r="P200" s="5">
        <v>23277370.184808802</v>
      </c>
      <c r="Q200" s="5">
        <v>36698654.714452498</v>
      </c>
      <c r="R200" s="5">
        <v>56225588.171006702</v>
      </c>
      <c r="S200" s="5">
        <v>78749937.619570807</v>
      </c>
      <c r="T200" s="5">
        <v>41758128.429467</v>
      </c>
      <c r="U200" s="5">
        <v>41754355.7116661</v>
      </c>
      <c r="V200" s="5">
        <v>26999881.189797699</v>
      </c>
      <c r="W200" s="5">
        <v>28190487.023901999</v>
      </c>
      <c r="X200" s="5">
        <v>19632455.8116979</v>
      </c>
      <c r="Y200" s="5">
        <v>66595255.568577297</v>
      </c>
      <c r="Z200" s="5">
        <v>27861761.282002799</v>
      </c>
      <c r="AA200" s="5">
        <v>33114499.4169783</v>
      </c>
      <c r="AB200" s="5">
        <v>32083089.5691134</v>
      </c>
      <c r="AC200" s="5">
        <v>34555331.926384598</v>
      </c>
      <c r="AD200">
        <f t="shared" si="13"/>
        <v>31903670.548619773</v>
      </c>
      <c r="AE200">
        <f t="shared" si="14"/>
        <v>2879041.2938603419</v>
      </c>
      <c r="AF200">
        <f t="shared" si="15"/>
        <v>9.0241694587236007E-2</v>
      </c>
    </row>
    <row r="201" spans="1:32" x14ac:dyDescent="0.45">
      <c r="A201" s="5" t="s">
        <v>115</v>
      </c>
      <c r="B201" s="2">
        <f t="shared" si="12"/>
        <v>72808476.369253471</v>
      </c>
      <c r="C201" s="7">
        <v>62318287.466522053</v>
      </c>
      <c r="D201" s="7">
        <v>4.5543351004986236E-2</v>
      </c>
      <c r="E201" s="5">
        <v>100450900.62871499</v>
      </c>
      <c r="F201" s="5">
        <v>56519043.239446402</v>
      </c>
      <c r="G201" s="5">
        <v>76047435.598638907</v>
      </c>
      <c r="H201" s="5">
        <v>88900583.202732205</v>
      </c>
      <c r="I201" s="5">
        <v>75611113.683093697</v>
      </c>
      <c r="J201" s="5">
        <v>59232967.876925699</v>
      </c>
      <c r="K201" s="5">
        <v>51415707.129733197</v>
      </c>
      <c r="L201" s="5">
        <v>81869047.367983505</v>
      </c>
      <c r="M201" s="5">
        <v>70164715.221581504</v>
      </c>
      <c r="N201" s="5">
        <v>54215815.429069601</v>
      </c>
      <c r="O201" s="5">
        <v>75320677.001951799</v>
      </c>
      <c r="P201" s="5">
        <v>63178972.660254598</v>
      </c>
      <c r="Q201" s="5">
        <v>92538065.362923801</v>
      </c>
      <c r="R201" s="5">
        <v>68433715.713200897</v>
      </c>
      <c r="S201" s="5">
        <v>82339235.721801698</v>
      </c>
      <c r="T201" s="5">
        <v>79248667.050880596</v>
      </c>
      <c r="U201" s="5">
        <v>84175942.552458003</v>
      </c>
      <c r="V201" s="5">
        <v>83851936.859017596</v>
      </c>
      <c r="W201" s="5">
        <v>54956907.090848297</v>
      </c>
      <c r="X201" s="5">
        <v>43227783.110673703</v>
      </c>
      <c r="Y201" s="5">
        <v>87278771.252392396</v>
      </c>
      <c r="Z201" s="5">
        <v>58970385.155775003</v>
      </c>
      <c r="AA201" s="5">
        <v>61199419.088410802</v>
      </c>
      <c r="AB201" s="5">
        <v>65481598.238559902</v>
      </c>
      <c r="AC201" s="5">
        <v>63621747.383342497</v>
      </c>
      <c r="AD201">
        <f t="shared" si="13"/>
        <v>62318287.466522053</v>
      </c>
      <c r="AE201">
        <f t="shared" si="14"/>
        <v>2838183.6401174483</v>
      </c>
      <c r="AF201">
        <f t="shared" si="15"/>
        <v>4.5543351004986236E-2</v>
      </c>
    </row>
    <row r="202" spans="1:32" x14ac:dyDescent="0.45">
      <c r="A202" s="5" t="s">
        <v>268</v>
      </c>
      <c r="B202" s="2">
        <f t="shared" si="12"/>
        <v>216114322.56094778</v>
      </c>
      <c r="C202" s="2">
        <v>189177640.10286176</v>
      </c>
      <c r="D202" s="2">
        <v>3.3855655376959573E-2</v>
      </c>
      <c r="E202" s="5">
        <v>277014053.48723</v>
      </c>
      <c r="F202" s="5">
        <v>138152560.96169999</v>
      </c>
      <c r="G202" s="5">
        <v>316875680.171166</v>
      </c>
      <c r="H202" s="5">
        <v>282549498.23330599</v>
      </c>
      <c r="I202" s="5">
        <v>246696816.171682</v>
      </c>
      <c r="J202" s="5">
        <v>137431034.27394599</v>
      </c>
      <c r="K202" s="5">
        <v>121687714.59779701</v>
      </c>
      <c r="L202" s="5">
        <v>324889117.158795</v>
      </c>
      <c r="M202" s="5">
        <v>231119148.183934</v>
      </c>
      <c r="N202" s="5">
        <v>79266247.940013006</v>
      </c>
      <c r="O202" s="5">
        <v>311319391.261531</v>
      </c>
      <c r="P202" s="5">
        <v>142449357.14805499</v>
      </c>
      <c r="Q202" s="5">
        <v>161744945.35832301</v>
      </c>
      <c r="R202" s="5">
        <v>269634414.26409</v>
      </c>
      <c r="S202" s="5">
        <v>296471998.840626</v>
      </c>
      <c r="T202" s="5">
        <v>225645455.22149101</v>
      </c>
      <c r="U202" s="5">
        <v>207926829.01784599</v>
      </c>
      <c r="V202" s="5">
        <v>242925294.509556</v>
      </c>
      <c r="W202" s="5">
        <v>169053978.83387399</v>
      </c>
      <c r="X202" s="5">
        <v>129398363.22808801</v>
      </c>
      <c r="Y202" s="5">
        <v>226148874.91685399</v>
      </c>
      <c r="Z202" s="5">
        <v>185475859.792207</v>
      </c>
      <c r="AA202" s="5">
        <v>183421927.49255699</v>
      </c>
      <c r="AB202" s="5">
        <v>197875537.77363601</v>
      </c>
      <c r="AC202" s="5">
        <v>189937235.35304701</v>
      </c>
      <c r="AD202">
        <f t="shared" si="13"/>
        <v>189177640.10286176</v>
      </c>
      <c r="AE202">
        <f t="shared" si="14"/>
        <v>6404732.9883489748</v>
      </c>
      <c r="AF202">
        <f t="shared" si="15"/>
        <v>3.3855655376959573E-2</v>
      </c>
    </row>
    <row r="203" spans="1:32" x14ac:dyDescent="0.45">
      <c r="A203" s="5" t="s">
        <v>142</v>
      </c>
      <c r="B203" s="2">
        <f t="shared" si="12"/>
        <v>23938337.457743794</v>
      </c>
      <c r="C203" s="2">
        <v>21803227.730979025</v>
      </c>
      <c r="D203" s="2">
        <v>6.9981199953905102E-2</v>
      </c>
      <c r="E203" s="5">
        <v>24301051.703805599</v>
      </c>
      <c r="F203" s="5">
        <v>22347781.349414401</v>
      </c>
      <c r="G203" s="5">
        <v>24384862.732374899</v>
      </c>
      <c r="H203" s="5">
        <v>21485695.028956398</v>
      </c>
      <c r="I203" s="5">
        <v>19953239.409718499</v>
      </c>
      <c r="J203" s="5">
        <v>16161639.140568599</v>
      </c>
      <c r="K203" s="5">
        <v>25302240.458469901</v>
      </c>
      <c r="L203" s="5">
        <v>42857035.637347899</v>
      </c>
      <c r="M203" s="5">
        <v>31165082.226466399</v>
      </c>
      <c r="N203" s="5">
        <v>17154900.283467699</v>
      </c>
      <c r="O203" s="5">
        <v>20690409.8156542</v>
      </c>
      <c r="P203" s="5">
        <v>17371995.5258375</v>
      </c>
      <c r="Q203" s="5">
        <v>14235014.4667932</v>
      </c>
      <c r="R203" s="5">
        <v>28036983.802674901</v>
      </c>
      <c r="S203" s="5">
        <v>42580213.887617998</v>
      </c>
      <c r="T203" s="5">
        <v>27656917.923570901</v>
      </c>
      <c r="U203" s="5">
        <v>24680632.414361801</v>
      </c>
      <c r="V203" s="5">
        <v>14570950.473137001</v>
      </c>
      <c r="W203" s="5">
        <v>24201599.943581302</v>
      </c>
      <c r="X203" s="5">
        <v>18880094.0634549</v>
      </c>
      <c r="Y203" s="5">
        <v>24686746.325345699</v>
      </c>
      <c r="Z203" s="5">
        <v>21437974.418489799</v>
      </c>
      <c r="AA203" s="5">
        <v>20949954.752669901</v>
      </c>
      <c r="AB203" s="5">
        <v>24052682.304313201</v>
      </c>
      <c r="AC203" s="5">
        <v>20772299.4484432</v>
      </c>
      <c r="AD203">
        <f t="shared" si="13"/>
        <v>21803227.730979025</v>
      </c>
      <c r="AE203">
        <f t="shared" si="14"/>
        <v>1525816.0394821719</v>
      </c>
      <c r="AF203">
        <f t="shared" si="15"/>
        <v>6.9981199953905102E-2</v>
      </c>
    </row>
    <row r="204" spans="1:32" x14ac:dyDescent="0.45">
      <c r="A204" s="5" t="s">
        <v>222</v>
      </c>
      <c r="B204" s="2">
        <f t="shared" si="12"/>
        <v>270055.63302492799</v>
      </c>
      <c r="C204" s="7">
        <v>222844.20335536872</v>
      </c>
      <c r="D204" s="8">
        <v>0.20452366194398541</v>
      </c>
      <c r="E204" s="5">
        <v>29987.771703972499</v>
      </c>
      <c r="F204" s="5">
        <v>360213.15292836103</v>
      </c>
      <c r="G204" s="5">
        <v>506655.98228181602</v>
      </c>
      <c r="H204" s="5">
        <v>60094.296520572701</v>
      </c>
      <c r="I204" s="5">
        <v>404655.25149165001</v>
      </c>
      <c r="J204" s="5">
        <v>453486.02006920398</v>
      </c>
      <c r="K204" s="5">
        <v>159370.89561213399</v>
      </c>
      <c r="L204" s="5">
        <v>194500.18467935501</v>
      </c>
      <c r="M204" s="5">
        <v>420131.49443616503</v>
      </c>
      <c r="N204" s="5">
        <v>539040.16026545805</v>
      </c>
      <c r="O204" s="5">
        <v>21238.790413652099</v>
      </c>
      <c r="P204" s="5">
        <v>346012.78674358601</v>
      </c>
      <c r="Q204" s="5">
        <v>118361.926285115</v>
      </c>
      <c r="R204" s="5">
        <v>92079.753657474794</v>
      </c>
      <c r="S204" s="5">
        <v>302582.73802991601</v>
      </c>
      <c r="T204" s="5">
        <v>13650.2436152879</v>
      </c>
      <c r="U204" s="5">
        <v>394069.53927099501</v>
      </c>
      <c r="V204" s="5">
        <v>354326.48446161603</v>
      </c>
      <c r="W204" s="5">
        <v>347695.74744122202</v>
      </c>
      <c r="X204" s="5">
        <v>324964.68711065402</v>
      </c>
      <c r="Y204" s="5">
        <v>228050.38650528199</v>
      </c>
      <c r="Z204" s="5">
        <v>198572.94843717199</v>
      </c>
      <c r="AA204" s="5">
        <v>170931.93012102999</v>
      </c>
      <c r="AB204" s="5">
        <v>256149.42618711299</v>
      </c>
      <c r="AC204" s="5">
        <v>265722.50867616001</v>
      </c>
      <c r="AD204">
        <f t="shared" si="13"/>
        <v>222844.20335536872</v>
      </c>
      <c r="AE204">
        <f t="shared" si="14"/>
        <v>45576.912513230171</v>
      </c>
      <c r="AF204">
        <f t="shared" si="15"/>
        <v>0.20452366194398541</v>
      </c>
    </row>
    <row r="205" spans="1:32" x14ac:dyDescent="0.45">
      <c r="A205" s="5" t="s">
        <v>269</v>
      </c>
      <c r="B205" s="2">
        <f t="shared" si="12"/>
        <v>2708221.262363025</v>
      </c>
      <c r="C205" s="2">
        <v>2539892.2312476048</v>
      </c>
      <c r="D205" s="2">
        <v>5.4892289777817259E-2</v>
      </c>
      <c r="E205" s="5">
        <v>370261.72286328702</v>
      </c>
      <c r="F205" s="5">
        <v>4623645.4295757497</v>
      </c>
      <c r="G205" s="5">
        <v>688504.05316236895</v>
      </c>
      <c r="H205" s="5">
        <v>269158.49449520197</v>
      </c>
      <c r="I205" s="5">
        <v>630545.383811826</v>
      </c>
      <c r="J205" s="5">
        <v>7407006.3486313</v>
      </c>
      <c r="K205" s="5">
        <v>11498220.624861799</v>
      </c>
      <c r="L205" s="5">
        <v>297195.79616821499</v>
      </c>
      <c r="M205" s="5">
        <v>401813.49671886099</v>
      </c>
      <c r="N205" s="5">
        <v>8136592.8158801999</v>
      </c>
      <c r="O205" s="5">
        <v>485374.87254670402</v>
      </c>
      <c r="P205" s="5">
        <v>8018671.6064043399</v>
      </c>
      <c r="Q205" s="5">
        <v>275175.51901249302</v>
      </c>
      <c r="R205" s="5">
        <v>510541.35474939301</v>
      </c>
      <c r="S205" s="5">
        <v>401457.74577582598</v>
      </c>
      <c r="T205" s="5">
        <v>495025.64983915602</v>
      </c>
      <c r="U205" s="5">
        <v>379959.14467995998</v>
      </c>
      <c r="V205" s="5">
        <v>437797.280269838</v>
      </c>
      <c r="W205" s="5">
        <v>4830178.70123115</v>
      </c>
      <c r="X205" s="5">
        <v>6316053.3361952901</v>
      </c>
      <c r="Y205" s="5">
        <v>399467.13275054598</v>
      </c>
      <c r="Z205" s="5">
        <v>2395827.2099556802</v>
      </c>
      <c r="AA205" s="5">
        <v>2448729.9243282401</v>
      </c>
      <c r="AB205" s="5">
        <v>2629372.4345617299</v>
      </c>
      <c r="AC205" s="5">
        <v>2685639.35614477</v>
      </c>
      <c r="AD205">
        <f t="shared" si="13"/>
        <v>2539892.2312476048</v>
      </c>
      <c r="AE205">
        <f t="shared" si="14"/>
        <v>139420.50036207036</v>
      </c>
      <c r="AF205">
        <f t="shared" si="15"/>
        <v>5.4892289777817259E-2</v>
      </c>
    </row>
    <row r="206" spans="1:32" x14ac:dyDescent="0.45">
      <c r="A206" s="5" t="s">
        <v>223</v>
      </c>
      <c r="B206" s="2">
        <f t="shared" si="12"/>
        <v>223487624.99255517</v>
      </c>
      <c r="C206" s="7">
        <v>112011374.994901</v>
      </c>
      <c r="D206" s="7">
        <v>5.9352034322415384E-2</v>
      </c>
      <c r="E206" s="5">
        <v>140693412.906582</v>
      </c>
      <c r="F206" s="5">
        <v>329678939.959701</v>
      </c>
      <c r="G206" s="5">
        <v>496847288.62042803</v>
      </c>
      <c r="H206" s="5">
        <v>167195986.38227701</v>
      </c>
      <c r="I206" s="5">
        <v>174613322.231895</v>
      </c>
      <c r="J206" s="5">
        <v>237225287.124401</v>
      </c>
      <c r="K206" s="5">
        <v>238398015.899046</v>
      </c>
      <c r="L206" s="5">
        <v>130841086.483859</v>
      </c>
      <c r="M206" s="5">
        <v>149733183.49138701</v>
      </c>
      <c r="N206" s="5">
        <v>327123833.36113</v>
      </c>
      <c r="O206" s="5">
        <v>201399802.256522</v>
      </c>
      <c r="P206" s="5">
        <v>229801261.31079501</v>
      </c>
      <c r="Q206" s="5">
        <v>177637687.02316099</v>
      </c>
      <c r="R206" s="5">
        <v>418053256.13014501</v>
      </c>
      <c r="S206" s="5">
        <v>177083246.261305</v>
      </c>
      <c r="T206" s="5">
        <v>184838301.96583799</v>
      </c>
      <c r="U206" s="5">
        <v>170391659.01890501</v>
      </c>
      <c r="V206" s="5">
        <v>162674838.45105001</v>
      </c>
      <c r="W206" s="5">
        <v>181940197.49959099</v>
      </c>
      <c r="X206" s="5">
        <v>214646624.196062</v>
      </c>
      <c r="Y206" s="5">
        <v>182422894.26957899</v>
      </c>
      <c r="Z206" s="5">
        <v>102473990.9905</v>
      </c>
      <c r="AA206" s="5">
        <v>115197852.192371</v>
      </c>
      <c r="AB206" s="5">
        <v>117564798.14314701</v>
      </c>
      <c r="AC206" s="5">
        <v>112808858.653586</v>
      </c>
      <c r="AD206">
        <f t="shared" si="13"/>
        <v>112011374.994901</v>
      </c>
      <c r="AE206">
        <f t="shared" si="14"/>
        <v>6648102.9731983049</v>
      </c>
      <c r="AF206">
        <f t="shared" si="15"/>
        <v>5.9352034322415384E-2</v>
      </c>
    </row>
    <row r="207" spans="1:32" x14ac:dyDescent="0.45">
      <c r="A207" s="5" t="s">
        <v>165</v>
      </c>
      <c r="B207" s="2">
        <f t="shared" si="12"/>
        <v>2717702.9853302054</v>
      </c>
      <c r="C207" s="7">
        <v>2006143.8475993928</v>
      </c>
      <c r="D207" s="8">
        <v>6.2371703223473143E-2</v>
      </c>
      <c r="E207" s="5">
        <v>2813988.2573324302</v>
      </c>
      <c r="F207" s="5">
        <v>1441701.8818021601</v>
      </c>
      <c r="G207" s="5">
        <v>2495189.71042204</v>
      </c>
      <c r="H207" s="5">
        <v>4988652.4294498097</v>
      </c>
      <c r="I207" s="5">
        <v>2761620.3254197598</v>
      </c>
      <c r="J207" s="5">
        <v>1390437.6918792699</v>
      </c>
      <c r="K207" s="5">
        <v>2261640.5716565801</v>
      </c>
      <c r="L207" s="5">
        <v>3783960.7146830098</v>
      </c>
      <c r="M207" s="5">
        <v>2596195.1577202701</v>
      </c>
      <c r="N207" s="5">
        <v>1791397.3752991101</v>
      </c>
      <c r="O207" s="5">
        <v>4515765.90521596</v>
      </c>
      <c r="P207" s="5">
        <v>1798962.1199087501</v>
      </c>
      <c r="Q207" s="5">
        <v>4411673.62617689</v>
      </c>
      <c r="R207" s="5">
        <v>1948314.82223813</v>
      </c>
      <c r="S207" s="5">
        <v>3168004.6721604201</v>
      </c>
      <c r="T207" s="5">
        <v>2214454.8926840802</v>
      </c>
      <c r="U207" s="5">
        <v>3252971.6912532002</v>
      </c>
      <c r="V207" s="5">
        <v>2439792.61736855</v>
      </c>
      <c r="W207" s="5">
        <v>2086345.45160649</v>
      </c>
      <c r="X207" s="5">
        <v>1744287.41278265</v>
      </c>
      <c r="Y207" s="5">
        <v>3166405.3648747602</v>
      </c>
      <c r="Z207" s="5">
        <v>1957517.6394286801</v>
      </c>
      <c r="AA207" s="5">
        <v>2042146.0812667101</v>
      </c>
      <c r="AB207" s="5">
        <v>1865436.0176705499</v>
      </c>
      <c r="AC207" s="5">
        <v>2159475.6520316298</v>
      </c>
      <c r="AD207">
        <f t="shared" si="13"/>
        <v>2006143.8475993928</v>
      </c>
      <c r="AE207">
        <f t="shared" si="14"/>
        <v>125126.60868606585</v>
      </c>
      <c r="AF207">
        <f t="shared" si="15"/>
        <v>6.2371703223473143E-2</v>
      </c>
    </row>
    <row r="208" spans="1:32" x14ac:dyDescent="0.45">
      <c r="A208" s="5" t="s">
        <v>224</v>
      </c>
      <c r="B208" s="2">
        <f t="shared" si="12"/>
        <v>12554379.735854659</v>
      </c>
      <c r="C208" s="7">
        <v>13631232.001462424</v>
      </c>
      <c r="D208" s="7">
        <v>0.1636291954146589</v>
      </c>
      <c r="E208" s="5">
        <v>1099067.6339626601</v>
      </c>
      <c r="F208" s="5">
        <v>22101044.264469799</v>
      </c>
      <c r="G208" s="5">
        <v>2467428.6924187201</v>
      </c>
      <c r="H208" s="5">
        <v>1266206.02296575</v>
      </c>
      <c r="I208" s="5">
        <v>1199303.9033017899</v>
      </c>
      <c r="J208" s="5">
        <v>34400981.202955298</v>
      </c>
      <c r="K208" s="5">
        <v>65820270.115057498</v>
      </c>
      <c r="L208" s="5">
        <v>1126316.4779163101</v>
      </c>
      <c r="M208" s="5">
        <v>1780950.4844051001</v>
      </c>
      <c r="N208" s="5">
        <v>30786122.4764218</v>
      </c>
      <c r="O208" s="5">
        <v>976839.44056477002</v>
      </c>
      <c r="P208" s="5">
        <v>35287759.1525006</v>
      </c>
      <c r="Q208" s="5">
        <v>1676106.7662325499</v>
      </c>
      <c r="R208" s="5">
        <v>1020730.34142192</v>
      </c>
      <c r="S208" s="5">
        <v>1130697.5166424301</v>
      </c>
      <c r="T208" s="5">
        <v>851298.79497942596</v>
      </c>
      <c r="U208" s="5">
        <v>2056949.6893559501</v>
      </c>
      <c r="V208" s="5">
        <v>2173591.4448075402</v>
      </c>
      <c r="W208" s="5">
        <v>24817855.557541501</v>
      </c>
      <c r="X208" s="5">
        <v>30317151.2232472</v>
      </c>
      <c r="Y208" s="5">
        <v>1285303.2517792501</v>
      </c>
      <c r="Z208" s="5">
        <v>10564077.405977899</v>
      </c>
      <c r="AA208" s="5">
        <v>13436648.5987684</v>
      </c>
      <c r="AB208" s="5">
        <v>14979091.511801301</v>
      </c>
      <c r="AC208" s="5">
        <v>15545110.489302101</v>
      </c>
      <c r="AD208">
        <f t="shared" si="13"/>
        <v>13631232.001462424</v>
      </c>
      <c r="AE208">
        <f t="shared" si="14"/>
        <v>2230467.524909847</v>
      </c>
      <c r="AF208">
        <f t="shared" si="15"/>
        <v>0.1636291954146589</v>
      </c>
    </row>
    <row r="209" spans="1:32" x14ac:dyDescent="0.45">
      <c r="A209" s="5" t="s">
        <v>116</v>
      </c>
      <c r="B209" s="2">
        <f t="shared" si="12"/>
        <v>114172353.60613936</v>
      </c>
      <c r="C209" s="2">
        <v>103812369.41918935</v>
      </c>
      <c r="D209" s="2">
        <v>4.5190965235111874E-2</v>
      </c>
      <c r="E209" s="5">
        <v>64690810.9336721</v>
      </c>
      <c r="F209" s="5">
        <v>195789016.7579</v>
      </c>
      <c r="G209" s="5">
        <v>303791682.87692899</v>
      </c>
      <c r="H209" s="5">
        <v>1344483.84742751</v>
      </c>
      <c r="I209" s="5">
        <v>4266218.8276147498</v>
      </c>
      <c r="J209" s="5">
        <v>166352937.673868</v>
      </c>
      <c r="K209" s="5">
        <v>136352394.85571101</v>
      </c>
      <c r="L209" s="5">
        <v>132805063.07986701</v>
      </c>
      <c r="M209" s="5">
        <v>16094456.512448801</v>
      </c>
      <c r="N209" s="5">
        <v>67759735.678975895</v>
      </c>
      <c r="O209" s="5">
        <v>8375789.0245422199</v>
      </c>
      <c r="P209" s="5">
        <v>98571250.094884694</v>
      </c>
      <c r="Q209" s="5">
        <v>1261783.69532978</v>
      </c>
      <c r="R209" s="5">
        <v>258072865.24090499</v>
      </c>
      <c r="S209" s="5">
        <v>394163694.63128901</v>
      </c>
      <c r="T209" s="5">
        <v>555789.68749547598</v>
      </c>
      <c r="U209" s="5">
        <v>10683382.2901405</v>
      </c>
      <c r="V209" s="5">
        <v>1653778.977338</v>
      </c>
      <c r="W209" s="5">
        <v>166638805.91397801</v>
      </c>
      <c r="X209" s="5">
        <v>172415767.84891999</v>
      </c>
      <c r="Y209" s="5">
        <v>195979717.27969</v>
      </c>
      <c r="Z209" s="5">
        <v>98957776.490555406</v>
      </c>
      <c r="AA209" s="5">
        <v>100628602.474764</v>
      </c>
      <c r="AB209" s="5">
        <v>107921307.005383</v>
      </c>
      <c r="AC209" s="5">
        <v>107741791.706055</v>
      </c>
      <c r="AD209">
        <f t="shared" si="13"/>
        <v>103812369.41918935</v>
      </c>
      <c r="AE209">
        <f t="shared" si="14"/>
        <v>4691381.1773971766</v>
      </c>
      <c r="AF209">
        <f t="shared" si="15"/>
        <v>4.5190965235111874E-2</v>
      </c>
    </row>
    <row r="210" spans="1:32" x14ac:dyDescent="0.45">
      <c r="A210" s="5" t="s">
        <v>117</v>
      </c>
      <c r="B210" s="2">
        <f t="shared" si="12"/>
        <v>12235486.69897921</v>
      </c>
      <c r="C210" s="2">
        <v>11240496.598670874</v>
      </c>
      <c r="D210" s="2">
        <v>8.230924324394126E-2</v>
      </c>
      <c r="E210" s="5">
        <v>19081638.9011118</v>
      </c>
      <c r="F210" s="5">
        <v>8958351.5780726206</v>
      </c>
      <c r="G210" s="5">
        <v>30007463.231109701</v>
      </c>
      <c r="H210" s="5">
        <v>3893749.25238341</v>
      </c>
      <c r="I210" s="5">
        <v>9347626.0133483</v>
      </c>
      <c r="J210" s="5">
        <v>10110590.2608198</v>
      </c>
      <c r="K210" s="5">
        <v>4211048.0370124597</v>
      </c>
      <c r="L210" s="5">
        <v>27122039.910858199</v>
      </c>
      <c r="M210" s="5">
        <v>10213586.4671582</v>
      </c>
      <c r="N210" s="5">
        <v>4197641.7987542897</v>
      </c>
      <c r="O210" s="5">
        <v>13502022.8610311</v>
      </c>
      <c r="P210" s="5">
        <v>3559367.0943239299</v>
      </c>
      <c r="Q210" s="5">
        <v>1878970.49791918</v>
      </c>
      <c r="R210" s="5">
        <v>21914357.219061598</v>
      </c>
      <c r="S210" s="5">
        <v>37621993.765381902</v>
      </c>
      <c r="T210" s="5">
        <v>4238992.6328165997</v>
      </c>
      <c r="U210" s="5">
        <v>7009606.6749627097</v>
      </c>
      <c r="V210" s="5">
        <v>9215889.8288874906</v>
      </c>
      <c r="W210" s="5">
        <v>10440104.072830999</v>
      </c>
      <c r="X210" s="5">
        <v>9125306.1656921599</v>
      </c>
      <c r="Y210" s="5">
        <v>11294874.415027</v>
      </c>
      <c r="Z210" s="5">
        <v>10176888.8408887</v>
      </c>
      <c r="AA210" s="5">
        <v>11102679.8314186</v>
      </c>
      <c r="AB210" s="5">
        <v>11251292.8442258</v>
      </c>
      <c r="AC210" s="5">
        <v>12431124.8781504</v>
      </c>
      <c r="AD210">
        <f t="shared" si="13"/>
        <v>11240496.598670874</v>
      </c>
      <c r="AE210">
        <f t="shared" si="14"/>
        <v>925196.7687226953</v>
      </c>
      <c r="AF210">
        <f t="shared" si="15"/>
        <v>8.230924324394126E-2</v>
      </c>
    </row>
    <row r="211" spans="1:32" x14ac:dyDescent="0.45">
      <c r="A211" s="5" t="s">
        <v>118</v>
      </c>
      <c r="B211" s="2">
        <f t="shared" si="12"/>
        <v>513223.50423624588</v>
      </c>
      <c r="C211" s="7">
        <v>368099.52466715302</v>
      </c>
      <c r="D211" s="8">
        <v>6.9178049044046258E-2</v>
      </c>
      <c r="E211" s="5">
        <v>963177.28413333604</v>
      </c>
      <c r="F211" s="5">
        <v>236700.44455782499</v>
      </c>
      <c r="G211" s="5">
        <v>910113.66826490394</v>
      </c>
      <c r="H211" s="5">
        <v>721165.37463033304</v>
      </c>
      <c r="I211" s="5">
        <v>376050.556091593</v>
      </c>
      <c r="J211" s="5">
        <v>208199.446530152</v>
      </c>
      <c r="K211" s="5">
        <v>62697.0097399023</v>
      </c>
      <c r="L211" s="5">
        <v>811213.48222455697</v>
      </c>
      <c r="M211" s="5">
        <v>448212.68208955502</v>
      </c>
      <c r="N211" s="5">
        <v>462478.21029477101</v>
      </c>
      <c r="O211" s="5">
        <v>518907.58458660298</v>
      </c>
      <c r="P211" s="5">
        <v>125458.62966961401</v>
      </c>
      <c r="Q211" s="5">
        <v>425293.45304898702</v>
      </c>
      <c r="R211" s="5">
        <v>359222.68455943</v>
      </c>
      <c r="S211" s="5">
        <v>1075673.6551841199</v>
      </c>
      <c r="T211" s="5">
        <v>692827.58970816201</v>
      </c>
      <c r="U211" s="5">
        <v>658776.61564529501</v>
      </c>
      <c r="V211" s="5">
        <v>323027.31252660998</v>
      </c>
      <c r="W211" s="5">
        <v>330346.35985864099</v>
      </c>
      <c r="X211" s="5">
        <v>114470.222425776</v>
      </c>
      <c r="Y211" s="5">
        <v>953681.32319099701</v>
      </c>
      <c r="Z211" s="5">
        <v>351296.24964855402</v>
      </c>
      <c r="AA211" s="5">
        <v>350415.69054731802</v>
      </c>
      <c r="AB211" s="5">
        <v>365906.51989336498</v>
      </c>
      <c r="AC211" s="5">
        <v>404779.63857937499</v>
      </c>
      <c r="AD211">
        <f t="shared" si="13"/>
        <v>368099.52466715302</v>
      </c>
      <c r="AE211">
        <f t="shared" si="14"/>
        <v>25464.406970514425</v>
      </c>
      <c r="AF211">
        <f t="shared" si="15"/>
        <v>6.9178049044046258E-2</v>
      </c>
    </row>
    <row r="212" spans="1:32" x14ac:dyDescent="0.45">
      <c r="A212" s="5" t="s">
        <v>270</v>
      </c>
      <c r="B212" s="2">
        <f t="shared" si="12"/>
        <v>3688742.5522116069</v>
      </c>
      <c r="C212" s="2">
        <v>3413498.2771080774</v>
      </c>
      <c r="D212" s="2">
        <v>9.4297166737890917E-2</v>
      </c>
      <c r="E212" s="5">
        <v>506541.70497056702</v>
      </c>
      <c r="F212" s="5">
        <v>8118204.7579385601</v>
      </c>
      <c r="G212" s="5">
        <v>1270999.6234070701</v>
      </c>
      <c r="H212" s="5">
        <v>288457.39628137503</v>
      </c>
      <c r="I212" s="5">
        <v>515527.19013110898</v>
      </c>
      <c r="J212" s="5">
        <v>11213689.0627901</v>
      </c>
      <c r="K212" s="5">
        <v>11250714.4894065</v>
      </c>
      <c r="L212" s="5">
        <v>257538.90499393499</v>
      </c>
      <c r="M212" s="5">
        <v>780424.67908802698</v>
      </c>
      <c r="N212" s="5">
        <v>10186484.1651395</v>
      </c>
      <c r="O212" s="5">
        <v>382882.96769731201</v>
      </c>
      <c r="P212" s="5">
        <v>10535844.846897099</v>
      </c>
      <c r="Q212" s="5">
        <v>472960.86443797598</v>
      </c>
      <c r="R212" s="5">
        <v>632075.34270021506</v>
      </c>
      <c r="S212" s="5">
        <v>396250.028654875</v>
      </c>
      <c r="T212" s="5">
        <v>669706.64679449995</v>
      </c>
      <c r="U212" s="5">
        <v>1367955.04405803</v>
      </c>
      <c r="V212" s="5">
        <v>598201.00996785006</v>
      </c>
      <c r="W212" s="5">
        <v>7831876.6030177698</v>
      </c>
      <c r="X212" s="5">
        <v>9811926.8377093691</v>
      </c>
      <c r="Y212" s="5">
        <v>375331.43036202202</v>
      </c>
      <c r="Z212" s="5">
        <v>2947667.82195376</v>
      </c>
      <c r="AA212" s="5">
        <v>3683849.58087123</v>
      </c>
      <c r="AB212" s="5">
        <v>3539808.1599069498</v>
      </c>
      <c r="AC212" s="5">
        <v>3482667.5457003699</v>
      </c>
      <c r="AD212">
        <f t="shared" si="13"/>
        <v>3413498.2771080774</v>
      </c>
      <c r="AE212">
        <f t="shared" si="14"/>
        <v>321883.21619596373</v>
      </c>
      <c r="AF212">
        <f t="shared" si="15"/>
        <v>9.4297166737890917E-2</v>
      </c>
    </row>
    <row r="213" spans="1:32" x14ac:dyDescent="0.45">
      <c r="A213" s="5" t="s">
        <v>154</v>
      </c>
      <c r="B213" s="2">
        <f t="shared" si="12"/>
        <v>14535309.94262632</v>
      </c>
      <c r="C213" s="2">
        <v>13884413.08845605</v>
      </c>
      <c r="D213" s="2">
        <v>6.6018971934455786E-2</v>
      </c>
      <c r="E213" s="5">
        <v>17418754.194152702</v>
      </c>
      <c r="F213" s="5">
        <v>11204675.246707</v>
      </c>
      <c r="G213" s="5">
        <v>15376585.997299099</v>
      </c>
      <c r="H213" s="5">
        <v>22702961.603939001</v>
      </c>
      <c r="I213" s="5">
        <v>12962969.9336037</v>
      </c>
      <c r="J213" s="5">
        <v>8250713.6260289503</v>
      </c>
      <c r="K213" s="5">
        <v>15123635.858957101</v>
      </c>
      <c r="L213" s="5">
        <v>15086427.5960995</v>
      </c>
      <c r="M213" s="5">
        <v>15319398.457394401</v>
      </c>
      <c r="N213" s="5">
        <v>10191843.846604399</v>
      </c>
      <c r="O213" s="5">
        <v>17381378.982977699</v>
      </c>
      <c r="P213" s="5">
        <v>10824066.050322</v>
      </c>
      <c r="Q213" s="5">
        <v>12341450.7131915</v>
      </c>
      <c r="R213" s="5">
        <v>13505713.3864042</v>
      </c>
      <c r="S213" s="5">
        <v>15964650.067364899</v>
      </c>
      <c r="T213" s="5">
        <v>18497313.2314847</v>
      </c>
      <c r="U213" s="5">
        <v>17230331.536172502</v>
      </c>
      <c r="V213" s="5">
        <v>14884798.2336796</v>
      </c>
      <c r="W213" s="5">
        <v>12778925.6514559</v>
      </c>
      <c r="X213" s="5">
        <v>9719344.0081619397</v>
      </c>
      <c r="Y213" s="5">
        <v>18475570.573151901</v>
      </c>
      <c r="Z213" s="5">
        <v>14254046.217794299</v>
      </c>
      <c r="AA213" s="5">
        <v>13219031.499232</v>
      </c>
      <c r="AB213" s="5">
        <v>15006341.3501302</v>
      </c>
      <c r="AC213" s="5">
        <v>13058233.286667701</v>
      </c>
      <c r="AD213">
        <f t="shared" si="13"/>
        <v>13884413.08845605</v>
      </c>
      <c r="AE213">
        <f t="shared" si="14"/>
        <v>916634.67801317049</v>
      </c>
      <c r="AF213">
        <f t="shared" si="15"/>
        <v>6.6018971934455786E-2</v>
      </c>
    </row>
  </sheetData>
  <sortState xmlns:xlrd2="http://schemas.microsoft.com/office/spreadsheetml/2017/richdata2" ref="A2:AF213">
    <sortCondition ref="A34:A213"/>
  </sortState>
  <conditionalFormatting sqref="A1:A128">
    <cfRule type="duplicateValues" dxfId="20" priority="35"/>
  </conditionalFormatting>
  <conditionalFormatting sqref="A129:A213">
    <cfRule type="duplicateValues" dxfId="19" priority="3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A1D7-1B55-49FF-AAFF-E89B55C12464}">
  <dimension ref="A1:V213"/>
  <sheetViews>
    <sheetView topLeftCell="A164" workbookViewId="0">
      <selection activeCell="A174" sqref="A174"/>
    </sheetView>
  </sheetViews>
  <sheetFormatPr defaultRowHeight="14.25" x14ac:dyDescent="0.45"/>
  <cols>
    <col min="1" max="1" width="91.6640625" bestFit="1" customWidth="1"/>
  </cols>
  <sheetData>
    <row r="1" spans="1:22" x14ac:dyDescent="0.45">
      <c r="A1" s="1" t="s">
        <v>0</v>
      </c>
      <c r="B1" s="1" t="s">
        <v>288</v>
      </c>
      <c r="C1" s="1" t="s">
        <v>295</v>
      </c>
      <c r="D1" s="1" t="s">
        <v>296</v>
      </c>
      <c r="E1" s="1" t="s">
        <v>303</v>
      </c>
      <c r="F1" s="1" t="s">
        <v>289</v>
      </c>
      <c r="G1" s="1" t="s">
        <v>297</v>
      </c>
      <c r="H1" s="1" t="s">
        <v>304</v>
      </c>
      <c r="I1" s="1" t="s">
        <v>294</v>
      </c>
      <c r="J1" s="1" t="s">
        <v>302</v>
      </c>
      <c r="K1" s="1" t="s">
        <v>308</v>
      </c>
      <c r="L1" s="1" t="s">
        <v>290</v>
      </c>
      <c r="M1" s="1" t="s">
        <v>298</v>
      </c>
      <c r="N1" s="1" t="s">
        <v>291</v>
      </c>
      <c r="O1" s="1" t="s">
        <v>299</v>
      </c>
      <c r="P1" s="1" t="s">
        <v>305</v>
      </c>
      <c r="Q1" s="1" t="s">
        <v>292</v>
      </c>
      <c r="R1" s="1" t="s">
        <v>300</v>
      </c>
      <c r="S1" s="1" t="s">
        <v>306</v>
      </c>
      <c r="T1" s="1" t="s">
        <v>293</v>
      </c>
      <c r="U1" s="1" t="s">
        <v>301</v>
      </c>
      <c r="V1" s="1" t="s">
        <v>307</v>
      </c>
    </row>
    <row r="2" spans="1:22" x14ac:dyDescent="0.45">
      <c r="A2" s="1" t="s">
        <v>313</v>
      </c>
      <c r="B2" s="9" t="s">
        <v>309</v>
      </c>
      <c r="C2" s="9" t="s">
        <v>309</v>
      </c>
      <c r="D2" s="9" t="s">
        <v>309</v>
      </c>
      <c r="E2" s="9" t="s">
        <v>309</v>
      </c>
      <c r="F2" s="10" t="s">
        <v>310</v>
      </c>
      <c r="G2" s="10" t="s">
        <v>310</v>
      </c>
      <c r="H2" s="10" t="s">
        <v>310</v>
      </c>
      <c r="I2" s="10" t="s">
        <v>310</v>
      </c>
      <c r="J2" s="10" t="s">
        <v>310</v>
      </c>
      <c r="K2" s="10" t="s">
        <v>310</v>
      </c>
      <c r="L2" s="11" t="s">
        <v>311</v>
      </c>
      <c r="M2" s="11" t="s">
        <v>311</v>
      </c>
      <c r="N2" s="11" t="s">
        <v>311</v>
      </c>
      <c r="O2" s="11" t="s">
        <v>311</v>
      </c>
      <c r="P2" s="11" t="s">
        <v>311</v>
      </c>
      <c r="Q2" s="10" t="s">
        <v>312</v>
      </c>
      <c r="R2" s="10" t="s">
        <v>312</v>
      </c>
      <c r="S2" s="10" t="s">
        <v>312</v>
      </c>
      <c r="T2" s="10" t="s">
        <v>312</v>
      </c>
      <c r="U2" s="10" t="s">
        <v>312</v>
      </c>
      <c r="V2" s="10" t="s">
        <v>312</v>
      </c>
    </row>
    <row r="3" spans="1:22" x14ac:dyDescent="0.45">
      <c r="A3" s="5" t="s">
        <v>31</v>
      </c>
      <c r="B3" s="5">
        <v>1476676.5265573601</v>
      </c>
      <c r="C3" s="5">
        <v>1522182.0821954</v>
      </c>
      <c r="D3" s="5">
        <v>1465726.6199840801</v>
      </c>
      <c r="E3" s="5">
        <v>1213189.5318680401</v>
      </c>
      <c r="F3" s="5">
        <v>713576.68241191201</v>
      </c>
      <c r="G3" s="5">
        <v>472668.95523978001</v>
      </c>
      <c r="H3" s="5">
        <v>1677257.95389162</v>
      </c>
      <c r="I3" s="5">
        <v>544355.83574495104</v>
      </c>
      <c r="J3" s="5">
        <v>1577552.4856292501</v>
      </c>
      <c r="K3" s="5">
        <v>1459414.03798635</v>
      </c>
      <c r="L3" s="5">
        <v>1490779.45605725</v>
      </c>
      <c r="M3" s="5">
        <v>1304600.4933710799</v>
      </c>
      <c r="N3" s="5">
        <v>3257126.1328528798</v>
      </c>
      <c r="O3" s="5">
        <v>759491.39263611299</v>
      </c>
      <c r="P3" s="5">
        <v>1526032.5428440101</v>
      </c>
      <c r="Q3" s="5">
        <v>770026.11606018501</v>
      </c>
      <c r="R3" s="5">
        <v>2983280.7045652</v>
      </c>
      <c r="S3" s="5">
        <v>622938.61464211799</v>
      </c>
      <c r="T3" s="5">
        <v>669037.312583033</v>
      </c>
      <c r="U3" s="5">
        <v>1590867.9206330799</v>
      </c>
      <c r="V3" s="5">
        <v>684085.05521857098</v>
      </c>
    </row>
    <row r="4" spans="1:22" x14ac:dyDescent="0.45">
      <c r="A4" s="5" t="s">
        <v>32</v>
      </c>
      <c r="B4" s="5">
        <v>5955574.0091102198</v>
      </c>
      <c r="C4" s="5">
        <v>11654823.6933263</v>
      </c>
      <c r="D4" s="5">
        <v>10413748.9222726</v>
      </c>
      <c r="E4" s="5">
        <v>5484010.7566808304</v>
      </c>
      <c r="F4" s="5">
        <v>3618657.5184054002</v>
      </c>
      <c r="G4" s="5">
        <v>4276793.6044338103</v>
      </c>
      <c r="H4" s="5">
        <v>7718745.7338965302</v>
      </c>
      <c r="I4" s="5">
        <v>2307523.4558699499</v>
      </c>
      <c r="J4" s="5">
        <v>16367578.1246485</v>
      </c>
      <c r="K4" s="5">
        <v>12250867.6135372</v>
      </c>
      <c r="L4" s="5">
        <v>3350758.26096544</v>
      </c>
      <c r="M4" s="5">
        <v>5518695.0713729504</v>
      </c>
      <c r="N4" s="5">
        <v>4494686.5999426702</v>
      </c>
      <c r="O4" s="5">
        <v>3179763.6814608299</v>
      </c>
      <c r="P4" s="5">
        <v>9905091.5382710509</v>
      </c>
      <c r="Q4" s="5">
        <v>6945649.0422506304</v>
      </c>
      <c r="R4" s="5">
        <v>3162619.3360498501</v>
      </c>
      <c r="S4" s="5">
        <v>6007652.2157618897</v>
      </c>
      <c r="T4" s="5">
        <v>4297551.77348522</v>
      </c>
      <c r="U4" s="5">
        <v>8250820.6664532796</v>
      </c>
      <c r="V4" s="5">
        <v>3725300.0864480701</v>
      </c>
    </row>
    <row r="5" spans="1:22" x14ac:dyDescent="0.45">
      <c r="A5" s="5" t="s">
        <v>33</v>
      </c>
      <c r="B5" s="5">
        <v>75773.768313098903</v>
      </c>
      <c r="C5" s="5">
        <v>130528.164016775</v>
      </c>
      <c r="D5" s="5">
        <v>131450.23865660801</v>
      </c>
      <c r="E5" s="5">
        <v>118836.13096765</v>
      </c>
      <c r="F5" s="5">
        <v>339474.34646076697</v>
      </c>
      <c r="G5" s="5">
        <v>406172.69360945001</v>
      </c>
      <c r="H5" s="5">
        <v>198644.369650307</v>
      </c>
      <c r="I5" s="5">
        <v>222209.18365625001</v>
      </c>
      <c r="J5" s="5">
        <v>166441.683452439</v>
      </c>
      <c r="K5" s="5">
        <v>175533.08641408299</v>
      </c>
      <c r="L5" s="5">
        <v>143205.75749941001</v>
      </c>
      <c r="M5" s="5">
        <v>77000.677306619298</v>
      </c>
      <c r="N5" s="5">
        <v>140197.62532920801</v>
      </c>
      <c r="O5" s="5">
        <v>278767.83433546301</v>
      </c>
      <c r="P5" s="5">
        <v>118127.304486918</v>
      </c>
      <c r="Q5" s="5">
        <v>81860.640702230696</v>
      </c>
      <c r="R5" s="5">
        <v>308756.02415917499</v>
      </c>
      <c r="S5" s="5">
        <v>585237.82918688306</v>
      </c>
      <c r="T5" s="5">
        <v>484792.97308886697</v>
      </c>
      <c r="U5" s="5">
        <v>114207.792471272</v>
      </c>
      <c r="V5" s="5">
        <v>434577.59532338299</v>
      </c>
    </row>
    <row r="6" spans="1:22" x14ac:dyDescent="0.45">
      <c r="A6" s="5" t="s">
        <v>34</v>
      </c>
      <c r="B6" s="5">
        <v>396520.273123944</v>
      </c>
      <c r="C6" s="5">
        <v>262487.308182245</v>
      </c>
      <c r="D6" s="5">
        <v>564349.29243476305</v>
      </c>
      <c r="E6" s="5">
        <v>438476.46509810298</v>
      </c>
      <c r="F6" s="5">
        <v>172506.85689853801</v>
      </c>
      <c r="G6" s="5">
        <v>53711.822034664103</v>
      </c>
      <c r="H6" s="5">
        <v>388605.684998682</v>
      </c>
      <c r="I6" s="5">
        <v>41283.430103623403</v>
      </c>
      <c r="J6" s="5">
        <v>425802.75931895297</v>
      </c>
      <c r="K6" s="5">
        <v>341241.27071397402</v>
      </c>
      <c r="L6" s="5">
        <v>759508.39364517701</v>
      </c>
      <c r="M6" s="5">
        <v>329490.40247346699</v>
      </c>
      <c r="N6" s="5">
        <v>1253553.1355989701</v>
      </c>
      <c r="O6" s="5">
        <v>85955.980306401805</v>
      </c>
      <c r="P6" s="5">
        <v>516931.46922606498</v>
      </c>
      <c r="Q6" s="5">
        <v>588195.34507617401</v>
      </c>
      <c r="R6" s="5">
        <v>828193.12168767594</v>
      </c>
      <c r="S6" s="5">
        <v>215270.422707313</v>
      </c>
      <c r="T6" s="5">
        <v>71370.144779070397</v>
      </c>
      <c r="U6" s="5">
        <v>762790.77432665299</v>
      </c>
      <c r="V6" s="5">
        <v>156468.283142653</v>
      </c>
    </row>
    <row r="7" spans="1:22" x14ac:dyDescent="0.45">
      <c r="A7" s="5" t="s">
        <v>35</v>
      </c>
      <c r="B7" s="5">
        <v>6123254.5799664296</v>
      </c>
      <c r="C7" s="5">
        <v>6169214.1481798198</v>
      </c>
      <c r="D7" s="5">
        <v>8672737.1121897697</v>
      </c>
      <c r="E7" s="5">
        <v>5979544.61600486</v>
      </c>
      <c r="F7" s="5">
        <v>2286245.49379959</v>
      </c>
      <c r="G7" s="5">
        <v>2349698.3708718098</v>
      </c>
      <c r="H7" s="5">
        <v>3126783.1044025999</v>
      </c>
      <c r="I7" s="5">
        <v>1741749.97667357</v>
      </c>
      <c r="J7" s="5">
        <v>4070045.6744454699</v>
      </c>
      <c r="K7" s="5">
        <v>4947801.5417916803</v>
      </c>
      <c r="L7" s="5">
        <v>6415562.0649298904</v>
      </c>
      <c r="M7" s="5">
        <v>5681570.9657432297</v>
      </c>
      <c r="N7" s="5">
        <v>6685191.5481969304</v>
      </c>
      <c r="O7" s="5">
        <v>2509658.12121735</v>
      </c>
      <c r="P7" s="5">
        <v>6742805.3125887299</v>
      </c>
      <c r="Q7" s="5">
        <v>8371288.9457826903</v>
      </c>
      <c r="R7" s="5">
        <v>5014583.8022616804</v>
      </c>
      <c r="S7" s="5">
        <v>2147635.4116187301</v>
      </c>
      <c r="T7" s="5">
        <v>2495077.6958069401</v>
      </c>
      <c r="U7" s="5">
        <v>4273033.1918038502</v>
      </c>
      <c r="V7" s="5">
        <v>4098312.5044291802</v>
      </c>
    </row>
    <row r="8" spans="1:22" x14ac:dyDescent="0.45">
      <c r="A8" s="5" t="s">
        <v>225</v>
      </c>
      <c r="B8" s="5">
        <v>1855576.8700371799</v>
      </c>
      <c r="C8" s="5">
        <v>2127261.60633572</v>
      </c>
      <c r="D8" s="5">
        <v>1509520.4450509399</v>
      </c>
      <c r="E8" s="5">
        <v>2070127.8750098399</v>
      </c>
      <c r="F8" s="5">
        <v>3043905.80920815</v>
      </c>
      <c r="G8" s="5">
        <v>1569130.5905003599</v>
      </c>
      <c r="H8" s="5">
        <v>1430887.27664254</v>
      </c>
      <c r="I8" s="5">
        <v>588314.16027831496</v>
      </c>
      <c r="J8" s="5">
        <v>1308452.0893496701</v>
      </c>
      <c r="K8" s="5">
        <v>867888.72853894299</v>
      </c>
      <c r="L8" s="5">
        <v>1478429.5298823901</v>
      </c>
      <c r="M8" s="5">
        <v>2021652.7161221099</v>
      </c>
      <c r="N8" s="5">
        <v>4111553.95007096</v>
      </c>
      <c r="O8" s="5">
        <v>1179147.9243589099</v>
      </c>
      <c r="P8" s="5">
        <v>2161378.3068473102</v>
      </c>
      <c r="Q8" s="5">
        <v>2022647.4900879399</v>
      </c>
      <c r="R8" s="5">
        <v>3660170.7718778499</v>
      </c>
      <c r="S8" s="5">
        <v>2169804.38959073</v>
      </c>
      <c r="T8" s="5">
        <v>1428616.9888282099</v>
      </c>
      <c r="U8" s="5">
        <v>1439422.8523404901</v>
      </c>
      <c r="V8" s="5">
        <v>2293397.3887590598</v>
      </c>
    </row>
    <row r="9" spans="1:22" x14ac:dyDescent="0.45">
      <c r="A9" s="5" t="s">
        <v>36</v>
      </c>
      <c r="B9" s="5">
        <v>10970140.7070037</v>
      </c>
      <c r="C9" s="5">
        <v>11632472.9286645</v>
      </c>
      <c r="D9" s="5">
        <v>13511362.212535299</v>
      </c>
      <c r="E9" s="5">
        <v>15764535.1766755</v>
      </c>
      <c r="F9" s="5">
        <v>10008494.684647501</v>
      </c>
      <c r="G9" s="5">
        <v>10655782.114912599</v>
      </c>
      <c r="H9" s="5">
        <v>11215435.703415999</v>
      </c>
      <c r="I9" s="5">
        <v>22256304.812728599</v>
      </c>
      <c r="J9" s="5">
        <v>14718860.155385301</v>
      </c>
      <c r="K9" s="5">
        <v>12965859.800294099</v>
      </c>
      <c r="L9" s="5">
        <v>11881492.500488801</v>
      </c>
      <c r="M9" s="5">
        <v>13544972.663230499</v>
      </c>
      <c r="N9" s="5">
        <v>16987144.909724399</v>
      </c>
      <c r="O9" s="5">
        <v>12993859.011937501</v>
      </c>
      <c r="P9" s="5">
        <v>16101061.942863399</v>
      </c>
      <c r="Q9" s="5">
        <v>14397443.708982401</v>
      </c>
      <c r="R9" s="5">
        <v>14720768.330501501</v>
      </c>
      <c r="S9" s="5">
        <v>11686661.758225899</v>
      </c>
      <c r="T9" s="5">
        <v>11357600.766350901</v>
      </c>
      <c r="U9" s="5">
        <v>13352419.1555357</v>
      </c>
      <c r="V9" s="5">
        <v>11279884.5841412</v>
      </c>
    </row>
    <row r="10" spans="1:22" x14ac:dyDescent="0.45">
      <c r="A10" s="5" t="s">
        <v>169</v>
      </c>
      <c r="B10" s="5">
        <v>4868273.0800522696</v>
      </c>
      <c r="C10" s="5">
        <v>4316171.55087322</v>
      </c>
      <c r="D10" s="5">
        <v>3824083.2288464098</v>
      </c>
      <c r="E10" s="5">
        <v>4230375.50804534</v>
      </c>
      <c r="F10" s="5">
        <v>3425462.2652374199</v>
      </c>
      <c r="G10" s="5">
        <v>2784787.54625245</v>
      </c>
      <c r="H10" s="5">
        <v>5487756.3440915998</v>
      </c>
      <c r="I10" s="5">
        <v>2860801.83962835</v>
      </c>
      <c r="J10" s="5">
        <v>5315951.1017591497</v>
      </c>
      <c r="K10" s="5">
        <v>5808272.3788140398</v>
      </c>
      <c r="L10" s="5">
        <v>3140409.24114925</v>
      </c>
      <c r="M10" s="5">
        <v>3758327.9281162499</v>
      </c>
      <c r="N10" s="5">
        <v>4011281.79683922</v>
      </c>
      <c r="O10" s="5">
        <v>2366870.6096356199</v>
      </c>
      <c r="P10" s="5">
        <v>6914231.0788340904</v>
      </c>
      <c r="Q10" s="5">
        <v>3487859.7700316999</v>
      </c>
      <c r="R10" s="5">
        <v>4817092.80544795</v>
      </c>
      <c r="S10" s="5">
        <v>3597334.6452785102</v>
      </c>
      <c r="T10" s="5">
        <v>2255160.8239771998</v>
      </c>
      <c r="U10" s="5">
        <v>3265579.5830151401</v>
      </c>
      <c r="V10" s="5">
        <v>2870282.82301421</v>
      </c>
    </row>
    <row r="11" spans="1:22" x14ac:dyDescent="0.45">
      <c r="A11" s="5" t="s">
        <v>119</v>
      </c>
      <c r="B11" s="5">
        <v>5993622.3890902298</v>
      </c>
      <c r="C11" s="5">
        <v>4729256.40066336</v>
      </c>
      <c r="D11" s="5">
        <v>6573556.4310326399</v>
      </c>
      <c r="E11" s="5">
        <v>6005615.4130286202</v>
      </c>
      <c r="F11" s="5">
        <v>6035605.3293178398</v>
      </c>
      <c r="G11" s="5">
        <v>3279679.1773840399</v>
      </c>
      <c r="H11" s="5">
        <v>6067021.3784708697</v>
      </c>
      <c r="I11" s="5">
        <v>4780871.9713445799</v>
      </c>
      <c r="J11" s="5">
        <v>5124592.1686454304</v>
      </c>
      <c r="K11" s="5">
        <v>4658283.1945848595</v>
      </c>
      <c r="L11" s="5">
        <v>3960262.7688957402</v>
      </c>
      <c r="M11" s="5">
        <v>4195387.5431495104</v>
      </c>
      <c r="N11" s="5">
        <v>2439723.1410018802</v>
      </c>
      <c r="O11" s="5">
        <v>4623943.1046304703</v>
      </c>
      <c r="P11" s="5">
        <v>4856599.0177711798</v>
      </c>
      <c r="Q11" s="5">
        <v>6098464.3851672299</v>
      </c>
      <c r="R11" s="5">
        <v>4995780.66061028</v>
      </c>
      <c r="S11" s="5">
        <v>3470187.2596872901</v>
      </c>
      <c r="T11" s="5">
        <v>4381012.4035424199</v>
      </c>
      <c r="U11" s="5">
        <v>4629566.1138549196</v>
      </c>
      <c r="V11" s="5">
        <v>4443450.7637321502</v>
      </c>
    </row>
    <row r="12" spans="1:22" x14ac:dyDescent="0.45">
      <c r="A12" s="5" t="s">
        <v>170</v>
      </c>
      <c r="B12" s="5">
        <v>58330.074040243897</v>
      </c>
      <c r="C12" s="5">
        <v>61852.352321272701</v>
      </c>
      <c r="D12" s="5">
        <v>58795.406404372901</v>
      </c>
      <c r="E12" s="5">
        <v>12313.888735966</v>
      </c>
      <c r="F12" s="5">
        <v>184820.58074499801</v>
      </c>
      <c r="G12" s="5">
        <v>363601.85838073102</v>
      </c>
      <c r="H12" s="5">
        <v>31460.482113372502</v>
      </c>
      <c r="I12" s="5">
        <v>293295.56461655098</v>
      </c>
      <c r="J12" s="5">
        <v>11057.1003776006</v>
      </c>
      <c r="K12" s="5">
        <v>37779.394529996898</v>
      </c>
      <c r="L12" s="5">
        <v>89937.645619672796</v>
      </c>
      <c r="M12" s="5">
        <v>12539.498905021601</v>
      </c>
      <c r="N12" s="5">
        <v>13426.6446088063</v>
      </c>
      <c r="O12" s="5">
        <v>234353.328316787</v>
      </c>
      <c r="P12" s="5">
        <v>47015.9416537855</v>
      </c>
      <c r="Q12" s="5">
        <v>178536.46986989101</v>
      </c>
      <c r="R12" s="5">
        <v>83816.298552999593</v>
      </c>
      <c r="S12" s="5">
        <v>354722.57007744099</v>
      </c>
      <c r="T12" s="5">
        <v>311392.31132085301</v>
      </c>
      <c r="U12" s="5">
        <v>39397.657074360803</v>
      </c>
      <c r="V12" s="5">
        <v>214284.73636812001</v>
      </c>
    </row>
    <row r="13" spans="1:22" x14ac:dyDescent="0.45">
      <c r="A13" s="5" t="s">
        <v>226</v>
      </c>
      <c r="B13" s="5">
        <v>5977385.2998812096</v>
      </c>
      <c r="C13" s="5">
        <v>7686683.7648764299</v>
      </c>
      <c r="D13" s="5">
        <v>11301511.265732899</v>
      </c>
      <c r="E13" s="5">
        <v>9335535.5276699793</v>
      </c>
      <c r="F13" s="5">
        <v>3970052.75711582</v>
      </c>
      <c r="G13" s="5">
        <v>3933326.1032386199</v>
      </c>
      <c r="H13" s="5">
        <v>4973976.241103</v>
      </c>
      <c r="I13" s="5">
        <v>2744764.91845454</v>
      </c>
      <c r="J13" s="5">
        <v>5558682.4162770202</v>
      </c>
      <c r="K13" s="5">
        <v>4940084.6730116699</v>
      </c>
      <c r="L13" s="5">
        <v>4511502.8640442602</v>
      </c>
      <c r="M13" s="5">
        <v>8876390.6339535397</v>
      </c>
      <c r="N13" s="5">
        <v>4876127.3399735102</v>
      </c>
      <c r="O13" s="5">
        <v>3352166.7378857601</v>
      </c>
      <c r="P13" s="5">
        <v>5056730.6730742902</v>
      </c>
      <c r="Q13" s="5">
        <v>7842998.6563552199</v>
      </c>
      <c r="R13" s="5">
        <v>5083358.7921047201</v>
      </c>
      <c r="S13" s="5">
        <v>1533415.5823166899</v>
      </c>
      <c r="T13" s="5">
        <v>3590100.3996840101</v>
      </c>
      <c r="U13" s="5">
        <v>5508495.4156227103</v>
      </c>
      <c r="V13" s="5">
        <v>5126500.5627872003</v>
      </c>
    </row>
    <row r="14" spans="1:22" x14ac:dyDescent="0.45">
      <c r="A14" s="5" t="s">
        <v>37</v>
      </c>
      <c r="B14" s="5">
        <v>4776112.1572645502</v>
      </c>
      <c r="C14" s="5">
        <v>735432.61273407401</v>
      </c>
      <c r="D14" s="5">
        <v>5089231.3764804602</v>
      </c>
      <c r="E14" s="5">
        <v>722584.08587828104</v>
      </c>
      <c r="F14" s="5">
        <v>8626736.6069870796</v>
      </c>
      <c r="G14" s="5">
        <v>6688408.8693191102</v>
      </c>
      <c r="H14" s="5">
        <v>744576.08233260305</v>
      </c>
      <c r="I14" s="5">
        <v>2035491.82755749</v>
      </c>
      <c r="J14" s="5">
        <v>1740476.4636534599</v>
      </c>
      <c r="K14" s="5">
        <v>1232235.8980936201</v>
      </c>
      <c r="L14" s="5">
        <v>2877838.4936000998</v>
      </c>
      <c r="M14" s="5">
        <v>1131531.0769482399</v>
      </c>
      <c r="N14" s="5">
        <v>1743819.1430790401</v>
      </c>
      <c r="O14" s="5">
        <v>8235447.5200342899</v>
      </c>
      <c r="P14" s="5">
        <v>3534833.8843737799</v>
      </c>
      <c r="Q14" s="5">
        <v>9066988.56998224</v>
      </c>
      <c r="R14" s="5">
        <v>1686511.8251928999</v>
      </c>
      <c r="S14" s="5">
        <v>6007016.9359133001</v>
      </c>
      <c r="T14" s="5">
        <v>7935861.3590930495</v>
      </c>
      <c r="U14" s="5">
        <v>2107939.1428582799</v>
      </c>
      <c r="V14" s="5">
        <v>2878363.23952233</v>
      </c>
    </row>
    <row r="15" spans="1:22" x14ac:dyDescent="0.45">
      <c r="A15" s="5" t="s">
        <v>227</v>
      </c>
      <c r="B15" s="5">
        <v>905763.37549960602</v>
      </c>
      <c r="C15" s="5">
        <v>1303473.52470203</v>
      </c>
      <c r="D15" s="5">
        <v>1800650.8681292799</v>
      </c>
      <c r="E15" s="5">
        <v>917743.87965442904</v>
      </c>
      <c r="F15" s="5">
        <v>1256149.5277002</v>
      </c>
      <c r="G15" s="5">
        <v>397036.99388666498</v>
      </c>
      <c r="H15" s="5">
        <v>852195.11509964301</v>
      </c>
      <c r="I15" s="5">
        <v>608811.608032146</v>
      </c>
      <c r="J15" s="5">
        <v>1201073.38500631</v>
      </c>
      <c r="K15" s="5">
        <v>571493.53091564402</v>
      </c>
      <c r="L15" s="5">
        <v>727461.77770317905</v>
      </c>
      <c r="M15" s="5">
        <v>1259681.1687232</v>
      </c>
      <c r="N15" s="5">
        <v>2361652.46110086</v>
      </c>
      <c r="O15" s="5">
        <v>841987.74561426695</v>
      </c>
      <c r="P15" s="5">
        <v>1892872.1089840699</v>
      </c>
      <c r="Q15" s="5">
        <v>2300874.2486147201</v>
      </c>
      <c r="R15" s="5">
        <v>659282.75455927197</v>
      </c>
      <c r="S15" s="5">
        <v>716611.85039562103</v>
      </c>
      <c r="T15" s="5">
        <v>422320.70790425199</v>
      </c>
      <c r="U15" s="5">
        <v>2121367.54736521</v>
      </c>
      <c r="V15" s="5">
        <v>450620.86712543201</v>
      </c>
    </row>
    <row r="16" spans="1:22" x14ac:dyDescent="0.45">
      <c r="A16" s="5" t="s">
        <v>120</v>
      </c>
      <c r="B16" s="5">
        <v>4879958.9970623404</v>
      </c>
      <c r="C16" s="5">
        <v>5538898.5571711604</v>
      </c>
      <c r="D16" s="5">
        <v>5893073.6096160701</v>
      </c>
      <c r="E16" s="5">
        <v>11754348.1376421</v>
      </c>
      <c r="F16" s="5">
        <v>9593086.3614439406</v>
      </c>
      <c r="G16" s="5">
        <v>3785026.2759113899</v>
      </c>
      <c r="H16" s="5">
        <v>3639777.0784592801</v>
      </c>
      <c r="I16" s="5">
        <v>1779642.01741864</v>
      </c>
      <c r="J16" s="5">
        <v>4646883.9459228301</v>
      </c>
      <c r="K16" s="5">
        <v>3407944.5662140101</v>
      </c>
      <c r="L16" s="5">
        <v>3460956.9923891602</v>
      </c>
      <c r="M16" s="5">
        <v>5878917.6956224702</v>
      </c>
      <c r="N16" s="5">
        <v>8700221.9206115995</v>
      </c>
      <c r="O16" s="5">
        <v>2226357.6146069998</v>
      </c>
      <c r="P16" s="5">
        <v>8065247.0412238399</v>
      </c>
      <c r="Q16" s="5">
        <v>6083063.0614432897</v>
      </c>
      <c r="R16" s="5">
        <v>3848146.8399298899</v>
      </c>
      <c r="S16" s="5">
        <v>3478129.5085761002</v>
      </c>
      <c r="T16" s="5">
        <v>2170695.8888830799</v>
      </c>
      <c r="U16" s="5">
        <v>5075557.3851875002</v>
      </c>
      <c r="V16" s="5">
        <v>2787030.05266674</v>
      </c>
    </row>
    <row r="17" spans="1:22" x14ac:dyDescent="0.45">
      <c r="A17" s="5" t="s">
        <v>228</v>
      </c>
      <c r="B17" s="5">
        <v>6443197.6473731603</v>
      </c>
      <c r="C17" s="5">
        <v>7658510.7424470996</v>
      </c>
      <c r="D17" s="5">
        <v>27368158.6346559</v>
      </c>
      <c r="E17" s="5">
        <v>2070522.5279147599</v>
      </c>
      <c r="F17" s="5">
        <v>370919183.27438802</v>
      </c>
      <c r="G17" s="5">
        <v>392705965.64168501</v>
      </c>
      <c r="H17" s="5">
        <v>42023168.919346601</v>
      </c>
      <c r="I17" s="5">
        <v>393736346.97398603</v>
      </c>
      <c r="J17" s="5">
        <v>4837118.3002026305</v>
      </c>
      <c r="K17" s="5">
        <v>6069839.3507790398</v>
      </c>
      <c r="L17" s="5">
        <v>39607398.128125101</v>
      </c>
      <c r="M17" s="5">
        <v>1345539.1710999999</v>
      </c>
      <c r="N17" s="5">
        <v>1432065.7064290501</v>
      </c>
      <c r="O17" s="5">
        <v>357736064.72206402</v>
      </c>
      <c r="P17" s="5">
        <v>20075031.1884364</v>
      </c>
      <c r="Q17" s="5">
        <v>13458660.210223399</v>
      </c>
      <c r="R17" s="5">
        <v>705370.44468747405</v>
      </c>
      <c r="S17" s="5">
        <v>346306624.08405101</v>
      </c>
      <c r="T17" s="5">
        <v>407648776.430668</v>
      </c>
      <c r="U17" s="5">
        <v>5862576.8436984597</v>
      </c>
      <c r="V17" s="5">
        <v>446531744.13990802</v>
      </c>
    </row>
    <row r="18" spans="1:22" x14ac:dyDescent="0.45">
      <c r="A18" s="5" t="s">
        <v>157</v>
      </c>
      <c r="B18" s="5">
        <v>4412989.3340426302</v>
      </c>
      <c r="C18" s="5">
        <v>3971085.1160818199</v>
      </c>
      <c r="D18" s="5">
        <v>3414396.04652208</v>
      </c>
      <c r="E18" s="5">
        <v>3474477.4474205999</v>
      </c>
      <c r="F18" s="5">
        <v>4627693.8614599798</v>
      </c>
      <c r="G18" s="5">
        <v>7048862.5900956998</v>
      </c>
      <c r="H18" s="5">
        <v>3780941.4126897599</v>
      </c>
      <c r="I18" s="5">
        <v>8703756.2253600694</v>
      </c>
      <c r="J18" s="5">
        <v>3676691.32649191</v>
      </c>
      <c r="K18" s="5">
        <v>4407712.7428523302</v>
      </c>
      <c r="L18" s="5">
        <v>2119542.60327172</v>
      </c>
      <c r="M18" s="5">
        <v>2266722.7615782898</v>
      </c>
      <c r="N18" s="5">
        <v>1333289.00157665</v>
      </c>
      <c r="O18" s="5">
        <v>6077654.2932571601</v>
      </c>
      <c r="P18" s="5">
        <v>2679134.6603178801</v>
      </c>
      <c r="Q18" s="5">
        <v>2614222.0231488901</v>
      </c>
      <c r="R18" s="5">
        <v>1310316.24895124</v>
      </c>
      <c r="S18" s="5">
        <v>5551760.6404126799</v>
      </c>
      <c r="T18" s="5">
        <v>5013443.6577725904</v>
      </c>
      <c r="U18" s="5">
        <v>2207908.7215096601</v>
      </c>
      <c r="V18" s="5">
        <v>4853819.3668914596</v>
      </c>
    </row>
    <row r="19" spans="1:22" x14ac:dyDescent="0.45">
      <c r="A19" s="5" t="s">
        <v>229</v>
      </c>
      <c r="B19" s="5">
        <v>24944207.908452898</v>
      </c>
      <c r="C19" s="5">
        <v>15973980.5334682</v>
      </c>
      <c r="D19" s="5">
        <v>14536553.8050886</v>
      </c>
      <c r="E19" s="5">
        <v>3296765.3846537</v>
      </c>
      <c r="F19" s="5">
        <v>12473508.088327199</v>
      </c>
      <c r="G19" s="5">
        <v>12148785.4216187</v>
      </c>
      <c r="H19" s="5">
        <v>6084076.0558717698</v>
      </c>
      <c r="I19" s="5">
        <v>16856040.6110484</v>
      </c>
      <c r="J19" s="5">
        <v>10997753.4917212</v>
      </c>
      <c r="K19" s="5">
        <v>4957175.6745500499</v>
      </c>
      <c r="L19" s="5">
        <v>5586493.9952712599</v>
      </c>
      <c r="M19" s="5">
        <v>1791290.92764648</v>
      </c>
      <c r="N19" s="5">
        <v>635370.67343294504</v>
      </c>
      <c r="O19" s="5">
        <v>10132821.3458963</v>
      </c>
      <c r="P19" s="5">
        <v>7646500.3473979197</v>
      </c>
      <c r="Q19" s="5">
        <v>27690028.072859202</v>
      </c>
      <c r="R19" s="5">
        <v>10135275.1156996</v>
      </c>
      <c r="S19" s="5">
        <v>15861760.5482889</v>
      </c>
      <c r="T19" s="5">
        <v>16933761.8663381</v>
      </c>
      <c r="U19" s="5">
        <v>6389347.9547006302</v>
      </c>
      <c r="V19" s="5">
        <v>13490207.071194099</v>
      </c>
    </row>
    <row r="20" spans="1:22" x14ac:dyDescent="0.45">
      <c r="A20" s="5" t="s">
        <v>38</v>
      </c>
      <c r="B20" s="5">
        <v>4030429.4106316501</v>
      </c>
      <c r="C20" s="5">
        <v>5712057.5397413997</v>
      </c>
      <c r="D20" s="5">
        <v>3350711.9439143599</v>
      </c>
      <c r="E20" s="5">
        <v>3064211.7888588998</v>
      </c>
      <c r="F20" s="5">
        <v>3958690.2685277001</v>
      </c>
      <c r="G20" s="5">
        <v>4303118.2071343297</v>
      </c>
      <c r="H20" s="5">
        <v>5634614.7625685297</v>
      </c>
      <c r="I20" s="5">
        <v>4183615.4957112302</v>
      </c>
      <c r="J20" s="5">
        <v>3334172.9367641201</v>
      </c>
      <c r="K20" s="5">
        <v>3707416.08392251</v>
      </c>
      <c r="L20" s="5">
        <v>4293721.8527501496</v>
      </c>
      <c r="M20" s="5">
        <v>4130781.5646653399</v>
      </c>
      <c r="N20" s="5">
        <v>7197458.6635748101</v>
      </c>
      <c r="O20" s="5">
        <v>4288516.2538535697</v>
      </c>
      <c r="P20" s="5">
        <v>4122250.7699932801</v>
      </c>
      <c r="Q20" s="5">
        <v>4643869.0393826496</v>
      </c>
      <c r="R20" s="5">
        <v>7548312.7189799501</v>
      </c>
      <c r="S20" s="5">
        <v>3619593.7038141098</v>
      </c>
      <c r="T20" s="5">
        <v>3675673.49766269</v>
      </c>
      <c r="U20" s="5">
        <v>1569271.26839168</v>
      </c>
      <c r="V20" s="5">
        <v>3468554.6418205299</v>
      </c>
    </row>
    <row r="21" spans="1:22" x14ac:dyDescent="0.45">
      <c r="A21" s="5" t="s">
        <v>39</v>
      </c>
      <c r="B21" s="5">
        <v>3374273.0268717399</v>
      </c>
      <c r="C21" s="5">
        <v>5338622.2844597204</v>
      </c>
      <c r="D21" s="5">
        <v>8286543.8490079297</v>
      </c>
      <c r="E21" s="5">
        <v>8502609.3576871995</v>
      </c>
      <c r="F21" s="5">
        <v>9307222.1605583709</v>
      </c>
      <c r="G21" s="5">
        <v>6692350.9943856001</v>
      </c>
      <c r="H21" s="5">
        <v>8663051.9518093001</v>
      </c>
      <c r="I21" s="5">
        <v>6815490.30235912</v>
      </c>
      <c r="J21" s="5">
        <v>8819911.1302690003</v>
      </c>
      <c r="K21" s="5">
        <v>8517257.4402806591</v>
      </c>
      <c r="L21" s="5">
        <v>23964562.339794502</v>
      </c>
      <c r="M21" s="5">
        <v>18716248.960873298</v>
      </c>
      <c r="N21" s="5">
        <v>16627464.168919301</v>
      </c>
      <c r="O21" s="5">
        <v>8646199.4892151598</v>
      </c>
      <c r="P21" s="5">
        <v>12372765.0419455</v>
      </c>
      <c r="Q21" s="5">
        <v>8242071.7562041497</v>
      </c>
      <c r="R21" s="5">
        <v>15136842.8176533</v>
      </c>
      <c r="S21" s="5">
        <v>8996583.8179680705</v>
      </c>
      <c r="T21" s="5">
        <v>9095433.2483424693</v>
      </c>
      <c r="U21" s="5">
        <v>10137336.777671</v>
      </c>
      <c r="V21" s="5">
        <v>8960680.7398420908</v>
      </c>
    </row>
    <row r="22" spans="1:22" x14ac:dyDescent="0.45">
      <c r="A22" s="5" t="s">
        <v>230</v>
      </c>
      <c r="B22" s="5">
        <v>36965532.985519901</v>
      </c>
      <c r="C22" s="5">
        <v>43971620.459573403</v>
      </c>
      <c r="D22" s="5">
        <v>41609860.097830303</v>
      </c>
      <c r="E22" s="5">
        <v>55568893.598639302</v>
      </c>
      <c r="F22" s="5">
        <v>5976013.9588438002</v>
      </c>
      <c r="G22" s="5">
        <v>15839337.5105759</v>
      </c>
      <c r="H22" s="5">
        <v>48246148.673130803</v>
      </c>
      <c r="I22" s="5">
        <v>11217464.827686099</v>
      </c>
      <c r="J22" s="5">
        <v>54462388.557534598</v>
      </c>
      <c r="K22" s="5">
        <v>50732259.445961699</v>
      </c>
      <c r="L22" s="5">
        <v>34243742.878768198</v>
      </c>
      <c r="M22" s="5">
        <v>21509336.904097099</v>
      </c>
      <c r="N22" s="5">
        <v>81167243.741820201</v>
      </c>
      <c r="O22" s="5">
        <v>8684122.4726207592</v>
      </c>
      <c r="P22" s="5">
        <v>28187508.504455399</v>
      </c>
      <c r="Q22" s="5">
        <v>28105102.517822299</v>
      </c>
      <c r="R22" s="5">
        <v>38821019.092050098</v>
      </c>
      <c r="S22" s="5">
        <v>19657726.8373079</v>
      </c>
      <c r="T22" s="5">
        <v>9491790.2109314594</v>
      </c>
      <c r="U22" s="5">
        <v>39556241.745631903</v>
      </c>
      <c r="V22" s="5">
        <v>10252199.9894436</v>
      </c>
    </row>
    <row r="23" spans="1:22" x14ac:dyDescent="0.45">
      <c r="A23" s="5" t="s">
        <v>171</v>
      </c>
      <c r="B23" s="5">
        <v>415860.544749811</v>
      </c>
      <c r="C23" s="5">
        <v>330253.59658441303</v>
      </c>
      <c r="D23" s="5">
        <v>380400.26240766002</v>
      </c>
      <c r="E23" s="5">
        <v>438433.41185242299</v>
      </c>
      <c r="F23" s="5">
        <v>184117.912786284</v>
      </c>
      <c r="G23" s="5">
        <v>724113.55945694703</v>
      </c>
      <c r="H23" s="5">
        <v>290788.62436437397</v>
      </c>
      <c r="I23" s="5">
        <v>146646.85532053199</v>
      </c>
      <c r="J23" s="5">
        <v>328056.06665330299</v>
      </c>
      <c r="K23" s="5">
        <v>396654.08733264898</v>
      </c>
      <c r="L23" s="5">
        <v>323185.552156127</v>
      </c>
      <c r="M23" s="5">
        <v>413704.75909629097</v>
      </c>
      <c r="N23" s="5">
        <v>488476.56870034401</v>
      </c>
      <c r="O23" s="5">
        <v>156403.65690847801</v>
      </c>
      <c r="P23" s="5">
        <v>379593.609944141</v>
      </c>
      <c r="Q23" s="5">
        <v>242815.534579687</v>
      </c>
      <c r="R23" s="5">
        <v>558703.98347624403</v>
      </c>
      <c r="S23" s="5">
        <v>196282.764441665</v>
      </c>
      <c r="T23" s="5">
        <v>227682.82703679099</v>
      </c>
      <c r="U23" s="5">
        <v>479501.79587127903</v>
      </c>
      <c r="V23" s="5">
        <v>145115.68323330799</v>
      </c>
    </row>
    <row r="24" spans="1:22" x14ac:dyDescent="0.45">
      <c r="A24" s="5" t="s">
        <v>172</v>
      </c>
      <c r="B24" s="5">
        <v>114401.62972112899</v>
      </c>
      <c r="C24" s="5">
        <v>287045.70513434702</v>
      </c>
      <c r="D24" s="5">
        <v>110136.845684905</v>
      </c>
      <c r="E24" s="5">
        <v>94979.424957568495</v>
      </c>
      <c r="F24" s="5">
        <v>95937.212382368496</v>
      </c>
      <c r="G24" s="5">
        <v>116232.243205174</v>
      </c>
      <c r="H24" s="5">
        <v>77715.450834706193</v>
      </c>
      <c r="I24" s="5">
        <v>135194.50142292801</v>
      </c>
      <c r="J24" s="5">
        <v>149786.23031011201</v>
      </c>
      <c r="K24" s="5">
        <v>139829.38039684299</v>
      </c>
      <c r="L24" s="5">
        <v>178827.09080778901</v>
      </c>
      <c r="M24" s="5">
        <v>163364.336358837</v>
      </c>
      <c r="N24" s="5">
        <v>101613.444931825</v>
      </c>
      <c r="O24" s="5">
        <v>149493.233405976</v>
      </c>
      <c r="P24" s="5">
        <v>69592.583081725199</v>
      </c>
      <c r="Q24" s="5">
        <v>71199.115236043799</v>
      </c>
      <c r="R24" s="5">
        <v>106852.534515359</v>
      </c>
      <c r="S24" s="5">
        <v>75322.446207604502</v>
      </c>
      <c r="T24" s="5">
        <v>114863.752933257</v>
      </c>
      <c r="U24" s="5">
        <v>134640.89021384</v>
      </c>
      <c r="V24" s="5">
        <v>80152.019685948704</v>
      </c>
    </row>
    <row r="25" spans="1:22" x14ac:dyDescent="0.45">
      <c r="A25" s="5" t="s">
        <v>231</v>
      </c>
      <c r="B25" s="5">
        <v>4004513.8816747498</v>
      </c>
      <c r="C25" s="5">
        <v>4526308.6594554102</v>
      </c>
      <c r="D25" s="5">
        <v>9126657.2074130401</v>
      </c>
      <c r="E25" s="5">
        <v>7905455.3764859503</v>
      </c>
      <c r="F25" s="5">
        <v>2525004.7320506498</v>
      </c>
      <c r="G25" s="5">
        <v>2611886.2425466198</v>
      </c>
      <c r="H25" s="5">
        <v>4948070.9925320204</v>
      </c>
      <c r="I25" s="5">
        <v>2547848.4158140998</v>
      </c>
      <c r="J25" s="5">
        <v>6653189.30055511</v>
      </c>
      <c r="K25" s="5">
        <v>1669448.26246091</v>
      </c>
      <c r="L25" s="5">
        <v>3618934.3178779199</v>
      </c>
      <c r="M25" s="5">
        <v>8174654.8699636804</v>
      </c>
      <c r="N25" s="5">
        <v>10998693.854459999</v>
      </c>
      <c r="O25" s="5">
        <v>3324194.8409281499</v>
      </c>
      <c r="P25" s="5">
        <v>11804268.507861201</v>
      </c>
      <c r="Q25" s="5">
        <v>4109365.1606847299</v>
      </c>
      <c r="R25" s="5">
        <v>8823973.5840617195</v>
      </c>
      <c r="S25" s="5">
        <v>3149489.6647252599</v>
      </c>
      <c r="T25" s="5">
        <v>2211102.8421173799</v>
      </c>
      <c r="U25" s="5">
        <v>7711288.4721275596</v>
      </c>
      <c r="V25" s="5">
        <v>3715307.7214775598</v>
      </c>
    </row>
    <row r="26" spans="1:22" x14ac:dyDescent="0.45">
      <c r="A26" s="5" t="s">
        <v>173</v>
      </c>
      <c r="B26" s="5">
        <v>291069.09229566099</v>
      </c>
      <c r="C26" s="5">
        <v>354716.05717041797</v>
      </c>
      <c r="D26" s="5">
        <v>217210.03895035901</v>
      </c>
      <c r="E26" s="5">
        <v>50206.471549857299</v>
      </c>
      <c r="F26" s="5">
        <v>2190809.8390928102</v>
      </c>
      <c r="G26" s="5">
        <v>2137066.1632931302</v>
      </c>
      <c r="H26" s="5">
        <v>116352.518488373</v>
      </c>
      <c r="I26" s="5">
        <v>3930062.77998133</v>
      </c>
      <c r="J26" s="5">
        <v>112434.158358421</v>
      </c>
      <c r="K26" s="5">
        <v>146717.23771720601</v>
      </c>
      <c r="L26" s="5">
        <v>1112436.4685275201</v>
      </c>
      <c r="M26" s="5">
        <v>51281.470396174896</v>
      </c>
      <c r="N26" s="5">
        <v>52745.098791914403</v>
      </c>
      <c r="O26" s="5">
        <v>1094331.8180676999</v>
      </c>
      <c r="P26" s="5">
        <v>208415.693386584</v>
      </c>
      <c r="Q26" s="5">
        <v>666099.22272508498</v>
      </c>
      <c r="R26" s="5">
        <v>4605255.4751530001</v>
      </c>
      <c r="S26" s="5">
        <v>1417304.42201969</v>
      </c>
      <c r="T26" s="5">
        <v>2968605.5570318499</v>
      </c>
      <c r="U26" s="5">
        <v>1145366.23185368</v>
      </c>
      <c r="V26" s="5">
        <v>1156524.58562969</v>
      </c>
    </row>
    <row r="27" spans="1:22" x14ac:dyDescent="0.45">
      <c r="A27" s="5" t="s">
        <v>121</v>
      </c>
      <c r="B27" s="5">
        <v>598772.89512584696</v>
      </c>
      <c r="C27" s="5">
        <v>600848.44175333797</v>
      </c>
      <c r="D27" s="5">
        <v>862542.38115783199</v>
      </c>
      <c r="E27" s="5">
        <v>96111.227592892494</v>
      </c>
      <c r="F27" s="5">
        <v>9126395.25605716</v>
      </c>
      <c r="G27" s="5">
        <v>13746563.1883367</v>
      </c>
      <c r="H27" s="5">
        <v>1138056.3568612</v>
      </c>
      <c r="I27" s="5">
        <v>33155771.101477802</v>
      </c>
      <c r="J27" s="5">
        <v>400264.93126163201</v>
      </c>
      <c r="K27" s="5">
        <v>475724.67537777597</v>
      </c>
      <c r="L27" s="5">
        <v>761813.52162946505</v>
      </c>
      <c r="M27" s="5">
        <v>541230.02924760699</v>
      </c>
      <c r="N27" s="5">
        <v>543139.56263679697</v>
      </c>
      <c r="O27" s="5">
        <v>15562103.264325701</v>
      </c>
      <c r="P27" s="5">
        <v>784723.93223689997</v>
      </c>
      <c r="Q27" s="5">
        <v>678591.77189151396</v>
      </c>
      <c r="R27" s="5">
        <v>595904.46874484397</v>
      </c>
      <c r="S27" s="5">
        <v>9392022.2122452892</v>
      </c>
      <c r="T27" s="5">
        <v>12507446.276856</v>
      </c>
      <c r="U27" s="5">
        <v>178670.74263478001</v>
      </c>
      <c r="V27" s="5">
        <v>12230688.363851501</v>
      </c>
    </row>
    <row r="28" spans="1:22" x14ac:dyDescent="0.45">
      <c r="A28" s="5" t="s">
        <v>40</v>
      </c>
      <c r="B28" s="5">
        <v>4199509.4037390696</v>
      </c>
      <c r="C28" s="5">
        <v>4743853.58748045</v>
      </c>
      <c r="D28" s="5">
        <v>5692002.58614437</v>
      </c>
      <c r="E28" s="5">
        <v>8305097.3182322597</v>
      </c>
      <c r="F28" s="5">
        <v>5496057.8417557599</v>
      </c>
      <c r="G28" s="5">
        <v>3789270.0659437398</v>
      </c>
      <c r="H28" s="5">
        <v>6454682.1352036595</v>
      </c>
      <c r="I28" s="5">
        <v>4273159.3647580603</v>
      </c>
      <c r="J28" s="5">
        <v>7487949.50340172</v>
      </c>
      <c r="K28" s="5">
        <v>7679993.1523905499</v>
      </c>
      <c r="L28" s="5">
        <v>8100358.38529984</v>
      </c>
      <c r="M28" s="5">
        <v>12109947.512293</v>
      </c>
      <c r="N28" s="5">
        <v>18310283.845979001</v>
      </c>
      <c r="O28" s="5">
        <v>5546563.3436301304</v>
      </c>
      <c r="P28" s="5">
        <v>11033081.666633399</v>
      </c>
      <c r="Q28" s="5">
        <v>6572158.6999750501</v>
      </c>
      <c r="R28" s="5">
        <v>9474746.1562538501</v>
      </c>
      <c r="S28" s="5">
        <v>5187401.9782805704</v>
      </c>
      <c r="T28" s="5">
        <v>6902077.0224695401</v>
      </c>
      <c r="U28" s="5">
        <v>6625980.56803736</v>
      </c>
      <c r="V28" s="5">
        <v>4383399.7118189698</v>
      </c>
    </row>
    <row r="29" spans="1:22" x14ac:dyDescent="0.45">
      <c r="A29" s="5" t="s">
        <v>174</v>
      </c>
      <c r="B29" s="5">
        <v>23393.274131448699</v>
      </c>
      <c r="C29" s="5">
        <v>102528.057708443</v>
      </c>
      <c r="D29" s="5">
        <v>83271.334963040994</v>
      </c>
      <c r="E29" s="5">
        <v>22496.394044225501</v>
      </c>
      <c r="F29" s="5">
        <v>3082986.6377000902</v>
      </c>
      <c r="G29" s="5">
        <v>1824928.2657799299</v>
      </c>
      <c r="H29" s="5">
        <v>73215.252605150294</v>
      </c>
      <c r="I29" s="5">
        <v>3261553.2670483999</v>
      </c>
      <c r="J29" s="5">
        <v>64261.659439419403</v>
      </c>
      <c r="K29" s="5">
        <v>21548.0875826476</v>
      </c>
      <c r="L29" s="5">
        <v>23312.2430930191</v>
      </c>
      <c r="M29" s="5">
        <v>23712.976470853398</v>
      </c>
      <c r="N29" s="5">
        <v>20490.2310392299</v>
      </c>
      <c r="O29" s="5">
        <v>2514462.2464881102</v>
      </c>
      <c r="P29" s="5">
        <v>21611.943351050599</v>
      </c>
      <c r="Q29" s="5">
        <v>167278.090085356</v>
      </c>
      <c r="R29" s="5">
        <v>23708.4989790578</v>
      </c>
      <c r="S29" s="5">
        <v>3291112.3802137999</v>
      </c>
      <c r="T29" s="5">
        <v>2386167.2161330399</v>
      </c>
      <c r="U29" s="5">
        <v>20174.6608092776</v>
      </c>
      <c r="V29" s="5">
        <v>4873373.7405381398</v>
      </c>
    </row>
    <row r="30" spans="1:22" x14ac:dyDescent="0.45">
      <c r="A30" s="5" t="s">
        <v>175</v>
      </c>
      <c r="B30" s="5">
        <v>105085.13843664101</v>
      </c>
      <c r="C30" s="5">
        <v>101237.35681604101</v>
      </c>
      <c r="D30" s="5">
        <v>102437.736115922</v>
      </c>
      <c r="E30" s="5">
        <v>97442.781580926705</v>
      </c>
      <c r="F30" s="5">
        <v>49854.038067638103</v>
      </c>
      <c r="G30" s="5">
        <v>45214.472284599098</v>
      </c>
      <c r="H30" s="5">
        <v>91052.411494853193</v>
      </c>
      <c r="I30" s="5">
        <v>29499.659059492202</v>
      </c>
      <c r="J30" s="5">
        <v>133541.694014204</v>
      </c>
      <c r="K30" s="5">
        <v>117676.868469165</v>
      </c>
      <c r="L30" s="5">
        <v>90188.434966713205</v>
      </c>
      <c r="M30" s="5">
        <v>137741.28310779601</v>
      </c>
      <c r="N30" s="5">
        <v>203592.94892482299</v>
      </c>
      <c r="O30" s="5">
        <v>56536.739412557203</v>
      </c>
      <c r="P30" s="5">
        <v>145112.260422274</v>
      </c>
      <c r="Q30" s="5">
        <v>111477.43342980801</v>
      </c>
      <c r="R30" s="5">
        <v>126199.460803102</v>
      </c>
      <c r="S30" s="5">
        <v>56036.511650841698</v>
      </c>
      <c r="T30" s="5">
        <v>36125.355473185402</v>
      </c>
      <c r="U30" s="5">
        <v>69112.946685388903</v>
      </c>
      <c r="V30" s="5">
        <v>33176.707278899201</v>
      </c>
    </row>
    <row r="31" spans="1:22" x14ac:dyDescent="0.45">
      <c r="A31" s="5" t="s">
        <v>176</v>
      </c>
      <c r="B31" s="5">
        <v>60276451.640484497</v>
      </c>
      <c r="C31" s="5">
        <v>40027265.656321697</v>
      </c>
      <c r="D31" s="5">
        <v>52437447.831717402</v>
      </c>
      <c r="E31" s="5">
        <v>48272023.675129898</v>
      </c>
      <c r="F31" s="5">
        <v>23257769.0515384</v>
      </c>
      <c r="G31" s="5">
        <v>14710495.283118799</v>
      </c>
      <c r="H31" s="5">
        <v>45389934.602000996</v>
      </c>
      <c r="I31" s="5">
        <v>21505108.945393998</v>
      </c>
      <c r="J31" s="5">
        <v>42656635.979355797</v>
      </c>
      <c r="K31" s="5">
        <v>49896833.6806015</v>
      </c>
      <c r="L31" s="5">
        <v>47357047.384842001</v>
      </c>
      <c r="M31" s="5">
        <v>38653363.136136703</v>
      </c>
      <c r="N31" s="5">
        <v>44654489.024843797</v>
      </c>
      <c r="O31" s="5">
        <v>27922060.717166498</v>
      </c>
      <c r="P31" s="5">
        <v>51489757.669489302</v>
      </c>
      <c r="Q31" s="5">
        <v>48197144.187938198</v>
      </c>
      <c r="R31" s="5">
        <v>56374078.735508002</v>
      </c>
      <c r="S31" s="5">
        <v>20940562.487657901</v>
      </c>
      <c r="T31" s="5">
        <v>22850327.8400237</v>
      </c>
      <c r="U31" s="5">
        <v>37306260.571054399</v>
      </c>
      <c r="V31" s="5">
        <v>25484931.934388299</v>
      </c>
    </row>
    <row r="32" spans="1:22" x14ac:dyDescent="0.45">
      <c r="A32" s="5" t="s">
        <v>122</v>
      </c>
      <c r="B32" s="5">
        <v>15096921.1277098</v>
      </c>
      <c r="C32" s="5">
        <v>12795879.320127999</v>
      </c>
      <c r="D32" s="5">
        <v>6790574.5359485596</v>
      </c>
      <c r="E32" s="5">
        <v>7125439.4615116296</v>
      </c>
      <c r="F32" s="5">
        <v>5421054.3119542599</v>
      </c>
      <c r="G32" s="5">
        <v>4941972.6898711203</v>
      </c>
      <c r="H32" s="5">
        <v>9315188.0197283104</v>
      </c>
      <c r="I32" s="5">
        <v>5080165.2793276897</v>
      </c>
      <c r="J32" s="5">
        <v>6864878.7609324697</v>
      </c>
      <c r="K32" s="5">
        <v>6930374.8546304898</v>
      </c>
      <c r="L32" s="5">
        <v>5219909.0407957695</v>
      </c>
      <c r="M32" s="5">
        <v>9252280.1677249894</v>
      </c>
      <c r="N32" s="5">
        <v>7386304.2410268001</v>
      </c>
      <c r="O32" s="5">
        <v>5909835.3371023098</v>
      </c>
      <c r="P32" s="5">
        <v>5908332.0283587603</v>
      </c>
      <c r="Q32" s="5">
        <v>6726173.2496553799</v>
      </c>
      <c r="R32" s="5">
        <v>5804943.7451796001</v>
      </c>
      <c r="S32" s="5">
        <v>4511464.34343848</v>
      </c>
      <c r="T32" s="5">
        <v>4353594.7764485497</v>
      </c>
      <c r="U32" s="5">
        <v>4192951.0735116</v>
      </c>
      <c r="V32" s="5">
        <v>4459538.7412908804</v>
      </c>
    </row>
    <row r="33" spans="1:22" x14ac:dyDescent="0.45">
      <c r="A33" s="5" t="s">
        <v>232</v>
      </c>
      <c r="B33" s="5">
        <v>5224297.7112736003</v>
      </c>
      <c r="C33" s="5">
        <v>5966405.84119057</v>
      </c>
      <c r="D33" s="5">
        <v>9537707.6402713191</v>
      </c>
      <c r="E33" s="5">
        <v>2394857.1687028701</v>
      </c>
      <c r="F33" s="5">
        <v>53731685.092841297</v>
      </c>
      <c r="G33" s="5">
        <v>87024713.2397338</v>
      </c>
      <c r="H33" s="5">
        <v>11999433.0097255</v>
      </c>
      <c r="I33" s="5">
        <v>89286343.198672101</v>
      </c>
      <c r="J33" s="5">
        <v>5308668.5489259204</v>
      </c>
      <c r="K33" s="5">
        <v>5216130.4074879801</v>
      </c>
      <c r="L33" s="5">
        <v>25756135.831138398</v>
      </c>
      <c r="M33" s="5">
        <v>3017504.3512774101</v>
      </c>
      <c r="N33" s="5">
        <v>2205478.0713859601</v>
      </c>
      <c r="O33" s="5">
        <v>71615820.078352898</v>
      </c>
      <c r="P33" s="5">
        <v>8128867.5428961702</v>
      </c>
      <c r="Q33" s="5">
        <v>9065905.9067383297</v>
      </c>
      <c r="R33" s="5">
        <v>6377756.6510328297</v>
      </c>
      <c r="S33" s="5">
        <v>51377423.355009302</v>
      </c>
      <c r="T33" s="5">
        <v>86733760.474906206</v>
      </c>
      <c r="U33" s="5">
        <v>7032542.1838739198</v>
      </c>
      <c r="V33" s="5">
        <v>58454950.238472797</v>
      </c>
    </row>
    <row r="34" spans="1:22" x14ac:dyDescent="0.45">
      <c r="A34" s="5" t="s">
        <v>177</v>
      </c>
      <c r="B34" s="5">
        <v>2138444.4394956501</v>
      </c>
      <c r="C34" s="5">
        <v>1257376.68671475</v>
      </c>
      <c r="D34" s="5">
        <v>1376717.9998449699</v>
      </c>
      <c r="E34" s="5">
        <v>1912242.27717051</v>
      </c>
      <c r="F34" s="5">
        <v>562830.48540681601</v>
      </c>
      <c r="G34" s="5">
        <v>870144.52079559502</v>
      </c>
      <c r="H34" s="5">
        <v>910100.19444593205</v>
      </c>
      <c r="I34" s="5">
        <v>653724.28110330703</v>
      </c>
      <c r="J34" s="5">
        <v>1853954.0557259901</v>
      </c>
      <c r="K34" s="5">
        <v>1214297.8156874301</v>
      </c>
      <c r="L34" s="5">
        <v>2459979.72737541</v>
      </c>
      <c r="M34" s="5">
        <v>2448845.0285440902</v>
      </c>
      <c r="N34" s="5">
        <v>1913854.12496884</v>
      </c>
      <c r="O34" s="5">
        <v>925180.92703895096</v>
      </c>
      <c r="P34" s="5">
        <v>2596420.3168876399</v>
      </c>
      <c r="Q34" s="5">
        <v>993603.48704739497</v>
      </c>
      <c r="R34" s="5">
        <v>1975653.0416579801</v>
      </c>
      <c r="S34" s="5">
        <v>733196.75753919198</v>
      </c>
      <c r="T34" s="5">
        <v>634829.32336477505</v>
      </c>
      <c r="U34" s="5">
        <v>1776880.93432439</v>
      </c>
      <c r="V34" s="5">
        <v>573440.29127520905</v>
      </c>
    </row>
    <row r="35" spans="1:22" x14ac:dyDescent="0.45">
      <c r="A35" s="5" t="s">
        <v>41</v>
      </c>
      <c r="B35" s="5">
        <v>33592731.689236097</v>
      </c>
      <c r="C35" s="5">
        <v>31232477.361311201</v>
      </c>
      <c r="D35" s="5">
        <v>27418524.909761101</v>
      </c>
      <c r="E35" s="5">
        <v>30074132.884582099</v>
      </c>
      <c r="F35" s="5">
        <v>22509304.4874807</v>
      </c>
      <c r="G35" s="5">
        <v>20657630.4637964</v>
      </c>
      <c r="H35" s="5">
        <v>35897513.902756996</v>
      </c>
      <c r="I35" s="5">
        <v>17463971.065108601</v>
      </c>
      <c r="J35" s="5">
        <v>26788896.191412099</v>
      </c>
      <c r="K35" s="5">
        <v>29866336.570355002</v>
      </c>
      <c r="L35" s="5">
        <v>24722977.501454201</v>
      </c>
      <c r="M35" s="5">
        <v>34361466.4808046</v>
      </c>
      <c r="N35" s="5">
        <v>34625301.3659603</v>
      </c>
      <c r="O35" s="5">
        <v>20953069.645605899</v>
      </c>
      <c r="P35" s="5">
        <v>37370586.690171897</v>
      </c>
      <c r="Q35" s="5">
        <v>29102509.2940896</v>
      </c>
      <c r="R35" s="5">
        <v>60131850.232973099</v>
      </c>
      <c r="S35" s="5">
        <v>19610788.0369468</v>
      </c>
      <c r="T35" s="5">
        <v>18252650.1634553</v>
      </c>
      <c r="U35" s="5">
        <v>17799464.144618101</v>
      </c>
      <c r="V35" s="5">
        <v>17959102.444545899</v>
      </c>
    </row>
    <row r="36" spans="1:22" x14ac:dyDescent="0.45">
      <c r="A36" s="5" t="s">
        <v>178</v>
      </c>
      <c r="B36" s="5">
        <v>9068140.0273250509</v>
      </c>
      <c r="C36" s="5">
        <v>9446674.6277674194</v>
      </c>
      <c r="D36" s="5">
        <v>9887782.7774766702</v>
      </c>
      <c r="E36" s="5">
        <v>11144375.182527199</v>
      </c>
      <c r="F36" s="5">
        <v>6933380.8161241096</v>
      </c>
      <c r="G36" s="5">
        <v>7206743.7175303204</v>
      </c>
      <c r="H36" s="5">
        <v>10157268.517996401</v>
      </c>
      <c r="I36" s="5">
        <v>9518137.65865626</v>
      </c>
      <c r="J36" s="5">
        <v>11230858.826324699</v>
      </c>
      <c r="K36" s="5">
        <v>12181700.389022499</v>
      </c>
      <c r="L36" s="5">
        <v>10527846.227213601</v>
      </c>
      <c r="M36" s="5">
        <v>12556879.220228</v>
      </c>
      <c r="N36" s="5">
        <v>11766209.867208799</v>
      </c>
      <c r="O36" s="5">
        <v>7763307.5288090901</v>
      </c>
      <c r="P36" s="5">
        <v>10136701.7501748</v>
      </c>
      <c r="Q36" s="5">
        <v>10804028.7150116</v>
      </c>
      <c r="R36" s="5">
        <v>12277622.996466201</v>
      </c>
      <c r="S36" s="5">
        <v>7024395.2131811501</v>
      </c>
      <c r="T36" s="5">
        <v>7973672.9887797805</v>
      </c>
      <c r="U36" s="5">
        <v>12893974.809857899</v>
      </c>
      <c r="V36" s="5">
        <v>7867699.88434627</v>
      </c>
    </row>
    <row r="37" spans="1:22" x14ac:dyDescent="0.45">
      <c r="A37" s="5" t="s">
        <v>275</v>
      </c>
      <c r="B37" s="5">
        <v>6651853.9481990403</v>
      </c>
      <c r="C37" s="5">
        <v>7971465.0558604598</v>
      </c>
      <c r="D37" s="5">
        <v>5241633.9982048804</v>
      </c>
      <c r="E37" s="5">
        <v>4749091.74448861</v>
      </c>
      <c r="F37" s="5">
        <v>4788549.6917871404</v>
      </c>
      <c r="G37" s="5">
        <v>3788996.3435573699</v>
      </c>
      <c r="H37" s="5">
        <v>6196593.3439950701</v>
      </c>
      <c r="I37" s="5">
        <v>4393738.1532424903</v>
      </c>
      <c r="J37" s="5">
        <v>7487981.6607117001</v>
      </c>
      <c r="K37" s="5">
        <v>7084705.6810711101</v>
      </c>
      <c r="L37" s="5">
        <v>5345117.9668540796</v>
      </c>
      <c r="M37" s="5">
        <v>5826357.1478782799</v>
      </c>
      <c r="N37" s="5">
        <v>7899641.7034245199</v>
      </c>
      <c r="O37" s="5">
        <v>5226835.4600661397</v>
      </c>
      <c r="P37" s="5">
        <v>6538767.9611967104</v>
      </c>
      <c r="Q37" s="5">
        <v>4756139.9572647698</v>
      </c>
      <c r="R37" s="5">
        <v>11669786.082141099</v>
      </c>
      <c r="S37" s="5">
        <v>6749290.9389384398</v>
      </c>
      <c r="T37" s="5">
        <v>4718631.8605755996</v>
      </c>
      <c r="U37" s="5">
        <v>6171363.5354035096</v>
      </c>
      <c r="V37" s="5">
        <v>3830222.52430525</v>
      </c>
    </row>
    <row r="38" spans="1:22" x14ac:dyDescent="0.45">
      <c r="A38" s="5" t="s">
        <v>42</v>
      </c>
      <c r="B38" s="5">
        <v>958521.49352341495</v>
      </c>
      <c r="C38" s="5">
        <v>1347495.8616890099</v>
      </c>
      <c r="D38" s="5">
        <v>1306202.7870034201</v>
      </c>
      <c r="E38" s="5">
        <v>6853018.9770473698</v>
      </c>
      <c r="F38" s="5">
        <v>815308.48008391098</v>
      </c>
      <c r="G38" s="5">
        <v>793468.77519878501</v>
      </c>
      <c r="H38" s="5">
        <v>891366.90547130001</v>
      </c>
      <c r="I38" s="5">
        <v>722259.46908523096</v>
      </c>
      <c r="J38" s="5">
        <v>1218246.1796437299</v>
      </c>
      <c r="K38" s="5">
        <v>1155123.97757869</v>
      </c>
      <c r="L38" s="5">
        <v>1215052.3942720101</v>
      </c>
      <c r="M38" s="5">
        <v>1135923.22798023</v>
      </c>
      <c r="N38" s="5">
        <v>1049458.2884899101</v>
      </c>
      <c r="O38" s="5">
        <v>555438.54827446595</v>
      </c>
      <c r="P38" s="5">
        <v>1255412.51865873</v>
      </c>
      <c r="Q38" s="5">
        <v>945012.238102676</v>
      </c>
      <c r="R38" s="5">
        <v>996823.77628160501</v>
      </c>
      <c r="S38" s="5">
        <v>699822.78870002797</v>
      </c>
      <c r="T38" s="5">
        <v>693826.17433058796</v>
      </c>
      <c r="U38" s="5">
        <v>1326966.37711103</v>
      </c>
      <c r="V38" s="5">
        <v>614828.76041230699</v>
      </c>
    </row>
    <row r="39" spans="1:22" x14ac:dyDescent="0.45">
      <c r="A39" s="5" t="s">
        <v>123</v>
      </c>
      <c r="B39" s="5">
        <v>29167534.692101698</v>
      </c>
      <c r="C39" s="5">
        <v>25010114.555525701</v>
      </c>
      <c r="D39" s="5">
        <v>30599987.164115701</v>
      </c>
      <c r="E39" s="5">
        <v>30454330.193740498</v>
      </c>
      <c r="F39" s="5">
        <v>22737809.6141208</v>
      </c>
      <c r="G39" s="5">
        <v>25732069.883474901</v>
      </c>
      <c r="H39" s="5">
        <v>28765520.2482704</v>
      </c>
      <c r="I39" s="5">
        <v>26694815.661795001</v>
      </c>
      <c r="J39" s="5">
        <v>25983140.5202871</v>
      </c>
      <c r="K39" s="5">
        <v>28436544.228190999</v>
      </c>
      <c r="L39" s="5">
        <v>22737561.486604199</v>
      </c>
      <c r="M39" s="5">
        <v>34999535.934629098</v>
      </c>
      <c r="N39" s="5">
        <v>33903646.968519397</v>
      </c>
      <c r="O39" s="5">
        <v>23021819.882631499</v>
      </c>
      <c r="P39" s="5">
        <v>28465004.439484399</v>
      </c>
      <c r="Q39" s="5">
        <v>31352428.936691001</v>
      </c>
      <c r="R39" s="5">
        <v>31112495.102546901</v>
      </c>
      <c r="S39" s="5">
        <v>21255840.5982274</v>
      </c>
      <c r="T39" s="5">
        <v>22303298.6642575</v>
      </c>
      <c r="U39" s="5">
        <v>27520387.3466595</v>
      </c>
      <c r="V39" s="5">
        <v>22551044.502973799</v>
      </c>
    </row>
    <row r="40" spans="1:22" x14ac:dyDescent="0.45">
      <c r="A40" s="5" t="s">
        <v>124</v>
      </c>
      <c r="B40" s="5">
        <v>44660228.242472097</v>
      </c>
      <c r="C40" s="5">
        <v>38986428.303489603</v>
      </c>
      <c r="D40" s="5">
        <v>41215425.674198098</v>
      </c>
      <c r="E40" s="5">
        <v>41477113.999209203</v>
      </c>
      <c r="F40" s="5">
        <v>27485430.460126501</v>
      </c>
      <c r="G40" s="5">
        <v>25149586.074163999</v>
      </c>
      <c r="H40" s="5">
        <v>41210092.106326602</v>
      </c>
      <c r="I40" s="5">
        <v>29898840.2536618</v>
      </c>
      <c r="J40" s="5">
        <v>39160902.680786803</v>
      </c>
      <c r="K40" s="5">
        <v>38418563.828830697</v>
      </c>
      <c r="L40" s="5">
        <v>30894541.302603099</v>
      </c>
      <c r="M40" s="5">
        <v>43011852.880120203</v>
      </c>
      <c r="N40" s="5">
        <v>52727986.441545501</v>
      </c>
      <c r="O40" s="5">
        <v>27792168.324616998</v>
      </c>
      <c r="P40" s="5">
        <v>41108523.425491102</v>
      </c>
      <c r="Q40" s="5">
        <v>41351463.324416503</v>
      </c>
      <c r="R40" s="5">
        <v>43651974.498445399</v>
      </c>
      <c r="S40" s="5">
        <v>29023858.4281458</v>
      </c>
      <c r="T40" s="5">
        <v>26974661.483667601</v>
      </c>
      <c r="U40" s="5">
        <v>31790966.252193</v>
      </c>
      <c r="V40" s="5">
        <v>29560842.728148099</v>
      </c>
    </row>
    <row r="41" spans="1:22" x14ac:dyDescent="0.45">
      <c r="A41" s="5" t="s">
        <v>43</v>
      </c>
      <c r="B41" s="5">
        <v>2279924.3888956001</v>
      </c>
      <c r="C41" s="5">
        <v>1405063.7346582001</v>
      </c>
      <c r="D41" s="5">
        <v>1686759.26112819</v>
      </c>
      <c r="E41" s="5">
        <v>3229701.1729594199</v>
      </c>
      <c r="F41" s="5">
        <v>1808995.44620924</v>
      </c>
      <c r="G41" s="5">
        <v>1825428.8211078499</v>
      </c>
      <c r="H41" s="5">
        <v>2969788.3358160998</v>
      </c>
      <c r="I41" s="5">
        <v>1926593.84979482</v>
      </c>
      <c r="J41" s="5">
        <v>983565.31108631205</v>
      </c>
      <c r="K41" s="5">
        <v>2247272.3708600099</v>
      </c>
      <c r="L41" s="5">
        <v>2756018.1076247101</v>
      </c>
      <c r="M41" s="5">
        <v>2478218.9858476599</v>
      </c>
      <c r="N41" s="5">
        <v>3037524.64584629</v>
      </c>
      <c r="O41" s="5">
        <v>1722477.8673866501</v>
      </c>
      <c r="P41" s="5">
        <v>2232700.0097480002</v>
      </c>
      <c r="Q41" s="5">
        <v>2723678.8836769899</v>
      </c>
      <c r="R41" s="5">
        <v>2852992.3806431401</v>
      </c>
      <c r="S41" s="5">
        <v>2402271.1887191902</v>
      </c>
      <c r="T41" s="5">
        <v>1438963.0885403301</v>
      </c>
      <c r="U41" s="5">
        <v>3235075.94782724</v>
      </c>
      <c r="V41" s="5">
        <v>1843811.24779546</v>
      </c>
    </row>
    <row r="42" spans="1:22" x14ac:dyDescent="0.45">
      <c r="A42" s="5" t="s">
        <v>44</v>
      </c>
      <c r="B42" s="5">
        <v>227949774.967242</v>
      </c>
      <c r="C42" s="5">
        <v>174339981.90157899</v>
      </c>
      <c r="D42" s="5">
        <v>224703109.24732101</v>
      </c>
      <c r="E42" s="5">
        <v>274142527.83715302</v>
      </c>
      <c r="F42" s="5">
        <v>321050378.94456702</v>
      </c>
      <c r="G42" s="5">
        <v>246012708.99620101</v>
      </c>
      <c r="H42" s="5">
        <v>271071413.68091202</v>
      </c>
      <c r="I42" s="5">
        <v>198208942.37427601</v>
      </c>
      <c r="J42" s="5">
        <v>235477099.71112201</v>
      </c>
      <c r="K42" s="5">
        <v>299818637.26012701</v>
      </c>
      <c r="L42" s="5">
        <v>491026926.13630599</v>
      </c>
      <c r="M42" s="5">
        <v>297861690.83462399</v>
      </c>
      <c r="N42" s="5">
        <v>271380503.07195598</v>
      </c>
      <c r="O42" s="5">
        <v>235668802.45780599</v>
      </c>
      <c r="P42" s="5">
        <v>331175760.03848702</v>
      </c>
      <c r="Q42" s="5">
        <v>336933021.866804</v>
      </c>
      <c r="R42" s="5">
        <v>196747186.83077201</v>
      </c>
      <c r="S42" s="5">
        <v>371316293.11931098</v>
      </c>
      <c r="T42" s="5">
        <v>309347964.348216</v>
      </c>
      <c r="U42" s="5">
        <v>302497530.28409898</v>
      </c>
      <c r="V42" s="5">
        <v>264172126.44101599</v>
      </c>
    </row>
    <row r="43" spans="1:22" x14ac:dyDescent="0.45">
      <c r="A43" s="5" t="s">
        <v>233</v>
      </c>
      <c r="B43" s="5">
        <v>964630.66386364796</v>
      </c>
      <c r="C43" s="5">
        <v>1711635.5549359201</v>
      </c>
      <c r="D43" s="5">
        <v>1864406.9059874599</v>
      </c>
      <c r="E43" s="5">
        <v>322860.08834243898</v>
      </c>
      <c r="F43" s="5">
        <v>4973198.35727272</v>
      </c>
      <c r="G43" s="5">
        <v>9911988.1684367694</v>
      </c>
      <c r="H43" s="5">
        <v>1642850.0614664601</v>
      </c>
      <c r="I43" s="5">
        <v>18754707.8377988</v>
      </c>
      <c r="J43" s="5">
        <v>490651.67744401703</v>
      </c>
      <c r="K43" s="5">
        <v>387621.86758891301</v>
      </c>
      <c r="L43" s="5">
        <v>2885765.3248391999</v>
      </c>
      <c r="M43" s="5">
        <v>335625.17689464899</v>
      </c>
      <c r="N43" s="5">
        <v>328389.77233620198</v>
      </c>
      <c r="O43" s="5">
        <v>18683097.719671398</v>
      </c>
      <c r="P43" s="5">
        <v>1773768.44902961</v>
      </c>
      <c r="Q43" s="5">
        <v>1860720.9514852001</v>
      </c>
      <c r="R43" s="5">
        <v>3612742.1836779998</v>
      </c>
      <c r="S43" s="5">
        <v>12457617.6902059</v>
      </c>
      <c r="T43" s="5">
        <v>10043040.5567539</v>
      </c>
      <c r="U43" s="5">
        <v>318431.35956101998</v>
      </c>
      <c r="V43" s="5">
        <v>6077513.3191913804</v>
      </c>
    </row>
    <row r="44" spans="1:22" x14ac:dyDescent="0.45">
      <c r="A44" s="5" t="s">
        <v>45</v>
      </c>
      <c r="B44" s="5">
        <v>436691.37972817803</v>
      </c>
      <c r="C44" s="5">
        <v>585655.79236368998</v>
      </c>
      <c r="D44" s="5">
        <v>426323.58521285898</v>
      </c>
      <c r="E44" s="5">
        <v>242714.398407525</v>
      </c>
      <c r="F44" s="5">
        <v>2509715.69207743</v>
      </c>
      <c r="G44" s="5">
        <v>3481482.3433149601</v>
      </c>
      <c r="H44" s="5">
        <v>435174.68498177599</v>
      </c>
      <c r="I44" s="5">
        <v>6633336.93169994</v>
      </c>
      <c r="J44" s="5">
        <v>520524.35312051303</v>
      </c>
      <c r="K44" s="5">
        <v>85514.415882579604</v>
      </c>
      <c r="L44" s="5">
        <v>96081.401923084501</v>
      </c>
      <c r="M44" s="5">
        <v>274688.78453761502</v>
      </c>
      <c r="N44" s="5">
        <v>267639.54332232999</v>
      </c>
      <c r="O44" s="5">
        <v>4101914.11229413</v>
      </c>
      <c r="P44" s="5">
        <v>443959.87421325903</v>
      </c>
      <c r="Q44" s="5">
        <v>80808.603953376907</v>
      </c>
      <c r="R44" s="5">
        <v>195627.01093780799</v>
      </c>
      <c r="S44" s="5">
        <v>2660821.08175526</v>
      </c>
      <c r="T44" s="5">
        <v>3630036.44995768</v>
      </c>
      <c r="U44" s="5">
        <v>320303.85887597001</v>
      </c>
      <c r="V44" s="5">
        <v>3420428.33514645</v>
      </c>
    </row>
    <row r="45" spans="1:22" x14ac:dyDescent="0.45">
      <c r="A45" s="5" t="s">
        <v>46</v>
      </c>
      <c r="B45" s="5">
        <v>20029389.0722153</v>
      </c>
      <c r="C45" s="5">
        <v>26241845.756060101</v>
      </c>
      <c r="D45" s="5">
        <v>17840540.600175101</v>
      </c>
      <c r="E45" s="5">
        <v>20699278.312667601</v>
      </c>
      <c r="F45" s="5">
        <v>31220782.449486099</v>
      </c>
      <c r="G45" s="5">
        <v>38209457.648532502</v>
      </c>
      <c r="H45" s="5">
        <v>21055166.860827599</v>
      </c>
      <c r="I45" s="5">
        <v>130240074.505715</v>
      </c>
      <c r="J45" s="5">
        <v>21161018.791444201</v>
      </c>
      <c r="K45" s="5">
        <v>19675267.140840098</v>
      </c>
      <c r="L45" s="5">
        <v>14746852.797662901</v>
      </c>
      <c r="M45" s="5">
        <v>34548806.673555396</v>
      </c>
      <c r="N45" s="5">
        <v>38268536.825236201</v>
      </c>
      <c r="O45" s="5">
        <v>46927208.9366934</v>
      </c>
      <c r="P45" s="5">
        <v>17680858.997715201</v>
      </c>
      <c r="Q45" s="5">
        <v>18184556.7377025</v>
      </c>
      <c r="R45" s="5">
        <v>29292108.618039899</v>
      </c>
      <c r="S45" s="5">
        <v>32602319.424564499</v>
      </c>
      <c r="T45" s="5">
        <v>41511184.243469201</v>
      </c>
      <c r="U45" s="5">
        <v>15838081.5387426</v>
      </c>
      <c r="V45" s="5">
        <v>38981164.323812</v>
      </c>
    </row>
    <row r="46" spans="1:22" x14ac:dyDescent="0.45">
      <c r="A46" s="5" t="s">
        <v>47</v>
      </c>
      <c r="B46" s="5">
        <v>1431174852.2044101</v>
      </c>
      <c r="C46" s="5">
        <v>1516969344.8268499</v>
      </c>
      <c r="D46" s="5">
        <v>1697656016.2604401</v>
      </c>
      <c r="E46" s="5">
        <v>1951771525.8269601</v>
      </c>
      <c r="F46" s="5">
        <v>1273977926.5840399</v>
      </c>
      <c r="G46" s="5">
        <v>1276705399.1677401</v>
      </c>
      <c r="H46" s="5">
        <v>1327372331.12538</v>
      </c>
      <c r="I46" s="5">
        <v>2381964661.3039298</v>
      </c>
      <c r="J46" s="5">
        <v>1598281439.8636</v>
      </c>
      <c r="K46" s="5">
        <v>1413664482.51896</v>
      </c>
      <c r="L46" s="5">
        <v>1452933039.9328899</v>
      </c>
      <c r="M46" s="5">
        <v>1560455090.27549</v>
      </c>
      <c r="N46" s="5">
        <v>1961708493.1556001</v>
      </c>
      <c r="O46" s="5">
        <v>1436061340.3609099</v>
      </c>
      <c r="P46" s="5">
        <v>1788237280.86708</v>
      </c>
      <c r="Q46" s="5">
        <v>1593218884.0028999</v>
      </c>
      <c r="R46" s="5">
        <v>1634098728.4286001</v>
      </c>
      <c r="S46" s="5">
        <v>1286081433.5190899</v>
      </c>
      <c r="T46" s="5">
        <v>1242057174.47929</v>
      </c>
      <c r="U46" s="5">
        <v>1429271944.1635001</v>
      </c>
      <c r="V46" s="5">
        <v>1202268718.87571</v>
      </c>
    </row>
    <row r="47" spans="1:22" x14ac:dyDescent="0.45">
      <c r="A47" s="5" t="s">
        <v>179</v>
      </c>
      <c r="B47" s="5">
        <v>358006.12667123298</v>
      </c>
      <c r="C47" s="5">
        <v>445731.962710611</v>
      </c>
      <c r="D47" s="5">
        <v>1667745.45219626</v>
      </c>
      <c r="E47" s="5">
        <v>91277.173570861894</v>
      </c>
      <c r="F47" s="5">
        <v>16859653.5383261</v>
      </c>
      <c r="G47" s="5">
        <v>18527885.6830336</v>
      </c>
      <c r="H47" s="5">
        <v>2423439.03634327</v>
      </c>
      <c r="I47" s="5">
        <v>17118275.846023399</v>
      </c>
      <c r="J47" s="5">
        <v>289735.80883904902</v>
      </c>
      <c r="K47" s="5">
        <v>324438.73451401602</v>
      </c>
      <c r="L47" s="5">
        <v>2336118.0449876599</v>
      </c>
      <c r="M47" s="5">
        <v>72221.634303831801</v>
      </c>
      <c r="N47" s="5">
        <v>50738.600631830901</v>
      </c>
      <c r="O47" s="5">
        <v>17493049.665268298</v>
      </c>
      <c r="P47" s="5">
        <v>1355092.8881389</v>
      </c>
      <c r="Q47" s="5">
        <v>916291.29750478105</v>
      </c>
      <c r="R47" s="5">
        <v>22091.901026201002</v>
      </c>
      <c r="S47" s="5">
        <v>16807400.4345924</v>
      </c>
      <c r="T47" s="5">
        <v>20890027.526346698</v>
      </c>
      <c r="U47" s="5">
        <v>286447.24665436998</v>
      </c>
      <c r="V47" s="5">
        <v>23262679.8383331</v>
      </c>
    </row>
    <row r="48" spans="1:22" x14ac:dyDescent="0.45">
      <c r="A48" s="5" t="s">
        <v>48</v>
      </c>
      <c r="B48" s="5">
        <v>11886730.079361601</v>
      </c>
      <c r="C48" s="5">
        <v>12496533.8409857</v>
      </c>
      <c r="D48" s="5">
        <v>10946467.377118301</v>
      </c>
      <c r="E48" s="5">
        <v>11508437.9325055</v>
      </c>
      <c r="F48" s="5">
        <v>6733572.4708976299</v>
      </c>
      <c r="G48" s="5">
        <v>8381432.5265448904</v>
      </c>
      <c r="H48" s="5">
        <v>11095036.696354801</v>
      </c>
      <c r="I48" s="5">
        <v>14305436.368325099</v>
      </c>
      <c r="J48" s="5">
        <v>12774347.5191726</v>
      </c>
      <c r="K48" s="5">
        <v>13766961.4104404</v>
      </c>
      <c r="L48" s="5">
        <v>8665573.7121642791</v>
      </c>
      <c r="M48" s="5">
        <v>8729170.2014719006</v>
      </c>
      <c r="N48" s="5">
        <v>16298519.1086927</v>
      </c>
      <c r="O48" s="5">
        <v>22130664.3622723</v>
      </c>
      <c r="P48" s="5">
        <v>14365510.7064637</v>
      </c>
      <c r="Q48" s="5">
        <v>10396770.882031901</v>
      </c>
      <c r="R48" s="5">
        <v>12922793.548991499</v>
      </c>
      <c r="S48" s="5">
        <v>6793071.8767575603</v>
      </c>
      <c r="T48" s="5">
        <v>7202149.86016877</v>
      </c>
      <c r="U48" s="5">
        <v>9474491.9374588504</v>
      </c>
      <c r="V48" s="5">
        <v>8643415.5298001301</v>
      </c>
    </row>
    <row r="49" spans="1:22" x14ac:dyDescent="0.45">
      <c r="A49" s="5" t="s">
        <v>49</v>
      </c>
      <c r="B49" s="5">
        <v>73872601.598802805</v>
      </c>
      <c r="C49" s="5">
        <v>80164136.334365696</v>
      </c>
      <c r="D49" s="5">
        <v>84162845.496524602</v>
      </c>
      <c r="E49" s="5">
        <v>90988818.2031582</v>
      </c>
      <c r="F49" s="5">
        <v>67749955.534062997</v>
      </c>
      <c r="G49" s="5">
        <v>62415819.775378004</v>
      </c>
      <c r="H49" s="5">
        <v>93455860.7608345</v>
      </c>
      <c r="I49" s="5">
        <v>90370474.767682999</v>
      </c>
      <c r="J49" s="5">
        <v>75393929.746022105</v>
      </c>
      <c r="K49" s="5">
        <v>82826083.0290595</v>
      </c>
      <c r="L49" s="5">
        <v>68938977.601770699</v>
      </c>
      <c r="M49" s="5">
        <v>97793764.698201001</v>
      </c>
      <c r="N49" s="5">
        <v>94653835.626711205</v>
      </c>
      <c r="O49" s="5">
        <v>74535665.295063704</v>
      </c>
      <c r="P49" s="5">
        <v>84865985.059908196</v>
      </c>
      <c r="Q49" s="5">
        <v>83849730.612857297</v>
      </c>
      <c r="R49" s="5">
        <v>98046566.395426795</v>
      </c>
      <c r="S49" s="5">
        <v>65678754.629473098</v>
      </c>
      <c r="T49" s="5">
        <v>75940884.929891706</v>
      </c>
      <c r="U49" s="5">
        <v>76058886.256480604</v>
      </c>
      <c r="V49" s="5">
        <v>78824775.420579597</v>
      </c>
    </row>
    <row r="50" spans="1:22" x14ac:dyDescent="0.45">
      <c r="A50" s="5" t="s">
        <v>50</v>
      </c>
      <c r="B50" s="5">
        <v>6808678.5647619404</v>
      </c>
      <c r="C50" s="5">
        <v>12496373.1919479</v>
      </c>
      <c r="D50" s="5">
        <v>2656519.3486926998</v>
      </c>
      <c r="E50" s="5">
        <v>1522902.2646159001</v>
      </c>
      <c r="F50" s="5">
        <v>605086.94500582397</v>
      </c>
      <c r="G50" s="5">
        <v>781154.85390284401</v>
      </c>
      <c r="H50" s="5">
        <v>1160723.3963149199</v>
      </c>
      <c r="I50" s="5">
        <v>671131.69921726396</v>
      </c>
      <c r="J50" s="5">
        <v>9838164.9739506207</v>
      </c>
      <c r="K50" s="5">
        <v>3914065.3519754</v>
      </c>
      <c r="L50" s="5">
        <v>500563.10839428502</v>
      </c>
      <c r="M50" s="5">
        <v>754106.556435821</v>
      </c>
      <c r="N50" s="5">
        <v>1990719.11368522</v>
      </c>
      <c r="O50" s="5">
        <v>820252.96413134504</v>
      </c>
      <c r="P50" s="5">
        <v>1167596.1884331401</v>
      </c>
      <c r="Q50" s="5">
        <v>6785231.66548998</v>
      </c>
      <c r="R50" s="5">
        <v>3410180.3404260101</v>
      </c>
      <c r="S50" s="5">
        <v>771986.77866679104</v>
      </c>
      <c r="T50" s="5">
        <v>722006.13414109498</v>
      </c>
      <c r="U50" s="5">
        <v>2866652.6640278199</v>
      </c>
      <c r="V50" s="5">
        <v>606911.24185938202</v>
      </c>
    </row>
    <row r="51" spans="1:22" x14ac:dyDescent="0.45">
      <c r="A51" s="5" t="s">
        <v>180</v>
      </c>
      <c r="B51" s="5">
        <v>47629809.847000197</v>
      </c>
      <c r="C51" s="5">
        <v>31260910.9033053</v>
      </c>
      <c r="D51" s="5">
        <v>27412429.518250398</v>
      </c>
      <c r="E51" s="5">
        <v>6222034.3531317003</v>
      </c>
      <c r="F51" s="5">
        <v>22148079.452338502</v>
      </c>
      <c r="G51" s="5">
        <v>23594171.197986301</v>
      </c>
      <c r="H51" s="5">
        <v>10716361.1090845</v>
      </c>
      <c r="I51" s="5">
        <v>30187503.6944477</v>
      </c>
      <c r="J51" s="5">
        <v>20948221.545139201</v>
      </c>
      <c r="K51" s="5">
        <v>9711580.8359680604</v>
      </c>
      <c r="L51" s="5">
        <v>10409720.330405699</v>
      </c>
      <c r="M51" s="5">
        <v>3350110.3923001401</v>
      </c>
      <c r="N51" s="5">
        <v>1202917.9925521801</v>
      </c>
      <c r="O51" s="5">
        <v>18023706.774980199</v>
      </c>
      <c r="P51" s="5">
        <v>14025974.690759599</v>
      </c>
      <c r="Q51" s="5">
        <v>53597778.075428203</v>
      </c>
      <c r="R51" s="5">
        <v>20551880.1795993</v>
      </c>
      <c r="S51" s="5">
        <v>32165903.1264029</v>
      </c>
      <c r="T51" s="5">
        <v>32324685.449632</v>
      </c>
      <c r="U51" s="5">
        <v>10771112.269643299</v>
      </c>
      <c r="V51" s="5">
        <v>24048508.2935232</v>
      </c>
    </row>
    <row r="52" spans="1:22" x14ac:dyDescent="0.45">
      <c r="A52" s="5" t="s">
        <v>234</v>
      </c>
      <c r="B52" s="5">
        <v>1348355.08438288</v>
      </c>
      <c r="C52" s="5">
        <v>996701.55309874995</v>
      </c>
      <c r="D52" s="5">
        <v>1842192.75520773</v>
      </c>
      <c r="E52" s="5">
        <v>598135.95087448403</v>
      </c>
      <c r="F52" s="5">
        <v>4864783.7306540804</v>
      </c>
      <c r="G52" s="5">
        <v>6033504.5645975303</v>
      </c>
      <c r="H52" s="5">
        <v>1242887.6311596299</v>
      </c>
      <c r="I52" s="5">
        <v>4016347.7560783401</v>
      </c>
      <c r="J52" s="5">
        <v>1627921.5888668899</v>
      </c>
      <c r="K52" s="5">
        <v>540747.92066670605</v>
      </c>
      <c r="L52" s="5">
        <v>1660917.2177739399</v>
      </c>
      <c r="M52" s="5">
        <v>270308.31323358498</v>
      </c>
      <c r="N52" s="5">
        <v>240379.92933238301</v>
      </c>
      <c r="O52" s="5">
        <v>6084410.6621848401</v>
      </c>
      <c r="P52" s="5">
        <v>933831.87253209704</v>
      </c>
      <c r="Q52" s="5">
        <v>2065355.9039668699</v>
      </c>
      <c r="R52" s="5">
        <v>1229845.5565810399</v>
      </c>
      <c r="S52" s="5">
        <v>3739339.6670400701</v>
      </c>
      <c r="T52" s="5">
        <v>5139655.4065236701</v>
      </c>
      <c r="U52" s="5">
        <v>1209155.04370018</v>
      </c>
      <c r="V52" s="5">
        <v>4362379.4867300503</v>
      </c>
    </row>
    <row r="53" spans="1:22" x14ac:dyDescent="0.45">
      <c r="A53" s="5" t="s">
        <v>181</v>
      </c>
      <c r="B53" s="5">
        <v>7113970.6182552204</v>
      </c>
      <c r="C53" s="5">
        <v>4889405.7716800999</v>
      </c>
      <c r="D53" s="5">
        <v>6804448.4496324603</v>
      </c>
      <c r="E53" s="5">
        <v>1555248.0046300299</v>
      </c>
      <c r="F53" s="5">
        <v>21668445.000771798</v>
      </c>
      <c r="G53" s="5">
        <v>23026853.442570701</v>
      </c>
      <c r="H53" s="5">
        <v>4013170.9016237301</v>
      </c>
      <c r="I53" s="5">
        <v>25335636.9191369</v>
      </c>
      <c r="J53" s="5">
        <v>7190021.70092222</v>
      </c>
      <c r="K53" s="5">
        <v>3048989.8741230899</v>
      </c>
      <c r="L53" s="5">
        <v>5285717.4864435596</v>
      </c>
      <c r="M53" s="5">
        <v>404504.42904119898</v>
      </c>
      <c r="N53" s="5">
        <v>631887.36633215495</v>
      </c>
      <c r="O53" s="5">
        <v>26209228.7402476</v>
      </c>
      <c r="P53" s="5">
        <v>3680342.8748062202</v>
      </c>
      <c r="Q53" s="5">
        <v>8435401.9886031095</v>
      </c>
      <c r="R53" s="5">
        <v>5966809.0030063801</v>
      </c>
      <c r="S53" s="5">
        <v>19861142.026835602</v>
      </c>
      <c r="T53" s="5">
        <v>21498047.474083401</v>
      </c>
      <c r="U53" s="5">
        <v>3184250.1815660801</v>
      </c>
      <c r="V53" s="5">
        <v>24045491.541991901</v>
      </c>
    </row>
    <row r="54" spans="1:22" x14ac:dyDescent="0.45">
      <c r="A54" s="5" t="s">
        <v>235</v>
      </c>
      <c r="B54" s="5">
        <v>1163857.5537298999</v>
      </c>
      <c r="C54" s="5">
        <v>1394706.8148358499</v>
      </c>
      <c r="D54" s="5">
        <v>1923114.8797146</v>
      </c>
      <c r="E54" s="5">
        <v>418703.06746173301</v>
      </c>
      <c r="F54" s="5">
        <v>10152241.425989401</v>
      </c>
      <c r="G54" s="5">
        <v>24152343.5613885</v>
      </c>
      <c r="H54" s="5">
        <v>1813221.6059017901</v>
      </c>
      <c r="I54" s="5">
        <v>8631156.5540173091</v>
      </c>
      <c r="J54" s="5">
        <v>593777.52967873402</v>
      </c>
      <c r="K54" s="5">
        <v>787990.06884359301</v>
      </c>
      <c r="L54" s="5">
        <v>3368018.5997427101</v>
      </c>
      <c r="M54" s="5">
        <v>331044.95593675203</v>
      </c>
      <c r="N54" s="5">
        <v>439772.06382426602</v>
      </c>
      <c r="O54" s="5">
        <v>32481864.315100498</v>
      </c>
      <c r="P54" s="5">
        <v>1082408.53082795</v>
      </c>
      <c r="Q54" s="5">
        <v>5673329.0567261297</v>
      </c>
      <c r="R54" s="5">
        <v>2472009.5852136901</v>
      </c>
      <c r="S54" s="5">
        <v>19201970.5023387</v>
      </c>
      <c r="T54" s="5">
        <v>23565958.289538398</v>
      </c>
      <c r="U54" s="5">
        <v>1450042.94573272</v>
      </c>
      <c r="V54" s="5">
        <v>10400551.724388501</v>
      </c>
    </row>
    <row r="55" spans="1:22" x14ac:dyDescent="0.45">
      <c r="A55" s="5" t="s">
        <v>236</v>
      </c>
      <c r="B55" s="5">
        <v>4255158.8304977203</v>
      </c>
      <c r="C55" s="5">
        <v>3381020.8116479702</v>
      </c>
      <c r="D55" s="5">
        <v>6635979.7376051201</v>
      </c>
      <c r="E55" s="5">
        <v>1931882.5143327699</v>
      </c>
      <c r="F55" s="5">
        <v>27854550.270116501</v>
      </c>
      <c r="G55" s="5">
        <v>41387022.4118587</v>
      </c>
      <c r="H55" s="5">
        <v>5995595.0360255102</v>
      </c>
      <c r="I55" s="5">
        <v>31112407.007671401</v>
      </c>
      <c r="J55" s="5">
        <v>4388911.8401262797</v>
      </c>
      <c r="K55" s="5">
        <v>2702850.2775106202</v>
      </c>
      <c r="L55" s="5">
        <v>7432065.1428558398</v>
      </c>
      <c r="M55" s="5">
        <v>705252.91715141304</v>
      </c>
      <c r="N55" s="5">
        <v>831420.04474016896</v>
      </c>
      <c r="O55" s="5">
        <v>35770030.607812099</v>
      </c>
      <c r="P55" s="5">
        <v>4920672.6310889004</v>
      </c>
      <c r="Q55" s="5">
        <v>4993401.2316360399</v>
      </c>
      <c r="R55" s="5">
        <v>1561971.45462455</v>
      </c>
      <c r="S55" s="5">
        <v>25611072.475058898</v>
      </c>
      <c r="T55" s="5">
        <v>34297179.109253503</v>
      </c>
      <c r="U55" s="5">
        <v>1708663.7513341301</v>
      </c>
      <c r="V55" s="5">
        <v>49751796.1257376</v>
      </c>
    </row>
    <row r="56" spans="1:22" x14ac:dyDescent="0.45">
      <c r="A56" s="5" t="s">
        <v>51</v>
      </c>
      <c r="B56" s="5">
        <v>553153.03243258595</v>
      </c>
      <c r="C56" s="5">
        <v>627637.97892311402</v>
      </c>
      <c r="D56" s="5">
        <v>708253.43131232006</v>
      </c>
      <c r="E56" s="5">
        <v>388451.17957376101</v>
      </c>
      <c r="F56" s="5">
        <v>1969178.6890472199</v>
      </c>
      <c r="G56" s="5">
        <v>2767892.94316119</v>
      </c>
      <c r="H56" s="5">
        <v>593981.82331797294</v>
      </c>
      <c r="I56" s="5">
        <v>4517831.6833967799</v>
      </c>
      <c r="J56" s="5">
        <v>478450.97162413999</v>
      </c>
      <c r="K56" s="5">
        <v>484732.37875537103</v>
      </c>
      <c r="L56" s="5">
        <v>568493.55081592104</v>
      </c>
      <c r="M56" s="5">
        <v>434836.365058686</v>
      </c>
      <c r="N56" s="5">
        <v>498557.41862359998</v>
      </c>
      <c r="O56" s="5">
        <v>3249745.2914723</v>
      </c>
      <c r="P56" s="5">
        <v>506655.05026504199</v>
      </c>
      <c r="Q56" s="5">
        <v>727640.273307428</v>
      </c>
      <c r="R56" s="5">
        <v>774276.92878896999</v>
      </c>
      <c r="S56" s="5">
        <v>1634090.5949039401</v>
      </c>
      <c r="T56" s="5">
        <v>2770051.9905614601</v>
      </c>
      <c r="U56" s="5">
        <v>639084.40595538204</v>
      </c>
      <c r="V56" s="5">
        <v>3108043.82927251</v>
      </c>
    </row>
    <row r="57" spans="1:22" x14ac:dyDescent="0.45">
      <c r="A57" s="5" t="s">
        <v>237</v>
      </c>
      <c r="B57" s="5">
        <v>72503.542201416203</v>
      </c>
      <c r="C57" s="5">
        <v>69182.688065118098</v>
      </c>
      <c r="D57" s="5">
        <v>59757.6117815916</v>
      </c>
      <c r="E57" s="5">
        <v>64865.616975872101</v>
      </c>
      <c r="F57" s="5">
        <v>512832.18982375</v>
      </c>
      <c r="G57" s="5">
        <v>835217.95678986399</v>
      </c>
      <c r="H57" s="5">
        <v>66824.566492838901</v>
      </c>
      <c r="I57" s="5">
        <v>940363.12574445701</v>
      </c>
      <c r="J57" s="5">
        <v>57732.629462770201</v>
      </c>
      <c r="K57" s="5">
        <v>64424.074612132601</v>
      </c>
      <c r="L57" s="5">
        <v>64793.623371631496</v>
      </c>
      <c r="M57" s="5">
        <v>70568.026667552695</v>
      </c>
      <c r="N57" s="5">
        <v>67481.709508805201</v>
      </c>
      <c r="O57" s="5">
        <v>888510.94331861194</v>
      </c>
      <c r="P57" s="5">
        <v>62742.459511606299</v>
      </c>
      <c r="Q57" s="5">
        <v>66657.990382930599</v>
      </c>
      <c r="R57" s="5">
        <v>67952.869658647905</v>
      </c>
      <c r="S57" s="5">
        <v>561946.11093253898</v>
      </c>
      <c r="T57" s="5">
        <v>772499.87307018298</v>
      </c>
      <c r="U57" s="5">
        <v>65445.554274771101</v>
      </c>
      <c r="V57" s="5">
        <v>797998.07624635997</v>
      </c>
    </row>
    <row r="58" spans="1:22" x14ac:dyDescent="0.45">
      <c r="A58" s="5" t="s">
        <v>52</v>
      </c>
      <c r="B58" s="5">
        <v>1692892.43569381</v>
      </c>
      <c r="C58" s="5">
        <v>1565477.5342763499</v>
      </c>
      <c r="D58" s="5">
        <v>1815758.4379792199</v>
      </c>
      <c r="E58" s="5">
        <v>1873697.2317060099</v>
      </c>
      <c r="F58" s="5">
        <v>1174357.7293291499</v>
      </c>
      <c r="G58" s="5">
        <v>1198767.2051375699</v>
      </c>
      <c r="H58" s="5">
        <v>1700367.53834737</v>
      </c>
      <c r="I58" s="5">
        <v>1303109.4959628901</v>
      </c>
      <c r="J58" s="5">
        <v>1643886.7045070999</v>
      </c>
      <c r="K58" s="5">
        <v>2082615.3285695601</v>
      </c>
      <c r="L58" s="5">
        <v>1786482.0554231601</v>
      </c>
      <c r="M58" s="5">
        <v>2144761.0464162598</v>
      </c>
      <c r="N58" s="5">
        <v>1773301.82747702</v>
      </c>
      <c r="O58" s="5">
        <v>1136057.3008956399</v>
      </c>
      <c r="P58" s="5">
        <v>1644017.62599553</v>
      </c>
      <c r="Q58" s="5">
        <v>1723757.50336317</v>
      </c>
      <c r="R58" s="5">
        <v>1871841.3650120499</v>
      </c>
      <c r="S58" s="5">
        <v>983846.91167741001</v>
      </c>
      <c r="T58" s="5">
        <v>1113870.1662667801</v>
      </c>
      <c r="U58" s="5">
        <v>1953575.17989816</v>
      </c>
      <c r="V58" s="5">
        <v>1181606.2126210199</v>
      </c>
    </row>
    <row r="59" spans="1:22" x14ac:dyDescent="0.45">
      <c r="A59" s="5" t="s">
        <v>182</v>
      </c>
      <c r="B59" s="5">
        <v>128781.016805031</v>
      </c>
      <c r="C59" s="5">
        <v>131943.54103274501</v>
      </c>
      <c r="D59" s="5">
        <v>86067.127583728303</v>
      </c>
      <c r="E59" s="5">
        <v>39581.561183780403</v>
      </c>
      <c r="F59" s="5">
        <v>1454705.9701892301</v>
      </c>
      <c r="G59" s="5">
        <v>1904502.85783332</v>
      </c>
      <c r="H59" s="5">
        <v>116694.774275902</v>
      </c>
      <c r="I59" s="5">
        <v>1997743.0102341101</v>
      </c>
      <c r="J59" s="5">
        <v>19321.987782804801</v>
      </c>
      <c r="K59" s="5">
        <v>80501.901570401606</v>
      </c>
      <c r="L59" s="5">
        <v>155532.74745275799</v>
      </c>
      <c r="M59" s="5">
        <v>57346.926983250502</v>
      </c>
      <c r="N59" s="5">
        <v>18008.3771358712</v>
      </c>
      <c r="O59" s="5">
        <v>1526425.43172158</v>
      </c>
      <c r="P59" s="5">
        <v>196282.21880277901</v>
      </c>
      <c r="Q59" s="5">
        <v>236662.64686529801</v>
      </c>
      <c r="R59" s="5">
        <v>17070.4823362157</v>
      </c>
      <c r="S59" s="5">
        <v>1460885.7927200301</v>
      </c>
      <c r="T59" s="5">
        <v>1916986.3753662701</v>
      </c>
      <c r="U59" s="5">
        <v>250752.602092555</v>
      </c>
      <c r="V59" s="5">
        <v>1966206.1842942699</v>
      </c>
    </row>
    <row r="60" spans="1:22" x14ac:dyDescent="0.45">
      <c r="A60" s="5" t="s">
        <v>125</v>
      </c>
      <c r="B60" s="5">
        <v>66996938.8332095</v>
      </c>
      <c r="C60" s="5">
        <v>104021243.975917</v>
      </c>
      <c r="D60" s="5">
        <v>69969499.3499455</v>
      </c>
      <c r="E60" s="5">
        <v>63343661.617564</v>
      </c>
      <c r="F60" s="5">
        <v>30944906.768442001</v>
      </c>
      <c r="G60" s="5">
        <v>36392651.525591299</v>
      </c>
      <c r="H60" s="5">
        <v>59632318.838303603</v>
      </c>
      <c r="I60" s="5">
        <v>28271028.560650501</v>
      </c>
      <c r="J60" s="5">
        <v>80330229.435383797</v>
      </c>
      <c r="K60" s="5">
        <v>60183559.280982397</v>
      </c>
      <c r="L60" s="5">
        <v>51597174.616316602</v>
      </c>
      <c r="M60" s="5">
        <v>60131512.1051443</v>
      </c>
      <c r="N60" s="5">
        <v>54267643.527496003</v>
      </c>
      <c r="O60" s="5">
        <v>40114421.167330101</v>
      </c>
      <c r="P60" s="5">
        <v>56944808.751811802</v>
      </c>
      <c r="Q60" s="5">
        <v>61932726.315492101</v>
      </c>
      <c r="R60" s="5">
        <v>42676480.564847499</v>
      </c>
      <c r="S60" s="5">
        <v>41478188.630417302</v>
      </c>
      <c r="T60" s="5">
        <v>37053907.206524901</v>
      </c>
      <c r="U60" s="5">
        <v>49876573.806706399</v>
      </c>
      <c r="V60" s="5">
        <v>29894632.071466599</v>
      </c>
    </row>
    <row r="61" spans="1:22" x14ac:dyDescent="0.45">
      <c r="A61" s="5" t="s">
        <v>238</v>
      </c>
      <c r="B61" s="5">
        <v>16500678.982625101</v>
      </c>
      <c r="C61" s="5">
        <v>14603947.853112301</v>
      </c>
      <c r="D61" s="5">
        <v>15884908.761738099</v>
      </c>
      <c r="E61" s="5">
        <v>17856840.311035302</v>
      </c>
      <c r="F61" s="5">
        <v>12777366.065457899</v>
      </c>
      <c r="G61" s="5">
        <v>10752679.873773299</v>
      </c>
      <c r="H61" s="5">
        <v>17705280.123856001</v>
      </c>
      <c r="I61" s="5">
        <v>6721549.7472818298</v>
      </c>
      <c r="J61" s="5">
        <v>16186051.3427455</v>
      </c>
      <c r="K61" s="5">
        <v>16641382.0193682</v>
      </c>
      <c r="L61" s="5">
        <v>23155698.430824801</v>
      </c>
      <c r="M61" s="5">
        <v>18976192.3510556</v>
      </c>
      <c r="N61" s="5">
        <v>18802448.224142499</v>
      </c>
      <c r="O61" s="5">
        <v>9374990.81062093</v>
      </c>
      <c r="P61" s="5">
        <v>16887468.837200601</v>
      </c>
      <c r="Q61" s="5">
        <v>18011963.644699302</v>
      </c>
      <c r="R61" s="5">
        <v>16781627.421070602</v>
      </c>
      <c r="S61" s="5">
        <v>12189751.194324899</v>
      </c>
      <c r="T61" s="5">
        <v>10038092.5541877</v>
      </c>
      <c r="U61" s="5">
        <v>22845989.839586101</v>
      </c>
      <c r="V61" s="5">
        <v>10517292.8730138</v>
      </c>
    </row>
    <row r="62" spans="1:22" x14ac:dyDescent="0.45">
      <c r="A62" s="5" t="s">
        <v>283</v>
      </c>
      <c r="B62" s="5">
        <v>5799965.8621108402</v>
      </c>
      <c r="C62" s="5">
        <v>6354490.55500264</v>
      </c>
      <c r="D62" s="5">
        <v>5980171.4934957903</v>
      </c>
      <c r="E62" s="5">
        <v>5299906.86594644</v>
      </c>
      <c r="F62" s="5">
        <v>4804079.3379095998</v>
      </c>
      <c r="G62" s="5">
        <v>1918804.5234459999</v>
      </c>
      <c r="H62" s="5">
        <v>2144367.4307159199</v>
      </c>
      <c r="I62" s="5">
        <v>1644249.1548196899</v>
      </c>
      <c r="J62" s="5">
        <v>5766001.5662475601</v>
      </c>
      <c r="K62" s="5">
        <v>3497326.4084806899</v>
      </c>
      <c r="L62" s="5">
        <v>7255441.6732078902</v>
      </c>
      <c r="M62" s="5">
        <v>3896495.21272024</v>
      </c>
      <c r="N62" s="5">
        <v>4157463.7580504301</v>
      </c>
      <c r="O62" s="5">
        <v>1969661.95040697</v>
      </c>
      <c r="P62" s="5">
        <v>5400760.4420432299</v>
      </c>
      <c r="Q62" s="5">
        <v>4530324.2593870796</v>
      </c>
      <c r="R62" s="5">
        <v>18916373.422487799</v>
      </c>
      <c r="S62" s="5">
        <v>2430897.3366907798</v>
      </c>
      <c r="T62" s="5">
        <v>2033011.82984377</v>
      </c>
      <c r="U62" s="5">
        <v>6601829.4103698498</v>
      </c>
      <c r="V62" s="5">
        <v>2653638.8232271201</v>
      </c>
    </row>
    <row r="63" spans="1:22" x14ac:dyDescent="0.45">
      <c r="A63" s="5" t="s">
        <v>239</v>
      </c>
      <c r="B63" s="5">
        <v>73557628.159526899</v>
      </c>
      <c r="C63" s="5">
        <v>52752533.300981</v>
      </c>
      <c r="D63" s="5">
        <v>60472154.023224398</v>
      </c>
      <c r="E63" s="5">
        <v>40271521.005322501</v>
      </c>
      <c r="F63" s="5">
        <v>23341824.218190599</v>
      </c>
      <c r="G63" s="5">
        <v>22845507.578219201</v>
      </c>
      <c r="H63" s="5">
        <v>26172518.7173714</v>
      </c>
      <c r="I63" s="5">
        <v>18858739.9175</v>
      </c>
      <c r="J63" s="5">
        <v>28980564.554900501</v>
      </c>
      <c r="K63" s="5">
        <v>32352712.7595153</v>
      </c>
      <c r="L63" s="5">
        <v>44762982.538898297</v>
      </c>
      <c r="M63" s="5">
        <v>40576961.696531899</v>
      </c>
      <c r="N63" s="5">
        <v>40344952.207741402</v>
      </c>
      <c r="O63" s="5">
        <v>20140652.698624901</v>
      </c>
      <c r="P63" s="5">
        <v>45474214.093112499</v>
      </c>
      <c r="Q63" s="5">
        <v>73416643.622391194</v>
      </c>
      <c r="R63" s="5">
        <v>53951461.883732103</v>
      </c>
      <c r="S63" s="5">
        <v>20578142.620473702</v>
      </c>
      <c r="T63" s="5">
        <v>42324085.103019401</v>
      </c>
      <c r="U63" s="5">
        <v>27356948.347272001</v>
      </c>
      <c r="V63" s="5">
        <v>44435722.835086398</v>
      </c>
    </row>
    <row r="64" spans="1:22" x14ac:dyDescent="0.45">
      <c r="A64" s="5" t="s">
        <v>276</v>
      </c>
      <c r="B64" s="5">
        <v>321700834.66317803</v>
      </c>
      <c r="C64" s="5">
        <v>101018688.96462899</v>
      </c>
      <c r="D64" s="5">
        <v>497501604.22643203</v>
      </c>
      <c r="E64" s="5">
        <v>511122422.223795</v>
      </c>
      <c r="F64" s="5">
        <v>217405766.55799201</v>
      </c>
      <c r="G64" s="5">
        <v>108683258.96886501</v>
      </c>
      <c r="H64" s="5">
        <v>532340088.61013198</v>
      </c>
      <c r="I64" s="5">
        <v>378057564.92404401</v>
      </c>
      <c r="J64" s="5">
        <v>361342979.687594</v>
      </c>
      <c r="K64" s="5">
        <v>526651851.781313</v>
      </c>
      <c r="L64" s="5">
        <v>164966588.3001</v>
      </c>
      <c r="M64" s="5">
        <v>500290139.63063502</v>
      </c>
      <c r="N64" s="5">
        <v>325697329.43559098</v>
      </c>
      <c r="O64" s="5">
        <v>259227732.60916001</v>
      </c>
      <c r="P64" s="5">
        <v>356753398.06201601</v>
      </c>
      <c r="Q64" s="5">
        <v>22997993.8499569</v>
      </c>
      <c r="R64" s="5">
        <v>528990212.19806498</v>
      </c>
      <c r="S64" s="5">
        <v>101928363.207715</v>
      </c>
      <c r="T64" s="5">
        <v>106238388.506237</v>
      </c>
      <c r="U64" s="5">
        <v>331114307.37273502</v>
      </c>
      <c r="V64" s="5">
        <v>317901302.123698</v>
      </c>
    </row>
    <row r="65" spans="1:22" x14ac:dyDescent="0.45">
      <c r="A65" s="5" t="s">
        <v>53</v>
      </c>
      <c r="B65" s="5">
        <v>9758526.0579164904</v>
      </c>
      <c r="C65" s="5">
        <v>7329221.8758906303</v>
      </c>
      <c r="D65" s="5">
        <v>9307126.6226618793</v>
      </c>
      <c r="E65" s="5">
        <v>10267221.4321054</v>
      </c>
      <c r="F65" s="5">
        <v>5710601.2841908997</v>
      </c>
      <c r="G65" s="5">
        <v>6784456.6814662702</v>
      </c>
      <c r="H65" s="5">
        <v>10132064.994438199</v>
      </c>
      <c r="I65" s="5">
        <v>6412261.3357593296</v>
      </c>
      <c r="J65" s="5">
        <v>6685927.7088824203</v>
      </c>
      <c r="K65" s="5">
        <v>9428275.0205012094</v>
      </c>
      <c r="L65" s="5">
        <v>4890419.8373532398</v>
      </c>
      <c r="M65" s="5">
        <v>7499163.6586140003</v>
      </c>
      <c r="N65" s="5">
        <v>13039628.5759637</v>
      </c>
      <c r="O65" s="5">
        <v>5555888.6474901401</v>
      </c>
      <c r="P65" s="5">
        <v>6475856.1407313803</v>
      </c>
      <c r="Q65" s="5">
        <v>5427505.1152080996</v>
      </c>
      <c r="R65" s="5">
        <v>13827379.481411301</v>
      </c>
      <c r="S65" s="5">
        <v>5623685.0826422898</v>
      </c>
      <c r="T65" s="5">
        <v>5056397.7351329997</v>
      </c>
      <c r="U65" s="5">
        <v>4917213.2596360696</v>
      </c>
      <c r="V65" s="5">
        <v>5814503.7102595298</v>
      </c>
    </row>
    <row r="66" spans="1:22" x14ac:dyDescent="0.45">
      <c r="A66" s="5" t="s">
        <v>158</v>
      </c>
      <c r="B66" s="5">
        <v>7710345.0713089099</v>
      </c>
      <c r="C66" s="5">
        <v>4646777.7675766796</v>
      </c>
      <c r="D66" s="5">
        <v>7670023.5852856403</v>
      </c>
      <c r="E66" s="5">
        <v>6079289.9606885398</v>
      </c>
      <c r="F66" s="5">
        <v>21204217.388634</v>
      </c>
      <c r="G66" s="5">
        <v>19568142.410399199</v>
      </c>
      <c r="H66" s="5">
        <v>8499852.3475729208</v>
      </c>
      <c r="I66" s="5">
        <v>14887886.8800986</v>
      </c>
      <c r="J66" s="5">
        <v>7110950.0132457903</v>
      </c>
      <c r="K66" s="5">
        <v>8754815.3714518398</v>
      </c>
      <c r="L66" s="5">
        <v>5282157.1512344303</v>
      </c>
      <c r="M66" s="5">
        <v>5408326.0740291104</v>
      </c>
      <c r="N66" s="5">
        <v>3498062.0997832799</v>
      </c>
      <c r="O66" s="5">
        <v>15726024.2561129</v>
      </c>
      <c r="P66" s="5">
        <v>5949598.6435773401</v>
      </c>
      <c r="Q66" s="5">
        <v>6679372.1439427603</v>
      </c>
      <c r="R66" s="5">
        <v>6540294.0552058201</v>
      </c>
      <c r="S66" s="5">
        <v>12607634.2644004</v>
      </c>
      <c r="T66" s="5">
        <v>21348377.995446101</v>
      </c>
      <c r="U66" s="5">
        <v>7078961.5922729103</v>
      </c>
      <c r="V66" s="5">
        <v>16537117.7333366</v>
      </c>
    </row>
    <row r="67" spans="1:22" x14ac:dyDescent="0.45">
      <c r="A67" s="5" t="s">
        <v>54</v>
      </c>
      <c r="B67" s="5">
        <v>6604705.1287976</v>
      </c>
      <c r="C67" s="5">
        <v>6582500.8203701796</v>
      </c>
      <c r="D67" s="5">
        <v>7493212.8632514998</v>
      </c>
      <c r="E67" s="5">
        <v>7638833.8774788296</v>
      </c>
      <c r="F67" s="5">
        <v>3688793.48104655</v>
      </c>
      <c r="G67" s="5">
        <v>4636795.1937057199</v>
      </c>
      <c r="H67" s="5">
        <v>7438187.79762433</v>
      </c>
      <c r="I67" s="5">
        <v>4862794.9692859398</v>
      </c>
      <c r="J67" s="5">
        <v>8273796.6921258997</v>
      </c>
      <c r="K67" s="5">
        <v>9515886.52739577</v>
      </c>
      <c r="L67" s="5">
        <v>5528686.0128236804</v>
      </c>
      <c r="M67" s="5">
        <v>5452020.2414024398</v>
      </c>
      <c r="N67" s="5">
        <v>8055167.9354806803</v>
      </c>
      <c r="O67" s="5">
        <v>4759741.8629147597</v>
      </c>
      <c r="P67" s="5">
        <v>6200422.82986385</v>
      </c>
      <c r="Q67" s="5">
        <v>4662930.6420500297</v>
      </c>
      <c r="R67" s="5">
        <v>9533771.8769498207</v>
      </c>
      <c r="S67" s="5">
        <v>3633158.7285099099</v>
      </c>
      <c r="T67" s="5">
        <v>4016948.38252318</v>
      </c>
      <c r="U67" s="5">
        <v>7417108.3542764904</v>
      </c>
      <c r="V67" s="5">
        <v>5403106.6154669998</v>
      </c>
    </row>
    <row r="68" spans="1:22" x14ac:dyDescent="0.45">
      <c r="A68" s="5" t="s">
        <v>183</v>
      </c>
      <c r="B68" s="5">
        <v>1779380427.83092</v>
      </c>
      <c r="C68" s="5">
        <v>1934750859.4881799</v>
      </c>
      <c r="D68" s="5">
        <v>1460420077.20962</v>
      </c>
      <c r="E68" s="5">
        <v>1426411889.8202801</v>
      </c>
      <c r="F68" s="5">
        <v>1294973063.2579</v>
      </c>
      <c r="G68" s="5">
        <v>1395156429.61147</v>
      </c>
      <c r="H68" s="5">
        <v>1849437301.04776</v>
      </c>
      <c r="I68" s="5">
        <v>1053021078.02865</v>
      </c>
      <c r="J68" s="5">
        <v>1631664643.0302899</v>
      </c>
      <c r="K68" s="5">
        <v>1729748237.6347301</v>
      </c>
      <c r="L68" s="5">
        <v>2072045480.46628</v>
      </c>
      <c r="M68" s="5">
        <v>2317908538.6841698</v>
      </c>
      <c r="N68" s="5">
        <v>2337704570.9021702</v>
      </c>
      <c r="O68" s="5">
        <v>975082221.900738</v>
      </c>
      <c r="P68" s="5">
        <v>1466785288.0868399</v>
      </c>
      <c r="Q68" s="5">
        <v>1630414077.00069</v>
      </c>
      <c r="R68" s="5">
        <v>2302666885.5039601</v>
      </c>
      <c r="S68" s="5">
        <v>1321036283.9251001</v>
      </c>
      <c r="T68" s="5">
        <v>1001880473.56259</v>
      </c>
      <c r="U68" s="5">
        <v>1203417386.9854801</v>
      </c>
      <c r="V68" s="5">
        <v>1118963820.0006399</v>
      </c>
    </row>
    <row r="69" spans="1:22" x14ac:dyDescent="0.45">
      <c r="A69" s="5" t="s">
        <v>147</v>
      </c>
      <c r="B69" s="5">
        <v>64219914.485548697</v>
      </c>
      <c r="C69" s="5">
        <v>81739643.917994604</v>
      </c>
      <c r="D69" s="5">
        <v>57121560.069562599</v>
      </c>
      <c r="E69" s="5">
        <v>38630548.994254902</v>
      </c>
      <c r="F69" s="5">
        <v>52493626.380338803</v>
      </c>
      <c r="G69" s="5">
        <v>46162336.690043703</v>
      </c>
      <c r="H69" s="5">
        <v>64042600.781485803</v>
      </c>
      <c r="I69" s="5">
        <v>60145977.727599896</v>
      </c>
      <c r="J69" s="5">
        <v>70863162.255552307</v>
      </c>
      <c r="K69" s="5">
        <v>73861106.089232102</v>
      </c>
      <c r="L69" s="5">
        <v>34887080.419091202</v>
      </c>
      <c r="M69" s="5">
        <v>38655597.124475896</v>
      </c>
      <c r="N69" s="5">
        <v>49997850.429141201</v>
      </c>
      <c r="O69" s="5">
        <v>47334614.586535797</v>
      </c>
      <c r="P69" s="5">
        <v>38911527.698803499</v>
      </c>
      <c r="Q69" s="5">
        <v>37948667.102324098</v>
      </c>
      <c r="R69" s="5">
        <v>59990361.132868104</v>
      </c>
      <c r="S69" s="5">
        <v>40826926.580809303</v>
      </c>
      <c r="T69" s="5">
        <v>42739634.778640501</v>
      </c>
      <c r="U69" s="5">
        <v>34423727.743930399</v>
      </c>
      <c r="V69" s="5">
        <v>39722338.0888891</v>
      </c>
    </row>
    <row r="70" spans="1:22" x14ac:dyDescent="0.45">
      <c r="A70" s="5" t="s">
        <v>55</v>
      </c>
      <c r="B70" s="5">
        <v>227353.57961993301</v>
      </c>
      <c r="C70" s="5">
        <v>432510.60041046399</v>
      </c>
      <c r="D70" s="5">
        <v>482357.72845511598</v>
      </c>
      <c r="E70" s="5">
        <v>317590.05052084499</v>
      </c>
      <c r="F70" s="5">
        <v>55374.349363362897</v>
      </c>
      <c r="G70" s="5">
        <v>55322.437815688798</v>
      </c>
      <c r="H70" s="5">
        <v>522259.34876613098</v>
      </c>
      <c r="I70" s="5">
        <v>58749.479737689697</v>
      </c>
      <c r="J70" s="5">
        <v>861717.94476961403</v>
      </c>
      <c r="K70" s="5">
        <v>1104137.77771931</v>
      </c>
      <c r="L70" s="5">
        <v>53108.762433525699</v>
      </c>
      <c r="M70" s="5">
        <v>314771.94634640001</v>
      </c>
      <c r="N70" s="5">
        <v>405122.27407290501</v>
      </c>
      <c r="O70" s="5">
        <v>50509.3532938137</v>
      </c>
      <c r="P70" s="5">
        <v>189756.17413766001</v>
      </c>
      <c r="Q70" s="5">
        <v>131955.261365452</v>
      </c>
      <c r="R70" s="5">
        <v>2231117.83914608</v>
      </c>
      <c r="S70" s="5">
        <v>57199.702933036097</v>
      </c>
      <c r="T70" s="5">
        <v>51161.139219548699</v>
      </c>
      <c r="U70" s="5">
        <v>2072668.82410171</v>
      </c>
      <c r="V70" s="5">
        <v>46515.658017920403</v>
      </c>
    </row>
    <row r="71" spans="1:22" x14ac:dyDescent="0.45">
      <c r="A71" s="5" t="s">
        <v>56</v>
      </c>
      <c r="B71" s="5">
        <v>382401156.06734103</v>
      </c>
      <c r="C71" s="5">
        <v>221562378.54777801</v>
      </c>
      <c r="D71" s="5">
        <v>209452872.915135</v>
      </c>
      <c r="E71" s="5">
        <v>165343372.22756901</v>
      </c>
      <c r="F71" s="5">
        <v>197656336.147212</v>
      </c>
      <c r="G71" s="5">
        <v>365125850.932033</v>
      </c>
      <c r="H71" s="5">
        <v>180264208.48954901</v>
      </c>
      <c r="I71" s="5">
        <v>454543313.29722798</v>
      </c>
      <c r="J71" s="5">
        <v>290591659.15422601</v>
      </c>
      <c r="K71" s="5">
        <v>189388659.09406701</v>
      </c>
      <c r="L71" s="5">
        <v>361470182.97479498</v>
      </c>
      <c r="M71" s="5">
        <v>261602294.23176301</v>
      </c>
      <c r="N71" s="5">
        <v>271768103.11427701</v>
      </c>
      <c r="O71" s="5">
        <v>323088139.52025801</v>
      </c>
      <c r="P71" s="5">
        <v>257174851.646157</v>
      </c>
      <c r="Q71" s="5">
        <v>239637191.04173201</v>
      </c>
      <c r="R71" s="5">
        <v>302812836.32587397</v>
      </c>
      <c r="S71" s="5">
        <v>285262519.38485599</v>
      </c>
      <c r="T71" s="5">
        <v>299691798.15353799</v>
      </c>
      <c r="U71" s="5">
        <v>271058844.86993301</v>
      </c>
      <c r="V71" s="5">
        <v>242193093.03486201</v>
      </c>
    </row>
    <row r="72" spans="1:22" x14ac:dyDescent="0.45">
      <c r="A72" s="5" t="s">
        <v>240</v>
      </c>
      <c r="B72" s="5">
        <v>539573312.61101103</v>
      </c>
      <c r="C72" s="5">
        <v>509884967.99706602</v>
      </c>
      <c r="D72" s="5">
        <v>528459739.822317</v>
      </c>
      <c r="E72" s="5">
        <v>580337651.31162298</v>
      </c>
      <c r="F72" s="5">
        <v>278125998.89013499</v>
      </c>
      <c r="G72" s="5">
        <v>222460666.719888</v>
      </c>
      <c r="H72" s="5">
        <v>562246725.00522399</v>
      </c>
      <c r="I72" s="5">
        <v>165781584.887288</v>
      </c>
      <c r="J72" s="5">
        <v>548742970.93561494</v>
      </c>
      <c r="K72" s="5">
        <v>520488319.77576798</v>
      </c>
      <c r="L72" s="5">
        <v>432117503.52177399</v>
      </c>
      <c r="M72" s="5">
        <v>542820698.27779901</v>
      </c>
      <c r="N72" s="5">
        <v>651731517.15316606</v>
      </c>
      <c r="O72" s="5">
        <v>257196705.301862</v>
      </c>
      <c r="P72" s="5">
        <v>604520127.22415805</v>
      </c>
      <c r="Q72" s="5">
        <v>530039067.72613001</v>
      </c>
      <c r="R72" s="5">
        <v>782566123.37737596</v>
      </c>
      <c r="S72" s="5">
        <v>296826949.57795602</v>
      </c>
      <c r="T72" s="5">
        <v>212396142.094392</v>
      </c>
      <c r="U72" s="5">
        <v>437279790.50869697</v>
      </c>
      <c r="V72" s="5">
        <v>284375408.61974502</v>
      </c>
    </row>
    <row r="73" spans="1:22" x14ac:dyDescent="0.45">
      <c r="A73" s="5" t="s">
        <v>241</v>
      </c>
      <c r="B73" s="5">
        <v>18079.665965373501</v>
      </c>
      <c r="C73" s="5">
        <v>18173.769653791202</v>
      </c>
      <c r="D73" s="5">
        <v>30261.180201221501</v>
      </c>
      <c r="E73" s="5">
        <v>21172.6402198125</v>
      </c>
      <c r="F73" s="5">
        <v>318234.28920056898</v>
      </c>
      <c r="G73" s="5">
        <v>781668.25279081904</v>
      </c>
      <c r="H73" s="5">
        <v>19062.3940078534</v>
      </c>
      <c r="I73" s="5">
        <v>1741926.0996737599</v>
      </c>
      <c r="J73" s="5">
        <v>19005.765534527702</v>
      </c>
      <c r="K73" s="5">
        <v>18869.6436151083</v>
      </c>
      <c r="L73" s="5">
        <v>20810.5808902998</v>
      </c>
      <c r="M73" s="5">
        <v>20410.6710799106</v>
      </c>
      <c r="N73" s="5">
        <v>19625.5642206056</v>
      </c>
      <c r="O73" s="5">
        <v>622556.86349956703</v>
      </c>
      <c r="P73" s="5">
        <v>25160.766620849899</v>
      </c>
      <c r="Q73" s="5">
        <v>19247.157041901999</v>
      </c>
      <c r="R73" s="5">
        <v>39204.049311062503</v>
      </c>
      <c r="S73" s="5">
        <v>348539.42947990901</v>
      </c>
      <c r="T73" s="5">
        <v>400735.75056510698</v>
      </c>
      <c r="U73" s="5">
        <v>23041.647748372299</v>
      </c>
      <c r="V73" s="5">
        <v>344496.59086614603</v>
      </c>
    </row>
    <row r="74" spans="1:22" x14ac:dyDescent="0.45">
      <c r="A74" s="5" t="s">
        <v>57</v>
      </c>
      <c r="B74" s="5">
        <v>6924510.4625072498</v>
      </c>
      <c r="C74" s="5">
        <v>6854800.1852026703</v>
      </c>
      <c r="D74" s="5">
        <v>7904746.7477304703</v>
      </c>
      <c r="E74" s="5">
        <v>8100300.0646369997</v>
      </c>
      <c r="F74" s="5">
        <v>3943702.0837808</v>
      </c>
      <c r="G74" s="5">
        <v>4840190.8051036596</v>
      </c>
      <c r="H74" s="5">
        <v>7342847.1854010997</v>
      </c>
      <c r="I74" s="5">
        <v>4835970.3431432396</v>
      </c>
      <c r="J74" s="5">
        <v>8116889.40614428</v>
      </c>
      <c r="K74" s="5">
        <v>10151718.0815561</v>
      </c>
      <c r="L74" s="5">
        <v>5830287.1228911504</v>
      </c>
      <c r="M74" s="5">
        <v>6176724.4714100296</v>
      </c>
      <c r="N74" s="5">
        <v>8558214.1793280691</v>
      </c>
      <c r="O74" s="5">
        <v>4951704.9294468397</v>
      </c>
      <c r="P74" s="5">
        <v>6609183.5334785301</v>
      </c>
      <c r="Q74" s="5">
        <v>5030706.7121648602</v>
      </c>
      <c r="R74" s="5">
        <v>9571111.2964508291</v>
      </c>
      <c r="S74" s="5">
        <v>3785970.3215695499</v>
      </c>
      <c r="T74" s="5">
        <v>4199717.6237697303</v>
      </c>
      <c r="U74" s="5">
        <v>7618834.5871467199</v>
      </c>
      <c r="V74" s="5">
        <v>5750396.7613931</v>
      </c>
    </row>
    <row r="75" spans="1:22" x14ac:dyDescent="0.45">
      <c r="A75" s="5" t="s">
        <v>58</v>
      </c>
      <c r="B75" s="5">
        <v>33554101.0859796</v>
      </c>
      <c r="C75" s="5">
        <v>25741955.739881098</v>
      </c>
      <c r="D75" s="5">
        <v>24255338.522461001</v>
      </c>
      <c r="E75" s="5">
        <v>19543596.975937702</v>
      </c>
      <c r="F75" s="5">
        <v>42555138.837268703</v>
      </c>
      <c r="G75" s="5">
        <v>14095120.0925759</v>
      </c>
      <c r="H75" s="5">
        <v>34748710.965529896</v>
      </c>
      <c r="I75" s="5">
        <v>24365332.086142901</v>
      </c>
      <c r="J75" s="5">
        <v>29668540.716665499</v>
      </c>
      <c r="K75" s="5">
        <v>40828482.740652896</v>
      </c>
      <c r="L75" s="5">
        <v>32546431.860707801</v>
      </c>
      <c r="M75" s="5">
        <v>28479306.366120301</v>
      </c>
      <c r="N75" s="5">
        <v>18342682.680580899</v>
      </c>
      <c r="O75" s="5">
        <v>16636246.3665139</v>
      </c>
      <c r="P75" s="5">
        <v>25951951.903438699</v>
      </c>
      <c r="Q75" s="5">
        <v>19834060.770400699</v>
      </c>
      <c r="R75" s="5">
        <v>63363211.596374698</v>
      </c>
      <c r="S75" s="5">
        <v>21380671.717150301</v>
      </c>
      <c r="T75" s="5">
        <v>19189448.446761198</v>
      </c>
      <c r="U75" s="5">
        <v>46096629.2726539</v>
      </c>
      <c r="V75" s="5">
        <v>25891045.3540272</v>
      </c>
    </row>
    <row r="76" spans="1:22" x14ac:dyDescent="0.45">
      <c r="A76" s="5" t="s">
        <v>59</v>
      </c>
      <c r="B76" s="5">
        <v>109876050.98092499</v>
      </c>
      <c r="C76" s="5">
        <v>90533239.974021301</v>
      </c>
      <c r="D76" s="5">
        <v>92106273.317709699</v>
      </c>
      <c r="E76" s="5">
        <v>96754478.635038599</v>
      </c>
      <c r="F76" s="5">
        <v>63736070.877991699</v>
      </c>
      <c r="G76" s="5">
        <v>57895945.716731898</v>
      </c>
      <c r="H76" s="5">
        <v>96483791.720707998</v>
      </c>
      <c r="I76" s="5">
        <v>64345320.2406151</v>
      </c>
      <c r="J76" s="5">
        <v>121197193.93975499</v>
      </c>
      <c r="K76" s="5">
        <v>103368518.220441</v>
      </c>
      <c r="L76" s="5">
        <v>80503832.647867501</v>
      </c>
      <c r="M76" s="5">
        <v>84222609.212653607</v>
      </c>
      <c r="N76" s="5">
        <v>130127915.916839</v>
      </c>
      <c r="O76" s="5">
        <v>76656290.877214506</v>
      </c>
      <c r="P76" s="5">
        <v>97656425.426784903</v>
      </c>
      <c r="Q76" s="5">
        <v>86896948.649665296</v>
      </c>
      <c r="R76" s="5">
        <v>123479526.722197</v>
      </c>
      <c r="S76" s="5">
        <v>70903360.327080801</v>
      </c>
      <c r="T76" s="5">
        <v>66433402.388724297</v>
      </c>
      <c r="U76" s="5">
        <v>97128530.157799199</v>
      </c>
      <c r="V76" s="5">
        <v>63859823.728146903</v>
      </c>
    </row>
    <row r="77" spans="1:22" x14ac:dyDescent="0.45">
      <c r="A77" s="5" t="s">
        <v>184</v>
      </c>
      <c r="B77" s="5">
        <v>25940010.560396701</v>
      </c>
      <c r="C77" s="5">
        <v>28135935.185130399</v>
      </c>
      <c r="D77" s="5">
        <v>28519140.088852402</v>
      </c>
      <c r="E77" s="5">
        <v>32371788.067703102</v>
      </c>
      <c r="F77" s="5">
        <v>15327757.4150861</v>
      </c>
      <c r="G77" s="5">
        <v>15975677.0086757</v>
      </c>
      <c r="H77" s="5">
        <v>29877250.592888001</v>
      </c>
      <c r="I77" s="5">
        <v>15909537.471698901</v>
      </c>
      <c r="J77" s="5">
        <v>34262960.648639299</v>
      </c>
      <c r="K77" s="5">
        <v>35175639.321344502</v>
      </c>
      <c r="L77" s="5">
        <v>30615708.295982201</v>
      </c>
      <c r="M77" s="5">
        <v>36412564.363371797</v>
      </c>
      <c r="N77" s="5">
        <v>33095838.225650001</v>
      </c>
      <c r="O77" s="5">
        <v>15633327.086263301</v>
      </c>
      <c r="P77" s="5">
        <v>29267561.515363399</v>
      </c>
      <c r="Q77" s="5">
        <v>30116810.248366602</v>
      </c>
      <c r="R77" s="5">
        <v>32472045.9834489</v>
      </c>
      <c r="S77" s="5">
        <v>16183434.5571394</v>
      </c>
      <c r="T77" s="5">
        <v>16695335.588323399</v>
      </c>
      <c r="U77" s="5">
        <v>36088471.873629898</v>
      </c>
      <c r="V77" s="5">
        <v>16106378.648592601</v>
      </c>
    </row>
    <row r="78" spans="1:22" x14ac:dyDescent="0.45">
      <c r="A78" s="5" t="s">
        <v>284</v>
      </c>
      <c r="B78" s="5">
        <v>3761276.5385200302</v>
      </c>
      <c r="C78" s="5">
        <v>3015114.7331226701</v>
      </c>
      <c r="D78" s="5">
        <v>4858802.79755159</v>
      </c>
      <c r="E78" s="5">
        <v>6068321.52035351</v>
      </c>
      <c r="F78" s="5">
        <v>716903.03382151702</v>
      </c>
      <c r="G78" s="5">
        <v>134814.48127769399</v>
      </c>
      <c r="H78" s="5">
        <v>6348801.6367750699</v>
      </c>
      <c r="I78" s="5">
        <v>44819.485264381299</v>
      </c>
      <c r="J78" s="5">
        <v>4449183.8674788997</v>
      </c>
      <c r="K78" s="5">
        <v>5514509.3013702799</v>
      </c>
      <c r="L78" s="5">
        <v>12733701.2777551</v>
      </c>
      <c r="M78" s="5">
        <v>7817995.8906405596</v>
      </c>
      <c r="N78" s="5">
        <v>17950586.2233507</v>
      </c>
      <c r="O78" s="5">
        <v>526830.44376954797</v>
      </c>
      <c r="P78" s="5">
        <v>5898391.2111328105</v>
      </c>
      <c r="Q78" s="5">
        <v>5349227.2987439902</v>
      </c>
      <c r="R78" s="5">
        <v>9384729.9415160902</v>
      </c>
      <c r="S78" s="5">
        <v>524165.89579014701</v>
      </c>
      <c r="T78" s="5">
        <v>206476.182421406</v>
      </c>
      <c r="U78" s="5">
        <v>5644480.7581249196</v>
      </c>
      <c r="V78" s="5">
        <v>444846.30841604999</v>
      </c>
    </row>
    <row r="79" spans="1:22" x14ac:dyDescent="0.45">
      <c r="A79" s="5" t="s">
        <v>185</v>
      </c>
      <c r="B79" s="5">
        <v>355561.05484643101</v>
      </c>
      <c r="C79" s="5">
        <v>451236.10730242101</v>
      </c>
      <c r="D79" s="5">
        <v>86621.212165236095</v>
      </c>
      <c r="E79" s="5">
        <v>137078.43326638901</v>
      </c>
      <c r="F79" s="5">
        <v>42029036.382897697</v>
      </c>
      <c r="G79" s="5">
        <v>51411893.052587204</v>
      </c>
      <c r="H79" s="5">
        <v>94249.962979907694</v>
      </c>
      <c r="I79" s="5">
        <v>78337935.265476003</v>
      </c>
      <c r="J79" s="5">
        <v>900518.71622820897</v>
      </c>
      <c r="K79" s="5">
        <v>302782.44739022898</v>
      </c>
      <c r="L79" s="5">
        <v>576796.38116233097</v>
      </c>
      <c r="M79" s="5">
        <v>591067.09274664405</v>
      </c>
      <c r="N79" s="5">
        <v>246744.58610157401</v>
      </c>
      <c r="O79" s="5">
        <v>58577904.687162504</v>
      </c>
      <c r="P79" s="5">
        <v>238463.84175424499</v>
      </c>
      <c r="Q79" s="5">
        <v>476125.51812440797</v>
      </c>
      <c r="R79" s="5">
        <v>110112.91128433699</v>
      </c>
      <c r="S79" s="5">
        <v>54097591.841656402</v>
      </c>
      <c r="T79" s="5">
        <v>66774824.993462197</v>
      </c>
      <c r="U79" s="5">
        <v>681437.06624710304</v>
      </c>
      <c r="V79" s="5">
        <v>48807350.521434203</v>
      </c>
    </row>
    <row r="80" spans="1:22" x14ac:dyDescent="0.45">
      <c r="A80" s="5" t="s">
        <v>60</v>
      </c>
      <c r="B80" s="5">
        <v>12009196.082831001</v>
      </c>
      <c r="C80" s="5">
        <v>11702036.571045101</v>
      </c>
      <c r="D80" s="5">
        <v>13542726.6719495</v>
      </c>
      <c r="E80" s="5">
        <v>14575028.570343999</v>
      </c>
      <c r="F80" s="5">
        <v>8026685.28528859</v>
      </c>
      <c r="G80" s="5">
        <v>6827319.3046474699</v>
      </c>
      <c r="H80" s="5">
        <v>12448927.3754951</v>
      </c>
      <c r="I80" s="5">
        <v>517937.62939377798</v>
      </c>
      <c r="J80" s="5">
        <v>16929863.830783602</v>
      </c>
      <c r="K80" s="5">
        <v>16790668.532001</v>
      </c>
      <c r="L80" s="5">
        <v>11015049.7145037</v>
      </c>
      <c r="M80" s="5">
        <v>12226036.354880299</v>
      </c>
      <c r="N80" s="5">
        <v>16223642.1302492</v>
      </c>
      <c r="O80" s="5">
        <v>7661169.8450818397</v>
      </c>
      <c r="P80" s="5">
        <v>8690260.08081205</v>
      </c>
      <c r="Q80" s="5">
        <v>9691696.5943892598</v>
      </c>
      <c r="R80" s="5">
        <v>5414314.1505133696</v>
      </c>
      <c r="S80" s="5">
        <v>7664214.8212442799</v>
      </c>
      <c r="T80" s="5">
        <v>6434665.4106936799</v>
      </c>
      <c r="U80" s="5">
        <v>14892492.697183499</v>
      </c>
      <c r="V80" s="5">
        <v>9245223.89332214</v>
      </c>
    </row>
    <row r="81" spans="1:22" x14ac:dyDescent="0.45">
      <c r="A81" s="5" t="s">
        <v>61</v>
      </c>
      <c r="B81" s="5">
        <v>49038054.094246097</v>
      </c>
      <c r="C81" s="5">
        <v>49859455.7242302</v>
      </c>
      <c r="D81" s="5">
        <v>56535935.420533702</v>
      </c>
      <c r="E81" s="5">
        <v>65710143.784920797</v>
      </c>
      <c r="F81" s="5">
        <v>35400949.419760101</v>
      </c>
      <c r="G81" s="5">
        <v>30019562.074512899</v>
      </c>
      <c r="H81" s="5">
        <v>55138165.3411486</v>
      </c>
      <c r="I81" s="5">
        <v>2729346.43423894</v>
      </c>
      <c r="J81" s="5">
        <v>72604458.235390097</v>
      </c>
      <c r="K81" s="5">
        <v>77954614.160387993</v>
      </c>
      <c r="L81" s="5">
        <v>48798992.961988203</v>
      </c>
      <c r="M81" s="5">
        <v>55325566.990788497</v>
      </c>
      <c r="N81" s="5">
        <v>69518064.805211201</v>
      </c>
      <c r="O81" s="5">
        <v>35803704.556827202</v>
      </c>
      <c r="P81" s="5">
        <v>40713203.552562997</v>
      </c>
      <c r="Q81" s="5">
        <v>45535380.895784497</v>
      </c>
      <c r="R81" s="5">
        <v>27625863.999618299</v>
      </c>
      <c r="S81" s="5">
        <v>35171261.116104104</v>
      </c>
      <c r="T81" s="5">
        <v>30088934.994455699</v>
      </c>
      <c r="U81" s="5">
        <v>70814956.640788704</v>
      </c>
      <c r="V81" s="5">
        <v>42852821.521140203</v>
      </c>
    </row>
    <row r="82" spans="1:22" x14ac:dyDescent="0.45">
      <c r="A82" s="5" t="s">
        <v>186</v>
      </c>
      <c r="B82" s="5">
        <v>2774709.3288648399</v>
      </c>
      <c r="C82" s="5">
        <v>1666525.6965906499</v>
      </c>
      <c r="D82" s="5">
        <v>2502670.3887321302</v>
      </c>
      <c r="E82" s="5">
        <v>2410757.5946574798</v>
      </c>
      <c r="F82" s="5">
        <v>5924951.0879765302</v>
      </c>
      <c r="G82" s="5">
        <v>6584516.0901146298</v>
      </c>
      <c r="H82" s="5">
        <v>3021814.5981959202</v>
      </c>
      <c r="I82" s="5">
        <v>4425620.2672782</v>
      </c>
      <c r="J82" s="5">
        <v>2767033.8123818901</v>
      </c>
      <c r="K82" s="5">
        <v>3649914.82476521</v>
      </c>
      <c r="L82" s="5">
        <v>2082512.72730345</v>
      </c>
      <c r="M82" s="5">
        <v>1945456.8829886499</v>
      </c>
      <c r="N82" s="5">
        <v>1409137.26020106</v>
      </c>
      <c r="O82" s="5">
        <v>4397761.3787275096</v>
      </c>
      <c r="P82" s="5">
        <v>2196776.5035146698</v>
      </c>
      <c r="Q82" s="5">
        <v>2238758.7927333498</v>
      </c>
      <c r="R82" s="5">
        <v>2432967.94485112</v>
      </c>
      <c r="S82" s="5">
        <v>3899414.6412637401</v>
      </c>
      <c r="T82" s="5">
        <v>6393237.6118251504</v>
      </c>
      <c r="U82" s="5">
        <v>2893056.28715256</v>
      </c>
      <c r="V82" s="5">
        <v>4258022.0020733196</v>
      </c>
    </row>
    <row r="83" spans="1:22" x14ac:dyDescent="0.45">
      <c r="A83" s="5" t="s">
        <v>67</v>
      </c>
      <c r="B83" s="5">
        <v>13264164.357609499</v>
      </c>
      <c r="C83" s="5">
        <v>15207014.4812357</v>
      </c>
      <c r="D83" s="5">
        <v>17605450.5899988</v>
      </c>
      <c r="E83" s="5">
        <v>25025121.1168136</v>
      </c>
      <c r="F83" s="5">
        <v>27772800.0889103</v>
      </c>
      <c r="G83" s="5">
        <v>23874058.638355698</v>
      </c>
      <c r="H83" s="5">
        <v>27281072.835071001</v>
      </c>
      <c r="I83" s="5">
        <v>19204206.191495098</v>
      </c>
      <c r="J83" s="5">
        <v>18245565.945544198</v>
      </c>
      <c r="K83" s="5">
        <v>22040294.7157051</v>
      </c>
      <c r="L83" s="5">
        <v>41944641.511411503</v>
      </c>
      <c r="M83" s="5">
        <v>28273937.630038999</v>
      </c>
      <c r="N83" s="5">
        <v>24441872.217843398</v>
      </c>
      <c r="O83" s="5">
        <v>18953953.726927701</v>
      </c>
      <c r="P83" s="5">
        <v>27816768.261317998</v>
      </c>
      <c r="Q83" s="5">
        <v>32126648.842984602</v>
      </c>
      <c r="R83" s="5">
        <v>18161409.014808699</v>
      </c>
      <c r="S83" s="5">
        <v>34733502.986227699</v>
      </c>
      <c r="T83" s="5">
        <v>27676841.614918198</v>
      </c>
      <c r="U83" s="5">
        <v>27295533.867874399</v>
      </c>
      <c r="V83" s="5">
        <v>27390958.6309264</v>
      </c>
    </row>
    <row r="84" spans="1:22" x14ac:dyDescent="0.45">
      <c r="A84" s="5" t="s">
        <v>243</v>
      </c>
      <c r="B84" s="5">
        <v>6619422.0685290303</v>
      </c>
      <c r="C84" s="5">
        <v>4768040.7451439304</v>
      </c>
      <c r="D84" s="5">
        <v>5700474.0427443599</v>
      </c>
      <c r="E84" s="5">
        <v>1331999.3332898901</v>
      </c>
      <c r="F84" s="5">
        <v>17652156.391325802</v>
      </c>
      <c r="G84" s="5">
        <v>17335259.202745799</v>
      </c>
      <c r="H84" s="5">
        <v>3299700.8293176</v>
      </c>
      <c r="I84" s="5">
        <v>24043418.2273832</v>
      </c>
      <c r="J84" s="5">
        <v>6058822.8538895799</v>
      </c>
      <c r="K84" s="5">
        <v>2865579.5103571699</v>
      </c>
      <c r="L84" s="5">
        <v>4005390.3905762699</v>
      </c>
      <c r="M84" s="5">
        <v>656556.59051928797</v>
      </c>
      <c r="N84" s="5">
        <v>393886.21937554999</v>
      </c>
      <c r="O84" s="5">
        <v>22060382.009041</v>
      </c>
      <c r="P84" s="5">
        <v>2622493.33631666</v>
      </c>
      <c r="Q84" s="5">
        <v>6351517.5383581501</v>
      </c>
      <c r="R84" s="5">
        <v>4599132.6404216504</v>
      </c>
      <c r="S84" s="5">
        <v>15804183.763790701</v>
      </c>
      <c r="T84" s="5">
        <v>19766878.912726801</v>
      </c>
      <c r="U84" s="5">
        <v>2814629.5014773798</v>
      </c>
      <c r="V84" s="5">
        <v>19960782.149494201</v>
      </c>
    </row>
    <row r="85" spans="1:22" x14ac:dyDescent="0.45">
      <c r="A85" s="5" t="s">
        <v>187</v>
      </c>
      <c r="B85" s="5">
        <v>919203.90841846506</v>
      </c>
      <c r="C85" s="5">
        <v>727978.84732472699</v>
      </c>
      <c r="D85" s="5">
        <v>690894.90946286905</v>
      </c>
      <c r="E85" s="5">
        <v>183037.946865484</v>
      </c>
      <c r="F85" s="5">
        <v>1384499.19867429</v>
      </c>
      <c r="G85" s="5">
        <v>2532865.0070905602</v>
      </c>
      <c r="H85" s="5">
        <v>307657.03684536897</v>
      </c>
      <c r="I85" s="5">
        <v>1911327.0075135201</v>
      </c>
      <c r="J85" s="5">
        <v>481652.31943668099</v>
      </c>
      <c r="K85" s="5">
        <v>301217.80290497601</v>
      </c>
      <c r="L85" s="5">
        <v>481710.06988047698</v>
      </c>
      <c r="M85" s="5">
        <v>119077.996713823</v>
      </c>
      <c r="N85" s="5">
        <v>98912.409295936493</v>
      </c>
      <c r="O85" s="5">
        <v>3465308.7935613398</v>
      </c>
      <c r="P85" s="5">
        <v>393598.39899183402</v>
      </c>
      <c r="Q85" s="5">
        <v>1494975.5657683299</v>
      </c>
      <c r="R85" s="5">
        <v>636980.10241451894</v>
      </c>
      <c r="S85" s="5">
        <v>2505661.5851984001</v>
      </c>
      <c r="T85" s="5">
        <v>2831694.8000417501</v>
      </c>
      <c r="U85" s="5">
        <v>359575.591996376</v>
      </c>
      <c r="V85" s="5">
        <v>1846819.7423624699</v>
      </c>
    </row>
    <row r="86" spans="1:22" x14ac:dyDescent="0.45">
      <c r="A86" s="5" t="s">
        <v>244</v>
      </c>
      <c r="B86" s="5">
        <v>1494379.8665628601</v>
      </c>
      <c r="C86" s="5">
        <v>1163361.4894151699</v>
      </c>
      <c r="D86" s="5">
        <v>1634475.1105998999</v>
      </c>
      <c r="E86" s="5">
        <v>1173403.11661721</v>
      </c>
      <c r="F86" s="5">
        <v>1051930.3277714299</v>
      </c>
      <c r="G86" s="5">
        <v>1184349.20774403</v>
      </c>
      <c r="H86" s="5">
        <v>1338848.5576426301</v>
      </c>
      <c r="I86" s="5">
        <v>1037665.2269851801</v>
      </c>
      <c r="J86" s="5">
        <v>996070.97425867303</v>
      </c>
      <c r="K86" s="5">
        <v>1382412.21643772</v>
      </c>
      <c r="L86" s="5">
        <v>857872.362637755</v>
      </c>
      <c r="M86" s="5">
        <v>1746434.4321129499</v>
      </c>
      <c r="N86" s="5">
        <v>1309967.32847727</v>
      </c>
      <c r="O86" s="5">
        <v>1362266.1813355</v>
      </c>
      <c r="P86" s="5">
        <v>1569701.9688629501</v>
      </c>
      <c r="Q86" s="5">
        <v>1214201.01436446</v>
      </c>
      <c r="R86" s="5">
        <v>2084368.4990006101</v>
      </c>
      <c r="S86" s="5">
        <v>916002.05039281596</v>
      </c>
      <c r="T86" s="5">
        <v>834038.12533563899</v>
      </c>
      <c r="U86" s="5">
        <v>1192418.2894444801</v>
      </c>
      <c r="V86" s="5">
        <v>932333.08287550998</v>
      </c>
    </row>
    <row r="87" spans="1:22" x14ac:dyDescent="0.45">
      <c r="A87" s="5" t="s">
        <v>188</v>
      </c>
      <c r="B87" s="5">
        <v>1385193.87116565</v>
      </c>
      <c r="C87" s="5">
        <v>1524623.34208011</v>
      </c>
      <c r="D87" s="5">
        <v>1819330.15434068</v>
      </c>
      <c r="E87" s="5">
        <v>1837433.0350155099</v>
      </c>
      <c r="F87" s="5">
        <v>334303.75661983801</v>
      </c>
      <c r="G87" s="5">
        <v>249097.178302674</v>
      </c>
      <c r="H87" s="5">
        <v>1978523.26411844</v>
      </c>
      <c r="I87" s="5">
        <v>402615.968067993</v>
      </c>
      <c r="J87" s="5">
        <v>1896129.00384226</v>
      </c>
      <c r="K87" s="5">
        <v>2224222.2338460698</v>
      </c>
      <c r="L87" s="5">
        <v>1419647.0548840701</v>
      </c>
      <c r="M87" s="5">
        <v>2219127.8592215199</v>
      </c>
      <c r="N87" s="5">
        <v>1829928.1874539701</v>
      </c>
      <c r="O87" s="5">
        <v>261609.39849509401</v>
      </c>
      <c r="P87" s="5">
        <v>1666874.31918689</v>
      </c>
      <c r="Q87" s="5">
        <v>1756738.85594148</v>
      </c>
      <c r="R87" s="5">
        <v>2021507.19572955</v>
      </c>
      <c r="S87" s="5">
        <v>312486.63955499697</v>
      </c>
      <c r="T87" s="5">
        <v>318378.54771742201</v>
      </c>
      <c r="U87" s="5">
        <v>2579135.5716133402</v>
      </c>
      <c r="V87" s="5">
        <v>320940.25823765498</v>
      </c>
    </row>
    <row r="88" spans="1:22" x14ac:dyDescent="0.45">
      <c r="A88" s="5" t="s">
        <v>166</v>
      </c>
      <c r="B88" s="5">
        <v>205605.93660630801</v>
      </c>
      <c r="C88" s="5">
        <v>239578.87456723899</v>
      </c>
      <c r="D88" s="5">
        <v>244671.77133692999</v>
      </c>
      <c r="E88" s="5">
        <v>252763.71510894399</v>
      </c>
      <c r="F88" s="5">
        <v>1070866.0445916101</v>
      </c>
      <c r="G88" s="5">
        <v>1241490.91571671</v>
      </c>
      <c r="H88" s="5">
        <v>200437.62335706799</v>
      </c>
      <c r="I88" s="5">
        <v>1824539.0037994001</v>
      </c>
      <c r="J88" s="5">
        <v>247380.662506222</v>
      </c>
      <c r="K88" s="5">
        <v>293925.42046516301</v>
      </c>
      <c r="L88" s="5">
        <v>288842.34872449999</v>
      </c>
      <c r="M88" s="5">
        <v>422257.798333983</v>
      </c>
      <c r="N88" s="5">
        <v>343793.01022169401</v>
      </c>
      <c r="O88" s="5">
        <v>1377433.53521947</v>
      </c>
      <c r="P88" s="5">
        <v>237458.40731594001</v>
      </c>
      <c r="Q88" s="5">
        <v>196905.952132062</v>
      </c>
      <c r="R88" s="5">
        <v>416983.82036728301</v>
      </c>
      <c r="S88" s="5">
        <v>837986.22938976798</v>
      </c>
      <c r="T88" s="5">
        <v>1312930.77461721</v>
      </c>
      <c r="U88" s="5">
        <v>277910.64990814799</v>
      </c>
      <c r="V88" s="5">
        <v>936753.536658881</v>
      </c>
    </row>
    <row r="89" spans="1:22" x14ac:dyDescent="0.45">
      <c r="A89" s="5" t="s">
        <v>191</v>
      </c>
      <c r="B89" s="5">
        <v>86622151.871775806</v>
      </c>
      <c r="C89" s="5">
        <v>50289229.433644801</v>
      </c>
      <c r="D89" s="5">
        <v>90142332.902020499</v>
      </c>
      <c r="E89" s="5">
        <v>108275050.33913399</v>
      </c>
      <c r="F89" s="5">
        <v>70279889.883359194</v>
      </c>
      <c r="G89" s="5">
        <v>65941064.042206898</v>
      </c>
      <c r="H89" s="5">
        <v>92616555.965724602</v>
      </c>
      <c r="I89" s="5">
        <v>70445878.654438004</v>
      </c>
      <c r="J89" s="5">
        <v>72162978.235684097</v>
      </c>
      <c r="K89" s="5">
        <v>58011721.499884002</v>
      </c>
      <c r="L89" s="5">
        <v>110031302.427724</v>
      </c>
      <c r="M89" s="5">
        <v>115585050.76773199</v>
      </c>
      <c r="N89" s="5">
        <v>115919186.537802</v>
      </c>
      <c r="O89" s="5">
        <v>71283435.710921898</v>
      </c>
      <c r="P89" s="5">
        <v>95290773.406798095</v>
      </c>
      <c r="Q89" s="5">
        <v>103630550.343345</v>
      </c>
      <c r="R89" s="5">
        <v>126862767.70782299</v>
      </c>
      <c r="S89" s="5">
        <v>76064931.228222907</v>
      </c>
      <c r="T89" s="5">
        <v>72349049.328518003</v>
      </c>
      <c r="U89" s="5">
        <v>104732202.694103</v>
      </c>
      <c r="V89" s="5">
        <v>74216204.225421593</v>
      </c>
    </row>
    <row r="90" spans="1:22" x14ac:dyDescent="0.45">
      <c r="A90" s="5" t="s">
        <v>68</v>
      </c>
      <c r="B90" s="5">
        <v>1594664.5490794899</v>
      </c>
      <c r="C90" s="5">
        <v>1948640.7947893599</v>
      </c>
      <c r="D90" s="5">
        <v>1487591.4908204</v>
      </c>
      <c r="E90" s="5">
        <v>1688304.35144986</v>
      </c>
      <c r="F90" s="5">
        <v>608528.30301383499</v>
      </c>
      <c r="G90" s="5">
        <v>336051.17100826802</v>
      </c>
      <c r="H90" s="5">
        <v>3045700.32616936</v>
      </c>
      <c r="I90" s="5">
        <v>297308.19615574699</v>
      </c>
      <c r="J90" s="5">
        <v>2105852.8211667701</v>
      </c>
      <c r="K90" s="5">
        <v>2769320.6411401602</v>
      </c>
      <c r="L90" s="5">
        <v>2374283.1712965998</v>
      </c>
      <c r="M90" s="5">
        <v>1479663.91448355</v>
      </c>
      <c r="N90" s="5">
        <v>3494157.3414876699</v>
      </c>
      <c r="O90" s="5">
        <v>409765.20054490701</v>
      </c>
      <c r="P90" s="5">
        <v>1730189.7871892001</v>
      </c>
      <c r="Q90" s="5">
        <v>1397291.9170474301</v>
      </c>
      <c r="R90" s="5">
        <v>3433274.88577807</v>
      </c>
      <c r="S90" s="5">
        <v>689448.74836031999</v>
      </c>
      <c r="T90" s="5">
        <v>469023.16082838998</v>
      </c>
      <c r="U90" s="5">
        <v>1429048.8034305</v>
      </c>
      <c r="V90" s="5">
        <v>412259.05294355698</v>
      </c>
    </row>
    <row r="91" spans="1:22" x14ac:dyDescent="0.45">
      <c r="A91" s="5" t="s">
        <v>277</v>
      </c>
      <c r="B91" s="5">
        <v>14606046.1819236</v>
      </c>
      <c r="C91" s="5">
        <v>14474669.9438102</v>
      </c>
      <c r="D91" s="5">
        <v>18785603.092139199</v>
      </c>
      <c r="E91" s="5">
        <v>11086184.398003699</v>
      </c>
      <c r="F91" s="5">
        <v>124525492.45853101</v>
      </c>
      <c r="G91" s="5">
        <v>198095872.42234701</v>
      </c>
      <c r="H91" s="5">
        <v>20639207.191456102</v>
      </c>
      <c r="I91" s="5">
        <v>416636433.86190999</v>
      </c>
      <c r="J91" s="5">
        <v>12088911.171097999</v>
      </c>
      <c r="K91" s="5">
        <v>14666394.914415799</v>
      </c>
      <c r="L91" s="5">
        <v>13320347.168955499</v>
      </c>
      <c r="M91" s="5">
        <v>13471490.373016</v>
      </c>
      <c r="N91" s="5">
        <v>11827196.7527612</v>
      </c>
      <c r="O91" s="5">
        <v>284355373.53649098</v>
      </c>
      <c r="P91" s="5">
        <v>17189516.388297498</v>
      </c>
      <c r="Q91" s="5">
        <v>11757831.178488201</v>
      </c>
      <c r="R91" s="5">
        <v>17184018.1401827</v>
      </c>
      <c r="S91" s="5">
        <v>142285947.13528401</v>
      </c>
      <c r="T91" s="5">
        <v>225788962.850375</v>
      </c>
      <c r="U91" s="5">
        <v>10847406.9834137</v>
      </c>
      <c r="V91" s="5">
        <v>189412632.24214199</v>
      </c>
    </row>
    <row r="92" spans="1:22" x14ac:dyDescent="0.45">
      <c r="A92" s="5" t="s">
        <v>245</v>
      </c>
      <c r="B92" s="5">
        <v>185024153.96035099</v>
      </c>
      <c r="C92" s="5">
        <v>125805519.891976</v>
      </c>
      <c r="D92" s="5">
        <v>161622733.767923</v>
      </c>
      <c r="E92" s="5">
        <v>168998894.884561</v>
      </c>
      <c r="F92" s="5">
        <v>81667097.668015793</v>
      </c>
      <c r="G92" s="5">
        <v>89878968.426489204</v>
      </c>
      <c r="H92" s="5">
        <v>177368267.09210399</v>
      </c>
      <c r="I92" s="5">
        <v>58673223.379810601</v>
      </c>
      <c r="J92" s="5">
        <v>301128613.25789601</v>
      </c>
      <c r="K92" s="5">
        <v>276831236.39690101</v>
      </c>
      <c r="L92" s="5">
        <v>344510107.85977399</v>
      </c>
      <c r="M92" s="5">
        <v>228707032.048704</v>
      </c>
      <c r="N92" s="5">
        <v>200178276.757844</v>
      </c>
      <c r="O92" s="5">
        <v>73597853.6561867</v>
      </c>
      <c r="P92" s="5">
        <v>167211691.87070599</v>
      </c>
      <c r="Q92" s="5">
        <v>211926197.706705</v>
      </c>
      <c r="R92" s="5">
        <v>151857912.52552399</v>
      </c>
      <c r="S92" s="5">
        <v>79853608.566136405</v>
      </c>
      <c r="T92" s="5">
        <v>73658110.101836503</v>
      </c>
      <c r="U92" s="5">
        <v>546522366.51409197</v>
      </c>
      <c r="V92" s="5">
        <v>78817751.2508775</v>
      </c>
    </row>
    <row r="93" spans="1:22" x14ac:dyDescent="0.45">
      <c r="A93" s="5" t="s">
        <v>247</v>
      </c>
      <c r="B93" s="5">
        <v>33745005.886546999</v>
      </c>
      <c r="C93" s="5">
        <v>28031130.137926102</v>
      </c>
      <c r="D93" s="5">
        <v>44643373.6453458</v>
      </c>
      <c r="E93" s="5">
        <v>31427717.949593</v>
      </c>
      <c r="F93" s="5">
        <v>13010830.8718218</v>
      </c>
      <c r="G93" s="5">
        <v>20550721.857825801</v>
      </c>
      <c r="H93" s="5">
        <v>29933544.322803799</v>
      </c>
      <c r="I93" s="5">
        <v>10235954.161263799</v>
      </c>
      <c r="J93" s="5">
        <v>19440423.287118599</v>
      </c>
      <c r="K93" s="5">
        <v>22356767.592527099</v>
      </c>
      <c r="L93" s="5">
        <v>30021686.511007801</v>
      </c>
      <c r="M93" s="5">
        <v>28638738.8226512</v>
      </c>
      <c r="N93" s="5">
        <v>27100722.2870657</v>
      </c>
      <c r="O93" s="5">
        <v>13061603.846655799</v>
      </c>
      <c r="P93" s="5">
        <v>49775866.707523197</v>
      </c>
      <c r="Q93" s="5">
        <v>25596827.398058198</v>
      </c>
      <c r="R93" s="5">
        <v>39575883.188619502</v>
      </c>
      <c r="S93" s="5">
        <v>10578203.513395101</v>
      </c>
      <c r="T93" s="5">
        <v>9479580.16280628</v>
      </c>
      <c r="U93" s="5">
        <v>33503242.479057401</v>
      </c>
      <c r="V93" s="5">
        <v>22839624.707920801</v>
      </c>
    </row>
    <row r="94" spans="1:22" x14ac:dyDescent="0.45">
      <c r="A94" s="5" t="s">
        <v>74</v>
      </c>
      <c r="B94" s="5">
        <v>297269841.86491501</v>
      </c>
      <c r="C94" s="5">
        <v>281135063.88802701</v>
      </c>
      <c r="D94" s="5">
        <v>304540000.57095402</v>
      </c>
      <c r="E94" s="5">
        <v>344272936.42921698</v>
      </c>
      <c r="F94" s="5">
        <v>261019595.73919699</v>
      </c>
      <c r="G94" s="5">
        <v>259291235.16715801</v>
      </c>
      <c r="H94" s="5">
        <v>341692265.76215702</v>
      </c>
      <c r="I94" s="5">
        <v>344963409.01476097</v>
      </c>
      <c r="J94" s="5">
        <v>323577599.17852402</v>
      </c>
      <c r="K94" s="5">
        <v>340314143.78025699</v>
      </c>
      <c r="L94" s="5">
        <v>344481555.06894797</v>
      </c>
      <c r="M94" s="5">
        <v>379745566.10140598</v>
      </c>
      <c r="N94" s="5">
        <v>345216449.95884699</v>
      </c>
      <c r="O94" s="5">
        <v>291792275.95367402</v>
      </c>
      <c r="P94" s="5">
        <v>312287694.77666301</v>
      </c>
      <c r="Q94" s="5">
        <v>329295517.85779101</v>
      </c>
      <c r="R94" s="5">
        <v>339911343.677284</v>
      </c>
      <c r="S94" s="5">
        <v>242404164.181494</v>
      </c>
      <c r="T94" s="5">
        <v>294089179.90713501</v>
      </c>
      <c r="U94" s="5">
        <v>403160652.50095302</v>
      </c>
      <c r="V94" s="5">
        <v>288934845.356516</v>
      </c>
    </row>
    <row r="95" spans="1:22" x14ac:dyDescent="0.45">
      <c r="A95" s="5" t="s">
        <v>285</v>
      </c>
      <c r="B95" s="5">
        <v>78300925.664219201</v>
      </c>
      <c r="C95" s="5">
        <v>91471713.381520703</v>
      </c>
      <c r="D95" s="5">
        <v>136480230.88725901</v>
      </c>
      <c r="E95" s="5">
        <v>80411061.870750397</v>
      </c>
      <c r="F95" s="5">
        <v>475832342.18065</v>
      </c>
      <c r="G95" s="5">
        <v>490315728.49774897</v>
      </c>
      <c r="H95" s="5">
        <v>111466441.151363</v>
      </c>
      <c r="I95" s="5">
        <v>819130776.89037502</v>
      </c>
      <c r="J95" s="5">
        <v>85177753.897388399</v>
      </c>
      <c r="K95" s="5">
        <v>80089501.557584599</v>
      </c>
      <c r="L95" s="5">
        <v>107253775.847626</v>
      </c>
      <c r="M95" s="5">
        <v>52021486.924816303</v>
      </c>
      <c r="N95" s="5">
        <v>56420969.672813803</v>
      </c>
      <c r="O95" s="5">
        <v>573113473.160918</v>
      </c>
      <c r="P95" s="5">
        <v>85496304.475444004</v>
      </c>
      <c r="Q95" s="5">
        <v>90353313.433298796</v>
      </c>
      <c r="R95" s="5">
        <v>46474814.560951903</v>
      </c>
      <c r="S95" s="5">
        <v>438572269.65693402</v>
      </c>
      <c r="T95" s="5">
        <v>523983837.42313802</v>
      </c>
      <c r="U95" s="5">
        <v>60370220.025249504</v>
      </c>
      <c r="V95" s="5">
        <v>567094665.22742403</v>
      </c>
    </row>
    <row r="96" spans="1:22" x14ac:dyDescent="0.45">
      <c r="A96" s="5" t="s">
        <v>130</v>
      </c>
      <c r="B96" s="5">
        <v>263941244.894126</v>
      </c>
      <c r="C96" s="5">
        <v>248341568.299716</v>
      </c>
      <c r="D96" s="5">
        <v>178349969.752446</v>
      </c>
      <c r="E96" s="5">
        <v>508764278.07024598</v>
      </c>
      <c r="F96" s="5">
        <v>230256356.174236</v>
      </c>
      <c r="G96" s="5">
        <v>198385421.95597401</v>
      </c>
      <c r="H96" s="5">
        <v>139864033.51817</v>
      </c>
      <c r="I96" s="5">
        <v>166925990.70138499</v>
      </c>
      <c r="J96" s="5">
        <v>257649352.465716</v>
      </c>
      <c r="K96" s="5">
        <v>198328422.77181101</v>
      </c>
      <c r="L96" s="5">
        <v>300956206.70877701</v>
      </c>
      <c r="M96" s="5">
        <v>390793744.40578997</v>
      </c>
      <c r="N96" s="5">
        <v>457687296.40969199</v>
      </c>
      <c r="O96" s="5">
        <v>221842237.09529901</v>
      </c>
      <c r="P96" s="5">
        <v>399488905.34627801</v>
      </c>
      <c r="Q96" s="5">
        <v>289211002.909944</v>
      </c>
      <c r="R96" s="5">
        <v>269084515.561584</v>
      </c>
      <c r="S96" s="5">
        <v>193259250.681059</v>
      </c>
      <c r="T96" s="5">
        <v>161818167.39720199</v>
      </c>
      <c r="U96" s="5">
        <v>320604770.44602603</v>
      </c>
      <c r="V96" s="5">
        <v>217034664.586027</v>
      </c>
    </row>
    <row r="97" spans="1:22" x14ac:dyDescent="0.45">
      <c r="A97" s="5" t="s">
        <v>76</v>
      </c>
      <c r="B97" s="5">
        <v>15326053.584274201</v>
      </c>
      <c r="C97" s="5">
        <v>22780975.303298801</v>
      </c>
      <c r="D97" s="5">
        <v>10124735.596798001</v>
      </c>
      <c r="E97" s="5">
        <v>15056717.059479199</v>
      </c>
      <c r="F97" s="5">
        <v>8394812.6214183904</v>
      </c>
      <c r="G97" s="5">
        <v>7996821.0243408298</v>
      </c>
      <c r="H97" s="5">
        <v>28303680.4080492</v>
      </c>
      <c r="I97" s="5">
        <v>1646800.62518476</v>
      </c>
      <c r="J97" s="5">
        <v>7148785.1224823203</v>
      </c>
      <c r="K97" s="5">
        <v>13809185.694357401</v>
      </c>
      <c r="L97" s="5">
        <v>10723778.847172299</v>
      </c>
      <c r="M97" s="5">
        <v>11384027.3942088</v>
      </c>
      <c r="N97" s="5">
        <v>8624621.0999972392</v>
      </c>
      <c r="O97" s="5">
        <v>2605028.2719417298</v>
      </c>
      <c r="P97" s="5">
        <v>7053751.5997938402</v>
      </c>
      <c r="Q97" s="5">
        <v>6449302.07382451</v>
      </c>
      <c r="R97" s="5">
        <v>42050219.479493402</v>
      </c>
      <c r="S97" s="5">
        <v>9124468.7976111807</v>
      </c>
      <c r="T97" s="5">
        <v>4510234.4125617202</v>
      </c>
      <c r="U97" s="5">
        <v>2977445.70917087</v>
      </c>
      <c r="V97" s="5">
        <v>2958468.2275346098</v>
      </c>
    </row>
    <row r="98" spans="1:22" x14ac:dyDescent="0.45">
      <c r="A98" s="5" t="s">
        <v>77</v>
      </c>
      <c r="B98" s="5">
        <v>50961.493282515999</v>
      </c>
      <c r="C98" s="5">
        <v>23698.568163847402</v>
      </c>
      <c r="D98" s="5">
        <v>31075.135077532599</v>
      </c>
      <c r="E98" s="5">
        <v>28953.966377589899</v>
      </c>
      <c r="F98" s="5">
        <v>467374.80104199197</v>
      </c>
      <c r="G98" s="5">
        <v>696756.97335573903</v>
      </c>
      <c r="H98" s="5">
        <v>25090.5348266367</v>
      </c>
      <c r="I98" s="5">
        <v>791540.56414859497</v>
      </c>
      <c r="J98" s="5">
        <v>26092.149425708601</v>
      </c>
      <c r="K98" s="5">
        <v>28946.7176283433</v>
      </c>
      <c r="L98" s="5">
        <v>54035.050174228098</v>
      </c>
      <c r="M98" s="5">
        <v>28219.740390270599</v>
      </c>
      <c r="N98" s="5">
        <v>58664.241041101901</v>
      </c>
      <c r="O98" s="5">
        <v>661135.70217474003</v>
      </c>
      <c r="P98" s="5">
        <v>58201.424597692203</v>
      </c>
      <c r="Q98" s="5">
        <v>23862.395540604299</v>
      </c>
      <c r="R98" s="5">
        <v>29260.223067074501</v>
      </c>
      <c r="S98" s="5">
        <v>419757.82756996102</v>
      </c>
      <c r="T98" s="5">
        <v>593173.69536003703</v>
      </c>
      <c r="U98" s="5">
        <v>29431.398550731501</v>
      </c>
      <c r="V98" s="5">
        <v>495163.04645455198</v>
      </c>
    </row>
    <row r="99" spans="1:22" x14ac:dyDescent="0.45">
      <c r="A99" s="5" t="s">
        <v>159</v>
      </c>
      <c r="B99" s="5">
        <v>93207.155697909693</v>
      </c>
      <c r="C99" s="5">
        <v>108650.501955716</v>
      </c>
      <c r="D99" s="5">
        <v>184125.83274406299</v>
      </c>
      <c r="E99" s="5">
        <v>69375.3352636692</v>
      </c>
      <c r="F99" s="5">
        <v>2024008.35789743</v>
      </c>
      <c r="G99" s="5">
        <v>2025249.58517093</v>
      </c>
      <c r="H99" s="5">
        <v>217331.620387837</v>
      </c>
      <c r="I99" s="5">
        <v>4707220.69663224</v>
      </c>
      <c r="J99" s="5">
        <v>74404.857823160506</v>
      </c>
      <c r="K99" s="5">
        <v>74863.684049805699</v>
      </c>
      <c r="L99" s="5">
        <v>350877.19512515201</v>
      </c>
      <c r="M99" s="5">
        <v>84860.930626759102</v>
      </c>
      <c r="N99" s="5">
        <v>73609.074532620594</v>
      </c>
      <c r="O99" s="5">
        <v>3548413.25399883</v>
      </c>
      <c r="P99" s="5">
        <v>131773.61482322801</v>
      </c>
      <c r="Q99" s="5">
        <v>98509.146552344493</v>
      </c>
      <c r="R99" s="5">
        <v>70966.022568367</v>
      </c>
      <c r="S99" s="5">
        <v>1964528.43739468</v>
      </c>
      <c r="T99" s="5">
        <v>3692093.3916584202</v>
      </c>
      <c r="U99" s="5">
        <v>102537.310189565</v>
      </c>
      <c r="V99" s="5">
        <v>3492641.5688612</v>
      </c>
    </row>
    <row r="100" spans="1:22" x14ac:dyDescent="0.45">
      <c r="A100" s="5" t="s">
        <v>78</v>
      </c>
      <c r="B100" s="5">
        <v>2090936.02058434</v>
      </c>
      <c r="C100" s="5">
        <v>2469196.1915262402</v>
      </c>
      <c r="D100" s="5">
        <v>2167228.57026221</v>
      </c>
      <c r="E100" s="5">
        <v>1711922.1033993401</v>
      </c>
      <c r="F100" s="5">
        <v>403268.27984949201</v>
      </c>
      <c r="G100" s="5">
        <v>566419.38420323504</v>
      </c>
      <c r="H100" s="5">
        <v>1364306.7712857199</v>
      </c>
      <c r="I100" s="5">
        <v>480653.96612965898</v>
      </c>
      <c r="J100" s="5">
        <v>2131576.835641</v>
      </c>
      <c r="K100" s="5">
        <v>1794660.4123968501</v>
      </c>
      <c r="L100" s="5">
        <v>1541418.0661486799</v>
      </c>
      <c r="M100" s="5">
        <v>1824965.2648936899</v>
      </c>
      <c r="N100" s="5">
        <v>2306437.7375664501</v>
      </c>
      <c r="O100" s="5">
        <v>443516.302720854</v>
      </c>
      <c r="P100" s="5">
        <v>1721598.86258636</v>
      </c>
      <c r="Q100" s="5">
        <v>1710275.7449076599</v>
      </c>
      <c r="R100" s="5">
        <v>2309473.38809975</v>
      </c>
      <c r="S100" s="5">
        <v>536941.03868450003</v>
      </c>
      <c r="T100" s="5">
        <v>381891.20177159301</v>
      </c>
      <c r="U100" s="5">
        <v>1422320.7289718499</v>
      </c>
      <c r="V100" s="5">
        <v>6852480.4016961996</v>
      </c>
    </row>
    <row r="101" spans="1:22" x14ac:dyDescent="0.45">
      <c r="A101" s="5" t="s">
        <v>252</v>
      </c>
      <c r="B101" s="5">
        <v>61377.100495388098</v>
      </c>
      <c r="C101" s="5">
        <v>59225.280752271698</v>
      </c>
      <c r="D101" s="5">
        <v>59475.394209177299</v>
      </c>
      <c r="E101" s="5">
        <v>63688.541456957799</v>
      </c>
      <c r="F101" s="5">
        <v>576221.183385866</v>
      </c>
      <c r="G101" s="5">
        <v>826809.48933745397</v>
      </c>
      <c r="H101" s="5">
        <v>58877.490859323501</v>
      </c>
      <c r="I101" s="5">
        <v>1151756.77994928</v>
      </c>
      <c r="J101" s="5">
        <v>58037.796313866202</v>
      </c>
      <c r="K101" s="5">
        <v>67009.083121678705</v>
      </c>
      <c r="L101" s="5">
        <v>74121.716199119997</v>
      </c>
      <c r="M101" s="5">
        <v>63613.743900962698</v>
      </c>
      <c r="N101" s="5">
        <v>68533.581247053895</v>
      </c>
      <c r="O101" s="5">
        <v>969209.92234770302</v>
      </c>
      <c r="P101" s="5">
        <v>49360.013157373898</v>
      </c>
      <c r="Q101" s="5">
        <v>58675.380998348999</v>
      </c>
      <c r="R101" s="5">
        <v>65999.297332998001</v>
      </c>
      <c r="S101" s="5">
        <v>837150.35672144196</v>
      </c>
      <c r="T101" s="5">
        <v>743878.47831962805</v>
      </c>
      <c r="U101" s="5">
        <v>83595.011096300499</v>
      </c>
      <c r="V101" s="5">
        <v>733152.30195448198</v>
      </c>
    </row>
    <row r="102" spans="1:22" x14ac:dyDescent="0.45">
      <c r="A102" s="5" t="s">
        <v>195</v>
      </c>
      <c r="B102" s="5">
        <v>64296.994131133702</v>
      </c>
      <c r="C102" s="5">
        <v>87278.645269487301</v>
      </c>
      <c r="D102" s="5">
        <v>203667.54288776699</v>
      </c>
      <c r="E102" s="5">
        <v>21154.8949754762</v>
      </c>
      <c r="F102" s="5">
        <v>3144207.1844476</v>
      </c>
      <c r="G102" s="5">
        <v>4570185.5552863702</v>
      </c>
      <c r="H102" s="5">
        <v>231761.47489159499</v>
      </c>
      <c r="I102" s="5">
        <v>8013736.00496059</v>
      </c>
      <c r="J102" s="5">
        <v>46376.457509202097</v>
      </c>
      <c r="K102" s="5">
        <v>66240.108473415996</v>
      </c>
      <c r="L102" s="5">
        <v>236759.36856523101</v>
      </c>
      <c r="M102" s="5">
        <v>15248.2081723663</v>
      </c>
      <c r="N102" s="5">
        <v>12753.0708753403</v>
      </c>
      <c r="O102" s="5">
        <v>5331969.1793229701</v>
      </c>
      <c r="P102" s="5">
        <v>112749.460457416</v>
      </c>
      <c r="Q102" s="5">
        <v>150314.867485803</v>
      </c>
      <c r="R102" s="5">
        <v>130267.28388929499</v>
      </c>
      <c r="S102" s="5">
        <v>3411600.43284918</v>
      </c>
      <c r="T102" s="5">
        <v>4601026.5875869803</v>
      </c>
      <c r="U102" s="5">
        <v>58897.270351571402</v>
      </c>
      <c r="V102" s="5">
        <v>5140723.1656103302</v>
      </c>
    </row>
    <row r="103" spans="1:22" x14ac:dyDescent="0.45">
      <c r="A103" s="5" t="s">
        <v>79</v>
      </c>
      <c r="B103" s="5">
        <v>7260273.4568776302</v>
      </c>
      <c r="C103" s="5">
        <v>15666797.339403</v>
      </c>
      <c r="D103" s="5">
        <v>5202273.5787730096</v>
      </c>
      <c r="E103" s="5">
        <v>4946106.6013735998</v>
      </c>
      <c r="F103" s="5">
        <v>2740695.1951623098</v>
      </c>
      <c r="G103" s="5">
        <v>3246346.3894853899</v>
      </c>
      <c r="H103" s="5">
        <v>7450722.9947276497</v>
      </c>
      <c r="I103" s="5">
        <v>967438.96716481005</v>
      </c>
      <c r="J103" s="5">
        <v>6222437.1983026098</v>
      </c>
      <c r="K103" s="5">
        <v>4925433.2598334299</v>
      </c>
      <c r="L103" s="5">
        <v>2983602.1890303902</v>
      </c>
      <c r="M103" s="5">
        <v>6047221.1026390102</v>
      </c>
      <c r="N103" s="5">
        <v>9924258.9063178394</v>
      </c>
      <c r="O103" s="5">
        <v>1861152.68711433</v>
      </c>
      <c r="P103" s="5">
        <v>4107658.78674288</v>
      </c>
      <c r="Q103" s="5">
        <v>4744320.3175332798</v>
      </c>
      <c r="R103" s="5">
        <v>5641660.1367660798</v>
      </c>
      <c r="S103" s="5">
        <v>3924387.5329189701</v>
      </c>
      <c r="T103" s="5">
        <v>1687448.07423841</v>
      </c>
      <c r="U103" s="5">
        <v>1821843.5897780899</v>
      </c>
      <c r="V103" s="5">
        <v>1279267.4703027101</v>
      </c>
    </row>
    <row r="104" spans="1:22" x14ac:dyDescent="0.45">
      <c r="A104" s="5" t="s">
        <v>131</v>
      </c>
      <c r="B104" s="5">
        <v>65602860.505880997</v>
      </c>
      <c r="C104" s="5">
        <v>125800594.548013</v>
      </c>
      <c r="D104" s="5">
        <v>88026955.699608907</v>
      </c>
      <c r="E104" s="5">
        <v>33435609.191245101</v>
      </c>
      <c r="F104" s="5">
        <v>28160108.267233498</v>
      </c>
      <c r="G104" s="5">
        <v>51184107.229226001</v>
      </c>
      <c r="H104" s="5">
        <v>58267702.392232999</v>
      </c>
      <c r="I104" s="5">
        <v>47757214.304227002</v>
      </c>
      <c r="J104" s="5">
        <v>134054327.630017</v>
      </c>
      <c r="K104" s="5">
        <v>69161171.503839701</v>
      </c>
      <c r="L104" s="5">
        <v>24423095.0730104</v>
      </c>
      <c r="M104" s="5">
        <v>55553853.848953202</v>
      </c>
      <c r="N104" s="5">
        <v>29140717.764691699</v>
      </c>
      <c r="O104" s="5">
        <v>41228184.1597443</v>
      </c>
      <c r="P104" s="5">
        <v>62955505.283625104</v>
      </c>
      <c r="Q104" s="5">
        <v>65581165.644308597</v>
      </c>
      <c r="R104" s="5">
        <v>15707398.7826955</v>
      </c>
      <c r="S104" s="5">
        <v>57588550.953868203</v>
      </c>
      <c r="T104" s="5">
        <v>37276405.596277602</v>
      </c>
      <c r="U104" s="5">
        <v>44527479.832337096</v>
      </c>
      <c r="V104" s="5">
        <v>27493682.1232506</v>
      </c>
    </row>
    <row r="105" spans="1:22" x14ac:dyDescent="0.45">
      <c r="A105" s="5" t="s">
        <v>272</v>
      </c>
      <c r="B105" s="5">
        <v>568992.24010306795</v>
      </c>
      <c r="C105" s="5">
        <v>420210.84947941802</v>
      </c>
      <c r="D105" s="5">
        <v>472883.15319241502</v>
      </c>
      <c r="E105" s="5">
        <v>357849.27350168303</v>
      </c>
      <c r="F105" s="5">
        <v>468292.73975040199</v>
      </c>
      <c r="G105" s="5">
        <v>717395.390109887</v>
      </c>
      <c r="H105" s="5">
        <v>381585.11236324802</v>
      </c>
      <c r="I105" s="5">
        <v>593834.958291132</v>
      </c>
      <c r="J105" s="5">
        <v>399651.111803754</v>
      </c>
      <c r="K105" s="5">
        <v>365685.09225886798</v>
      </c>
      <c r="L105" s="5">
        <v>368494.77976786101</v>
      </c>
      <c r="M105" s="5">
        <v>402637.87289224402</v>
      </c>
      <c r="N105" s="5">
        <v>378832.24189732602</v>
      </c>
      <c r="O105" s="5">
        <v>629618.81542855804</v>
      </c>
      <c r="P105" s="5">
        <v>490398.92904676002</v>
      </c>
      <c r="Q105" s="5">
        <v>450852.24085912498</v>
      </c>
      <c r="R105" s="5">
        <v>430798.47806792799</v>
      </c>
      <c r="S105" s="5">
        <v>570722.493769711</v>
      </c>
      <c r="T105" s="5">
        <v>626005.05285700201</v>
      </c>
      <c r="U105" s="5">
        <v>417830.15599505597</v>
      </c>
      <c r="V105" s="5">
        <v>500873.86772919702</v>
      </c>
    </row>
    <row r="106" spans="1:22" x14ac:dyDescent="0.45">
      <c r="A106" s="5" t="s">
        <v>273</v>
      </c>
      <c r="B106" s="5">
        <v>3362034.7812791299</v>
      </c>
      <c r="C106" s="5">
        <v>4794211.7986894101</v>
      </c>
      <c r="D106" s="5">
        <v>3329267.0575870802</v>
      </c>
      <c r="E106" s="5">
        <v>1343609.6947138601</v>
      </c>
      <c r="F106" s="5">
        <v>4669205.07099659</v>
      </c>
      <c r="G106" s="5">
        <v>5302732.2026733002</v>
      </c>
      <c r="H106" s="5">
        <v>2464428.15357967</v>
      </c>
      <c r="I106" s="5">
        <v>14083705.3720043</v>
      </c>
      <c r="J106" s="5">
        <v>3926588.2822042601</v>
      </c>
      <c r="K106" s="5">
        <v>2547389.89560364</v>
      </c>
      <c r="L106" s="5">
        <v>3733525.7446808098</v>
      </c>
      <c r="M106" s="5">
        <v>1767886.5410249999</v>
      </c>
      <c r="N106" s="5">
        <v>1930582.69775335</v>
      </c>
      <c r="O106" s="5">
        <v>5623701.7506181002</v>
      </c>
      <c r="P106" s="5">
        <v>1690582.7830118199</v>
      </c>
      <c r="Q106" s="5">
        <v>9435111.8231936507</v>
      </c>
      <c r="R106" s="5">
        <v>6715394.6623627404</v>
      </c>
      <c r="S106" s="5">
        <v>8959981.4796482008</v>
      </c>
      <c r="T106" s="5">
        <v>5346339.1150909904</v>
      </c>
      <c r="U106" s="5">
        <v>3552833.5105236601</v>
      </c>
      <c r="V106" s="5">
        <v>4172688.3765176302</v>
      </c>
    </row>
    <row r="107" spans="1:22" x14ac:dyDescent="0.45">
      <c r="A107" s="5" t="s">
        <v>274</v>
      </c>
      <c r="B107" s="5">
        <v>419767.92292589799</v>
      </c>
      <c r="C107" s="5">
        <v>588369.11460109404</v>
      </c>
      <c r="D107" s="5">
        <v>408770.06534123502</v>
      </c>
      <c r="E107" s="5">
        <v>379988.11668481701</v>
      </c>
      <c r="F107" s="5">
        <v>120239.141567901</v>
      </c>
      <c r="G107" s="5">
        <v>109160.84231993101</v>
      </c>
      <c r="H107" s="5">
        <v>367558.04374745901</v>
      </c>
      <c r="I107" s="5">
        <v>49080.088485075197</v>
      </c>
      <c r="J107" s="5">
        <v>499636.99983679102</v>
      </c>
      <c r="K107" s="5">
        <v>386039.79745977599</v>
      </c>
      <c r="L107" s="5">
        <v>321022.689893712</v>
      </c>
      <c r="M107" s="5">
        <v>367185.15263079503</v>
      </c>
      <c r="N107" s="5">
        <v>315111.32702122099</v>
      </c>
      <c r="O107" s="5">
        <v>132555.49371885799</v>
      </c>
      <c r="P107" s="5">
        <v>493814.77642348298</v>
      </c>
      <c r="Q107" s="5">
        <v>496224.19184393901</v>
      </c>
      <c r="R107" s="5">
        <v>339122.56209298701</v>
      </c>
      <c r="S107" s="5">
        <v>237268.76287079099</v>
      </c>
      <c r="T107" s="5">
        <v>168047.00740566899</v>
      </c>
      <c r="U107" s="5">
        <v>358735.11086725799</v>
      </c>
      <c r="V107" s="5">
        <v>123919.923508376</v>
      </c>
    </row>
    <row r="108" spans="1:22" x14ac:dyDescent="0.45">
      <c r="A108" s="5" t="s">
        <v>156</v>
      </c>
      <c r="B108" s="5">
        <v>36306875.971767999</v>
      </c>
      <c r="C108" s="5">
        <v>33542583.992501199</v>
      </c>
      <c r="D108" s="5">
        <v>39437335.882415801</v>
      </c>
      <c r="E108" s="5">
        <v>39384282.910805397</v>
      </c>
      <c r="F108" s="5">
        <v>41894699.785229199</v>
      </c>
      <c r="G108" s="5">
        <v>61073944.908766396</v>
      </c>
      <c r="H108" s="5">
        <v>44130330.420058303</v>
      </c>
      <c r="I108" s="5">
        <v>44440061.870621704</v>
      </c>
      <c r="J108" s="5">
        <v>40160917.393026903</v>
      </c>
      <c r="K108" s="5">
        <v>51338235.128383197</v>
      </c>
      <c r="L108" s="5">
        <v>38289390.029210404</v>
      </c>
      <c r="M108" s="5">
        <v>23941923.226418599</v>
      </c>
      <c r="N108" s="5">
        <v>21162236.897693001</v>
      </c>
      <c r="O108" s="5">
        <v>41551243.379271798</v>
      </c>
      <c r="P108" s="5">
        <v>21718180.964668099</v>
      </c>
      <c r="Q108" s="5">
        <v>29876392.510655802</v>
      </c>
      <c r="R108" s="5">
        <v>23522130.447323501</v>
      </c>
      <c r="S108" s="5">
        <v>55121055.493619002</v>
      </c>
      <c r="T108" s="5">
        <v>44724276.181408197</v>
      </c>
      <c r="U108" s="5">
        <v>44731476.077957101</v>
      </c>
      <c r="V108" s="5">
        <v>33828516.848925903</v>
      </c>
    </row>
    <row r="109" spans="1:22" x14ac:dyDescent="0.45">
      <c r="A109" s="5" t="s">
        <v>148</v>
      </c>
      <c r="B109" s="5">
        <v>323848985.843409</v>
      </c>
      <c r="C109" s="5">
        <v>275127120.25181001</v>
      </c>
      <c r="D109" s="5">
        <v>291313122.40633601</v>
      </c>
      <c r="E109" s="5">
        <v>290038315.34481901</v>
      </c>
      <c r="F109" s="5">
        <v>194317941.22406301</v>
      </c>
      <c r="G109" s="5">
        <v>175062847.20866299</v>
      </c>
      <c r="H109" s="5">
        <v>287787588.16417801</v>
      </c>
      <c r="I109" s="5">
        <v>198169209.582495</v>
      </c>
      <c r="J109" s="5">
        <v>264146702.12623501</v>
      </c>
      <c r="K109" s="5">
        <v>255919917.71901399</v>
      </c>
      <c r="L109" s="5">
        <v>215893103.143951</v>
      </c>
      <c r="M109" s="5">
        <v>292789517.76641601</v>
      </c>
      <c r="N109" s="5">
        <v>360534604.22087699</v>
      </c>
      <c r="O109" s="5">
        <v>189412027.45989001</v>
      </c>
      <c r="P109" s="5">
        <v>278977138.97290999</v>
      </c>
      <c r="Q109" s="5">
        <v>278818116.93568599</v>
      </c>
      <c r="R109" s="5">
        <v>290152810.97879201</v>
      </c>
      <c r="S109" s="5">
        <v>199371961.14541501</v>
      </c>
      <c r="T109" s="5">
        <v>181496857.267221</v>
      </c>
      <c r="U109" s="5">
        <v>215043714.41202301</v>
      </c>
      <c r="V109" s="5">
        <v>194752556.259424</v>
      </c>
    </row>
    <row r="110" spans="1:22" x14ac:dyDescent="0.45">
      <c r="A110" s="5" t="s">
        <v>253</v>
      </c>
      <c r="B110" s="5">
        <v>202464.63871961701</v>
      </c>
      <c r="C110" s="5">
        <v>581830.43427725404</v>
      </c>
      <c r="D110" s="5">
        <v>315296.62624901498</v>
      </c>
      <c r="E110" s="5">
        <v>29436.170773754598</v>
      </c>
      <c r="F110" s="5">
        <v>1236950.5664397201</v>
      </c>
      <c r="G110" s="5">
        <v>2006790.39019997</v>
      </c>
      <c r="H110" s="5">
        <v>209350.458832665</v>
      </c>
      <c r="I110" s="5">
        <v>1845954.90685763</v>
      </c>
      <c r="J110" s="5">
        <v>529745.75401211798</v>
      </c>
      <c r="K110" s="5">
        <v>189543.79683613399</v>
      </c>
      <c r="L110" s="5">
        <v>455463.83296172199</v>
      </c>
      <c r="M110" s="5">
        <v>134733.595458558</v>
      </c>
      <c r="N110" s="5">
        <v>102802.80935243001</v>
      </c>
      <c r="O110" s="5">
        <v>2399817.15662933</v>
      </c>
      <c r="P110" s="5">
        <v>273500.28677993198</v>
      </c>
      <c r="Q110" s="5">
        <v>360093.387656665</v>
      </c>
      <c r="R110" s="5">
        <v>75912.629125944004</v>
      </c>
      <c r="S110" s="5">
        <v>1657775.4579238701</v>
      </c>
      <c r="T110" s="5">
        <v>2344778.2711395998</v>
      </c>
      <c r="U110" s="5">
        <v>277254.48270761</v>
      </c>
      <c r="V110" s="5">
        <v>2060345.55382397</v>
      </c>
    </row>
    <row r="111" spans="1:22" x14ac:dyDescent="0.45">
      <c r="A111" s="5" t="s">
        <v>286</v>
      </c>
      <c r="B111" s="5">
        <v>5024667.2615748802</v>
      </c>
      <c r="C111" s="5">
        <v>5295415.1750850296</v>
      </c>
      <c r="D111" s="5">
        <v>1550020.75740736</v>
      </c>
      <c r="E111" s="5">
        <v>2164858.9861244</v>
      </c>
      <c r="F111" s="5">
        <v>472865653.055592</v>
      </c>
      <c r="G111" s="5">
        <v>580263086.75605702</v>
      </c>
      <c r="H111" s="5">
        <v>1435127.00688596</v>
      </c>
      <c r="I111" s="5">
        <v>809598695.23364305</v>
      </c>
      <c r="J111" s="5">
        <v>9925795.9835173003</v>
      </c>
      <c r="K111" s="5">
        <v>3282660.7882054499</v>
      </c>
      <c r="L111" s="5">
        <v>7119258.9039583998</v>
      </c>
      <c r="M111" s="5">
        <v>6953151.2512085102</v>
      </c>
      <c r="N111" s="5">
        <v>3006384.5549843102</v>
      </c>
      <c r="O111" s="5">
        <v>639061012.22388005</v>
      </c>
      <c r="P111" s="5">
        <v>2929763.75545647</v>
      </c>
      <c r="Q111" s="5">
        <v>5034388.7783415196</v>
      </c>
      <c r="R111" s="5">
        <v>835938.47551611601</v>
      </c>
      <c r="S111" s="5">
        <v>577174080.78691196</v>
      </c>
      <c r="T111" s="5">
        <v>710028239.03636503</v>
      </c>
      <c r="U111" s="5">
        <v>7915199.48289074</v>
      </c>
      <c r="V111" s="5">
        <v>518796405.56788599</v>
      </c>
    </row>
    <row r="112" spans="1:22" x14ac:dyDescent="0.45">
      <c r="A112" s="5" t="s">
        <v>287</v>
      </c>
      <c r="B112" s="5">
        <v>12720181.737880301</v>
      </c>
      <c r="C112" s="5">
        <v>50914711.194385797</v>
      </c>
      <c r="D112" s="5">
        <v>24274325.544972301</v>
      </c>
      <c r="E112" s="5">
        <v>2559422.3440651</v>
      </c>
      <c r="F112" s="5">
        <v>84145488.887080595</v>
      </c>
      <c r="G112" s="5">
        <v>149052940.141828</v>
      </c>
      <c r="H112" s="5">
        <v>15223185.8576374</v>
      </c>
      <c r="I112" s="5">
        <v>188756307.05713201</v>
      </c>
      <c r="J112" s="5">
        <v>35606864.912989303</v>
      </c>
      <c r="K112" s="5">
        <v>10291099.887614001</v>
      </c>
      <c r="L112" s="5">
        <v>37908331.174755901</v>
      </c>
      <c r="M112" s="5">
        <v>8670856.4892669395</v>
      </c>
      <c r="N112" s="5">
        <v>6043612.1707285801</v>
      </c>
      <c r="O112" s="5">
        <v>163110148.33287799</v>
      </c>
      <c r="P112" s="5">
        <v>17747177.840853099</v>
      </c>
      <c r="Q112" s="5">
        <v>27891417.9948957</v>
      </c>
      <c r="R112" s="5">
        <v>3661955.97283345</v>
      </c>
      <c r="S112" s="5">
        <v>102675595.76626401</v>
      </c>
      <c r="T112" s="5">
        <v>141432749.921242</v>
      </c>
      <c r="U112" s="5">
        <v>13932941.582137899</v>
      </c>
      <c r="V112" s="5">
        <v>139393452.42561799</v>
      </c>
    </row>
    <row r="113" spans="1:22" x14ac:dyDescent="0.45">
      <c r="A113" s="5" t="s">
        <v>196</v>
      </c>
      <c r="B113" s="5">
        <v>5199015.3338683099</v>
      </c>
      <c r="C113" s="5">
        <v>10085108.178608101</v>
      </c>
      <c r="D113" s="5">
        <v>5918061.67657011</v>
      </c>
      <c r="E113" s="5">
        <v>2798765.2449199599</v>
      </c>
      <c r="F113" s="5">
        <v>4068858.7010209602</v>
      </c>
      <c r="G113" s="5">
        <v>7406638.5861971797</v>
      </c>
      <c r="H113" s="5">
        <v>4017202.4802726498</v>
      </c>
      <c r="I113" s="5">
        <v>3376569.94639201</v>
      </c>
      <c r="J113" s="5">
        <v>10760836.1319292</v>
      </c>
      <c r="K113" s="5">
        <v>5096543.92464705</v>
      </c>
      <c r="L113" s="5">
        <v>4452378.4987557204</v>
      </c>
      <c r="M113" s="5">
        <v>3719672.9973715902</v>
      </c>
      <c r="N113" s="5">
        <v>3159258.7981271101</v>
      </c>
      <c r="O113" s="5">
        <v>2511445.3651256701</v>
      </c>
      <c r="P113" s="5">
        <v>4387970.4713760801</v>
      </c>
      <c r="Q113" s="5">
        <v>8086013.2097498998</v>
      </c>
      <c r="R113" s="5">
        <v>2854937.2063848102</v>
      </c>
      <c r="S113" s="5">
        <v>5453275.4241644302</v>
      </c>
      <c r="T113" s="5">
        <v>5818349.0599790504</v>
      </c>
      <c r="U113" s="5">
        <v>6447585.0650448604</v>
      </c>
      <c r="V113" s="5">
        <v>3064510.3484331002</v>
      </c>
    </row>
    <row r="114" spans="1:22" x14ac:dyDescent="0.45">
      <c r="A114" s="5" t="s">
        <v>80</v>
      </c>
      <c r="B114" s="5">
        <v>271901661.749336</v>
      </c>
      <c r="C114" s="5">
        <v>247652148.79435799</v>
      </c>
      <c r="D114" s="5">
        <v>245445233.64002401</v>
      </c>
      <c r="E114" s="5">
        <v>277844342.25693202</v>
      </c>
      <c r="F114" s="5">
        <v>255547749.29238701</v>
      </c>
      <c r="G114" s="5">
        <v>390456732.62477499</v>
      </c>
      <c r="H114" s="5">
        <v>251357442.28431901</v>
      </c>
      <c r="I114" s="5">
        <v>353989299.28844303</v>
      </c>
      <c r="J114" s="5">
        <v>192600781.88288099</v>
      </c>
      <c r="K114" s="5">
        <v>197272964.94206801</v>
      </c>
      <c r="L114" s="5">
        <v>138443377.47541299</v>
      </c>
      <c r="M114" s="5">
        <v>259864984.17688099</v>
      </c>
      <c r="N114" s="5">
        <v>253198289.089351</v>
      </c>
      <c r="O114" s="5">
        <v>307737904.15286601</v>
      </c>
      <c r="P114" s="5">
        <v>228928544.36072701</v>
      </c>
      <c r="Q114" s="5">
        <v>295212591.45800602</v>
      </c>
      <c r="R114" s="5">
        <v>231283146.26726601</v>
      </c>
      <c r="S114" s="5">
        <v>334273737.16496402</v>
      </c>
      <c r="T114" s="5">
        <v>362899679.29296702</v>
      </c>
      <c r="U114" s="5">
        <v>137425532.532114</v>
      </c>
      <c r="V114" s="5">
        <v>279280206.55856597</v>
      </c>
    </row>
    <row r="115" spans="1:22" x14ac:dyDescent="0.45">
      <c r="A115" s="5" t="s">
        <v>81</v>
      </c>
      <c r="B115" s="5">
        <v>5958201.5929944301</v>
      </c>
      <c r="C115" s="5">
        <v>4867405.9744698899</v>
      </c>
      <c r="D115" s="5">
        <v>5497532.4130435605</v>
      </c>
      <c r="E115" s="5">
        <v>5832200.8551284103</v>
      </c>
      <c r="F115" s="5">
        <v>4161966.7308404199</v>
      </c>
      <c r="G115" s="5">
        <v>4211165.8533858601</v>
      </c>
      <c r="H115" s="5">
        <v>6585827.3698528903</v>
      </c>
      <c r="I115" s="5">
        <v>4790836.1642785296</v>
      </c>
      <c r="J115" s="5">
        <v>5358823.6847256999</v>
      </c>
      <c r="K115" s="5">
        <v>6285954.2567904899</v>
      </c>
      <c r="L115" s="5">
        <v>2673352.5056189899</v>
      </c>
      <c r="M115" s="5">
        <v>5256402.6813988797</v>
      </c>
      <c r="N115" s="5">
        <v>6002533.4487304799</v>
      </c>
      <c r="O115" s="5">
        <v>4010267.4997670599</v>
      </c>
      <c r="P115" s="5">
        <v>4907959.6675402597</v>
      </c>
      <c r="Q115" s="5">
        <v>4542876.0341563299</v>
      </c>
      <c r="R115" s="5">
        <v>6394293.1921431003</v>
      </c>
      <c r="S115" s="5">
        <v>4409032.0807079803</v>
      </c>
      <c r="T115" s="5">
        <v>3820506.2203813498</v>
      </c>
      <c r="U115" s="5">
        <v>3727157.4686121801</v>
      </c>
      <c r="V115" s="5">
        <v>4212131.7327130698</v>
      </c>
    </row>
    <row r="116" spans="1:22" x14ac:dyDescent="0.45">
      <c r="A116" s="5" t="s">
        <v>82</v>
      </c>
      <c r="B116" s="5">
        <v>3817331.48818549</v>
      </c>
      <c r="C116" s="5">
        <v>2830826.2436436401</v>
      </c>
      <c r="D116" s="5">
        <v>2471613.8364964002</v>
      </c>
      <c r="E116" s="5">
        <v>633690.91466403403</v>
      </c>
      <c r="F116" s="5">
        <v>2061332.5327750701</v>
      </c>
      <c r="G116" s="5">
        <v>1486090.0234030499</v>
      </c>
      <c r="H116" s="5">
        <v>1036886.30555078</v>
      </c>
      <c r="I116" s="5">
        <v>1769067.2145023099</v>
      </c>
      <c r="J116" s="5">
        <v>1964796.2250552899</v>
      </c>
      <c r="K116" s="5">
        <v>745927.720211918</v>
      </c>
      <c r="L116" s="5">
        <v>912876.53436819697</v>
      </c>
      <c r="M116" s="5">
        <v>316576.31740947202</v>
      </c>
      <c r="N116" s="5">
        <v>222182.91630456501</v>
      </c>
      <c r="O116" s="5">
        <v>1325424.69735772</v>
      </c>
      <c r="P116" s="5">
        <v>1415573.7235566101</v>
      </c>
      <c r="Q116" s="5">
        <v>6177017.2384781605</v>
      </c>
      <c r="R116" s="5">
        <v>2894423.9244425399</v>
      </c>
      <c r="S116" s="5">
        <v>2935261.9254704202</v>
      </c>
      <c r="T116" s="5">
        <v>2238714.0286912201</v>
      </c>
      <c r="U116" s="5">
        <v>1015917.90471001</v>
      </c>
      <c r="V116" s="5">
        <v>1947750.09321573</v>
      </c>
    </row>
    <row r="117" spans="1:22" x14ac:dyDescent="0.45">
      <c r="A117" s="5" t="s">
        <v>197</v>
      </c>
      <c r="B117" s="5">
        <v>1327236.6618250201</v>
      </c>
      <c r="C117" s="5">
        <v>579144.29663952498</v>
      </c>
      <c r="D117" s="5">
        <v>754265.620910628</v>
      </c>
      <c r="E117" s="5">
        <v>278593.91768379201</v>
      </c>
      <c r="F117" s="5">
        <v>4502250.3721924704</v>
      </c>
      <c r="G117" s="5">
        <v>5958095.9808247201</v>
      </c>
      <c r="H117" s="5">
        <v>596121.97112851299</v>
      </c>
      <c r="I117" s="5">
        <v>9131868.7896382995</v>
      </c>
      <c r="J117" s="5">
        <v>1195758.0404618001</v>
      </c>
      <c r="K117" s="5">
        <v>348638.023593347</v>
      </c>
      <c r="L117" s="5">
        <v>672410.48298986605</v>
      </c>
      <c r="M117" s="5">
        <v>91538.5283961479</v>
      </c>
      <c r="N117" s="5">
        <v>54900.030418896</v>
      </c>
      <c r="O117" s="5">
        <v>6359785.5957612004</v>
      </c>
      <c r="P117" s="5">
        <v>390279.372479757</v>
      </c>
      <c r="Q117" s="5">
        <v>785934.34515457996</v>
      </c>
      <c r="R117" s="5">
        <v>549421.92280944297</v>
      </c>
      <c r="S117" s="5">
        <v>4451364.62938789</v>
      </c>
      <c r="T117" s="5">
        <v>5325958.7987109898</v>
      </c>
      <c r="U117" s="5">
        <v>747348.12271127698</v>
      </c>
      <c r="V117" s="5">
        <v>5938793.3551680297</v>
      </c>
    </row>
    <row r="118" spans="1:22" x14ac:dyDescent="0.45">
      <c r="A118" s="5" t="s">
        <v>198</v>
      </c>
      <c r="B118" s="5">
        <v>7606818.4743095599</v>
      </c>
      <c r="C118" s="5">
        <v>5723965.9973688498</v>
      </c>
      <c r="D118" s="5">
        <v>4654543.71351997</v>
      </c>
      <c r="E118" s="5">
        <v>1305299.7485634801</v>
      </c>
      <c r="F118" s="5">
        <v>3879767.1552091399</v>
      </c>
      <c r="G118" s="5">
        <v>2657658.7135159401</v>
      </c>
      <c r="H118" s="5">
        <v>2008377.67481737</v>
      </c>
      <c r="I118" s="5">
        <v>3223579.3815412</v>
      </c>
      <c r="J118" s="5">
        <v>3439347.0956808599</v>
      </c>
      <c r="K118" s="5">
        <v>1462771.5935440999</v>
      </c>
      <c r="L118" s="5">
        <v>1728630.1200800501</v>
      </c>
      <c r="M118" s="5">
        <v>679173.83263491397</v>
      </c>
      <c r="N118" s="5">
        <v>445264.39389373001</v>
      </c>
      <c r="O118" s="5">
        <v>2434438.91873476</v>
      </c>
      <c r="P118" s="5">
        <v>2431452.9718072</v>
      </c>
      <c r="Q118" s="5">
        <v>10800100.447420301</v>
      </c>
      <c r="R118" s="5">
        <v>4737752.0207197899</v>
      </c>
      <c r="S118" s="5">
        <v>4770568.0246270997</v>
      </c>
      <c r="T118" s="5">
        <v>3871114.0779098701</v>
      </c>
      <c r="U118" s="5">
        <v>1731715.4713004299</v>
      </c>
      <c r="V118" s="5">
        <v>3325280.4274855298</v>
      </c>
    </row>
    <row r="119" spans="1:22" x14ac:dyDescent="0.45">
      <c r="A119" s="5" t="s">
        <v>254</v>
      </c>
      <c r="B119" s="5">
        <v>7693875.3134938804</v>
      </c>
      <c r="C119" s="5">
        <v>5229569.2813806599</v>
      </c>
      <c r="D119" s="5">
        <v>4204157.9041502103</v>
      </c>
      <c r="E119" s="5">
        <v>1152096.06627787</v>
      </c>
      <c r="F119" s="5">
        <v>3128004.37924289</v>
      </c>
      <c r="G119" s="5">
        <v>2126124.6890369998</v>
      </c>
      <c r="H119" s="5">
        <v>1552492.4157336999</v>
      </c>
      <c r="I119" s="5">
        <v>2780733.7666493398</v>
      </c>
      <c r="J119" s="5">
        <v>3186189.2142236698</v>
      </c>
      <c r="K119" s="5">
        <v>1257114.35207651</v>
      </c>
      <c r="L119" s="5">
        <v>1581570.0937738901</v>
      </c>
      <c r="M119" s="5">
        <v>520074.05354714597</v>
      </c>
      <c r="N119" s="5">
        <v>382461.92611731001</v>
      </c>
      <c r="O119" s="5">
        <v>1988885.3880079701</v>
      </c>
      <c r="P119" s="5">
        <v>2095875.6465861599</v>
      </c>
      <c r="Q119" s="5">
        <v>8801609.0481851306</v>
      </c>
      <c r="R119" s="5">
        <v>3758921.7504485901</v>
      </c>
      <c r="S119" s="5">
        <v>3891350.60412713</v>
      </c>
      <c r="T119" s="5">
        <v>3281732.66419798</v>
      </c>
      <c r="U119" s="5">
        <v>1667192.65836536</v>
      </c>
      <c r="V119" s="5">
        <v>3048223.8843292599</v>
      </c>
    </row>
    <row r="120" spans="1:22" x14ac:dyDescent="0.45">
      <c r="A120" s="5" t="s">
        <v>199</v>
      </c>
      <c r="B120" s="5">
        <v>114555.578011077</v>
      </c>
      <c r="C120" s="5">
        <v>62802.082372278397</v>
      </c>
      <c r="D120" s="5">
        <v>402575.39913617098</v>
      </c>
      <c r="E120" s="5">
        <v>35402.880494534002</v>
      </c>
      <c r="F120" s="5">
        <v>980643.56653871504</v>
      </c>
      <c r="G120" s="5">
        <v>1317750.7476373301</v>
      </c>
      <c r="H120" s="5">
        <v>599402.06226415897</v>
      </c>
      <c r="I120" s="5">
        <v>560967.43528582598</v>
      </c>
      <c r="J120" s="5">
        <v>137156.70499500199</v>
      </c>
      <c r="K120" s="5">
        <v>91066.613623217607</v>
      </c>
      <c r="L120" s="5">
        <v>478651.50440305</v>
      </c>
      <c r="M120" s="5">
        <v>21976.922528695999</v>
      </c>
      <c r="N120" s="5">
        <v>22010.70466068</v>
      </c>
      <c r="O120" s="5">
        <v>1105765.72003281</v>
      </c>
      <c r="P120" s="5">
        <v>249224.44409263</v>
      </c>
      <c r="Q120" s="5">
        <v>272107.78250319901</v>
      </c>
      <c r="R120" s="5">
        <v>22307.022737536499</v>
      </c>
      <c r="S120" s="5">
        <v>835381.47758669499</v>
      </c>
      <c r="T120" s="5">
        <v>1368156.15549988</v>
      </c>
      <c r="U120" s="5">
        <v>63852.0437258702</v>
      </c>
      <c r="V120" s="5">
        <v>1354155.4798819099</v>
      </c>
    </row>
    <row r="121" spans="1:22" x14ac:dyDescent="0.45">
      <c r="A121" s="5" t="s">
        <v>200</v>
      </c>
      <c r="B121" s="5">
        <v>13248928.406089401</v>
      </c>
      <c r="C121" s="5">
        <v>19294444.321309999</v>
      </c>
      <c r="D121" s="5">
        <v>13452749.3044431</v>
      </c>
      <c r="E121" s="5">
        <v>11187602.4646006</v>
      </c>
      <c r="F121" s="5">
        <v>5508598.9076607404</v>
      </c>
      <c r="G121" s="5">
        <v>4245553.4838356301</v>
      </c>
      <c r="H121" s="5">
        <v>9057796.8608388007</v>
      </c>
      <c r="I121" s="5">
        <v>4927003.0268530203</v>
      </c>
      <c r="J121" s="5">
        <v>15189892.568282301</v>
      </c>
      <c r="K121" s="5">
        <v>16786335.7088788</v>
      </c>
      <c r="L121" s="5">
        <v>12607435.087302599</v>
      </c>
      <c r="M121" s="5">
        <v>13803689.142287999</v>
      </c>
      <c r="N121" s="5">
        <v>22310993.188751101</v>
      </c>
      <c r="O121" s="5">
        <v>4613166.8351722797</v>
      </c>
      <c r="P121" s="5">
        <v>19172221.962430902</v>
      </c>
      <c r="Q121" s="5">
        <v>11729896.6964486</v>
      </c>
      <c r="R121" s="5">
        <v>13293307.0731005</v>
      </c>
      <c r="S121" s="5">
        <v>11659734.8328193</v>
      </c>
      <c r="T121" s="5">
        <v>2501285.4705204102</v>
      </c>
      <c r="U121" s="5">
        <v>12881505.3165306</v>
      </c>
      <c r="V121" s="5">
        <v>3850423.3883243599</v>
      </c>
    </row>
    <row r="122" spans="1:22" x14ac:dyDescent="0.45">
      <c r="A122" s="5" t="s">
        <v>255</v>
      </c>
      <c r="B122" s="5">
        <v>11482150.313389201</v>
      </c>
      <c r="C122" s="5">
        <v>22275686.261404801</v>
      </c>
      <c r="D122" s="5">
        <v>15058898.2647507</v>
      </c>
      <c r="E122" s="5">
        <v>13067475.9046055</v>
      </c>
      <c r="F122" s="5">
        <v>6886130.50091305</v>
      </c>
      <c r="G122" s="5">
        <v>7887571.32460442</v>
      </c>
      <c r="H122" s="5">
        <v>12457428.5929677</v>
      </c>
      <c r="I122" s="5">
        <v>9189021.26100697</v>
      </c>
      <c r="J122" s="5">
        <v>18695214.5931498</v>
      </c>
      <c r="K122" s="5">
        <v>13363988.374250799</v>
      </c>
      <c r="L122" s="5">
        <v>6920243.87765247</v>
      </c>
      <c r="M122" s="5">
        <v>13841260.2312741</v>
      </c>
      <c r="N122" s="5">
        <v>15654388.957139</v>
      </c>
      <c r="O122" s="5">
        <v>11603821.878042599</v>
      </c>
      <c r="P122" s="5">
        <v>22438914.3555949</v>
      </c>
      <c r="Q122" s="5">
        <v>9828483.8981065992</v>
      </c>
      <c r="R122" s="5">
        <v>4221465.16052189</v>
      </c>
      <c r="S122" s="5">
        <v>12366215.524513001</v>
      </c>
      <c r="T122" s="5">
        <v>7359740.9422214096</v>
      </c>
      <c r="U122" s="5">
        <v>15458235.420628499</v>
      </c>
      <c r="V122" s="5">
        <v>7925948.7581976801</v>
      </c>
    </row>
    <row r="123" spans="1:22" x14ac:dyDescent="0.45">
      <c r="A123" s="5" t="s">
        <v>83</v>
      </c>
      <c r="B123" s="5">
        <v>2335907.8953517098</v>
      </c>
      <c r="C123" s="5">
        <v>5498684.8637772398</v>
      </c>
      <c r="D123" s="5">
        <v>1661383.56558163</v>
      </c>
      <c r="E123" s="5">
        <v>1091435.4097988601</v>
      </c>
      <c r="F123" s="5">
        <v>2004257.75242849</v>
      </c>
      <c r="G123" s="5">
        <v>1937569.46646095</v>
      </c>
      <c r="H123" s="5">
        <v>1545389.7000818399</v>
      </c>
      <c r="I123" s="5">
        <v>4867578.8593863603</v>
      </c>
      <c r="J123" s="5">
        <v>1387545.0745710901</v>
      </c>
      <c r="K123" s="5">
        <v>1523866.4019955799</v>
      </c>
      <c r="L123" s="5">
        <v>1507868.70503488</v>
      </c>
      <c r="M123" s="5">
        <v>1055647.52635008</v>
      </c>
      <c r="N123" s="5">
        <v>570605.82436683797</v>
      </c>
      <c r="O123" s="5">
        <v>1491719.4032395701</v>
      </c>
      <c r="P123" s="5">
        <v>1402203.7011021799</v>
      </c>
      <c r="Q123" s="5">
        <v>2524515.1757165999</v>
      </c>
      <c r="R123" s="5">
        <v>2455873.4931776999</v>
      </c>
      <c r="S123" s="5">
        <v>16092834.4112812</v>
      </c>
      <c r="T123" s="5">
        <v>19047051.433453299</v>
      </c>
      <c r="U123" s="5">
        <v>1625581.1241174201</v>
      </c>
      <c r="V123" s="5">
        <v>1091971.2049533301</v>
      </c>
    </row>
    <row r="124" spans="1:22" x14ac:dyDescent="0.45">
      <c r="A124" s="5" t="s">
        <v>160</v>
      </c>
      <c r="B124" s="5">
        <v>368021629.090119</v>
      </c>
      <c r="C124" s="5">
        <v>450728689.21267802</v>
      </c>
      <c r="D124" s="5">
        <v>243802860.74028999</v>
      </c>
      <c r="E124" s="5">
        <v>273860194.26757902</v>
      </c>
      <c r="F124" s="5">
        <v>247182994.56250399</v>
      </c>
      <c r="G124" s="5">
        <v>245974559.12964499</v>
      </c>
      <c r="H124" s="5">
        <v>277332434.75844401</v>
      </c>
      <c r="I124" s="5">
        <v>198772071.76267201</v>
      </c>
      <c r="J124" s="5">
        <v>252545832.48296401</v>
      </c>
      <c r="K124" s="5">
        <v>265932206.44661599</v>
      </c>
      <c r="L124" s="5">
        <v>160141391.31526101</v>
      </c>
      <c r="M124" s="5">
        <v>268490691.63349003</v>
      </c>
      <c r="N124" s="5">
        <v>350820311.75587702</v>
      </c>
      <c r="O124" s="5">
        <v>174428546.84553</v>
      </c>
      <c r="P124" s="5">
        <v>232889830.206361</v>
      </c>
      <c r="Q124" s="5">
        <v>218302836.18803999</v>
      </c>
      <c r="R124" s="5">
        <v>226553884.70244601</v>
      </c>
      <c r="S124" s="5">
        <v>270368328.87797099</v>
      </c>
      <c r="T124" s="5">
        <v>143655495.09417501</v>
      </c>
      <c r="U124" s="5">
        <v>136515832.43679801</v>
      </c>
      <c r="V124" s="5">
        <v>179109803.02171999</v>
      </c>
    </row>
    <row r="125" spans="1:22" x14ac:dyDescent="0.45">
      <c r="A125" s="5" t="s">
        <v>149</v>
      </c>
      <c r="B125" s="5">
        <v>19183845.495694499</v>
      </c>
      <c r="C125" s="5">
        <v>16157875.0622056</v>
      </c>
      <c r="D125" s="5">
        <v>15699274.198818</v>
      </c>
      <c r="E125" s="5">
        <v>18520207.093179401</v>
      </c>
      <c r="F125" s="5">
        <v>10299031.1740708</v>
      </c>
      <c r="G125" s="5">
        <v>12569263.6269526</v>
      </c>
      <c r="H125" s="5">
        <v>17356376.089666501</v>
      </c>
      <c r="I125" s="5">
        <v>11959790.756127801</v>
      </c>
      <c r="J125" s="5">
        <v>13428033.2699033</v>
      </c>
      <c r="K125" s="5">
        <v>17592528.343601301</v>
      </c>
      <c r="L125" s="5">
        <v>10836790.6138165</v>
      </c>
      <c r="M125" s="5">
        <v>15366207.3840292</v>
      </c>
      <c r="N125" s="5">
        <v>13387368.396143399</v>
      </c>
      <c r="O125" s="5">
        <v>9814612.2659613602</v>
      </c>
      <c r="P125" s="5">
        <v>13556801.662232401</v>
      </c>
      <c r="Q125" s="5">
        <v>11127587.239047199</v>
      </c>
      <c r="R125" s="5">
        <v>15149808.4403506</v>
      </c>
      <c r="S125" s="5">
        <v>10728381.161259299</v>
      </c>
      <c r="T125" s="5">
        <v>8162947.9409190901</v>
      </c>
      <c r="U125" s="5">
        <v>8863978.7782937996</v>
      </c>
      <c r="V125" s="5">
        <v>11540052.3698896</v>
      </c>
    </row>
    <row r="126" spans="1:22" x14ac:dyDescent="0.45">
      <c r="A126" s="5" t="s">
        <v>201</v>
      </c>
      <c r="B126" s="5">
        <v>14404008.478018399</v>
      </c>
      <c r="C126" s="5">
        <v>14581666.5343842</v>
      </c>
      <c r="D126" s="5">
        <v>15729211.7025855</v>
      </c>
      <c r="E126" s="5">
        <v>18195235.7683198</v>
      </c>
      <c r="F126" s="5">
        <v>12033657.993961601</v>
      </c>
      <c r="G126" s="5">
        <v>11273542.3884368</v>
      </c>
      <c r="H126" s="5">
        <v>17474689.846326001</v>
      </c>
      <c r="I126" s="5">
        <v>13049692.679515401</v>
      </c>
      <c r="J126" s="5">
        <v>18996949.753536101</v>
      </c>
      <c r="K126" s="5">
        <v>19929462.063093599</v>
      </c>
      <c r="L126" s="5">
        <v>15735598.338361699</v>
      </c>
      <c r="M126" s="5">
        <v>18734680.824965701</v>
      </c>
      <c r="N126" s="5">
        <v>17248943.3494443</v>
      </c>
      <c r="O126" s="5">
        <v>13003430.883051701</v>
      </c>
      <c r="P126" s="5">
        <v>15440876.2809324</v>
      </c>
      <c r="Q126" s="5">
        <v>16833238.909796901</v>
      </c>
      <c r="R126" s="5">
        <v>19037712.719236299</v>
      </c>
      <c r="S126" s="5">
        <v>10981473.060737399</v>
      </c>
      <c r="T126" s="5">
        <v>13106138.030362001</v>
      </c>
      <c r="U126" s="5">
        <v>19732136.047267798</v>
      </c>
      <c r="V126" s="5">
        <v>14521203.310427001</v>
      </c>
    </row>
    <row r="127" spans="1:22" x14ac:dyDescent="0.45">
      <c r="A127" s="5" t="s">
        <v>84</v>
      </c>
      <c r="B127" s="5">
        <v>9798387.5825121291</v>
      </c>
      <c r="C127" s="5">
        <v>56242483.049944997</v>
      </c>
      <c r="D127" s="5">
        <v>3099711.6746671498</v>
      </c>
      <c r="E127" s="5">
        <v>1188303.82025409</v>
      </c>
      <c r="F127" s="5">
        <v>211626082.645271</v>
      </c>
      <c r="G127" s="5">
        <v>92415121.298370302</v>
      </c>
      <c r="H127" s="5">
        <v>1893286.7222589599</v>
      </c>
      <c r="I127" s="5">
        <v>452316797.39209801</v>
      </c>
      <c r="J127" s="5">
        <v>508747964.77663302</v>
      </c>
      <c r="K127" s="5">
        <v>127240499.14459901</v>
      </c>
      <c r="L127" s="5">
        <v>283166882.05496901</v>
      </c>
      <c r="M127" s="5">
        <v>2032597.97516984</v>
      </c>
      <c r="N127" s="5">
        <v>4766174.5107802097</v>
      </c>
      <c r="O127" s="5">
        <v>207078958.79392299</v>
      </c>
      <c r="P127" s="5">
        <v>2677045.3261359101</v>
      </c>
      <c r="Q127" s="5">
        <v>2745356.21282579</v>
      </c>
      <c r="R127" s="5">
        <v>4508653.6640287004</v>
      </c>
      <c r="S127" s="5">
        <v>249568667.661724</v>
      </c>
      <c r="T127" s="5">
        <v>293074371.58816499</v>
      </c>
      <c r="U127" s="5">
        <v>444960193.04672903</v>
      </c>
      <c r="V127" s="5">
        <v>372218622.74692702</v>
      </c>
    </row>
    <row r="128" spans="1:22" x14ac:dyDescent="0.45">
      <c r="A128" s="5" t="s">
        <v>202</v>
      </c>
      <c r="B128" s="5">
        <v>17383865.8977319</v>
      </c>
      <c r="C128" s="5">
        <v>19929995.6655288</v>
      </c>
      <c r="D128" s="5">
        <v>18649515.279874701</v>
      </c>
      <c r="E128" s="5">
        <v>20293095.611139301</v>
      </c>
      <c r="F128" s="5">
        <v>10006744.203588299</v>
      </c>
      <c r="G128" s="5">
        <v>10014177.4972053</v>
      </c>
      <c r="H128" s="5">
        <v>20185904.833461601</v>
      </c>
      <c r="I128" s="5">
        <v>8727187.2030931804</v>
      </c>
      <c r="J128" s="5">
        <v>23336315.889441501</v>
      </c>
      <c r="K128" s="5">
        <v>23462951.307333801</v>
      </c>
      <c r="L128" s="5">
        <v>16855515.286508601</v>
      </c>
      <c r="M128" s="5">
        <v>21655244.974272698</v>
      </c>
      <c r="N128" s="5">
        <v>27895466.683508299</v>
      </c>
      <c r="O128" s="5">
        <v>9895802.2851288095</v>
      </c>
      <c r="P128" s="5">
        <v>17700446.763925701</v>
      </c>
      <c r="Q128" s="5">
        <v>17946128.1013324</v>
      </c>
      <c r="R128" s="5">
        <v>16095272.2009202</v>
      </c>
      <c r="S128" s="5">
        <v>10621328.4526507</v>
      </c>
      <c r="T128" s="5">
        <v>8741122.1053736992</v>
      </c>
      <c r="U128" s="5">
        <v>15892224.108408401</v>
      </c>
      <c r="V128" s="5">
        <v>10177991.4878616</v>
      </c>
    </row>
    <row r="129" spans="1:22" x14ac:dyDescent="0.45">
      <c r="A129" s="5" t="s">
        <v>256</v>
      </c>
      <c r="B129" s="5">
        <v>10265647.939507499</v>
      </c>
      <c r="C129" s="5">
        <v>6854642.2841392197</v>
      </c>
      <c r="D129" s="5">
        <v>3946384.43140226</v>
      </c>
      <c r="E129" s="5">
        <v>4190079.7718749801</v>
      </c>
      <c r="F129" s="5">
        <v>2755627.7715200898</v>
      </c>
      <c r="G129" s="5">
        <v>190530.00289573401</v>
      </c>
      <c r="H129" s="5">
        <v>7356507.7736356296</v>
      </c>
      <c r="I129" s="5">
        <v>992188.04405872501</v>
      </c>
      <c r="J129" s="5">
        <v>4663530.7860215101</v>
      </c>
      <c r="K129" s="5">
        <v>5322730.8944420498</v>
      </c>
      <c r="L129" s="5">
        <v>307384.72313806799</v>
      </c>
      <c r="M129" s="5">
        <v>4018921.1618685699</v>
      </c>
      <c r="N129" s="5">
        <v>4356998.93933459</v>
      </c>
      <c r="O129" s="5">
        <v>2335325.5989711802</v>
      </c>
      <c r="P129" s="5">
        <v>8686805.6535754595</v>
      </c>
      <c r="Q129" s="5">
        <v>6901061.0214074701</v>
      </c>
      <c r="R129" s="5">
        <v>12881434.877404699</v>
      </c>
      <c r="S129" s="5">
        <v>3521261.7701698099</v>
      </c>
      <c r="T129" s="5">
        <v>3335073.9435701198</v>
      </c>
      <c r="U129" s="5">
        <v>852728.909255423</v>
      </c>
      <c r="V129" s="5">
        <v>2570210.6961544799</v>
      </c>
    </row>
    <row r="130" spans="1:22" x14ac:dyDescent="0.45">
      <c r="A130" s="5" t="s">
        <v>257</v>
      </c>
      <c r="B130" s="5">
        <v>7248516.2754948502</v>
      </c>
      <c r="C130" s="5">
        <v>12482662.393856799</v>
      </c>
      <c r="D130" s="5">
        <v>4921907.4365038602</v>
      </c>
      <c r="E130" s="5">
        <v>3123437.6151390099</v>
      </c>
      <c r="F130" s="5">
        <v>9969538.5819119606</v>
      </c>
      <c r="G130" s="5">
        <v>3066729.84629102</v>
      </c>
      <c r="H130" s="5">
        <v>3346124.6830762201</v>
      </c>
      <c r="I130" s="5">
        <v>14904809.139099199</v>
      </c>
      <c r="J130" s="5">
        <v>57920178.943626001</v>
      </c>
      <c r="K130" s="5">
        <v>10679916.1860814</v>
      </c>
      <c r="L130" s="5">
        <v>28388133.157404698</v>
      </c>
      <c r="M130" s="5">
        <v>5324983.0703873904</v>
      </c>
      <c r="N130" s="5">
        <v>2844499.2187181199</v>
      </c>
      <c r="O130" s="5">
        <v>7203610.2383067599</v>
      </c>
      <c r="P130" s="5">
        <v>4063412.01289867</v>
      </c>
      <c r="Q130" s="5">
        <v>4877599.6926372303</v>
      </c>
      <c r="R130" s="5">
        <v>1754337.5682906499</v>
      </c>
      <c r="S130" s="5">
        <v>13686481.882195501</v>
      </c>
      <c r="T130" s="5">
        <v>12140117.016380999</v>
      </c>
      <c r="U130" s="5">
        <v>25646579.734976299</v>
      </c>
      <c r="V130" s="5">
        <v>13094808.762709999</v>
      </c>
    </row>
    <row r="131" spans="1:22" x14ac:dyDescent="0.45">
      <c r="A131" s="5" t="s">
        <v>258</v>
      </c>
      <c r="B131" s="5">
        <v>541825.93248777499</v>
      </c>
      <c r="C131" s="5">
        <v>568276.46772173</v>
      </c>
      <c r="D131" s="5">
        <v>311543.50262293301</v>
      </c>
      <c r="E131" s="5">
        <v>68494.964588957504</v>
      </c>
      <c r="F131" s="5">
        <v>4915826.79078143</v>
      </c>
      <c r="G131" s="5">
        <v>4327769.5829971004</v>
      </c>
      <c r="H131" s="5">
        <v>196063.403373357</v>
      </c>
      <c r="I131" s="5">
        <v>8752954.5729784891</v>
      </c>
      <c r="J131" s="5">
        <v>157324.92121514701</v>
      </c>
      <c r="K131" s="5">
        <v>275662.33107184299</v>
      </c>
      <c r="L131" s="5">
        <v>2372432.3823320498</v>
      </c>
      <c r="M131" s="5">
        <v>51494.632698242298</v>
      </c>
      <c r="N131" s="5">
        <v>48362.438470562702</v>
      </c>
      <c r="O131" s="5">
        <v>2392610.7179528102</v>
      </c>
      <c r="P131" s="5">
        <v>352264.27453266701</v>
      </c>
      <c r="Q131" s="5">
        <v>1156550.6572743601</v>
      </c>
      <c r="R131" s="5">
        <v>6757606.74580424</v>
      </c>
      <c r="S131" s="5">
        <v>3076206.5445508701</v>
      </c>
      <c r="T131" s="5">
        <v>6186545.9079758096</v>
      </c>
      <c r="U131" s="5">
        <v>1675520.56846079</v>
      </c>
      <c r="V131" s="5">
        <v>2632313.5402413802</v>
      </c>
    </row>
    <row r="132" spans="1:22" x14ac:dyDescent="0.45">
      <c r="A132" s="5" t="s">
        <v>161</v>
      </c>
      <c r="B132" s="5">
        <v>274618400.66367</v>
      </c>
      <c r="C132" s="5">
        <v>316619733.64541799</v>
      </c>
      <c r="D132" s="5">
        <v>282960106.38460898</v>
      </c>
      <c r="E132" s="5">
        <v>267056650.67541099</v>
      </c>
      <c r="F132" s="5">
        <v>164788435.954759</v>
      </c>
      <c r="G132" s="5">
        <v>156613926.25115499</v>
      </c>
      <c r="H132" s="5">
        <v>222216734.11638999</v>
      </c>
      <c r="I132" s="5">
        <v>143006593.091791</v>
      </c>
      <c r="J132" s="5">
        <v>251159754.796846</v>
      </c>
      <c r="K132" s="5">
        <v>255826144.13556299</v>
      </c>
      <c r="L132" s="5">
        <v>247172229.510097</v>
      </c>
      <c r="M132" s="5">
        <v>253431506.54392999</v>
      </c>
      <c r="N132" s="5">
        <v>292920006.97467101</v>
      </c>
      <c r="O132" s="5">
        <v>86087302.760567695</v>
      </c>
      <c r="P132" s="5">
        <v>245412169.382824</v>
      </c>
      <c r="Q132" s="5">
        <v>220715443.74184299</v>
      </c>
      <c r="R132" s="5">
        <v>211900252.82348299</v>
      </c>
      <c r="S132" s="5">
        <v>163675091.76964101</v>
      </c>
      <c r="T132" s="5">
        <v>132665291.945647</v>
      </c>
      <c r="U132" s="5">
        <v>213571931.03876901</v>
      </c>
      <c r="V132" s="5">
        <v>95657943.837781295</v>
      </c>
    </row>
    <row r="133" spans="1:22" x14ac:dyDescent="0.45">
      <c r="A133" s="5" t="s">
        <v>259</v>
      </c>
      <c r="B133" s="5">
        <v>48432845.968585901</v>
      </c>
      <c r="C133" s="5">
        <v>56518838.707197897</v>
      </c>
      <c r="D133" s="5">
        <v>42402583.022204801</v>
      </c>
      <c r="E133" s="5">
        <v>34740222.146774799</v>
      </c>
      <c r="F133" s="5">
        <v>30207296.3291706</v>
      </c>
      <c r="G133" s="5">
        <v>21527990.493044201</v>
      </c>
      <c r="H133" s="5">
        <v>37368672.335487597</v>
      </c>
      <c r="I133" s="5">
        <v>17007782.853417199</v>
      </c>
      <c r="J133" s="5">
        <v>34403179.155827403</v>
      </c>
      <c r="K133" s="5">
        <v>25796173.1006032</v>
      </c>
      <c r="L133" s="5">
        <v>36048286.316983297</v>
      </c>
      <c r="M133" s="5">
        <v>31198407.091005299</v>
      </c>
      <c r="N133" s="5">
        <v>42752553.507318497</v>
      </c>
      <c r="O133" s="5">
        <v>24528914.4251188</v>
      </c>
      <c r="P133" s="5">
        <v>42745178.209367603</v>
      </c>
      <c r="Q133" s="5">
        <v>43560298.101821303</v>
      </c>
      <c r="R133" s="5">
        <v>49966099.946239702</v>
      </c>
      <c r="S133" s="5">
        <v>34655437.778078601</v>
      </c>
      <c r="T133" s="5">
        <v>21658834.818319499</v>
      </c>
      <c r="U133" s="5">
        <v>23561455.582049899</v>
      </c>
      <c r="V133" s="5">
        <v>23443195.516431201</v>
      </c>
    </row>
    <row r="134" spans="1:22" x14ac:dyDescent="0.45">
      <c r="A134" s="5" t="s">
        <v>143</v>
      </c>
      <c r="B134" s="5">
        <v>4080721.5962777901</v>
      </c>
      <c r="C134" s="5">
        <v>1391330.3931004601</v>
      </c>
      <c r="D134" s="5">
        <v>3845580.0645909901</v>
      </c>
      <c r="E134" s="5">
        <v>1590224.7800539299</v>
      </c>
      <c r="F134" s="5">
        <v>2540852.3372593601</v>
      </c>
      <c r="G134" s="5">
        <v>1784050.72516622</v>
      </c>
      <c r="H134" s="5">
        <v>2073890.67195782</v>
      </c>
      <c r="I134" s="5">
        <v>6042595.7183218496</v>
      </c>
      <c r="J134" s="5">
        <v>3825265.8698633802</v>
      </c>
      <c r="K134" s="5">
        <v>4356236.4805543898</v>
      </c>
      <c r="L134" s="5">
        <v>1871163.6470447399</v>
      </c>
      <c r="M134" s="5">
        <v>9050663.2917422298</v>
      </c>
      <c r="N134" s="5">
        <v>3483126.1271391702</v>
      </c>
      <c r="O134" s="5">
        <v>3981662.2784026698</v>
      </c>
      <c r="P134" s="5">
        <v>4006870.8442501002</v>
      </c>
      <c r="Q134" s="5">
        <v>3010525.7640473498</v>
      </c>
      <c r="R134" s="5">
        <v>3090455.36007943</v>
      </c>
      <c r="S134" s="5">
        <v>4048254.3126228899</v>
      </c>
      <c r="T134" s="5">
        <v>2682043.7938273102</v>
      </c>
      <c r="U134" s="5">
        <v>3989752.22467463</v>
      </c>
      <c r="V134" s="5">
        <v>2700775.1327576502</v>
      </c>
    </row>
    <row r="135" spans="1:22" x14ac:dyDescent="0.45">
      <c r="A135" s="5" t="s">
        <v>133</v>
      </c>
      <c r="B135" s="5">
        <v>501336324.079669</v>
      </c>
      <c r="C135" s="5">
        <v>406031673.21071202</v>
      </c>
      <c r="D135" s="5">
        <v>752192830.77281499</v>
      </c>
      <c r="E135" s="5">
        <v>616399840.90299296</v>
      </c>
      <c r="F135" s="5">
        <v>383058421.33846402</v>
      </c>
      <c r="G135" s="5">
        <v>161268364.23258501</v>
      </c>
      <c r="H135" s="5">
        <v>422103700.37435299</v>
      </c>
      <c r="I135" s="5">
        <v>117394142.403855</v>
      </c>
      <c r="J135" s="5">
        <v>430666997.00560099</v>
      </c>
      <c r="K135" s="5">
        <v>185891189.10332999</v>
      </c>
      <c r="L135" s="5">
        <v>571051930.66368401</v>
      </c>
      <c r="M135" s="5">
        <v>680632727.29682195</v>
      </c>
      <c r="N135" s="5">
        <v>522717445.52827901</v>
      </c>
      <c r="O135" s="5">
        <v>152816974.6577</v>
      </c>
      <c r="P135" s="5">
        <v>706497600.74337196</v>
      </c>
      <c r="Q135" s="5">
        <v>728849714.08654797</v>
      </c>
      <c r="R135" s="5">
        <v>571431790.66222703</v>
      </c>
      <c r="S135" s="5">
        <v>152090366.49853399</v>
      </c>
      <c r="T135" s="5">
        <v>302835047.39004397</v>
      </c>
      <c r="U135" s="5">
        <v>544778748.62114203</v>
      </c>
      <c r="V135" s="5">
        <v>163998640.748184</v>
      </c>
    </row>
    <row r="136" spans="1:22" x14ac:dyDescent="0.45">
      <c r="A136" s="5" t="s">
        <v>150</v>
      </c>
      <c r="B136" s="5">
        <v>195686915.655294</v>
      </c>
      <c r="C136" s="5">
        <v>290744009.18362403</v>
      </c>
      <c r="D136" s="5">
        <v>200295702.19892099</v>
      </c>
      <c r="E136" s="5">
        <v>172030939.153074</v>
      </c>
      <c r="F136" s="5">
        <v>187844863.294209</v>
      </c>
      <c r="G136" s="5">
        <v>286015064.80176902</v>
      </c>
      <c r="H136" s="5">
        <v>196331658.45153299</v>
      </c>
      <c r="I136" s="5">
        <v>197850796.65055701</v>
      </c>
      <c r="J136" s="5">
        <v>275148955.49863499</v>
      </c>
      <c r="K136" s="5">
        <v>190738498.941351</v>
      </c>
      <c r="L136" s="5">
        <v>253396984.09752801</v>
      </c>
      <c r="M136" s="5">
        <v>146597204.24228299</v>
      </c>
      <c r="N136" s="5">
        <v>199526570.506782</v>
      </c>
      <c r="O136" s="5">
        <v>193158988.282258</v>
      </c>
      <c r="P136" s="5">
        <v>115475987.17897899</v>
      </c>
      <c r="Q136" s="5">
        <v>227684701.40568399</v>
      </c>
      <c r="R136" s="5">
        <v>151898164.63314301</v>
      </c>
      <c r="S136" s="5">
        <v>255446711.35765699</v>
      </c>
      <c r="T136" s="5">
        <v>240870136.47961399</v>
      </c>
      <c r="U136" s="5">
        <v>258627688.01371399</v>
      </c>
      <c r="V136" s="5">
        <v>193809905.216708</v>
      </c>
    </row>
    <row r="137" spans="1:22" x14ac:dyDescent="0.45">
      <c r="A137" s="5" t="s">
        <v>271</v>
      </c>
      <c r="B137" s="5">
        <v>6081770.9648662498</v>
      </c>
      <c r="C137" s="5">
        <v>6753177.9575285902</v>
      </c>
      <c r="D137" s="5">
        <v>6248481.0872896696</v>
      </c>
      <c r="E137" s="5">
        <v>6041361.7966381898</v>
      </c>
      <c r="F137" s="5">
        <v>5604655.9371106997</v>
      </c>
      <c r="G137" s="5">
        <v>6560109.7132745804</v>
      </c>
      <c r="H137" s="5">
        <v>6679730.5024901396</v>
      </c>
      <c r="I137" s="5">
        <v>40562864.4942827</v>
      </c>
      <c r="J137" s="5">
        <v>8256892.5108735599</v>
      </c>
      <c r="K137" s="5">
        <v>6769044.5729273995</v>
      </c>
      <c r="L137" s="5">
        <v>7447967.0827806601</v>
      </c>
      <c r="M137" s="5">
        <v>5855395.8483819403</v>
      </c>
      <c r="N137" s="5">
        <v>5993862.3381087398</v>
      </c>
      <c r="O137" s="5">
        <v>6588168.2141759899</v>
      </c>
      <c r="P137" s="5">
        <v>5408886.0033240803</v>
      </c>
      <c r="Q137" s="5">
        <v>6148652.6789783603</v>
      </c>
      <c r="R137" s="5">
        <v>3110454.5651998199</v>
      </c>
      <c r="S137" s="5">
        <v>5905945.5882523302</v>
      </c>
      <c r="T137" s="5">
        <v>7486166.1902624303</v>
      </c>
      <c r="U137" s="5">
        <v>11313579.841588501</v>
      </c>
      <c r="V137" s="5">
        <v>6364661.6338241696</v>
      </c>
    </row>
    <row r="138" spans="1:22" x14ac:dyDescent="0.45">
      <c r="A138" s="5" t="s">
        <v>155</v>
      </c>
      <c r="B138" s="5">
        <v>52423975.914278097</v>
      </c>
      <c r="C138" s="5">
        <v>48745983.599147096</v>
      </c>
      <c r="D138" s="5">
        <v>53235807.696136497</v>
      </c>
      <c r="E138" s="5">
        <v>62270687.545855701</v>
      </c>
      <c r="F138" s="5">
        <v>27286905.239941601</v>
      </c>
      <c r="G138" s="5">
        <v>35980888.898759</v>
      </c>
      <c r="H138" s="5">
        <v>63028331.631047897</v>
      </c>
      <c r="I138" s="5">
        <v>23495979.889733002</v>
      </c>
      <c r="J138" s="5">
        <v>41019603.605635002</v>
      </c>
      <c r="K138" s="5">
        <v>62342508.740881503</v>
      </c>
      <c r="L138" s="5">
        <v>32246151.335876599</v>
      </c>
      <c r="M138" s="5">
        <v>39676794.116836399</v>
      </c>
      <c r="N138" s="5">
        <v>42042246.628573999</v>
      </c>
      <c r="O138" s="5">
        <v>26726927.1725621</v>
      </c>
      <c r="P138" s="5">
        <v>34223608.7122721</v>
      </c>
      <c r="Q138" s="5">
        <v>34873623.293730997</v>
      </c>
      <c r="R138" s="5">
        <v>65605197.112760603</v>
      </c>
      <c r="S138" s="5">
        <v>29634246.306816101</v>
      </c>
      <c r="T138" s="5">
        <v>23181737.920157</v>
      </c>
      <c r="U138" s="5">
        <v>39779308.371073604</v>
      </c>
      <c r="V138" s="5">
        <v>34725614.170797899</v>
      </c>
    </row>
    <row r="139" spans="1:22" x14ac:dyDescent="0.45">
      <c r="A139" s="5" t="s">
        <v>210</v>
      </c>
      <c r="B139" s="5">
        <v>2939549.44339548</v>
      </c>
      <c r="C139" s="5">
        <v>2498701.4333941299</v>
      </c>
      <c r="D139" s="5">
        <v>1212076.4677375499</v>
      </c>
      <c r="E139" s="5">
        <v>686218.55169379595</v>
      </c>
      <c r="F139" s="5">
        <v>383863.80731802201</v>
      </c>
      <c r="G139" s="5">
        <v>132974.71770974499</v>
      </c>
      <c r="H139" s="5">
        <v>430559.143696838</v>
      </c>
      <c r="I139" s="5">
        <v>157295.55691608001</v>
      </c>
      <c r="J139" s="5">
        <v>3455624.0347603899</v>
      </c>
      <c r="K139" s="5">
        <v>1111524.5622302799</v>
      </c>
      <c r="L139" s="5">
        <v>648818.15206545405</v>
      </c>
      <c r="M139" s="5">
        <v>213273.60459096401</v>
      </c>
      <c r="N139" s="5">
        <v>306121.14980190998</v>
      </c>
      <c r="O139" s="5">
        <v>226479.66188071301</v>
      </c>
      <c r="P139" s="5">
        <v>842669.83702056098</v>
      </c>
      <c r="Q139" s="5">
        <v>2828445.30282749</v>
      </c>
      <c r="R139" s="5">
        <v>755048.89204968803</v>
      </c>
      <c r="S139" s="5">
        <v>451216.13819523901</v>
      </c>
      <c r="T139" s="5">
        <v>359251.33065990702</v>
      </c>
      <c r="U139" s="5">
        <v>727318.83480582002</v>
      </c>
      <c r="V139" s="5">
        <v>340091.24762022501</v>
      </c>
    </row>
    <row r="140" spans="1:22" x14ac:dyDescent="0.45">
      <c r="A140" s="5" t="s">
        <v>261</v>
      </c>
      <c r="B140" s="5">
        <v>21748227.068365499</v>
      </c>
      <c r="C140" s="5">
        <v>27561416.036911201</v>
      </c>
      <c r="D140" s="5">
        <v>28609087.503691498</v>
      </c>
      <c r="E140" s="5">
        <v>14354856.399414301</v>
      </c>
      <c r="F140" s="5">
        <v>9597926.0252467692</v>
      </c>
      <c r="G140" s="5">
        <v>6962434.8802768197</v>
      </c>
      <c r="H140" s="5">
        <v>13398665.979422901</v>
      </c>
      <c r="I140" s="5">
        <v>14341885.8863746</v>
      </c>
      <c r="J140" s="5">
        <v>28248891.352044299</v>
      </c>
      <c r="K140" s="5">
        <v>14099978.1492946</v>
      </c>
      <c r="L140" s="5">
        <v>10703011.1296813</v>
      </c>
      <c r="M140" s="5">
        <v>43479157.789607897</v>
      </c>
      <c r="N140" s="5">
        <v>68587455.878312707</v>
      </c>
      <c r="O140" s="5">
        <v>19102318.006237801</v>
      </c>
      <c r="P140" s="5">
        <v>13690354.9772864</v>
      </c>
      <c r="Q140" s="5">
        <v>42094583.900234498</v>
      </c>
      <c r="R140" s="5">
        <v>10244873.7967974</v>
      </c>
      <c r="S140" s="5">
        <v>22536581.5262991</v>
      </c>
      <c r="T140" s="5">
        <v>5452343.2009319896</v>
      </c>
      <c r="U140" s="5">
        <v>45814770.266625203</v>
      </c>
      <c r="V140" s="5">
        <v>25017810.750486199</v>
      </c>
    </row>
    <row r="141" spans="1:22" x14ac:dyDescent="0.45">
      <c r="A141" s="5" t="s">
        <v>211</v>
      </c>
      <c r="B141" s="5">
        <v>29826269.275114901</v>
      </c>
      <c r="C141" s="5">
        <v>26101336.126791801</v>
      </c>
      <c r="D141" s="5">
        <v>14514566.712407099</v>
      </c>
      <c r="E141" s="5">
        <v>14319475.2856417</v>
      </c>
      <c r="F141" s="5">
        <v>11090759.213349801</v>
      </c>
      <c r="G141" s="5">
        <v>13953731.3376079</v>
      </c>
      <c r="H141" s="5">
        <v>14788796.1569968</v>
      </c>
      <c r="I141" s="5">
        <v>10030500.8982246</v>
      </c>
      <c r="J141" s="5">
        <v>15373610.1820681</v>
      </c>
      <c r="K141" s="5">
        <v>15277662.536580199</v>
      </c>
      <c r="L141" s="5">
        <v>18875486.502740901</v>
      </c>
      <c r="M141" s="5">
        <v>20279559.0093721</v>
      </c>
      <c r="N141" s="5">
        <v>28225865.663865902</v>
      </c>
      <c r="O141" s="5">
        <v>11050477.2256107</v>
      </c>
      <c r="P141" s="5">
        <v>22733476.6867119</v>
      </c>
      <c r="Q141" s="5">
        <v>15491295.790985299</v>
      </c>
      <c r="R141" s="5">
        <v>37170659.179063298</v>
      </c>
      <c r="S141" s="5">
        <v>14636023.508427201</v>
      </c>
      <c r="T141" s="5">
        <v>7012872.9596553296</v>
      </c>
      <c r="U141" s="5">
        <v>9607953.0771510899</v>
      </c>
      <c r="V141" s="5">
        <v>6860852.2070631497</v>
      </c>
    </row>
    <row r="142" spans="1:22" x14ac:dyDescent="0.45">
      <c r="A142" s="5" t="s">
        <v>93</v>
      </c>
      <c r="B142" s="5">
        <v>43449393.401913598</v>
      </c>
      <c r="C142" s="5">
        <v>28957763.124961201</v>
      </c>
      <c r="D142" s="5">
        <v>35093132.442817897</v>
      </c>
      <c r="E142" s="5">
        <v>32245216.2900308</v>
      </c>
      <c r="F142" s="5">
        <v>28881181.6327435</v>
      </c>
      <c r="G142" s="5">
        <v>26099131.575781699</v>
      </c>
      <c r="H142" s="5">
        <v>34600997.225693598</v>
      </c>
      <c r="I142" s="5">
        <v>41374236.641106002</v>
      </c>
      <c r="J142" s="5">
        <v>25709038.3708716</v>
      </c>
      <c r="K142" s="5">
        <v>30813615.511724502</v>
      </c>
      <c r="L142" s="5">
        <v>33602816.413231701</v>
      </c>
      <c r="M142" s="5">
        <v>45262190.634660497</v>
      </c>
      <c r="N142" s="5">
        <v>53755708.852649003</v>
      </c>
      <c r="O142" s="5">
        <v>28238109.978925601</v>
      </c>
      <c r="P142" s="5">
        <v>45637971.128369197</v>
      </c>
      <c r="Q142" s="5">
        <v>27002868.360527098</v>
      </c>
      <c r="R142" s="5">
        <v>68441568.454303995</v>
      </c>
      <c r="S142" s="5">
        <v>21973364.341425002</v>
      </c>
      <c r="T142" s="5">
        <v>28894715.146694802</v>
      </c>
      <c r="U142" s="5">
        <v>18758067.732104</v>
      </c>
      <c r="V142" s="5">
        <v>25842053.575037099</v>
      </c>
    </row>
    <row r="143" spans="1:22" x14ac:dyDescent="0.45">
      <c r="A143" s="5" t="s">
        <v>94</v>
      </c>
      <c r="B143" s="5">
        <v>35420634.275148101</v>
      </c>
      <c r="C143" s="5">
        <v>36042461.094391704</v>
      </c>
      <c r="D143" s="5">
        <v>56433693.401855797</v>
      </c>
      <c r="E143" s="5">
        <v>22521031.461946599</v>
      </c>
      <c r="F143" s="5">
        <v>546218725.39128399</v>
      </c>
      <c r="G143" s="5">
        <v>713970706.36278999</v>
      </c>
      <c r="H143" s="5">
        <v>61539389.998869203</v>
      </c>
      <c r="I143" s="5">
        <v>1253623329.0494699</v>
      </c>
      <c r="J143" s="5">
        <v>25850408.568257701</v>
      </c>
      <c r="K143" s="5">
        <v>28441952.016135499</v>
      </c>
      <c r="L143" s="5">
        <v>61056606.253671803</v>
      </c>
      <c r="M143" s="5">
        <v>23855321.3060681</v>
      </c>
      <c r="N143" s="5">
        <v>30993268.214318901</v>
      </c>
      <c r="O143" s="5">
        <v>774114170.64391696</v>
      </c>
      <c r="P143" s="5">
        <v>54978441.3721423</v>
      </c>
      <c r="Q143" s="5">
        <v>31811140.429123901</v>
      </c>
      <c r="R143" s="5">
        <v>43923525.742443897</v>
      </c>
      <c r="S143" s="5">
        <v>584173307.56260502</v>
      </c>
      <c r="T143" s="5">
        <v>722765053.95175505</v>
      </c>
      <c r="U143" s="5">
        <v>20228433.570144799</v>
      </c>
      <c r="V143" s="5">
        <v>665972682.62444603</v>
      </c>
    </row>
    <row r="144" spans="1:22" x14ac:dyDescent="0.45">
      <c r="A144" s="5" t="s">
        <v>95</v>
      </c>
      <c r="B144" s="5">
        <v>5071837.15903138</v>
      </c>
      <c r="C144" s="5">
        <v>2644707.5085847699</v>
      </c>
      <c r="D144" s="5">
        <v>1780700.7430270901</v>
      </c>
      <c r="E144" s="5">
        <v>2061853.5319463301</v>
      </c>
      <c r="F144" s="5">
        <v>2601968.7547226502</v>
      </c>
      <c r="G144" s="5">
        <v>975180.424985772</v>
      </c>
      <c r="H144" s="5">
        <v>2359785.3585920599</v>
      </c>
      <c r="I144" s="5">
        <v>643994.30642449099</v>
      </c>
      <c r="J144" s="5">
        <v>2639823.2989232098</v>
      </c>
      <c r="K144" s="5">
        <v>2743103.73939058</v>
      </c>
      <c r="L144" s="5">
        <v>5749848.7710439302</v>
      </c>
      <c r="M144" s="5">
        <v>6135538.1928033195</v>
      </c>
      <c r="N144" s="5">
        <v>4384143.9953089803</v>
      </c>
      <c r="O144" s="5">
        <v>539028.68739159603</v>
      </c>
      <c r="P144" s="5">
        <v>4985516.9278546805</v>
      </c>
      <c r="Q144" s="5">
        <v>1803168.1588349801</v>
      </c>
      <c r="R144" s="5">
        <v>7925939.6521946704</v>
      </c>
      <c r="S144" s="5">
        <v>1604107.68511635</v>
      </c>
      <c r="T144" s="5">
        <v>1245965.0224493099</v>
      </c>
      <c r="U144" s="5">
        <v>2429120.0664660698</v>
      </c>
      <c r="V144" s="5">
        <v>958023.10157748498</v>
      </c>
    </row>
    <row r="145" spans="1:22" x14ac:dyDescent="0.45">
      <c r="A145" s="5" t="s">
        <v>135</v>
      </c>
      <c r="B145" s="5">
        <v>929338.93216382503</v>
      </c>
      <c r="C145" s="5">
        <v>442961.70273531001</v>
      </c>
      <c r="D145" s="5">
        <v>597552.83346884896</v>
      </c>
      <c r="E145" s="5">
        <v>1179962.907803</v>
      </c>
      <c r="F145" s="5">
        <v>1993962.09842049</v>
      </c>
      <c r="G145" s="5">
        <v>1609343.8303930999</v>
      </c>
      <c r="H145" s="5">
        <v>643976.54194396897</v>
      </c>
      <c r="I145" s="5">
        <v>1781421.70770846</v>
      </c>
      <c r="J145" s="5">
        <v>821061.76806449995</v>
      </c>
      <c r="K145" s="5">
        <v>943536.44586416404</v>
      </c>
      <c r="L145" s="5">
        <v>2503947.6610261602</v>
      </c>
      <c r="M145" s="5">
        <v>919200.22754388803</v>
      </c>
      <c r="N145" s="5">
        <v>710699.55228117004</v>
      </c>
      <c r="O145" s="5">
        <v>1464926.1913358299</v>
      </c>
      <c r="P145" s="5">
        <v>989976.85231737199</v>
      </c>
      <c r="Q145" s="5">
        <v>1165814.8898198199</v>
      </c>
      <c r="R145" s="5">
        <v>464632.42153297702</v>
      </c>
      <c r="S145" s="5">
        <v>1777098.9044560799</v>
      </c>
      <c r="T145" s="5">
        <v>2077027.1083557301</v>
      </c>
      <c r="U145" s="5">
        <v>2968972.9281404</v>
      </c>
      <c r="V145" s="5">
        <v>1179083.5166515601</v>
      </c>
    </row>
    <row r="146" spans="1:22" x14ac:dyDescent="0.45">
      <c r="A146" s="5" t="s">
        <v>96</v>
      </c>
      <c r="B146" s="5">
        <v>347816.01925902697</v>
      </c>
      <c r="C146" s="5">
        <v>257431.81334449901</v>
      </c>
      <c r="D146" s="5">
        <v>242914.89920086</v>
      </c>
      <c r="E146" s="5">
        <v>158130.146740367</v>
      </c>
      <c r="F146" s="5">
        <v>917078.81160829205</v>
      </c>
      <c r="G146" s="5">
        <v>1398274.36863982</v>
      </c>
      <c r="H146" s="5">
        <v>247201.13967355201</v>
      </c>
      <c r="I146" s="5">
        <v>4497961.3036856297</v>
      </c>
      <c r="J146" s="5">
        <v>251999.05101042101</v>
      </c>
      <c r="K146" s="5">
        <v>168226.794218572</v>
      </c>
      <c r="L146" s="5">
        <v>277651.739063252</v>
      </c>
      <c r="M146" s="5">
        <v>198681.928143075</v>
      </c>
      <c r="N146" s="5">
        <v>221879.82150479199</v>
      </c>
      <c r="O146" s="5">
        <v>1513086.0657009799</v>
      </c>
      <c r="P146" s="5">
        <v>292107.12714413297</v>
      </c>
      <c r="Q146" s="5">
        <v>236134.975710564</v>
      </c>
      <c r="R146" s="5">
        <v>504918.88692440599</v>
      </c>
      <c r="S146" s="5">
        <v>836665.16647109203</v>
      </c>
      <c r="T146" s="5">
        <v>1073568.7622138499</v>
      </c>
      <c r="U146" s="5">
        <v>203218.89949073899</v>
      </c>
      <c r="V146" s="5">
        <v>917916.163525949</v>
      </c>
    </row>
    <row r="147" spans="1:22" x14ac:dyDescent="0.45">
      <c r="A147" s="5" t="s">
        <v>97</v>
      </c>
      <c r="B147" s="5">
        <v>45763150.093362197</v>
      </c>
      <c r="C147" s="5">
        <v>44771141.102547102</v>
      </c>
      <c r="D147" s="5">
        <v>50386732.462200999</v>
      </c>
      <c r="E147" s="5">
        <v>54247079.539658703</v>
      </c>
      <c r="F147" s="5">
        <v>25136406.585384101</v>
      </c>
      <c r="G147" s="5">
        <v>31402020.315551098</v>
      </c>
      <c r="H147" s="5">
        <v>48092181.581040896</v>
      </c>
      <c r="I147" s="5">
        <v>31163336.673770599</v>
      </c>
      <c r="J147" s="5">
        <v>52670285.601611599</v>
      </c>
      <c r="K147" s="5">
        <v>61007848.156954199</v>
      </c>
      <c r="L147" s="5">
        <v>37369444.999741003</v>
      </c>
      <c r="M147" s="5">
        <v>38194018.007687099</v>
      </c>
      <c r="N147" s="5">
        <v>53198191.054537699</v>
      </c>
      <c r="O147" s="5">
        <v>31028799.328804899</v>
      </c>
      <c r="P147" s="5">
        <v>42357639.323581301</v>
      </c>
      <c r="Q147" s="5">
        <v>30772861.7563335</v>
      </c>
      <c r="R147" s="5">
        <v>60672322.511498198</v>
      </c>
      <c r="S147" s="5">
        <v>24407341.879869599</v>
      </c>
      <c r="T147" s="5">
        <v>26714807.503438</v>
      </c>
      <c r="U147" s="5">
        <v>49510341.6865343</v>
      </c>
      <c r="V147" s="5">
        <v>35562342.813085303</v>
      </c>
    </row>
    <row r="148" spans="1:22" x14ac:dyDescent="0.45">
      <c r="A148" s="5" t="s">
        <v>98</v>
      </c>
      <c r="B148" s="5">
        <v>656857.248465123</v>
      </c>
      <c r="C148" s="5">
        <v>898535.908762265</v>
      </c>
      <c r="D148" s="5">
        <v>660922.88245025103</v>
      </c>
      <c r="E148" s="5">
        <v>614343.998765531</v>
      </c>
      <c r="F148" s="5">
        <v>159410.885953391</v>
      </c>
      <c r="G148" s="5">
        <v>281210.58544340398</v>
      </c>
      <c r="H148" s="5">
        <v>634121.97830900596</v>
      </c>
      <c r="I148" s="5">
        <v>249913.46470804099</v>
      </c>
      <c r="J148" s="5">
        <v>764151.96924224403</v>
      </c>
      <c r="K148" s="5">
        <v>756310.57463835296</v>
      </c>
      <c r="L148" s="5">
        <v>518258.294223784</v>
      </c>
      <c r="M148" s="5">
        <v>639177.72831498098</v>
      </c>
      <c r="N148" s="5">
        <v>762604.56623592402</v>
      </c>
      <c r="O148" s="5">
        <v>184703.26566777501</v>
      </c>
      <c r="P148" s="5">
        <v>593685.804140892</v>
      </c>
      <c r="Q148" s="5">
        <v>498866.65063442499</v>
      </c>
      <c r="R148" s="5">
        <v>1009934.39085636</v>
      </c>
      <c r="S148" s="5">
        <v>176869.076651671</v>
      </c>
      <c r="T148" s="5">
        <v>134086.98410537399</v>
      </c>
      <c r="U148" s="5">
        <v>378903.033723086</v>
      </c>
      <c r="V148" s="5">
        <v>153736.09454533699</v>
      </c>
    </row>
    <row r="149" spans="1:22" x14ac:dyDescent="0.45">
      <c r="A149" s="5" t="s">
        <v>99</v>
      </c>
      <c r="B149" s="5">
        <v>7574671.50271047</v>
      </c>
      <c r="C149" s="5">
        <v>12680636.6557514</v>
      </c>
      <c r="D149" s="5">
        <v>17726429.368466899</v>
      </c>
      <c r="E149" s="5">
        <v>14415943.491750499</v>
      </c>
      <c r="F149" s="5">
        <v>57928357.338516504</v>
      </c>
      <c r="G149" s="5">
        <v>90027235.368651003</v>
      </c>
      <c r="H149" s="5">
        <v>15138603.9768485</v>
      </c>
      <c r="I149" s="5">
        <v>41561169.117755704</v>
      </c>
      <c r="J149" s="5">
        <v>12823946.257266499</v>
      </c>
      <c r="K149" s="5">
        <v>18771783.4879415</v>
      </c>
      <c r="L149" s="5">
        <v>19592073.961296301</v>
      </c>
      <c r="M149" s="5">
        <v>12873907.6793372</v>
      </c>
      <c r="N149" s="5">
        <v>13180187.597064501</v>
      </c>
      <c r="O149" s="5">
        <v>123822158.295817</v>
      </c>
      <c r="P149" s="5">
        <v>13462666.1030643</v>
      </c>
      <c r="Q149" s="5">
        <v>23262963.494684301</v>
      </c>
      <c r="R149" s="5">
        <v>15952541.5037216</v>
      </c>
      <c r="S149" s="5">
        <v>93427011.421246603</v>
      </c>
      <c r="T149" s="5">
        <v>106537486.803082</v>
      </c>
      <c r="U149" s="5">
        <v>22609341.788054701</v>
      </c>
      <c r="V149" s="5">
        <v>58706188.969110698</v>
      </c>
    </row>
    <row r="150" spans="1:22" x14ac:dyDescent="0.45">
      <c r="A150" s="5" t="s">
        <v>262</v>
      </c>
      <c r="B150" s="5">
        <v>6386630.5866645398</v>
      </c>
      <c r="C150" s="5">
        <v>6498623.9075097404</v>
      </c>
      <c r="D150" s="5">
        <v>5050196.6335541196</v>
      </c>
      <c r="E150" s="5">
        <v>4406276.8016913598</v>
      </c>
      <c r="F150" s="5">
        <v>4131564.2766576</v>
      </c>
      <c r="G150" s="5">
        <v>3790841.6320599099</v>
      </c>
      <c r="H150" s="5">
        <v>5248216.8230021996</v>
      </c>
      <c r="I150" s="5">
        <v>3956132.3493301701</v>
      </c>
      <c r="J150" s="5">
        <v>6307839.4019354498</v>
      </c>
      <c r="K150" s="5">
        <v>4925253.9407841899</v>
      </c>
      <c r="L150" s="5">
        <v>4139985.78587618</v>
      </c>
      <c r="M150" s="5">
        <v>5583706.1073361998</v>
      </c>
      <c r="N150" s="5">
        <v>3906532.3269605399</v>
      </c>
      <c r="O150" s="5">
        <v>4252071.0683421101</v>
      </c>
      <c r="P150" s="5">
        <v>4790491.7499037003</v>
      </c>
      <c r="Q150" s="5">
        <v>3861849.5009361901</v>
      </c>
      <c r="R150" s="5">
        <v>4164900.79337407</v>
      </c>
      <c r="S150" s="5">
        <v>5185735.8803285202</v>
      </c>
      <c r="T150" s="5">
        <v>3477554.4437826499</v>
      </c>
      <c r="U150" s="5">
        <v>5024961.3446335103</v>
      </c>
      <c r="V150" s="5">
        <v>3505544.0204511299</v>
      </c>
    </row>
    <row r="151" spans="1:22" x14ac:dyDescent="0.45">
      <c r="A151" s="5" t="s">
        <v>100</v>
      </c>
      <c r="B151" s="5">
        <v>2844843.0035283002</v>
      </c>
      <c r="C151" s="5">
        <v>2937986.1670757602</v>
      </c>
      <c r="D151" s="5">
        <v>1885271.3183327401</v>
      </c>
      <c r="E151" s="5">
        <v>2001957.75167125</v>
      </c>
      <c r="F151" s="5">
        <v>2105784.7074480602</v>
      </c>
      <c r="G151" s="5">
        <v>2337227.3764279699</v>
      </c>
      <c r="H151" s="5">
        <v>2426308.6238158299</v>
      </c>
      <c r="I151" s="5">
        <v>1512707.81124379</v>
      </c>
      <c r="J151" s="5">
        <v>2122889.1495268098</v>
      </c>
      <c r="K151" s="5">
        <v>2398340.3990512998</v>
      </c>
      <c r="L151" s="5">
        <v>3332296.0465855999</v>
      </c>
      <c r="M151" s="5">
        <v>3709555.3228835398</v>
      </c>
      <c r="N151" s="5">
        <v>3807372.7539612502</v>
      </c>
      <c r="O151" s="5">
        <v>1303785.3504890299</v>
      </c>
      <c r="P151" s="5">
        <v>1973186.14665694</v>
      </c>
      <c r="Q151" s="5">
        <v>2414724.3123361999</v>
      </c>
      <c r="R151" s="5">
        <v>3968349.3919889401</v>
      </c>
      <c r="S151" s="5">
        <v>2057551.58205052</v>
      </c>
      <c r="T151" s="5">
        <v>1416901.2336170101</v>
      </c>
      <c r="U151" s="5">
        <v>1500785.2688270099</v>
      </c>
      <c r="V151" s="5">
        <v>1464278.67381548</v>
      </c>
    </row>
    <row r="152" spans="1:22" x14ac:dyDescent="0.45">
      <c r="A152" s="5" t="s">
        <v>212</v>
      </c>
      <c r="B152" s="5">
        <v>16253347.792053901</v>
      </c>
      <c r="C152" s="5">
        <v>9965029.45129296</v>
      </c>
      <c r="D152" s="5">
        <v>12296373.2989711</v>
      </c>
      <c r="E152" s="5">
        <v>4328812.7295306204</v>
      </c>
      <c r="F152" s="5">
        <v>7278989.41047257</v>
      </c>
      <c r="G152" s="5">
        <v>5373373.13459545</v>
      </c>
      <c r="H152" s="5">
        <v>4743485.8654327802</v>
      </c>
      <c r="I152" s="5">
        <v>3067747.0096415998</v>
      </c>
      <c r="J152" s="5">
        <v>11347108.931585601</v>
      </c>
      <c r="K152" s="5">
        <v>5924161.7367775198</v>
      </c>
      <c r="L152" s="5">
        <v>4011431.3063870901</v>
      </c>
      <c r="M152" s="5">
        <v>2205596.3315019701</v>
      </c>
      <c r="N152" s="5">
        <v>1772185.24958654</v>
      </c>
      <c r="O152" s="5">
        <v>4604563.4720514398</v>
      </c>
      <c r="P152" s="5">
        <v>4260265.6257954296</v>
      </c>
      <c r="Q152" s="5">
        <v>10265803.8148594</v>
      </c>
      <c r="R152" s="5">
        <v>1841719.0418664999</v>
      </c>
      <c r="S152" s="5">
        <v>8139885.6360266404</v>
      </c>
      <c r="T152" s="5">
        <v>10165991.651990499</v>
      </c>
      <c r="U152" s="5">
        <v>2855531.79549838</v>
      </c>
      <c r="V152" s="5">
        <v>5922709.1168671697</v>
      </c>
    </row>
    <row r="153" spans="1:22" x14ac:dyDescent="0.45">
      <c r="A153" s="5" t="s">
        <v>101</v>
      </c>
      <c r="B153" s="5">
        <v>3282054.1935155299</v>
      </c>
      <c r="C153" s="5">
        <v>2888784.3305904302</v>
      </c>
      <c r="D153" s="5">
        <v>3452985.8946949202</v>
      </c>
      <c r="E153" s="5">
        <v>2123815.9846529602</v>
      </c>
      <c r="F153" s="5">
        <v>1250930.6950968599</v>
      </c>
      <c r="G153" s="5">
        <v>1179914.44506751</v>
      </c>
      <c r="H153" s="5">
        <v>2271474.7225516601</v>
      </c>
      <c r="I153" s="5">
        <v>1365300.6782947001</v>
      </c>
      <c r="J153" s="5">
        <v>3808305.99371946</v>
      </c>
      <c r="K153" s="5">
        <v>2851867.9372969298</v>
      </c>
      <c r="L153" s="5">
        <v>1035755.902285</v>
      </c>
      <c r="M153" s="5">
        <v>4540046.6434147405</v>
      </c>
      <c r="N153" s="5">
        <v>4787622.42432159</v>
      </c>
      <c r="O153" s="5">
        <v>2107637.7754223798</v>
      </c>
      <c r="P153" s="5">
        <v>6855623.1747089503</v>
      </c>
      <c r="Q153" s="5">
        <v>3616585.3410264798</v>
      </c>
      <c r="R153" s="5">
        <v>1735035.36434566</v>
      </c>
      <c r="S153" s="5">
        <v>1799016.6168701099</v>
      </c>
      <c r="T153" s="5">
        <v>1061159.0418056799</v>
      </c>
      <c r="U153" s="5">
        <v>1662547.13164536</v>
      </c>
      <c r="V153" s="5">
        <v>1211887.25181591</v>
      </c>
    </row>
    <row r="154" spans="1:22" x14ac:dyDescent="0.45">
      <c r="A154" s="5" t="s">
        <v>136</v>
      </c>
      <c r="B154" s="5">
        <v>214607246.79714999</v>
      </c>
      <c r="C154" s="5">
        <v>191683445.795414</v>
      </c>
      <c r="D154" s="5">
        <v>134092963.26293001</v>
      </c>
      <c r="E154" s="5">
        <v>305651131.13507402</v>
      </c>
      <c r="F154" s="5">
        <v>160756652.73508599</v>
      </c>
      <c r="G154" s="5">
        <v>149574283.83083099</v>
      </c>
      <c r="H154" s="5">
        <v>120563712.987391</v>
      </c>
      <c r="I154" s="5">
        <v>121048076.534851</v>
      </c>
      <c r="J154" s="5">
        <v>230815540.845741</v>
      </c>
      <c r="K154" s="5">
        <v>158106178.67937699</v>
      </c>
      <c r="L154" s="5">
        <v>282665587.790703</v>
      </c>
      <c r="M154" s="5">
        <v>338275985.706321</v>
      </c>
      <c r="N154" s="5">
        <v>386592653.21519703</v>
      </c>
      <c r="O154" s="5">
        <v>94846819.199968904</v>
      </c>
      <c r="P154" s="5">
        <v>361124791.03157502</v>
      </c>
      <c r="Q154" s="5">
        <v>422903194.73768401</v>
      </c>
      <c r="R154" s="5">
        <v>247706524.869205</v>
      </c>
      <c r="S154" s="5">
        <v>149473460.47549999</v>
      </c>
      <c r="T154" s="5">
        <v>153449040.25143099</v>
      </c>
      <c r="U154" s="5">
        <v>268267194.64197299</v>
      </c>
      <c r="V154" s="5">
        <v>191217397.18982399</v>
      </c>
    </row>
    <row r="155" spans="1:22" x14ac:dyDescent="0.45">
      <c r="A155" s="5" t="s">
        <v>137</v>
      </c>
      <c r="B155" s="5">
        <v>50637354.152227797</v>
      </c>
      <c r="C155" s="5">
        <v>29686096.088340901</v>
      </c>
      <c r="D155" s="5">
        <v>37793119.469378203</v>
      </c>
      <c r="E155" s="5">
        <v>40268964.906753197</v>
      </c>
      <c r="F155" s="5">
        <v>29812621.136905499</v>
      </c>
      <c r="G155" s="5">
        <v>31243177.630669199</v>
      </c>
      <c r="H155" s="5">
        <v>42481918.4744002</v>
      </c>
      <c r="I155" s="5">
        <v>39125980.262525298</v>
      </c>
      <c r="J155" s="5">
        <v>32004432.380633499</v>
      </c>
      <c r="K155" s="5">
        <v>38022908.537476003</v>
      </c>
      <c r="L155" s="5">
        <v>32880703.545958199</v>
      </c>
      <c r="M155" s="5">
        <v>35723393.394355603</v>
      </c>
      <c r="N155" s="5">
        <v>55578171.477693297</v>
      </c>
      <c r="O155" s="5">
        <v>35508827.092695102</v>
      </c>
      <c r="P155" s="5">
        <v>43421781.319930702</v>
      </c>
      <c r="Q155" s="5">
        <v>32308496.054028202</v>
      </c>
      <c r="R155" s="5">
        <v>65047551.307138197</v>
      </c>
      <c r="S155" s="5">
        <v>28741308.922270902</v>
      </c>
      <c r="T155" s="5">
        <v>30567680.623750199</v>
      </c>
      <c r="U155" s="5">
        <v>25640259.4811791</v>
      </c>
      <c r="V155" s="5">
        <v>37583004.958799198</v>
      </c>
    </row>
    <row r="156" spans="1:22" x14ac:dyDescent="0.45">
      <c r="A156" s="5" t="s">
        <v>263</v>
      </c>
      <c r="B156" s="5">
        <v>123332071.54549</v>
      </c>
      <c r="C156" s="5">
        <v>140781169.24343401</v>
      </c>
      <c r="D156" s="5">
        <v>155098963.73502299</v>
      </c>
      <c r="E156" s="5">
        <v>79040741.044553295</v>
      </c>
      <c r="F156" s="5">
        <v>95798955.4474608</v>
      </c>
      <c r="G156" s="5">
        <v>32296149.633485101</v>
      </c>
      <c r="H156" s="5">
        <v>79218422.204209596</v>
      </c>
      <c r="I156" s="5">
        <v>65787799.2192384</v>
      </c>
      <c r="J156" s="5">
        <v>69098933.300029099</v>
      </c>
      <c r="K156" s="5">
        <v>61079574.027583599</v>
      </c>
      <c r="L156" s="5">
        <v>115945684.317063</v>
      </c>
      <c r="M156" s="5">
        <v>173088203.10271999</v>
      </c>
      <c r="N156" s="5">
        <v>344039026.45169997</v>
      </c>
      <c r="O156" s="5">
        <v>51463229.938211598</v>
      </c>
      <c r="P156" s="5">
        <v>54557428.5184028</v>
      </c>
      <c r="Q156" s="5">
        <v>187868887.996398</v>
      </c>
      <c r="R156" s="5">
        <v>34273261.109415703</v>
      </c>
      <c r="S156" s="5">
        <v>61975979.977967598</v>
      </c>
      <c r="T156" s="5">
        <v>83627193.820366994</v>
      </c>
      <c r="U156" s="5">
        <v>99695813.603411198</v>
      </c>
      <c r="V156" s="5">
        <v>109051659.460885</v>
      </c>
    </row>
    <row r="157" spans="1:22" x14ac:dyDescent="0.45">
      <c r="A157" s="5" t="s">
        <v>213</v>
      </c>
      <c r="B157" s="5">
        <v>9239428.5984381009</v>
      </c>
      <c r="C157" s="5">
        <v>8402909.1234585308</v>
      </c>
      <c r="D157" s="5">
        <v>9326239.4259939492</v>
      </c>
      <c r="E157" s="5">
        <v>10831611.019848701</v>
      </c>
      <c r="F157" s="5">
        <v>8562691.1873197202</v>
      </c>
      <c r="G157" s="5">
        <v>9472582.0631908402</v>
      </c>
      <c r="H157" s="5">
        <v>9508102.9401092306</v>
      </c>
      <c r="I157" s="5">
        <v>13679314.9422525</v>
      </c>
      <c r="J157" s="5">
        <v>7199612.4494906198</v>
      </c>
      <c r="K157" s="5">
        <v>9446451.7263584808</v>
      </c>
      <c r="L157" s="5">
        <v>10373893.878371401</v>
      </c>
      <c r="M157" s="5">
        <v>14032500.3367416</v>
      </c>
      <c r="N157" s="5">
        <v>11384379.5027906</v>
      </c>
      <c r="O157" s="5">
        <v>13584992.626056399</v>
      </c>
      <c r="P157" s="5">
        <v>9620876.0922292508</v>
      </c>
      <c r="Q157" s="5">
        <v>10731308.5984757</v>
      </c>
      <c r="R157" s="5">
        <v>14868032.6682449</v>
      </c>
      <c r="S157" s="5">
        <v>8721794.9700832404</v>
      </c>
      <c r="T157" s="5">
        <v>8811610.9865399394</v>
      </c>
      <c r="U157" s="5">
        <v>7898509.5088096699</v>
      </c>
      <c r="V157" s="5">
        <v>10344057.4184172</v>
      </c>
    </row>
    <row r="158" spans="1:22" x14ac:dyDescent="0.45">
      <c r="A158" s="5" t="s">
        <v>214</v>
      </c>
      <c r="B158" s="5">
        <v>3456347.32270345</v>
      </c>
      <c r="C158" s="5">
        <v>1772400.8576041099</v>
      </c>
      <c r="D158" s="5">
        <v>2152040.3421927299</v>
      </c>
      <c r="E158" s="5">
        <v>2363277.7023496898</v>
      </c>
      <c r="F158" s="5">
        <v>6437076.0626502903</v>
      </c>
      <c r="G158" s="5">
        <v>14990144.972322499</v>
      </c>
      <c r="H158" s="5">
        <v>2698502.0681465901</v>
      </c>
      <c r="I158" s="5">
        <v>36589964.716819599</v>
      </c>
      <c r="J158" s="5">
        <v>2285492.7542409599</v>
      </c>
      <c r="K158" s="5">
        <v>2747546.9392216299</v>
      </c>
      <c r="L158" s="5">
        <v>2334845.6619633101</v>
      </c>
      <c r="M158" s="5">
        <v>2710412.1324179801</v>
      </c>
      <c r="N158" s="5">
        <v>5841532.3226405298</v>
      </c>
      <c r="O158" s="5">
        <v>19308371.083363</v>
      </c>
      <c r="P158" s="5">
        <v>4542446.1787970504</v>
      </c>
      <c r="Q158" s="5">
        <v>1949464.8673481201</v>
      </c>
      <c r="R158" s="5">
        <v>1958016.7354071401</v>
      </c>
      <c r="S158" s="5">
        <v>8210654.0070916899</v>
      </c>
      <c r="T158" s="5">
        <v>10397092.397585601</v>
      </c>
      <c r="U158" s="5">
        <v>2553961.1767880898</v>
      </c>
      <c r="V158" s="5">
        <v>11327580.3736692</v>
      </c>
    </row>
    <row r="159" spans="1:22" x14ac:dyDescent="0.45">
      <c r="A159" s="5" t="s">
        <v>138</v>
      </c>
      <c r="B159" s="5">
        <v>29423105.1309621</v>
      </c>
      <c r="C159" s="5">
        <v>32359940.604484402</v>
      </c>
      <c r="D159" s="5">
        <v>22646683.372828599</v>
      </c>
      <c r="E159" s="5">
        <v>25321441.529045701</v>
      </c>
      <c r="F159" s="5">
        <v>21795775.280508999</v>
      </c>
      <c r="G159" s="5">
        <v>15285575.054563999</v>
      </c>
      <c r="H159" s="5">
        <v>37843887.894529097</v>
      </c>
      <c r="I159" s="5">
        <v>15396318.6090737</v>
      </c>
      <c r="J159" s="5">
        <v>26475257.5799792</v>
      </c>
      <c r="K159" s="5">
        <v>32709336.193421699</v>
      </c>
      <c r="L159" s="5">
        <v>29808509.019347701</v>
      </c>
      <c r="M159" s="5">
        <v>26946317.816424701</v>
      </c>
      <c r="N159" s="5">
        <v>36228248.434772499</v>
      </c>
      <c r="O159" s="5">
        <v>20557816.739984099</v>
      </c>
      <c r="P159" s="5">
        <v>19499417.999898002</v>
      </c>
      <c r="Q159" s="5">
        <v>25029309.627934799</v>
      </c>
      <c r="R159" s="5">
        <v>34903477.5385499</v>
      </c>
      <c r="S159" s="5">
        <v>16013847.739060501</v>
      </c>
      <c r="T159" s="5">
        <v>14600416.535595199</v>
      </c>
      <c r="U159" s="5">
        <v>27106913.658468001</v>
      </c>
      <c r="V159" s="5">
        <v>11986785.313859399</v>
      </c>
    </row>
    <row r="160" spans="1:22" x14ac:dyDescent="0.45">
      <c r="A160" s="5" t="s">
        <v>264</v>
      </c>
      <c r="B160" s="5">
        <v>2582147.5743545499</v>
      </c>
      <c r="C160" s="5">
        <v>2659546.0266960901</v>
      </c>
      <c r="D160" s="5">
        <v>1375433.93134107</v>
      </c>
      <c r="E160" s="5">
        <v>3777771.55359845</v>
      </c>
      <c r="F160" s="5">
        <v>1823658.0359418399</v>
      </c>
      <c r="G160" s="5">
        <v>1763615.5915532301</v>
      </c>
      <c r="H160" s="5">
        <v>3140433.54503563</v>
      </c>
      <c r="I160" s="5">
        <v>2072057.2489356999</v>
      </c>
      <c r="J160" s="5">
        <v>2293071.9673824101</v>
      </c>
      <c r="K160" s="5">
        <v>1984062.3286694</v>
      </c>
      <c r="L160" s="5">
        <v>2374085.6623512199</v>
      </c>
      <c r="M160" s="5">
        <v>3110576.5331775402</v>
      </c>
      <c r="N160" s="5">
        <v>3556497.9406318902</v>
      </c>
      <c r="O160" s="5">
        <v>1867894.71372744</v>
      </c>
      <c r="P160" s="5">
        <v>1783828.6712111901</v>
      </c>
      <c r="Q160" s="5">
        <v>2994512.6464521098</v>
      </c>
      <c r="R160" s="5">
        <v>2389010.2357455301</v>
      </c>
      <c r="S160" s="5">
        <v>1848661.7820644199</v>
      </c>
      <c r="T160" s="5">
        <v>1765972.4259649301</v>
      </c>
      <c r="U160" s="5">
        <v>4601216.0113728102</v>
      </c>
      <c r="V160" s="5">
        <v>1835232.76987278</v>
      </c>
    </row>
    <row r="161" spans="1:22" x14ac:dyDescent="0.45">
      <c r="A161" s="5" t="s">
        <v>139</v>
      </c>
      <c r="B161" s="5">
        <v>735456.59021046502</v>
      </c>
      <c r="C161" s="5">
        <v>924377.77664665703</v>
      </c>
      <c r="D161" s="5">
        <v>861961.71912269096</v>
      </c>
      <c r="E161" s="5">
        <v>974982.55533147801</v>
      </c>
      <c r="F161" s="5">
        <v>207453.969984564</v>
      </c>
      <c r="G161" s="5">
        <v>199047.60375101</v>
      </c>
      <c r="H161" s="5">
        <v>829403.31063428801</v>
      </c>
      <c r="I161" s="5">
        <v>230452.434524093</v>
      </c>
      <c r="J161" s="5">
        <v>1254220.01852499</v>
      </c>
      <c r="K161" s="5">
        <v>1257587.1486314901</v>
      </c>
      <c r="L161" s="5">
        <v>670209.81454587402</v>
      </c>
      <c r="M161" s="5">
        <v>1207601.8411648001</v>
      </c>
      <c r="N161" s="5">
        <v>1188953.5527246101</v>
      </c>
      <c r="O161" s="5">
        <v>292491.02894594998</v>
      </c>
      <c r="P161" s="5">
        <v>919591.53609028202</v>
      </c>
      <c r="Q161" s="5">
        <v>1030115.4267569199</v>
      </c>
      <c r="R161" s="5">
        <v>968410.17497112905</v>
      </c>
      <c r="S161" s="5">
        <v>245720.820008448</v>
      </c>
      <c r="T161" s="5">
        <v>207641.425057452</v>
      </c>
      <c r="U161" s="5">
        <v>1123198.1796299</v>
      </c>
      <c r="V161" s="5">
        <v>258411.40989743799</v>
      </c>
    </row>
    <row r="162" spans="1:22" x14ac:dyDescent="0.45">
      <c r="A162" s="5" t="s">
        <v>278</v>
      </c>
      <c r="B162" s="5">
        <v>44081.490236334597</v>
      </c>
      <c r="C162" s="5">
        <v>52505.744496313702</v>
      </c>
      <c r="D162" s="5">
        <v>73696.838581255201</v>
      </c>
      <c r="E162" s="5">
        <v>73251.277152227995</v>
      </c>
      <c r="F162" s="5">
        <v>22856.083580800499</v>
      </c>
      <c r="G162" s="5">
        <v>24534.915446262701</v>
      </c>
      <c r="H162" s="5">
        <v>64539.535837677002</v>
      </c>
      <c r="I162" s="5">
        <v>33072.467971958104</v>
      </c>
      <c r="J162" s="5">
        <v>71345.975941588404</v>
      </c>
      <c r="K162" s="5">
        <v>87083.314913925293</v>
      </c>
      <c r="L162" s="5">
        <v>57177.759369244501</v>
      </c>
      <c r="M162" s="5">
        <v>92726.399048585401</v>
      </c>
      <c r="N162" s="5">
        <v>58525.721530671202</v>
      </c>
      <c r="O162" s="5">
        <v>27402.483870272801</v>
      </c>
      <c r="P162" s="5">
        <v>34940.073090349397</v>
      </c>
      <c r="Q162" s="5">
        <v>65332.697637802703</v>
      </c>
      <c r="R162" s="5">
        <v>66705.662054474</v>
      </c>
      <c r="S162" s="5">
        <v>25156.853049899499</v>
      </c>
      <c r="T162" s="5">
        <v>25276.404066863801</v>
      </c>
      <c r="U162" s="5">
        <v>65588.751936051805</v>
      </c>
      <c r="V162" s="5">
        <v>31532.9721048885</v>
      </c>
    </row>
    <row r="163" spans="1:22" x14ac:dyDescent="0.45">
      <c r="A163" s="5" t="s">
        <v>215</v>
      </c>
      <c r="B163" s="5">
        <v>1392705.6747377701</v>
      </c>
      <c r="C163" s="5">
        <v>1790782.5652564899</v>
      </c>
      <c r="D163" s="5">
        <v>1392158.7492742201</v>
      </c>
      <c r="E163" s="5">
        <v>1881334.04035666</v>
      </c>
      <c r="F163" s="5">
        <v>921611.94852954196</v>
      </c>
      <c r="G163" s="5">
        <v>938860.76036442595</v>
      </c>
      <c r="H163" s="5">
        <v>1719413.98355891</v>
      </c>
      <c r="I163" s="5">
        <v>855368.38295155996</v>
      </c>
      <c r="J163" s="5">
        <v>2047601.8934301999</v>
      </c>
      <c r="K163" s="5">
        <v>1937789.5719626599</v>
      </c>
      <c r="L163" s="5">
        <v>1883035.27032904</v>
      </c>
      <c r="M163" s="5">
        <v>1616010.6546189999</v>
      </c>
      <c r="N163" s="5">
        <v>2223228.99852151</v>
      </c>
      <c r="O163" s="5">
        <v>860960.38889025897</v>
      </c>
      <c r="P163" s="5">
        <v>1388304.2011271</v>
      </c>
      <c r="Q163" s="5">
        <v>1404209.4500297001</v>
      </c>
      <c r="R163" s="5">
        <v>1886223.84177157</v>
      </c>
      <c r="S163" s="5">
        <v>1137910.6754624101</v>
      </c>
      <c r="T163" s="5">
        <v>1263922.80578313</v>
      </c>
      <c r="U163" s="5">
        <v>2727751.33525234</v>
      </c>
      <c r="V163" s="5">
        <v>1036227.62650237</v>
      </c>
    </row>
    <row r="164" spans="1:22" x14ac:dyDescent="0.45">
      <c r="A164" s="5" t="s">
        <v>265</v>
      </c>
      <c r="B164" s="5">
        <v>7263006.1333568497</v>
      </c>
      <c r="C164" s="5">
        <v>4314755.8239178499</v>
      </c>
      <c r="D164" s="5">
        <v>1475783.0123012899</v>
      </c>
      <c r="E164" s="5">
        <v>1682692.7928318901</v>
      </c>
      <c r="F164" s="5">
        <v>5821775.3245438896</v>
      </c>
      <c r="G164" s="5">
        <v>1439637.6466582001</v>
      </c>
      <c r="H164" s="5">
        <v>9291029.8798980694</v>
      </c>
      <c r="I164" s="5">
        <v>851734.36692244303</v>
      </c>
      <c r="J164" s="5">
        <v>1334567.99647465</v>
      </c>
      <c r="K164" s="5">
        <v>1681884.1268905301</v>
      </c>
      <c r="L164" s="5">
        <v>2098720.8856489202</v>
      </c>
      <c r="M164" s="5">
        <v>3010447.4739791499</v>
      </c>
      <c r="N164" s="5">
        <v>5562323.1844426896</v>
      </c>
      <c r="O164" s="5">
        <v>9200000.42088053</v>
      </c>
      <c r="P164" s="5">
        <v>17922910.560247201</v>
      </c>
      <c r="Q164" s="5">
        <v>3945998.5303850998</v>
      </c>
      <c r="R164" s="5">
        <v>2278050.8456818098</v>
      </c>
      <c r="S164" s="5">
        <v>1755048.7181975101</v>
      </c>
      <c r="T164" s="5">
        <v>1811612.43457974</v>
      </c>
      <c r="U164" s="5">
        <v>1051446.60398089</v>
      </c>
      <c r="V164" s="5">
        <v>972900.83927872102</v>
      </c>
    </row>
    <row r="165" spans="1:22" x14ac:dyDescent="0.45">
      <c r="A165" s="5" t="s">
        <v>162</v>
      </c>
      <c r="B165" s="5">
        <v>34428629.367053702</v>
      </c>
      <c r="C165" s="5">
        <v>34213527.661934704</v>
      </c>
      <c r="D165" s="5">
        <v>31920307.253525499</v>
      </c>
      <c r="E165" s="5">
        <v>31227884.184116598</v>
      </c>
      <c r="F165" s="5">
        <v>25489009.786563501</v>
      </c>
      <c r="G165" s="5">
        <v>24196749.003536701</v>
      </c>
      <c r="H165" s="5">
        <v>35898838.466195002</v>
      </c>
      <c r="I165" s="5">
        <v>25688286.670477301</v>
      </c>
      <c r="J165" s="5">
        <v>31279350.773403101</v>
      </c>
      <c r="K165" s="5">
        <v>31599567.346885599</v>
      </c>
      <c r="L165" s="5">
        <v>29861161.0866847</v>
      </c>
      <c r="M165" s="5">
        <v>34595088.993446201</v>
      </c>
      <c r="N165" s="5">
        <v>40074069.463849701</v>
      </c>
      <c r="O165" s="5">
        <v>27591752.773529999</v>
      </c>
      <c r="P165" s="5">
        <v>31331488.697236799</v>
      </c>
      <c r="Q165" s="5">
        <v>30435085.400394499</v>
      </c>
      <c r="R165" s="5">
        <v>32473325.827751901</v>
      </c>
      <c r="S165" s="5">
        <v>25254845.616342202</v>
      </c>
      <c r="T165" s="5">
        <v>24469761.524273999</v>
      </c>
      <c r="U165" s="5">
        <v>31768917.1445271</v>
      </c>
      <c r="V165" s="5">
        <v>27279022.309339002</v>
      </c>
    </row>
    <row r="166" spans="1:22" x14ac:dyDescent="0.45">
      <c r="A166" s="5" t="s">
        <v>216</v>
      </c>
      <c r="B166" s="5">
        <v>1686135.60887782</v>
      </c>
      <c r="C166" s="5">
        <v>1915028.0842580199</v>
      </c>
      <c r="D166" s="5">
        <v>7285797.8697285196</v>
      </c>
      <c r="E166" s="5">
        <v>552176.88893195195</v>
      </c>
      <c r="F166" s="5">
        <v>101843787.022688</v>
      </c>
      <c r="G166" s="5">
        <v>107038533.79032101</v>
      </c>
      <c r="H166" s="5">
        <v>11683662.5788144</v>
      </c>
      <c r="I166" s="5">
        <v>103157980.53369799</v>
      </c>
      <c r="J166" s="5">
        <v>1435289.2323088199</v>
      </c>
      <c r="K166" s="5">
        <v>1744874.5001904799</v>
      </c>
      <c r="L166" s="5">
        <v>13864605.0360387</v>
      </c>
      <c r="M166" s="5">
        <v>432573.68524203397</v>
      </c>
      <c r="N166" s="5">
        <v>412040.00006982603</v>
      </c>
      <c r="O166" s="5">
        <v>101341969.173107</v>
      </c>
      <c r="P166" s="5">
        <v>5656085.0671713501</v>
      </c>
      <c r="Q166" s="5">
        <v>3765370.1522122002</v>
      </c>
      <c r="R166" s="5">
        <v>192736.09711818601</v>
      </c>
      <c r="S166" s="5">
        <v>98207296.698595405</v>
      </c>
      <c r="T166" s="5">
        <v>116270158.522383</v>
      </c>
      <c r="U166" s="5">
        <v>1623822.7805024299</v>
      </c>
      <c r="V166" s="5">
        <v>127260801.064364</v>
      </c>
    </row>
    <row r="167" spans="1:22" x14ac:dyDescent="0.45">
      <c r="A167" s="5" t="s">
        <v>102</v>
      </c>
      <c r="B167" s="5">
        <v>11435201.0770273</v>
      </c>
      <c r="C167" s="5">
        <v>11719854.0295466</v>
      </c>
      <c r="D167" s="5">
        <v>12437463.8471111</v>
      </c>
      <c r="E167" s="5">
        <v>10221198.6438732</v>
      </c>
      <c r="F167" s="5">
        <v>37276573.783176497</v>
      </c>
      <c r="G167" s="5">
        <v>47066542.564458899</v>
      </c>
      <c r="H167" s="5">
        <v>14250947.0277321</v>
      </c>
      <c r="I167" s="5">
        <v>82381556.808670893</v>
      </c>
      <c r="J167" s="5">
        <v>9858480.9176900797</v>
      </c>
      <c r="K167" s="5">
        <v>10958790.996169301</v>
      </c>
      <c r="L167" s="5">
        <v>6588293.0393205304</v>
      </c>
      <c r="M167" s="5">
        <v>11522352.1032956</v>
      </c>
      <c r="N167" s="5">
        <v>12728545.864024401</v>
      </c>
      <c r="O167" s="5">
        <v>52284298.111086197</v>
      </c>
      <c r="P167" s="5">
        <v>15672699.496271901</v>
      </c>
      <c r="Q167" s="5">
        <v>11189761.377364401</v>
      </c>
      <c r="R167" s="5">
        <v>20925547.176977701</v>
      </c>
      <c r="S167" s="5">
        <v>40899062.133098401</v>
      </c>
      <c r="T167" s="5">
        <v>50058566.902027197</v>
      </c>
      <c r="U167" s="5">
        <v>8122277.2965267701</v>
      </c>
      <c r="V167" s="5">
        <v>45955214.521986</v>
      </c>
    </row>
    <row r="168" spans="1:22" x14ac:dyDescent="0.45">
      <c r="A168" s="5" t="s">
        <v>144</v>
      </c>
      <c r="B168" s="5">
        <v>49967799.782867797</v>
      </c>
      <c r="C168" s="5">
        <v>43220306.027625203</v>
      </c>
      <c r="D168" s="5">
        <v>38068666.165773198</v>
      </c>
      <c r="E168" s="5">
        <v>35346264.369371302</v>
      </c>
      <c r="F168" s="5">
        <v>20318871.864263501</v>
      </c>
      <c r="G168" s="5">
        <v>15573346.0219742</v>
      </c>
      <c r="H168" s="5">
        <v>39319561.185874701</v>
      </c>
      <c r="I168" s="5">
        <v>18722990.294516198</v>
      </c>
      <c r="J168" s="5">
        <v>34359791.586475499</v>
      </c>
      <c r="K168" s="5">
        <v>40925759.000018403</v>
      </c>
      <c r="L168" s="5">
        <v>25629900.269099299</v>
      </c>
      <c r="M168" s="5">
        <v>23240848.932700101</v>
      </c>
      <c r="N168" s="5">
        <v>33374044.481678199</v>
      </c>
      <c r="O168" s="5">
        <v>20517728.1138038</v>
      </c>
      <c r="P168" s="5">
        <v>41633474.866856597</v>
      </c>
      <c r="Q168" s="5">
        <v>37228421.141860202</v>
      </c>
      <c r="R168" s="5">
        <v>35712563.086119398</v>
      </c>
      <c r="S168" s="5">
        <v>20264115.3793942</v>
      </c>
      <c r="T168" s="5">
        <v>24046657.740989499</v>
      </c>
      <c r="U168" s="5">
        <v>27173609.592444099</v>
      </c>
      <c r="V168" s="5">
        <v>19488403.338113099</v>
      </c>
    </row>
    <row r="169" spans="1:22" x14ac:dyDescent="0.45">
      <c r="A169" s="5" t="s">
        <v>103</v>
      </c>
      <c r="B169" s="5">
        <v>3258255.3741390002</v>
      </c>
      <c r="C169" s="5">
        <v>2666824.76428694</v>
      </c>
      <c r="D169" s="5">
        <v>3328024.0095957802</v>
      </c>
      <c r="E169" s="5">
        <v>2259862.2339178701</v>
      </c>
      <c r="F169" s="5">
        <v>8658670.4578468408</v>
      </c>
      <c r="G169" s="5">
        <v>11434806.653107099</v>
      </c>
      <c r="H169" s="5">
        <v>2785737.8410954801</v>
      </c>
      <c r="I169" s="5">
        <v>37901899.565770097</v>
      </c>
      <c r="J169" s="5">
        <v>3234486.7946104398</v>
      </c>
      <c r="K169" s="5">
        <v>2612749.5673200102</v>
      </c>
      <c r="L169" s="5">
        <v>3680701.3024159102</v>
      </c>
      <c r="M169" s="5">
        <v>2943718.0451505501</v>
      </c>
      <c r="N169" s="5">
        <v>2900833.5783637101</v>
      </c>
      <c r="O169" s="5">
        <v>13898615.077672901</v>
      </c>
      <c r="P169" s="5">
        <v>3157199.0444985898</v>
      </c>
      <c r="Q169" s="5">
        <v>2439588.4009658401</v>
      </c>
      <c r="R169" s="5">
        <v>3295840.0518171298</v>
      </c>
      <c r="S169" s="5">
        <v>8911719.2305753697</v>
      </c>
      <c r="T169" s="5">
        <v>11987727.5485128</v>
      </c>
      <c r="U169" s="5">
        <v>2792716.1963607301</v>
      </c>
      <c r="V169" s="5">
        <v>11356416.496233501</v>
      </c>
    </row>
    <row r="170" spans="1:22" x14ac:dyDescent="0.45">
      <c r="A170" s="5" t="s">
        <v>145</v>
      </c>
      <c r="B170" s="5">
        <v>275554673.35254502</v>
      </c>
      <c r="C170" s="5">
        <v>209227411.221459</v>
      </c>
      <c r="D170" s="5">
        <v>226893802.94001299</v>
      </c>
      <c r="E170" s="5">
        <v>226918864.846156</v>
      </c>
      <c r="F170" s="5">
        <v>165770503.39383999</v>
      </c>
      <c r="G170" s="5">
        <v>163630799.73101199</v>
      </c>
      <c r="H170" s="5">
        <v>276327633.955796</v>
      </c>
      <c r="I170" s="5">
        <v>127674952.524281</v>
      </c>
      <c r="J170" s="5">
        <v>183067823.85381901</v>
      </c>
      <c r="K170" s="5">
        <v>286783938.88341397</v>
      </c>
      <c r="L170" s="5">
        <v>179965960.927331</v>
      </c>
      <c r="M170" s="5">
        <v>201490592.08852899</v>
      </c>
      <c r="N170" s="5">
        <v>260945964.53529599</v>
      </c>
      <c r="O170" s="5">
        <v>110984589.858209</v>
      </c>
      <c r="P170" s="5">
        <v>208431980.98296601</v>
      </c>
      <c r="Q170" s="5">
        <v>151417820.88790801</v>
      </c>
      <c r="R170" s="5">
        <v>481504564.01034099</v>
      </c>
      <c r="S170" s="5">
        <v>151683362.65818599</v>
      </c>
      <c r="T170" s="5">
        <v>120073722.135958</v>
      </c>
      <c r="U170" s="5">
        <v>151400330.88460201</v>
      </c>
      <c r="V170" s="5">
        <v>143247010.69690701</v>
      </c>
    </row>
    <row r="171" spans="1:22" x14ac:dyDescent="0.45">
      <c r="A171" s="5" t="s">
        <v>104</v>
      </c>
      <c r="B171" s="5">
        <v>12961321.085847801</v>
      </c>
      <c r="C171" s="5">
        <v>9953376.4113364592</v>
      </c>
      <c r="D171" s="5">
        <v>13051366.448534399</v>
      </c>
      <c r="E171" s="5">
        <v>10780942.8589593</v>
      </c>
      <c r="F171" s="5">
        <v>22530226.095633999</v>
      </c>
      <c r="G171" s="5">
        <v>9246287.1936179698</v>
      </c>
      <c r="H171" s="5">
        <v>13879317.8879779</v>
      </c>
      <c r="I171" s="5">
        <v>17614427.527486999</v>
      </c>
      <c r="J171" s="5">
        <v>13468234.443379</v>
      </c>
      <c r="K171" s="5">
        <v>13207196.6762095</v>
      </c>
      <c r="L171" s="5">
        <v>18066717.578709599</v>
      </c>
      <c r="M171" s="5">
        <v>12072657.160958299</v>
      </c>
      <c r="N171" s="5">
        <v>12278584.578157</v>
      </c>
      <c r="O171" s="5">
        <v>10571364.702379599</v>
      </c>
      <c r="P171" s="5">
        <v>14347760.3979061</v>
      </c>
      <c r="Q171" s="5">
        <v>9041318.33420901</v>
      </c>
      <c r="R171" s="5">
        <v>27193869.579668101</v>
      </c>
      <c r="S171" s="5">
        <v>8610747.8670000602</v>
      </c>
      <c r="T171" s="5">
        <v>9739533.4435617309</v>
      </c>
      <c r="U171" s="5">
        <v>17621479.442679901</v>
      </c>
      <c r="V171" s="5">
        <v>14235183.2965704</v>
      </c>
    </row>
    <row r="172" spans="1:22" x14ac:dyDescent="0.45">
      <c r="A172" s="5" t="s">
        <v>218</v>
      </c>
      <c r="B172" s="5">
        <v>72998921.939102605</v>
      </c>
      <c r="C172" s="5">
        <v>120650747.413352</v>
      </c>
      <c r="D172" s="5">
        <v>52291055.688244604</v>
      </c>
      <c r="E172" s="5">
        <v>88251784.1903442</v>
      </c>
      <c r="F172" s="5">
        <v>43101018.217038497</v>
      </c>
      <c r="G172" s="5">
        <v>59637104.477703303</v>
      </c>
      <c r="H172" s="5">
        <v>105648792.70119999</v>
      </c>
      <c r="I172" s="5">
        <v>22608330.434561301</v>
      </c>
      <c r="J172" s="5">
        <v>95512386.701784894</v>
      </c>
      <c r="K172" s="5">
        <v>114201024.25664499</v>
      </c>
      <c r="L172" s="5">
        <v>53075020.051086098</v>
      </c>
      <c r="M172" s="5">
        <v>52417770.735541597</v>
      </c>
      <c r="N172" s="5">
        <v>45239857.395447798</v>
      </c>
      <c r="O172" s="5">
        <v>29739910.5750397</v>
      </c>
      <c r="P172" s="5">
        <v>34952025.126785301</v>
      </c>
      <c r="Q172" s="5">
        <v>53650667.435003601</v>
      </c>
      <c r="R172" s="5">
        <v>54917744.8271828</v>
      </c>
      <c r="S172" s="5">
        <v>47477204.291085899</v>
      </c>
      <c r="T172" s="5">
        <v>21972439.806740899</v>
      </c>
      <c r="U172" s="5">
        <v>36270454.328683197</v>
      </c>
      <c r="V172" s="5">
        <v>19773514.344739199</v>
      </c>
    </row>
    <row r="173" spans="1:22" x14ac:dyDescent="0.45">
      <c r="A173" s="5" t="s">
        <v>105</v>
      </c>
      <c r="B173" s="5">
        <v>3173678.43681128</v>
      </c>
      <c r="C173" s="5">
        <v>3711583.7274737</v>
      </c>
      <c r="D173" s="5">
        <v>3957160.6308784098</v>
      </c>
      <c r="E173" s="5">
        <v>4235631.4317701003</v>
      </c>
      <c r="F173" s="5">
        <v>3145099.7391774398</v>
      </c>
      <c r="G173" s="5">
        <v>1712553.86059207</v>
      </c>
      <c r="H173" s="5">
        <v>4145437.9390522898</v>
      </c>
      <c r="I173" s="5">
        <v>2357581.4642011798</v>
      </c>
      <c r="J173" s="5">
        <v>3463418.8473185999</v>
      </c>
      <c r="K173" s="5">
        <v>3769864.7487012199</v>
      </c>
      <c r="L173" s="5">
        <v>2793521.0418753601</v>
      </c>
      <c r="M173" s="5">
        <v>3102821.2244932898</v>
      </c>
      <c r="N173" s="5">
        <v>4173445.3529188801</v>
      </c>
      <c r="O173" s="5">
        <v>2266550.8580853702</v>
      </c>
      <c r="P173" s="5">
        <v>3359943.8510447801</v>
      </c>
      <c r="Q173" s="5">
        <v>3374000.0400924799</v>
      </c>
      <c r="R173" s="5">
        <v>3328812.4244259899</v>
      </c>
      <c r="S173" s="5">
        <v>3185051.67643434</v>
      </c>
      <c r="T173" s="5">
        <v>1940510.7192824299</v>
      </c>
      <c r="U173" s="5">
        <v>2919301.2558911098</v>
      </c>
      <c r="V173" s="5">
        <v>2145055.27867084</v>
      </c>
    </row>
    <row r="174" spans="1:22" x14ac:dyDescent="0.45">
      <c r="A174" s="5" t="s">
        <v>140</v>
      </c>
      <c r="B174" s="5">
        <v>13967688.9505983</v>
      </c>
      <c r="C174" s="5">
        <v>7988021.8188082501</v>
      </c>
      <c r="D174" s="5">
        <v>10363954.120390199</v>
      </c>
      <c r="E174" s="5">
        <v>10747605.6978893</v>
      </c>
      <c r="F174" s="5">
        <v>8722990.5665440504</v>
      </c>
      <c r="G174" s="5">
        <v>6487937.6195085002</v>
      </c>
      <c r="H174" s="5">
        <v>12044338.7946428</v>
      </c>
      <c r="I174" s="5">
        <v>9344652.6044966895</v>
      </c>
      <c r="J174" s="5">
        <v>10176881.167556601</v>
      </c>
      <c r="K174" s="5">
        <v>10831849.833564401</v>
      </c>
      <c r="L174" s="5">
        <v>12546934.068156799</v>
      </c>
      <c r="M174" s="5">
        <v>12265143.258004701</v>
      </c>
      <c r="N174" s="5">
        <v>14516994.1125907</v>
      </c>
      <c r="O174" s="5">
        <v>10028427.4282567</v>
      </c>
      <c r="P174" s="5">
        <v>14955462.182997501</v>
      </c>
      <c r="Q174" s="5">
        <v>10314770.095716</v>
      </c>
      <c r="R174" s="5">
        <v>20001322.081905901</v>
      </c>
      <c r="S174" s="5">
        <v>5761782.3099570395</v>
      </c>
      <c r="T174" s="5">
        <v>10067130.887041699</v>
      </c>
      <c r="U174" s="5">
        <v>12198777.287311999</v>
      </c>
      <c r="V174" s="5">
        <v>8215799.0088317702</v>
      </c>
    </row>
    <row r="175" spans="1:22" x14ac:dyDescent="0.45">
      <c r="A175" s="5" t="s">
        <v>146</v>
      </c>
      <c r="B175" s="5">
        <v>347754770.65239102</v>
      </c>
      <c r="C175" s="5">
        <v>331653944.37360799</v>
      </c>
      <c r="D175" s="5">
        <v>341765420.26474202</v>
      </c>
      <c r="E175" s="5">
        <v>322901485.30427301</v>
      </c>
      <c r="F175" s="5">
        <v>185004133.86799601</v>
      </c>
      <c r="G175" s="5">
        <v>181230781.04504001</v>
      </c>
      <c r="H175" s="5">
        <v>308484878.55997998</v>
      </c>
      <c r="I175" s="5">
        <v>195731939.879282</v>
      </c>
      <c r="J175" s="5">
        <v>315308974.39067203</v>
      </c>
      <c r="K175" s="5">
        <v>309852664.05001003</v>
      </c>
      <c r="L175" s="5">
        <v>221550481.82065099</v>
      </c>
      <c r="M175" s="5">
        <v>328375043.44404203</v>
      </c>
      <c r="N175" s="5">
        <v>402642800.57976902</v>
      </c>
      <c r="O175" s="5">
        <v>184585343.655231</v>
      </c>
      <c r="P175" s="5">
        <v>302012380.65496701</v>
      </c>
      <c r="Q175" s="5">
        <v>303894735.31424201</v>
      </c>
      <c r="R175" s="5">
        <v>360276899.31733203</v>
      </c>
      <c r="S175" s="5">
        <v>205850532.834465</v>
      </c>
      <c r="T175" s="5">
        <v>177766599.932928</v>
      </c>
      <c r="U175" s="5">
        <v>216266368.395834</v>
      </c>
      <c r="V175" s="5">
        <v>190805466.23309401</v>
      </c>
    </row>
    <row r="176" spans="1:22" x14ac:dyDescent="0.45">
      <c r="A176" s="5" t="s">
        <v>167</v>
      </c>
      <c r="B176" s="5">
        <v>599129.30207266903</v>
      </c>
      <c r="C176" s="5">
        <v>445525.18831825297</v>
      </c>
      <c r="D176" s="5">
        <v>625957.79852409195</v>
      </c>
      <c r="E176" s="5">
        <v>523101.89131681802</v>
      </c>
      <c r="F176" s="5">
        <v>417323.34814908402</v>
      </c>
      <c r="G176" s="5">
        <v>603860.79625073902</v>
      </c>
      <c r="H176" s="5">
        <v>640919.49215007597</v>
      </c>
      <c r="I176" s="5">
        <v>632517.11432803306</v>
      </c>
      <c r="J176" s="5">
        <v>500357.76274992601</v>
      </c>
      <c r="K176" s="5">
        <v>649545.61074963596</v>
      </c>
      <c r="L176" s="5">
        <v>445090.18964758201</v>
      </c>
      <c r="M176" s="5">
        <v>384895.13739376899</v>
      </c>
      <c r="N176" s="5">
        <v>731324.14773152303</v>
      </c>
      <c r="O176" s="5">
        <v>546700.79581396806</v>
      </c>
      <c r="P176" s="5">
        <v>586995.64045716706</v>
      </c>
      <c r="Q176" s="5">
        <v>421684.06353716698</v>
      </c>
      <c r="R176" s="5">
        <v>614879.33147478302</v>
      </c>
      <c r="S176" s="5">
        <v>400397.75391821901</v>
      </c>
      <c r="T176" s="5">
        <v>384306.64502244099</v>
      </c>
      <c r="U176" s="5">
        <v>442119.13449286798</v>
      </c>
      <c r="V176" s="5">
        <v>416179.963934328</v>
      </c>
    </row>
    <row r="177" spans="1:22" x14ac:dyDescent="0.45">
      <c r="A177" s="5" t="s">
        <v>280</v>
      </c>
      <c r="B177" s="5">
        <v>16495485.258021301</v>
      </c>
      <c r="C177" s="5">
        <v>11823788.472478</v>
      </c>
      <c r="D177" s="5">
        <v>7503157.5195788601</v>
      </c>
      <c r="E177" s="5">
        <v>4110341.2210146901</v>
      </c>
      <c r="F177" s="5">
        <v>21130300.705812201</v>
      </c>
      <c r="G177" s="5">
        <v>19652509.9329454</v>
      </c>
      <c r="H177" s="5">
        <v>5835091.8253037799</v>
      </c>
      <c r="I177" s="5">
        <v>19550233.279885601</v>
      </c>
      <c r="J177" s="5">
        <v>10746173.102684399</v>
      </c>
      <c r="K177" s="5">
        <v>8543878.0234872699</v>
      </c>
      <c r="L177" s="5">
        <v>18905982.678393099</v>
      </c>
      <c r="M177" s="5">
        <v>15032032.2242433</v>
      </c>
      <c r="N177" s="5">
        <v>3443794.8030437599</v>
      </c>
      <c r="O177" s="5">
        <v>12900234.8520135</v>
      </c>
      <c r="P177" s="5">
        <v>9673756.6034769006</v>
      </c>
      <c r="Q177" s="5">
        <v>10983186.982388699</v>
      </c>
      <c r="R177" s="5">
        <v>12727487.4796257</v>
      </c>
      <c r="S177" s="5">
        <v>23026498.752966601</v>
      </c>
      <c r="T177" s="5">
        <v>20137680.7225978</v>
      </c>
      <c r="U177" s="5">
        <v>12553183.773947001</v>
      </c>
      <c r="V177" s="5">
        <v>20810629.079034202</v>
      </c>
    </row>
    <row r="178" spans="1:22" x14ac:dyDescent="0.45">
      <c r="A178" s="5" t="s">
        <v>279</v>
      </c>
      <c r="B178" s="5">
        <v>848182.61883097095</v>
      </c>
      <c r="C178" s="5">
        <v>769473.76314391405</v>
      </c>
      <c r="D178" s="5">
        <v>489825.02927244402</v>
      </c>
      <c r="E178" s="5">
        <v>188621.13450894499</v>
      </c>
      <c r="F178" s="5">
        <v>3561616.8888481501</v>
      </c>
      <c r="G178" s="5">
        <v>3712729.0650843498</v>
      </c>
      <c r="H178" s="5">
        <v>412263.30545284599</v>
      </c>
      <c r="I178" s="5">
        <v>5347750.9746885402</v>
      </c>
      <c r="J178" s="5">
        <v>2645570.0702383299</v>
      </c>
      <c r="K178" s="5">
        <v>438705.91055294598</v>
      </c>
      <c r="L178" s="5">
        <v>1062024.31406771</v>
      </c>
      <c r="M178" s="5">
        <v>575256.63899153704</v>
      </c>
      <c r="N178" s="5">
        <v>3443794.8030437599</v>
      </c>
      <c r="O178" s="5">
        <v>2554104.5703038601</v>
      </c>
      <c r="P178" s="5">
        <v>668207.77902968996</v>
      </c>
      <c r="Q178" s="5">
        <v>548612.59296182904</v>
      </c>
      <c r="R178" s="5">
        <v>671945.19766085898</v>
      </c>
      <c r="S178" s="5">
        <v>3741924.97300083</v>
      </c>
      <c r="T178" s="5">
        <v>3982457.8925323202</v>
      </c>
      <c r="U178" s="5">
        <v>536152.83692928695</v>
      </c>
      <c r="V178" s="5">
        <v>3943727.3813822102</v>
      </c>
    </row>
    <row r="179" spans="1:22" x14ac:dyDescent="0.45">
      <c r="A179" s="5" t="s">
        <v>281</v>
      </c>
      <c r="B179" s="5">
        <v>1705285.4343594599</v>
      </c>
      <c r="C179" s="5">
        <v>3387954.9097703299</v>
      </c>
      <c r="D179" s="5">
        <v>2084791.1441001</v>
      </c>
      <c r="E179" s="5">
        <v>1678301.6460013399</v>
      </c>
      <c r="F179" s="5">
        <v>1456316.7122374</v>
      </c>
      <c r="G179" s="5">
        <v>2920073.56470535</v>
      </c>
      <c r="H179" s="5">
        <v>5746541.3746272204</v>
      </c>
      <c r="I179" s="5">
        <v>2208210.2279298799</v>
      </c>
      <c r="J179" s="5">
        <v>2162478.7010429199</v>
      </c>
      <c r="K179" s="5">
        <v>3789192.2991855899</v>
      </c>
      <c r="L179" s="5">
        <v>1978792.29114271</v>
      </c>
      <c r="M179" s="5">
        <v>2115942.52078884</v>
      </c>
      <c r="N179" s="5">
        <v>1493778.3894182299</v>
      </c>
      <c r="O179" s="5">
        <v>2490625.6067509302</v>
      </c>
      <c r="P179" s="5">
        <v>1396310.9852254901</v>
      </c>
      <c r="Q179" s="5">
        <v>1666872.7678510901</v>
      </c>
      <c r="R179" s="5">
        <v>4999469.49500388</v>
      </c>
      <c r="S179" s="5">
        <v>1348209.34654052</v>
      </c>
      <c r="T179" s="5">
        <v>1908672.14526422</v>
      </c>
      <c r="U179" s="5">
        <v>1602833.6491328799</v>
      </c>
      <c r="V179" s="5">
        <v>1575103.4680072099</v>
      </c>
    </row>
    <row r="180" spans="1:22" x14ac:dyDescent="0.45">
      <c r="A180" s="5" t="s">
        <v>282</v>
      </c>
      <c r="B180" s="5">
        <v>1282782.80428808</v>
      </c>
      <c r="C180" s="5">
        <v>2748061.7095815102</v>
      </c>
      <c r="D180" s="5">
        <v>2551818.9354011002</v>
      </c>
      <c r="E180" s="5">
        <v>590833.88126134698</v>
      </c>
      <c r="F180" s="5">
        <v>35234347.494868003</v>
      </c>
      <c r="G180" s="5">
        <v>23866593.402005799</v>
      </c>
      <c r="H180" s="5">
        <v>2515587.74678778</v>
      </c>
      <c r="I180" s="5">
        <v>42428904.529536203</v>
      </c>
      <c r="J180" s="5">
        <v>2343992.4860497401</v>
      </c>
      <c r="K180" s="5">
        <v>1285405.32770615</v>
      </c>
      <c r="L180" s="5">
        <v>2376398.0582631198</v>
      </c>
      <c r="M180" s="5">
        <v>857513.31549603899</v>
      </c>
      <c r="N180" s="5">
        <v>577501.21173982206</v>
      </c>
      <c r="O180" s="5">
        <v>29936776.146221399</v>
      </c>
      <c r="P180" s="5">
        <v>1275533.5553866799</v>
      </c>
      <c r="Q180" s="5">
        <v>3680049.8285926101</v>
      </c>
      <c r="R180" s="5">
        <v>2017513.86480966</v>
      </c>
      <c r="S180" s="5">
        <v>35653243.871511899</v>
      </c>
      <c r="T180" s="5">
        <v>30343395.931092702</v>
      </c>
      <c r="U180" s="5">
        <v>1377198.7683311801</v>
      </c>
      <c r="V180" s="5">
        <v>53554318.022791997</v>
      </c>
    </row>
    <row r="181" spans="1:22" x14ac:dyDescent="0.45">
      <c r="A181" s="5" t="s">
        <v>151</v>
      </c>
      <c r="B181" s="5">
        <v>15966095.681325199</v>
      </c>
      <c r="C181" s="5">
        <v>14703698.759105399</v>
      </c>
      <c r="D181" s="5">
        <v>16086578.081091501</v>
      </c>
      <c r="E181" s="5">
        <v>17126241.436561</v>
      </c>
      <c r="F181" s="5">
        <v>11670781.577832799</v>
      </c>
      <c r="G181" s="5">
        <v>15927337.109456399</v>
      </c>
      <c r="H181" s="5">
        <v>18001381.778047901</v>
      </c>
      <c r="I181" s="5">
        <v>16277717.8288661</v>
      </c>
      <c r="J181" s="5">
        <v>12776560.5454721</v>
      </c>
      <c r="K181" s="5">
        <v>15920741.612196</v>
      </c>
      <c r="L181" s="5">
        <v>11955675.8470506</v>
      </c>
      <c r="M181" s="5">
        <v>13962553.150161199</v>
      </c>
      <c r="N181" s="5">
        <v>17673880.798025701</v>
      </c>
      <c r="O181" s="5">
        <v>12531813.1787528</v>
      </c>
      <c r="P181" s="5">
        <v>11229681.1640078</v>
      </c>
      <c r="Q181" s="5">
        <v>12541462.403023601</v>
      </c>
      <c r="R181" s="5">
        <v>15893525.1881912</v>
      </c>
      <c r="S181" s="5">
        <v>12472688.0173494</v>
      </c>
      <c r="T181" s="5">
        <v>11260236.344340101</v>
      </c>
      <c r="U181" s="5">
        <v>9564960.8185183108</v>
      </c>
      <c r="V181" s="5">
        <v>12546292.911481701</v>
      </c>
    </row>
    <row r="182" spans="1:22" x14ac:dyDescent="0.45">
      <c r="A182" s="5" t="s">
        <v>219</v>
      </c>
      <c r="B182" s="5">
        <v>21229884.003840599</v>
      </c>
      <c r="C182" s="5">
        <v>17494500.6205214</v>
      </c>
      <c r="D182" s="5">
        <v>6941365.30909066</v>
      </c>
      <c r="E182" s="5">
        <v>5411626.6279179603</v>
      </c>
      <c r="F182" s="5">
        <v>4467533.9049412804</v>
      </c>
      <c r="G182" s="5">
        <v>1222142.4031485899</v>
      </c>
      <c r="H182" s="5">
        <v>2783595.9522986799</v>
      </c>
      <c r="I182" s="5">
        <v>1593194.06736598</v>
      </c>
      <c r="J182" s="5">
        <v>19735262.476812899</v>
      </c>
      <c r="K182" s="5">
        <v>4631001.8582563903</v>
      </c>
      <c r="L182" s="5">
        <v>7889163.4810055001</v>
      </c>
      <c r="M182" s="5">
        <v>1225706.4226748999</v>
      </c>
      <c r="N182" s="5">
        <v>1894551.8032408201</v>
      </c>
      <c r="O182" s="5">
        <v>2313487.90352639</v>
      </c>
      <c r="P182" s="5">
        <v>6313396.9726382904</v>
      </c>
      <c r="Q182" s="5">
        <v>18450474.405767702</v>
      </c>
      <c r="R182" s="5">
        <v>4959306.5642860997</v>
      </c>
      <c r="S182" s="5">
        <v>5523135.2134554395</v>
      </c>
      <c r="T182" s="5">
        <v>2985837.19912139</v>
      </c>
      <c r="U182" s="5">
        <v>6558238.3081990704</v>
      </c>
      <c r="V182" s="5">
        <v>2965491.8562635402</v>
      </c>
    </row>
    <row r="183" spans="1:22" x14ac:dyDescent="0.45">
      <c r="A183" s="5" t="s">
        <v>152</v>
      </c>
      <c r="B183" s="5">
        <v>596653823.45951402</v>
      </c>
      <c r="C183" s="5">
        <v>701995385.82776296</v>
      </c>
      <c r="D183" s="5">
        <v>463846411.78651202</v>
      </c>
      <c r="E183" s="5">
        <v>400722267.75392598</v>
      </c>
      <c r="F183" s="5">
        <v>410201936.65987498</v>
      </c>
      <c r="G183" s="5">
        <v>377702282.05848497</v>
      </c>
      <c r="H183" s="5">
        <v>702097408.39949405</v>
      </c>
      <c r="I183" s="5">
        <v>290637860.09880102</v>
      </c>
      <c r="J183" s="5">
        <v>504568145.61471099</v>
      </c>
      <c r="K183" s="5">
        <v>580080879.18797302</v>
      </c>
      <c r="L183" s="5">
        <v>514514774.59530401</v>
      </c>
      <c r="M183" s="5">
        <v>359814330.56791598</v>
      </c>
      <c r="N183" s="5">
        <v>920935778.74935603</v>
      </c>
      <c r="O183" s="5">
        <v>386470537.19017798</v>
      </c>
      <c r="P183" s="5">
        <v>413114294.95796198</v>
      </c>
      <c r="Q183" s="5">
        <v>502113621.03520101</v>
      </c>
      <c r="R183" s="5">
        <v>901795887.56556404</v>
      </c>
      <c r="S183" s="5">
        <v>381839969.79501301</v>
      </c>
      <c r="T183" s="5">
        <v>404434612.66376603</v>
      </c>
      <c r="U183" s="5">
        <v>230079403.629742</v>
      </c>
      <c r="V183" s="5">
        <v>356612138.36377001</v>
      </c>
    </row>
    <row r="184" spans="1:22" x14ac:dyDescent="0.45">
      <c r="A184" s="5" t="s">
        <v>141</v>
      </c>
      <c r="B184" s="5">
        <v>165106.21829187599</v>
      </c>
      <c r="C184" s="5">
        <v>754976.85715392104</v>
      </c>
      <c r="D184" s="5">
        <v>33259.618571031497</v>
      </c>
      <c r="E184" s="5">
        <v>39239.104397035902</v>
      </c>
      <c r="F184" s="5">
        <v>76246.749291133703</v>
      </c>
      <c r="G184" s="5">
        <v>2811985.2959044501</v>
      </c>
      <c r="H184" s="5">
        <v>159671.75913631701</v>
      </c>
      <c r="I184" s="5">
        <v>108606.657230888</v>
      </c>
      <c r="J184" s="5">
        <v>31817.2428693289</v>
      </c>
      <c r="K184" s="5">
        <v>116247.192879927</v>
      </c>
      <c r="L184" s="5">
        <v>47416.000986278297</v>
      </c>
      <c r="M184" s="5">
        <v>51006.955792524699</v>
      </c>
      <c r="N184" s="5">
        <v>70645.5548886006</v>
      </c>
      <c r="O184" s="5">
        <v>236329.48881300699</v>
      </c>
      <c r="P184" s="5">
        <v>33203.682933881799</v>
      </c>
      <c r="Q184" s="5">
        <v>1579261.95224001</v>
      </c>
      <c r="R184" s="5">
        <v>163215.882815252</v>
      </c>
      <c r="S184" s="5">
        <v>1522883.17222613</v>
      </c>
      <c r="T184" s="5">
        <v>1382609.4676153499</v>
      </c>
      <c r="U184" s="5">
        <v>38682.636999507798</v>
      </c>
      <c r="V184" s="5">
        <v>147099.37660466199</v>
      </c>
    </row>
    <row r="185" spans="1:22" x14ac:dyDescent="0.45">
      <c r="A185" s="5" t="s">
        <v>106</v>
      </c>
      <c r="B185" s="5">
        <v>679425982.09742796</v>
      </c>
      <c r="C185" s="5">
        <v>504041817.52493</v>
      </c>
      <c r="D185" s="5">
        <v>651889271.921767</v>
      </c>
      <c r="E185" s="5">
        <v>534573457.87388998</v>
      </c>
      <c r="F185" s="5">
        <v>600251020.09050202</v>
      </c>
      <c r="G185" s="5">
        <v>448268198.43485498</v>
      </c>
      <c r="H185" s="5">
        <v>550791432.96494401</v>
      </c>
      <c r="I185" s="5">
        <v>356871991.21333402</v>
      </c>
      <c r="J185" s="5">
        <v>643874909.72609997</v>
      </c>
      <c r="K185" s="5">
        <v>624474397.74976003</v>
      </c>
      <c r="L185" s="5">
        <v>489679945.59352303</v>
      </c>
      <c r="M185" s="5">
        <v>551977726.14505899</v>
      </c>
      <c r="N185" s="5">
        <v>571034170.75028598</v>
      </c>
      <c r="O185" s="5">
        <v>427410053.09708202</v>
      </c>
      <c r="P185" s="5">
        <v>534352988.30942601</v>
      </c>
      <c r="Q185" s="5">
        <v>640756618.93078196</v>
      </c>
      <c r="R185" s="5">
        <v>657504098.32128501</v>
      </c>
      <c r="S185" s="5">
        <v>494376108.44435698</v>
      </c>
      <c r="T185" s="5">
        <v>534373079.35209697</v>
      </c>
      <c r="U185" s="5">
        <v>646718805.13004601</v>
      </c>
      <c r="V185" s="5">
        <v>436837498.62034798</v>
      </c>
    </row>
    <row r="186" spans="1:22" x14ac:dyDescent="0.45">
      <c r="A186" s="5" t="s">
        <v>107</v>
      </c>
      <c r="B186" s="5">
        <v>1137580.0587288099</v>
      </c>
      <c r="C186" s="5">
        <v>1628877.71213445</v>
      </c>
      <c r="D186" s="5">
        <v>86618058.729953095</v>
      </c>
      <c r="E186" s="5">
        <v>1567104.4031754001</v>
      </c>
      <c r="F186" s="5">
        <v>283366.723812218</v>
      </c>
      <c r="G186" s="5">
        <v>2973147.5735485102</v>
      </c>
      <c r="H186" s="5">
        <v>229978.85129293799</v>
      </c>
      <c r="I186" s="5">
        <v>235111.56463643399</v>
      </c>
      <c r="J186" s="5">
        <v>818268.88307643996</v>
      </c>
      <c r="K186" s="5">
        <v>28681584.052381501</v>
      </c>
      <c r="L186" s="5">
        <v>1748908.86143297</v>
      </c>
      <c r="M186" s="5">
        <v>733710.904972338</v>
      </c>
      <c r="N186" s="5">
        <v>143746800.71311799</v>
      </c>
      <c r="O186" s="5">
        <v>1330567.0477710301</v>
      </c>
      <c r="P186" s="5">
        <v>1676210.19271808</v>
      </c>
      <c r="Q186" s="5">
        <v>1380042.59774266</v>
      </c>
      <c r="R186" s="5">
        <v>38256065.221831597</v>
      </c>
      <c r="S186" s="5">
        <v>998260.22251359897</v>
      </c>
      <c r="T186" s="5">
        <v>2529658.17439073</v>
      </c>
      <c r="U186" s="5">
        <v>529172.57664115005</v>
      </c>
      <c r="V186" s="5">
        <v>269934.273832192</v>
      </c>
    </row>
    <row r="187" spans="1:22" x14ac:dyDescent="0.45">
      <c r="A187" s="5" t="s">
        <v>220</v>
      </c>
      <c r="B187" s="5">
        <v>11381067.354959</v>
      </c>
      <c r="C187" s="5">
        <v>11033183.031955799</v>
      </c>
      <c r="D187" s="5">
        <v>7224061.6478271503</v>
      </c>
      <c r="E187" s="5">
        <v>9131167.8471708801</v>
      </c>
      <c r="F187" s="5">
        <v>5950321.5041553499</v>
      </c>
      <c r="G187" s="5">
        <v>5975357.4757580403</v>
      </c>
      <c r="H187" s="5">
        <v>7165066.74672997</v>
      </c>
      <c r="I187" s="5">
        <v>3047888.6544946898</v>
      </c>
      <c r="J187" s="5">
        <v>10821035.2099822</v>
      </c>
      <c r="K187" s="5">
        <v>8659222.8961731605</v>
      </c>
      <c r="L187" s="5">
        <v>9793722.0867518205</v>
      </c>
      <c r="M187" s="5">
        <v>10081541.9867782</v>
      </c>
      <c r="N187" s="5">
        <v>9918071.1568509396</v>
      </c>
      <c r="O187" s="5">
        <v>5081820.6348888101</v>
      </c>
      <c r="P187" s="5">
        <v>9194084.6948375404</v>
      </c>
      <c r="Q187" s="5">
        <v>7888658.9174887799</v>
      </c>
      <c r="R187" s="5">
        <v>6051477.4282878302</v>
      </c>
      <c r="S187" s="5">
        <v>7467324.99577762</v>
      </c>
      <c r="T187" s="5">
        <v>4651090.6794912601</v>
      </c>
      <c r="U187" s="5">
        <v>6661907.7536846101</v>
      </c>
      <c r="V187" s="5">
        <v>4766340.4937455496</v>
      </c>
    </row>
    <row r="188" spans="1:22" x14ac:dyDescent="0.45">
      <c r="A188" s="5" t="s">
        <v>221</v>
      </c>
      <c r="B188" s="5">
        <v>2952231.2739377199</v>
      </c>
      <c r="C188" s="5">
        <v>2557260.7260742602</v>
      </c>
      <c r="D188" s="5">
        <v>2252524.25327776</v>
      </c>
      <c r="E188" s="5">
        <v>2463770.25056651</v>
      </c>
      <c r="F188" s="5">
        <v>3098236.2388451998</v>
      </c>
      <c r="G188" s="5">
        <v>3215752.4134178502</v>
      </c>
      <c r="H188" s="5">
        <v>2710428.5769768902</v>
      </c>
      <c r="I188" s="5">
        <v>3697399.8809776301</v>
      </c>
      <c r="J188" s="5">
        <v>2390971.1482998799</v>
      </c>
      <c r="K188" s="5">
        <v>2428760.3996653701</v>
      </c>
      <c r="L188" s="5">
        <v>4857972.1585423704</v>
      </c>
      <c r="M188" s="5">
        <v>3339530.6948064798</v>
      </c>
      <c r="N188" s="5">
        <v>2669048.8728171</v>
      </c>
      <c r="O188" s="5">
        <v>3509124.03623561</v>
      </c>
      <c r="P188" s="5">
        <v>3047985.6800227799</v>
      </c>
      <c r="Q188" s="5">
        <v>3651269.6287447698</v>
      </c>
      <c r="R188" s="5">
        <v>2708516.02497544</v>
      </c>
      <c r="S188" s="5">
        <v>3029176.98695692</v>
      </c>
      <c r="T188" s="5">
        <v>3631179.6942676902</v>
      </c>
      <c r="U188" s="5">
        <v>2940184.6414370402</v>
      </c>
      <c r="V188" s="5">
        <v>3407825.0109143499</v>
      </c>
    </row>
    <row r="189" spans="1:22" x14ac:dyDescent="0.45">
      <c r="A189" s="5" t="s">
        <v>163</v>
      </c>
      <c r="B189" s="5">
        <v>11195065.5345394</v>
      </c>
      <c r="C189" s="5">
        <v>10943220.827820901</v>
      </c>
      <c r="D189" s="5">
        <v>9711903.47974368</v>
      </c>
      <c r="E189" s="5">
        <v>10126152.6063614</v>
      </c>
      <c r="F189" s="5">
        <v>9076231.7821778804</v>
      </c>
      <c r="G189" s="5">
        <v>10220195.3252248</v>
      </c>
      <c r="H189" s="5">
        <v>10792076.529445199</v>
      </c>
      <c r="I189" s="5">
        <v>19336305.941470899</v>
      </c>
      <c r="J189" s="5">
        <v>10596410.955585999</v>
      </c>
      <c r="K189" s="5">
        <v>10001884.782348599</v>
      </c>
      <c r="L189" s="5">
        <v>9889185.4639236704</v>
      </c>
      <c r="M189" s="5">
        <v>10313304.311106101</v>
      </c>
      <c r="N189" s="5">
        <v>10276418.881743001</v>
      </c>
      <c r="O189" s="5">
        <v>16000269.784488499</v>
      </c>
      <c r="P189" s="5">
        <v>11348927.3505316</v>
      </c>
      <c r="Q189" s="5">
        <v>9917188.1295177191</v>
      </c>
      <c r="R189" s="5">
        <v>9346597.1032935493</v>
      </c>
      <c r="S189" s="5">
        <v>9469473.5842496492</v>
      </c>
      <c r="T189" s="5">
        <v>12824546.5860488</v>
      </c>
      <c r="U189" s="5">
        <v>8284078.7526123002</v>
      </c>
      <c r="V189" s="5">
        <v>11431974.093123401</v>
      </c>
    </row>
    <row r="190" spans="1:22" x14ac:dyDescent="0.45">
      <c r="A190" s="5" t="s">
        <v>108</v>
      </c>
      <c r="B190" s="5">
        <v>2506875.3155467799</v>
      </c>
      <c r="C190" s="5">
        <v>1757568.2254439399</v>
      </c>
      <c r="D190" s="5">
        <v>2272463.35521399</v>
      </c>
      <c r="E190" s="5">
        <v>1717592.8771488999</v>
      </c>
      <c r="F190" s="5">
        <v>1323103.41393136</v>
      </c>
      <c r="G190" s="5">
        <v>2159170.6060834001</v>
      </c>
      <c r="H190" s="5">
        <v>1983318.45911921</v>
      </c>
      <c r="I190" s="5">
        <v>1429461.54775482</v>
      </c>
      <c r="J190" s="5">
        <v>1771078.0426741501</v>
      </c>
      <c r="K190" s="5">
        <v>2455443.1088982802</v>
      </c>
      <c r="L190" s="5">
        <v>1449579.68135699</v>
      </c>
      <c r="M190" s="5">
        <v>2903699.2791613801</v>
      </c>
      <c r="N190" s="5">
        <v>2052372.60199528</v>
      </c>
      <c r="O190" s="5">
        <v>1770652.1235447801</v>
      </c>
      <c r="P190" s="5">
        <v>1923200.3493065301</v>
      </c>
      <c r="Q190" s="5">
        <v>1524326.5751654899</v>
      </c>
      <c r="R190" s="5">
        <v>3023062.37784694</v>
      </c>
      <c r="S190" s="5">
        <v>1042069.64783883</v>
      </c>
      <c r="T190" s="5">
        <v>1038910.99995626</v>
      </c>
      <c r="U190" s="5">
        <v>1805750.7301586999</v>
      </c>
      <c r="V190" s="5">
        <v>1282576.7249548</v>
      </c>
    </row>
    <row r="191" spans="1:22" x14ac:dyDescent="0.45">
      <c r="A191" s="5" t="s">
        <v>109</v>
      </c>
      <c r="B191" s="5">
        <v>2421896.2949425401</v>
      </c>
      <c r="C191" s="5">
        <v>1718046.9256913899</v>
      </c>
      <c r="D191" s="5">
        <v>2034697.2150222301</v>
      </c>
      <c r="E191" s="5">
        <v>1894851.25403325</v>
      </c>
      <c r="F191" s="5">
        <v>993009.59320717095</v>
      </c>
      <c r="G191" s="5">
        <v>1275858.29636354</v>
      </c>
      <c r="H191" s="5">
        <v>1244547.27254732</v>
      </c>
      <c r="I191" s="5">
        <v>654435.74112667504</v>
      </c>
      <c r="J191" s="5">
        <v>2215237.79991072</v>
      </c>
      <c r="K191" s="5">
        <v>2920492.3684112299</v>
      </c>
      <c r="L191" s="5">
        <v>2078361.74396708</v>
      </c>
      <c r="M191" s="5">
        <v>2051802.5016323801</v>
      </c>
      <c r="N191" s="5">
        <v>2344424.1279440499</v>
      </c>
      <c r="O191" s="5">
        <v>881160.98310080799</v>
      </c>
      <c r="P191" s="5">
        <v>1569856.1670174401</v>
      </c>
      <c r="Q191" s="5">
        <v>1258493.66833094</v>
      </c>
      <c r="R191" s="5">
        <v>3276977.9638392101</v>
      </c>
      <c r="S191" s="5">
        <v>942582.14022623503</v>
      </c>
      <c r="T191" s="5">
        <v>1252137.6527549699</v>
      </c>
      <c r="U191" s="5">
        <v>6015208.7231189404</v>
      </c>
      <c r="V191" s="5">
        <v>748622.54825542297</v>
      </c>
    </row>
    <row r="192" spans="1:22" x14ac:dyDescent="0.45">
      <c r="A192" s="5" t="s">
        <v>110</v>
      </c>
      <c r="B192" s="5">
        <v>344875894.07349002</v>
      </c>
      <c r="C192" s="5">
        <v>345018684.87113798</v>
      </c>
      <c r="D192" s="5">
        <v>333984372.43207002</v>
      </c>
      <c r="E192" s="5">
        <v>403032846.67531401</v>
      </c>
      <c r="F192" s="5">
        <v>153189355.55290499</v>
      </c>
      <c r="G192" s="5">
        <v>164720281.02158099</v>
      </c>
      <c r="H192" s="5">
        <v>359488190.92567098</v>
      </c>
      <c r="I192" s="5">
        <v>137341671.17166501</v>
      </c>
      <c r="J192" s="5">
        <v>338644590.55723202</v>
      </c>
      <c r="K192" s="5">
        <v>374561216.09281498</v>
      </c>
      <c r="L192" s="5">
        <v>304268970.42536497</v>
      </c>
      <c r="M192" s="5">
        <v>329776557.674182</v>
      </c>
      <c r="N192" s="5">
        <v>368035810.95529801</v>
      </c>
      <c r="O192" s="5">
        <v>171262640.88860101</v>
      </c>
      <c r="P192" s="5">
        <v>282844447.63034302</v>
      </c>
      <c r="Q192" s="5">
        <v>290477213.610349</v>
      </c>
      <c r="R192" s="5">
        <v>353751165.08918399</v>
      </c>
      <c r="S192" s="5">
        <v>181215699.02836499</v>
      </c>
      <c r="T192" s="5">
        <v>128275322.64100599</v>
      </c>
      <c r="U192" s="5">
        <v>243761921.56711701</v>
      </c>
      <c r="V192" s="5">
        <v>202822373.713911</v>
      </c>
    </row>
    <row r="193" spans="1:22" x14ac:dyDescent="0.45">
      <c r="A193" s="5" t="s">
        <v>111</v>
      </c>
      <c r="B193" s="5">
        <v>120737891.97080401</v>
      </c>
      <c r="C193" s="5">
        <v>126612232.491394</v>
      </c>
      <c r="D193" s="5">
        <v>85854767.192650303</v>
      </c>
      <c r="E193" s="5">
        <v>75503519.138659403</v>
      </c>
      <c r="F193" s="5">
        <v>90739364.669414699</v>
      </c>
      <c r="G193" s="5">
        <v>81274091.073591605</v>
      </c>
      <c r="H193" s="5">
        <v>175351392.969428</v>
      </c>
      <c r="I193" s="5">
        <v>51575449.622960798</v>
      </c>
      <c r="J193" s="5">
        <v>74457550.252174407</v>
      </c>
      <c r="K193" s="5">
        <v>114067917.92987999</v>
      </c>
      <c r="L193" s="5">
        <v>64309121.980518997</v>
      </c>
      <c r="M193" s="5">
        <v>69354278.227053195</v>
      </c>
      <c r="N193" s="5">
        <v>99177513.456816807</v>
      </c>
      <c r="O193" s="5">
        <v>52629275.7610102</v>
      </c>
      <c r="P193" s="5">
        <v>50628170.307077602</v>
      </c>
      <c r="Q193" s="5">
        <v>68308119.192688793</v>
      </c>
      <c r="R193" s="5">
        <v>139608889.90803301</v>
      </c>
      <c r="S193" s="5">
        <v>79084026.928838506</v>
      </c>
      <c r="T193" s="5">
        <v>77760585.015671402</v>
      </c>
      <c r="U193" s="5">
        <v>45882952.6465545</v>
      </c>
      <c r="V193" s="5">
        <v>53172597.894793801</v>
      </c>
    </row>
    <row r="194" spans="1:22" x14ac:dyDescent="0.45">
      <c r="A194" s="5" t="s">
        <v>112</v>
      </c>
      <c r="B194" s="5">
        <v>760264.39946933906</v>
      </c>
      <c r="C194" s="5">
        <v>528029.38721852005</v>
      </c>
      <c r="D194" s="5">
        <v>4712839.5654521501</v>
      </c>
      <c r="E194" s="5">
        <v>5063379.1443288997</v>
      </c>
      <c r="F194" s="5">
        <v>897704.23481509998</v>
      </c>
      <c r="G194" s="5">
        <v>132917.82838501901</v>
      </c>
      <c r="H194" s="5">
        <v>4945431.11876971</v>
      </c>
      <c r="I194" s="5">
        <v>1028410.54633039</v>
      </c>
      <c r="J194" s="5">
        <v>12079372.255744999</v>
      </c>
      <c r="K194" s="5">
        <v>5758441.8016017498</v>
      </c>
      <c r="L194" s="5">
        <v>2101450.89962989</v>
      </c>
      <c r="M194" s="5">
        <v>3929305.0780649199</v>
      </c>
      <c r="N194" s="5">
        <v>9853518.4827728402</v>
      </c>
      <c r="O194" s="5">
        <v>5383591.0997514501</v>
      </c>
      <c r="P194" s="5">
        <v>4878771.3079374796</v>
      </c>
      <c r="Q194" s="5">
        <v>186131.00667664601</v>
      </c>
      <c r="R194" s="5">
        <v>2688717.0256252498</v>
      </c>
      <c r="S194" s="5">
        <v>50493.896064292501</v>
      </c>
      <c r="T194" s="5">
        <v>1220629.81509243</v>
      </c>
      <c r="U194" s="5">
        <v>5647396.6615953799</v>
      </c>
      <c r="V194" s="5">
        <v>1990786.0198349</v>
      </c>
    </row>
    <row r="195" spans="1:22" x14ac:dyDescent="0.45">
      <c r="A195" s="5" t="s">
        <v>153</v>
      </c>
      <c r="B195" s="5">
        <v>120157576.744047</v>
      </c>
      <c r="C195" s="5">
        <v>119263116.295158</v>
      </c>
      <c r="D195" s="5">
        <v>115502659.80570599</v>
      </c>
      <c r="E195" s="5">
        <v>137885213.52073699</v>
      </c>
      <c r="F195" s="5">
        <v>52733644.898921803</v>
      </c>
      <c r="G195" s="5">
        <v>55359020.333698802</v>
      </c>
      <c r="H195" s="5">
        <v>121509985.712084</v>
      </c>
      <c r="I195" s="5">
        <v>42321916.199452199</v>
      </c>
      <c r="J195" s="5">
        <v>109021978.672571</v>
      </c>
      <c r="K195" s="5">
        <v>119334007.743743</v>
      </c>
      <c r="L195" s="5">
        <v>100528946.722206</v>
      </c>
      <c r="M195" s="5">
        <v>106207565.47249</v>
      </c>
      <c r="N195" s="5">
        <v>121167001.577638</v>
      </c>
      <c r="O195" s="5">
        <v>56006602.938992701</v>
      </c>
      <c r="P195" s="5">
        <v>92597139.114111498</v>
      </c>
      <c r="Q195" s="5">
        <v>92039002.521173403</v>
      </c>
      <c r="R195" s="5">
        <v>114385107.07939699</v>
      </c>
      <c r="S195" s="5">
        <v>58408691.051850401</v>
      </c>
      <c r="T195" s="5">
        <v>40020028.877116099</v>
      </c>
      <c r="U195" s="5">
        <v>75769819.063060895</v>
      </c>
      <c r="V195" s="5">
        <v>65077747.447695598</v>
      </c>
    </row>
    <row r="196" spans="1:22" x14ac:dyDescent="0.45">
      <c r="A196" s="5" t="s">
        <v>113</v>
      </c>
      <c r="B196" s="5">
        <v>6426089.4949807199</v>
      </c>
      <c r="C196" s="5">
        <v>3013772.0675570299</v>
      </c>
      <c r="D196" s="5">
        <v>3055628.4742707498</v>
      </c>
      <c r="E196" s="5">
        <v>3095166.0854028999</v>
      </c>
      <c r="F196" s="5">
        <v>2575856.1848696098</v>
      </c>
      <c r="G196" s="5">
        <v>2365957.89685742</v>
      </c>
      <c r="H196" s="5">
        <v>3386531.3087285501</v>
      </c>
      <c r="I196" s="5">
        <v>2656687.1143638999</v>
      </c>
      <c r="J196" s="5">
        <v>2659449.3204010301</v>
      </c>
      <c r="K196" s="5">
        <v>4314009.4040352898</v>
      </c>
      <c r="L196" s="5">
        <v>3959578.5184557</v>
      </c>
      <c r="M196" s="5">
        <v>3079763.7214808501</v>
      </c>
      <c r="N196" s="5">
        <v>2897699.3437957899</v>
      </c>
      <c r="O196" s="5">
        <v>2509706.5050692698</v>
      </c>
      <c r="P196" s="5">
        <v>2097590.1321599302</v>
      </c>
      <c r="Q196" s="5">
        <v>2861668.6811425802</v>
      </c>
      <c r="R196" s="5">
        <v>3477756.47685462</v>
      </c>
      <c r="S196" s="5">
        <v>2510525.8512089602</v>
      </c>
      <c r="T196" s="5">
        <v>2378034.5848999401</v>
      </c>
      <c r="U196" s="5">
        <v>6077716.5737934196</v>
      </c>
      <c r="V196" s="5">
        <v>2452608.8332174099</v>
      </c>
    </row>
    <row r="197" spans="1:22" x14ac:dyDescent="0.45">
      <c r="A197" s="5" t="s">
        <v>164</v>
      </c>
      <c r="B197" s="5">
        <v>78993673.095376506</v>
      </c>
      <c r="C197" s="5">
        <v>76677230.301937893</v>
      </c>
      <c r="D197" s="5">
        <v>83527527.927723601</v>
      </c>
      <c r="E197" s="5">
        <v>88936353.063397303</v>
      </c>
      <c r="F197" s="5">
        <v>40828645.688396603</v>
      </c>
      <c r="G197" s="5">
        <v>50896217.2158866</v>
      </c>
      <c r="H197" s="5">
        <v>78316408.853836</v>
      </c>
      <c r="I197" s="5">
        <v>45367849.713527702</v>
      </c>
      <c r="J197" s="5">
        <v>79279954.962174505</v>
      </c>
      <c r="K197" s="5">
        <v>90358199.205562606</v>
      </c>
      <c r="L197" s="5">
        <v>59596454.188245103</v>
      </c>
      <c r="M197" s="5">
        <v>58711088.764398798</v>
      </c>
      <c r="N197" s="5">
        <v>82421494.582187697</v>
      </c>
      <c r="O197" s="5">
        <v>48769797.107697897</v>
      </c>
      <c r="P197" s="5">
        <v>65467664.070359901</v>
      </c>
      <c r="Q197" s="5">
        <v>47109940.799685501</v>
      </c>
      <c r="R197" s="5">
        <v>92958778.176270097</v>
      </c>
      <c r="S197" s="5">
        <v>36201489.4282673</v>
      </c>
      <c r="T197" s="5">
        <v>39539898.135522</v>
      </c>
      <c r="U197" s="5">
        <v>74296463.979290307</v>
      </c>
      <c r="V197" s="5">
        <v>53403345.164208703</v>
      </c>
    </row>
    <row r="198" spans="1:22" x14ac:dyDescent="0.45">
      <c r="A198" s="5" t="s">
        <v>266</v>
      </c>
      <c r="B198" s="5">
        <v>27786.276273020001</v>
      </c>
      <c r="C198" s="5">
        <v>35098.758417413097</v>
      </c>
      <c r="D198" s="5">
        <v>32241.0776238572</v>
      </c>
      <c r="E198" s="5">
        <v>11530.373119032</v>
      </c>
      <c r="F198" s="5">
        <v>746039.91511882795</v>
      </c>
      <c r="G198" s="5">
        <v>1083990.8598674899</v>
      </c>
      <c r="H198" s="5">
        <v>37267.308117441797</v>
      </c>
      <c r="I198" s="5">
        <v>1271236.59948473</v>
      </c>
      <c r="J198" s="5">
        <v>10653.9201917754</v>
      </c>
      <c r="K198" s="5">
        <v>23034.363963549698</v>
      </c>
      <c r="L198" s="5">
        <v>110657.411510291</v>
      </c>
      <c r="M198" s="5">
        <v>11538.359676191199</v>
      </c>
      <c r="N198" s="5">
        <v>12151.780219308201</v>
      </c>
      <c r="O198" s="5">
        <v>986170.14557643002</v>
      </c>
      <c r="P198" s="5">
        <v>12154.4930553537</v>
      </c>
      <c r="Q198" s="5">
        <v>135788.81462759501</v>
      </c>
      <c r="R198" s="5">
        <v>50723.233673258597</v>
      </c>
      <c r="S198" s="5">
        <v>1276392.31758671</v>
      </c>
      <c r="T198" s="5">
        <v>1199105.44951525</v>
      </c>
      <c r="U198" s="5">
        <v>37843.583518828404</v>
      </c>
      <c r="V198" s="5">
        <v>847012.24457230896</v>
      </c>
    </row>
    <row r="199" spans="1:22" x14ac:dyDescent="0.45">
      <c r="A199" s="5" t="s">
        <v>267</v>
      </c>
      <c r="B199" s="5">
        <v>176190.30451172299</v>
      </c>
      <c r="C199" s="5">
        <v>101311.20630356199</v>
      </c>
      <c r="D199" s="5">
        <v>141920.620406203</v>
      </c>
      <c r="E199" s="5">
        <v>91567.472502856996</v>
      </c>
      <c r="F199" s="5">
        <v>940131.68523500103</v>
      </c>
      <c r="G199" s="5">
        <v>1546695.7965595101</v>
      </c>
      <c r="H199" s="5">
        <v>132583.719787145</v>
      </c>
      <c r="I199" s="5">
        <v>2260691.99247916</v>
      </c>
      <c r="J199" s="5">
        <v>93847.919628276301</v>
      </c>
      <c r="K199" s="5">
        <v>91944.066570005394</v>
      </c>
      <c r="L199" s="5">
        <v>250068.94315724101</v>
      </c>
      <c r="M199" s="5">
        <v>114833.344349169</v>
      </c>
      <c r="N199" s="5">
        <v>112413.626204164</v>
      </c>
      <c r="O199" s="5">
        <v>1505188.2918692401</v>
      </c>
      <c r="P199" s="5">
        <v>150920.72321933199</v>
      </c>
      <c r="Q199" s="5">
        <v>360939.79829293001</v>
      </c>
      <c r="R199" s="5">
        <v>191740.02135093999</v>
      </c>
      <c r="S199" s="5">
        <v>1043708.14471914</v>
      </c>
      <c r="T199" s="5">
        <v>1588938.50901521</v>
      </c>
      <c r="U199" s="5">
        <v>116877.067223808</v>
      </c>
      <c r="V199" s="5">
        <v>853591.86571413698</v>
      </c>
    </row>
    <row r="200" spans="1:22" x14ac:dyDescent="0.45">
      <c r="A200" s="5" t="s">
        <v>114</v>
      </c>
      <c r="B200" s="5">
        <v>33886808.874857903</v>
      </c>
      <c r="C200" s="5">
        <v>54900386.043422699</v>
      </c>
      <c r="D200" s="5">
        <v>55194880.638124198</v>
      </c>
      <c r="E200" s="5">
        <v>41758128.429467</v>
      </c>
      <c r="F200" s="5">
        <v>28871199.533607099</v>
      </c>
      <c r="G200" s="5">
        <v>24889459.5040082</v>
      </c>
      <c r="H200" s="5">
        <v>41754355.7116661</v>
      </c>
      <c r="I200" s="5">
        <v>28770274.814324901</v>
      </c>
      <c r="J200" s="5">
        <v>78749937.619570807</v>
      </c>
      <c r="K200" s="5">
        <v>66595255.568577297</v>
      </c>
      <c r="L200" s="5">
        <v>48130775.946182601</v>
      </c>
      <c r="M200" s="5">
        <v>41188677.426991098</v>
      </c>
      <c r="N200" s="5">
        <v>44183409.7909723</v>
      </c>
      <c r="O200" s="5">
        <v>23277370.184808802</v>
      </c>
      <c r="P200" s="5">
        <v>26999881.189797699</v>
      </c>
      <c r="Q200" s="5">
        <v>40964705.646025799</v>
      </c>
      <c r="R200" s="5">
        <v>36698654.714452498</v>
      </c>
      <c r="S200" s="5">
        <v>28190487.023901999</v>
      </c>
      <c r="T200" s="5">
        <v>21055619.8750281</v>
      </c>
      <c r="U200" s="5">
        <v>56225588.171006702</v>
      </c>
      <c r="V200" s="5">
        <v>19632455.8116979</v>
      </c>
    </row>
    <row r="201" spans="1:22" x14ac:dyDescent="0.45">
      <c r="A201" s="5" t="s">
        <v>115</v>
      </c>
      <c r="B201" s="5">
        <v>100450900.62871499</v>
      </c>
      <c r="C201" s="5">
        <v>81869047.367983505</v>
      </c>
      <c r="D201" s="5">
        <v>70164715.221581504</v>
      </c>
      <c r="E201" s="5">
        <v>79248667.050880596</v>
      </c>
      <c r="F201" s="5">
        <v>56519043.239446402</v>
      </c>
      <c r="G201" s="5">
        <v>54215815.429069601</v>
      </c>
      <c r="H201" s="5">
        <v>84175942.552458003</v>
      </c>
      <c r="I201" s="5">
        <v>51415707.129733197</v>
      </c>
      <c r="J201" s="5">
        <v>82339235.721801698</v>
      </c>
      <c r="K201" s="5">
        <v>87278771.252392396</v>
      </c>
      <c r="L201" s="5">
        <v>76047435.598638907</v>
      </c>
      <c r="M201" s="5">
        <v>75320677.001951799</v>
      </c>
      <c r="N201" s="5">
        <v>88900583.202732205</v>
      </c>
      <c r="O201" s="5">
        <v>63178972.660254598</v>
      </c>
      <c r="P201" s="5">
        <v>83851936.859017596</v>
      </c>
      <c r="Q201" s="5">
        <v>75611113.683093697</v>
      </c>
      <c r="R201" s="5">
        <v>92538065.362923801</v>
      </c>
      <c r="S201" s="5">
        <v>54956907.090848297</v>
      </c>
      <c r="T201" s="5">
        <v>59232967.876925699</v>
      </c>
      <c r="U201" s="5">
        <v>68433715.713200897</v>
      </c>
      <c r="V201" s="5">
        <v>43227783.110673703</v>
      </c>
    </row>
    <row r="202" spans="1:22" x14ac:dyDescent="0.45">
      <c r="A202" s="5" t="s">
        <v>268</v>
      </c>
      <c r="B202" s="5">
        <v>277014053.48723</v>
      </c>
      <c r="C202" s="5">
        <v>324889117.158795</v>
      </c>
      <c r="D202" s="5">
        <v>231119148.183934</v>
      </c>
      <c r="E202" s="5">
        <v>225645455.22149101</v>
      </c>
      <c r="F202" s="5">
        <v>138152560.96169999</v>
      </c>
      <c r="G202" s="5">
        <v>79266247.940013006</v>
      </c>
      <c r="H202" s="5">
        <v>207926829.01784599</v>
      </c>
      <c r="I202" s="5">
        <v>121687714.59779701</v>
      </c>
      <c r="J202" s="5">
        <v>296471998.840626</v>
      </c>
      <c r="K202" s="5">
        <v>226148874.91685399</v>
      </c>
      <c r="L202" s="5">
        <v>316875680.171166</v>
      </c>
      <c r="M202" s="5">
        <v>311319391.261531</v>
      </c>
      <c r="N202" s="5">
        <v>282549498.23330599</v>
      </c>
      <c r="O202" s="5">
        <v>142449357.14805499</v>
      </c>
      <c r="P202" s="5">
        <v>242925294.509556</v>
      </c>
      <c r="Q202" s="5">
        <v>246696816.171682</v>
      </c>
      <c r="R202" s="5">
        <v>161744945.35832301</v>
      </c>
      <c r="S202" s="5">
        <v>169053978.83387399</v>
      </c>
      <c r="T202" s="5">
        <v>137431034.27394599</v>
      </c>
      <c r="U202" s="5">
        <v>269634414.26409</v>
      </c>
      <c r="V202" s="5">
        <v>129398363.22808801</v>
      </c>
    </row>
    <row r="203" spans="1:22" x14ac:dyDescent="0.45">
      <c r="A203" s="5" t="s">
        <v>142</v>
      </c>
      <c r="B203" s="5">
        <v>24301051.703805599</v>
      </c>
      <c r="C203" s="5">
        <v>42857035.637347899</v>
      </c>
      <c r="D203" s="5">
        <v>31165082.226466399</v>
      </c>
      <c r="E203" s="5">
        <v>27656917.923570901</v>
      </c>
      <c r="F203" s="5">
        <v>22347781.349414401</v>
      </c>
      <c r="G203" s="5">
        <v>17154900.283467699</v>
      </c>
      <c r="H203" s="5">
        <v>24680632.414361801</v>
      </c>
      <c r="I203" s="5">
        <v>25302240.458469901</v>
      </c>
      <c r="J203" s="5">
        <v>42580213.887617998</v>
      </c>
      <c r="K203" s="5">
        <v>24686746.325345699</v>
      </c>
      <c r="L203" s="5">
        <v>24384862.732374899</v>
      </c>
      <c r="M203" s="5">
        <v>20690409.8156542</v>
      </c>
      <c r="N203" s="5">
        <v>21485695.028956398</v>
      </c>
      <c r="O203" s="5">
        <v>17371995.5258375</v>
      </c>
      <c r="P203" s="5">
        <v>14570950.473137001</v>
      </c>
      <c r="Q203" s="5">
        <v>19953239.409718499</v>
      </c>
      <c r="R203" s="5">
        <v>14235014.4667932</v>
      </c>
      <c r="S203" s="5">
        <v>24201599.943581302</v>
      </c>
      <c r="T203" s="5">
        <v>16161639.140568599</v>
      </c>
      <c r="U203" s="5">
        <v>28036983.802674901</v>
      </c>
      <c r="V203" s="5">
        <v>18880094.0634549</v>
      </c>
    </row>
    <row r="204" spans="1:22" x14ac:dyDescent="0.45">
      <c r="A204" s="5" t="s">
        <v>222</v>
      </c>
      <c r="B204" s="5">
        <v>29987.771703972499</v>
      </c>
      <c r="C204" s="5">
        <v>194500.18467935501</v>
      </c>
      <c r="D204" s="5">
        <v>420131.49443616503</v>
      </c>
      <c r="E204" s="5">
        <v>13650.2436152879</v>
      </c>
      <c r="F204" s="5">
        <v>360213.15292836103</v>
      </c>
      <c r="G204" s="5">
        <v>539040.16026545805</v>
      </c>
      <c r="H204" s="5">
        <v>394069.53927099501</v>
      </c>
      <c r="I204" s="5">
        <v>159370.89561213399</v>
      </c>
      <c r="J204" s="5">
        <v>302582.73802991601</v>
      </c>
      <c r="K204" s="5">
        <v>228050.38650528199</v>
      </c>
      <c r="L204" s="5">
        <v>506655.98228181602</v>
      </c>
      <c r="M204" s="5">
        <v>21238.790413652099</v>
      </c>
      <c r="N204" s="5">
        <v>60094.296520572701</v>
      </c>
      <c r="O204" s="5">
        <v>346012.78674358601</v>
      </c>
      <c r="P204" s="5">
        <v>354326.48446161603</v>
      </c>
      <c r="Q204" s="5">
        <v>404655.25149165001</v>
      </c>
      <c r="R204" s="5">
        <v>118361.926285115</v>
      </c>
      <c r="S204" s="5">
        <v>347695.74744122202</v>
      </c>
      <c r="T204" s="5">
        <v>453486.02006920398</v>
      </c>
      <c r="U204" s="5">
        <v>92079.753657474794</v>
      </c>
      <c r="V204" s="5">
        <v>324964.68711065402</v>
      </c>
    </row>
    <row r="205" spans="1:22" x14ac:dyDescent="0.45">
      <c r="A205" s="5" t="s">
        <v>269</v>
      </c>
      <c r="B205" s="5">
        <v>370261.72286328702</v>
      </c>
      <c r="C205" s="5">
        <v>297195.79616821499</v>
      </c>
      <c r="D205" s="5">
        <v>401813.49671886099</v>
      </c>
      <c r="E205" s="5">
        <v>495025.64983915602</v>
      </c>
      <c r="F205" s="5">
        <v>4623645.4295757497</v>
      </c>
      <c r="G205" s="5">
        <v>8136592.8158801999</v>
      </c>
      <c r="H205" s="5">
        <v>379959.14467995998</v>
      </c>
      <c r="I205" s="5">
        <v>11498220.624861799</v>
      </c>
      <c r="J205" s="5">
        <v>401457.74577582598</v>
      </c>
      <c r="K205" s="5">
        <v>399467.13275054598</v>
      </c>
      <c r="L205" s="5">
        <v>688504.05316236895</v>
      </c>
      <c r="M205" s="5">
        <v>485374.87254670402</v>
      </c>
      <c r="N205" s="5">
        <v>269158.49449520197</v>
      </c>
      <c r="O205" s="5">
        <v>8018671.6064043399</v>
      </c>
      <c r="P205" s="5">
        <v>437797.280269838</v>
      </c>
      <c r="Q205" s="5">
        <v>630545.383811826</v>
      </c>
      <c r="R205" s="5">
        <v>275175.51901249302</v>
      </c>
      <c r="S205" s="5">
        <v>4830178.70123115</v>
      </c>
      <c r="T205" s="5">
        <v>7407006.3486313</v>
      </c>
      <c r="U205" s="5">
        <v>510541.35474939301</v>
      </c>
      <c r="V205" s="5">
        <v>6316053.3361952901</v>
      </c>
    </row>
    <row r="206" spans="1:22" x14ac:dyDescent="0.45">
      <c r="A206" s="5" t="s">
        <v>223</v>
      </c>
      <c r="B206" s="5">
        <v>140693412.906582</v>
      </c>
      <c r="C206" s="5">
        <v>130841086.483859</v>
      </c>
      <c r="D206" s="5">
        <v>149733183.49138701</v>
      </c>
      <c r="E206" s="5">
        <v>184838301.96583799</v>
      </c>
      <c r="F206" s="5">
        <v>329678939.959701</v>
      </c>
      <c r="G206" s="5">
        <v>327123833.36113</v>
      </c>
      <c r="H206" s="5">
        <v>170391659.01890501</v>
      </c>
      <c r="I206" s="5">
        <v>238398015.899046</v>
      </c>
      <c r="J206" s="5">
        <v>177083246.261305</v>
      </c>
      <c r="K206" s="5">
        <v>182422894.26957899</v>
      </c>
      <c r="L206" s="5">
        <v>496847288.62042803</v>
      </c>
      <c r="M206" s="5">
        <v>201399802.256522</v>
      </c>
      <c r="N206" s="5">
        <v>167195986.38227701</v>
      </c>
      <c r="O206" s="5">
        <v>229801261.31079501</v>
      </c>
      <c r="P206" s="5">
        <v>162674838.45105001</v>
      </c>
      <c r="Q206" s="5">
        <v>174613322.231895</v>
      </c>
      <c r="R206" s="5">
        <v>177637687.02316099</v>
      </c>
      <c r="S206" s="5">
        <v>181940197.49959099</v>
      </c>
      <c r="T206" s="5">
        <v>237225287.124401</v>
      </c>
      <c r="U206" s="5">
        <v>418053256.13014501</v>
      </c>
      <c r="V206" s="5">
        <v>214646624.196062</v>
      </c>
    </row>
    <row r="207" spans="1:22" x14ac:dyDescent="0.45">
      <c r="A207" s="5" t="s">
        <v>165</v>
      </c>
      <c r="B207" s="5">
        <v>2813988.2573324302</v>
      </c>
      <c r="C207" s="5">
        <v>3783960.7146830098</v>
      </c>
      <c r="D207" s="5">
        <v>2596195.1577202701</v>
      </c>
      <c r="E207" s="5">
        <v>2214454.8926840802</v>
      </c>
      <c r="F207" s="5">
        <v>1441701.8818021601</v>
      </c>
      <c r="G207" s="5">
        <v>1791397.3752991101</v>
      </c>
      <c r="H207" s="5">
        <v>3252971.6912532002</v>
      </c>
      <c r="I207" s="5">
        <v>2261640.5716565801</v>
      </c>
      <c r="J207" s="5">
        <v>3168004.6721604201</v>
      </c>
      <c r="K207" s="5">
        <v>3166405.3648747602</v>
      </c>
      <c r="L207" s="5">
        <v>2495189.71042204</v>
      </c>
      <c r="M207" s="5">
        <v>4515765.90521596</v>
      </c>
      <c r="N207" s="5">
        <v>4988652.4294498097</v>
      </c>
      <c r="O207" s="5">
        <v>1798962.1199087501</v>
      </c>
      <c r="P207" s="5">
        <v>2439792.61736855</v>
      </c>
      <c r="Q207" s="5">
        <v>2761620.3254197598</v>
      </c>
      <c r="R207" s="5">
        <v>4411673.62617689</v>
      </c>
      <c r="S207" s="5">
        <v>2086345.45160649</v>
      </c>
      <c r="T207" s="5">
        <v>1390437.6918792699</v>
      </c>
      <c r="U207" s="5">
        <v>1948314.82223813</v>
      </c>
      <c r="V207" s="5">
        <v>1744287.41278265</v>
      </c>
    </row>
    <row r="208" spans="1:22" x14ac:dyDescent="0.45">
      <c r="A208" s="5" t="s">
        <v>224</v>
      </c>
      <c r="B208" s="5">
        <v>1099067.6339626601</v>
      </c>
      <c r="C208" s="5">
        <v>1126316.4779163101</v>
      </c>
      <c r="D208" s="5">
        <v>1780950.4844051001</v>
      </c>
      <c r="E208" s="5">
        <v>851298.79497942596</v>
      </c>
      <c r="F208" s="5">
        <v>22101044.264469799</v>
      </c>
      <c r="G208" s="5">
        <v>30786122.4764218</v>
      </c>
      <c r="H208" s="5">
        <v>2056949.6893559501</v>
      </c>
      <c r="I208" s="5">
        <v>65820270.115057498</v>
      </c>
      <c r="J208" s="5">
        <v>1130697.5166424301</v>
      </c>
      <c r="K208" s="5">
        <v>1285303.2517792501</v>
      </c>
      <c r="L208" s="5">
        <v>2467428.6924187201</v>
      </c>
      <c r="M208" s="5">
        <v>976839.44056477002</v>
      </c>
      <c r="N208" s="5">
        <v>1266206.02296575</v>
      </c>
      <c r="O208" s="5">
        <v>35287759.1525006</v>
      </c>
      <c r="P208" s="5">
        <v>2173591.4448075402</v>
      </c>
      <c r="Q208" s="5">
        <v>1199303.9033017899</v>
      </c>
      <c r="R208" s="5">
        <v>1676106.7662325499</v>
      </c>
      <c r="S208" s="5">
        <v>24817855.557541501</v>
      </c>
      <c r="T208" s="5">
        <v>34400981.202955298</v>
      </c>
      <c r="U208" s="5">
        <v>1020730.34142192</v>
      </c>
      <c r="V208" s="5">
        <v>30317151.2232472</v>
      </c>
    </row>
    <row r="209" spans="1:22" x14ac:dyDescent="0.45">
      <c r="A209" s="5" t="s">
        <v>116</v>
      </c>
      <c r="B209" s="5">
        <v>64690810.9336721</v>
      </c>
      <c r="C209" s="5">
        <v>132805063.07986701</v>
      </c>
      <c r="D209" s="5">
        <v>16094456.512448801</v>
      </c>
      <c r="E209" s="5">
        <v>555789.68749547598</v>
      </c>
      <c r="F209" s="5">
        <v>195789016.7579</v>
      </c>
      <c r="G209" s="5">
        <v>67759735.678975895</v>
      </c>
      <c r="H209" s="5">
        <v>10683382.2901405</v>
      </c>
      <c r="I209" s="5">
        <v>136352394.85571101</v>
      </c>
      <c r="J209" s="5">
        <v>394163694.63128901</v>
      </c>
      <c r="K209" s="5">
        <v>195979717.27969</v>
      </c>
      <c r="L209" s="5">
        <v>303791682.87692899</v>
      </c>
      <c r="M209" s="5">
        <v>8375789.0245422199</v>
      </c>
      <c r="N209" s="5">
        <v>1344483.84742751</v>
      </c>
      <c r="O209" s="5">
        <v>98571250.094884694</v>
      </c>
      <c r="P209" s="5">
        <v>1653778.977338</v>
      </c>
      <c r="Q209" s="5">
        <v>4266218.8276147498</v>
      </c>
      <c r="R209" s="5">
        <v>1261783.69532978</v>
      </c>
      <c r="S209" s="5">
        <v>166638805.91397801</v>
      </c>
      <c r="T209" s="5">
        <v>166352937.673868</v>
      </c>
      <c r="U209" s="5">
        <v>258072865.24090499</v>
      </c>
      <c r="V209" s="5">
        <v>172415767.84891999</v>
      </c>
    </row>
    <row r="210" spans="1:22" x14ac:dyDescent="0.45">
      <c r="A210" s="5" t="s">
        <v>117</v>
      </c>
      <c r="B210" s="5">
        <v>19081638.9011118</v>
      </c>
      <c r="C210" s="5">
        <v>27122039.910858199</v>
      </c>
      <c r="D210" s="5">
        <v>10213586.4671582</v>
      </c>
      <c r="E210" s="5">
        <v>4238992.6328165997</v>
      </c>
      <c r="F210" s="5">
        <v>8958351.5780726206</v>
      </c>
      <c r="G210" s="5">
        <v>4197641.7987542897</v>
      </c>
      <c r="H210" s="5">
        <v>7009606.6749627097</v>
      </c>
      <c r="I210" s="5">
        <v>4211048.0370124597</v>
      </c>
      <c r="J210" s="5">
        <v>37621993.765381902</v>
      </c>
      <c r="K210" s="5">
        <v>11294874.415027</v>
      </c>
      <c r="L210" s="5">
        <v>30007463.231109701</v>
      </c>
      <c r="M210" s="5">
        <v>13502022.8610311</v>
      </c>
      <c r="N210" s="5">
        <v>3893749.25238341</v>
      </c>
      <c r="O210" s="5">
        <v>3559367.0943239299</v>
      </c>
      <c r="P210" s="5">
        <v>9215889.8288874906</v>
      </c>
      <c r="Q210" s="5">
        <v>9347626.0133483</v>
      </c>
      <c r="R210" s="5">
        <v>1878970.49791918</v>
      </c>
      <c r="S210" s="5">
        <v>10440104.072830999</v>
      </c>
      <c r="T210" s="5">
        <v>10110590.2608198</v>
      </c>
      <c r="U210" s="5">
        <v>21914357.219061598</v>
      </c>
      <c r="V210" s="5">
        <v>9125306.1656921599</v>
      </c>
    </row>
    <row r="211" spans="1:22" x14ac:dyDescent="0.45">
      <c r="A211" s="5" t="s">
        <v>118</v>
      </c>
      <c r="B211" s="5">
        <v>963177.28413333604</v>
      </c>
      <c r="C211" s="5">
        <v>811213.48222455697</v>
      </c>
      <c r="D211" s="5">
        <v>448212.68208955502</v>
      </c>
      <c r="E211" s="5">
        <v>692827.58970816201</v>
      </c>
      <c r="F211" s="5">
        <v>236700.44455782499</v>
      </c>
      <c r="G211" s="5">
        <v>462478.21029477101</v>
      </c>
      <c r="H211" s="5">
        <v>658776.61564529501</v>
      </c>
      <c r="I211" s="5">
        <v>62697.0097399023</v>
      </c>
      <c r="J211" s="5">
        <v>1075673.6551841199</v>
      </c>
      <c r="K211" s="5">
        <v>953681.32319099701</v>
      </c>
      <c r="L211" s="5">
        <v>910113.66826490394</v>
      </c>
      <c r="M211" s="5">
        <v>518907.58458660298</v>
      </c>
      <c r="N211" s="5">
        <v>721165.37463033304</v>
      </c>
      <c r="O211" s="5">
        <v>125458.62966961401</v>
      </c>
      <c r="P211" s="5">
        <v>323027.31252660998</v>
      </c>
      <c r="Q211" s="5">
        <v>376050.556091593</v>
      </c>
      <c r="R211" s="5">
        <v>425293.45304898702</v>
      </c>
      <c r="S211" s="5">
        <v>330346.35985864099</v>
      </c>
      <c r="T211" s="5">
        <v>208199.446530152</v>
      </c>
      <c r="U211" s="5">
        <v>359222.68455943</v>
      </c>
      <c r="V211" s="5">
        <v>114470.222425776</v>
      </c>
    </row>
    <row r="212" spans="1:22" x14ac:dyDescent="0.45">
      <c r="A212" s="5" t="s">
        <v>270</v>
      </c>
      <c r="B212" s="5">
        <v>506541.70497056702</v>
      </c>
      <c r="C212" s="5">
        <v>257538.90499393499</v>
      </c>
      <c r="D212" s="5">
        <v>780424.67908802698</v>
      </c>
      <c r="E212" s="5">
        <v>669706.64679449995</v>
      </c>
      <c r="F212" s="5">
        <v>8118204.7579385601</v>
      </c>
      <c r="G212" s="5">
        <v>10186484.1651395</v>
      </c>
      <c r="H212" s="5">
        <v>1367955.04405803</v>
      </c>
      <c r="I212" s="5">
        <v>11250714.4894065</v>
      </c>
      <c r="J212" s="5">
        <v>396250.028654875</v>
      </c>
      <c r="K212" s="5">
        <v>375331.43036202202</v>
      </c>
      <c r="L212" s="5">
        <v>1270999.6234070701</v>
      </c>
      <c r="M212" s="5">
        <v>382882.96769731201</v>
      </c>
      <c r="N212" s="5">
        <v>288457.39628137503</v>
      </c>
      <c r="O212" s="5">
        <v>10535844.846897099</v>
      </c>
      <c r="P212" s="5">
        <v>598201.00996785006</v>
      </c>
      <c r="Q212" s="5">
        <v>515527.19013110898</v>
      </c>
      <c r="R212" s="5">
        <v>472960.86443797598</v>
      </c>
      <c r="S212" s="5">
        <v>7831876.6030177698</v>
      </c>
      <c r="T212" s="5">
        <v>11213689.0627901</v>
      </c>
      <c r="U212" s="5">
        <v>632075.34270021506</v>
      </c>
      <c r="V212" s="5">
        <v>9811926.8377093691</v>
      </c>
    </row>
    <row r="213" spans="1:22" x14ac:dyDescent="0.45">
      <c r="A213" s="5" t="s">
        <v>154</v>
      </c>
      <c r="B213" s="5">
        <v>17418754.194152702</v>
      </c>
      <c r="C213" s="5">
        <v>15086427.5960995</v>
      </c>
      <c r="D213" s="5">
        <v>15319398.457394401</v>
      </c>
      <c r="E213" s="5">
        <v>18497313.2314847</v>
      </c>
      <c r="F213" s="5">
        <v>11204675.246707</v>
      </c>
      <c r="G213" s="5">
        <v>10191843.846604399</v>
      </c>
      <c r="H213" s="5">
        <v>17230331.536172502</v>
      </c>
      <c r="I213" s="5">
        <v>15123635.858957101</v>
      </c>
      <c r="J213" s="5">
        <v>15964650.067364899</v>
      </c>
      <c r="K213" s="5">
        <v>18475570.573151901</v>
      </c>
      <c r="L213" s="5">
        <v>15376585.997299099</v>
      </c>
      <c r="M213" s="5">
        <v>17381378.982977699</v>
      </c>
      <c r="N213" s="5">
        <v>22702961.603939001</v>
      </c>
      <c r="O213" s="5">
        <v>10824066.050322</v>
      </c>
      <c r="P213" s="5">
        <v>14884798.2336796</v>
      </c>
      <c r="Q213" s="5">
        <v>12962969.9336037</v>
      </c>
      <c r="R213" s="5">
        <v>12341450.7131915</v>
      </c>
      <c r="S213" s="5">
        <v>12778925.6514559</v>
      </c>
      <c r="T213" s="5">
        <v>8250713.6260289503</v>
      </c>
      <c r="U213" s="5">
        <v>13505713.3864042</v>
      </c>
      <c r="V213" s="5">
        <v>9719344.0081619397</v>
      </c>
    </row>
  </sheetData>
  <conditionalFormatting sqref="A1:A129">
    <cfRule type="duplicateValues" dxfId="18" priority="1"/>
  </conditionalFormatting>
  <conditionalFormatting sqref="A130:A213">
    <cfRule type="duplicateValues" dxfId="17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9A65-9CE2-46CC-8CBD-D42D964636FA}">
  <dimension ref="A1:D25"/>
  <sheetViews>
    <sheetView tabSelected="1" topLeftCell="A7" workbookViewId="0">
      <selection activeCell="A22" sqref="A22:D25"/>
    </sheetView>
  </sheetViews>
  <sheetFormatPr defaultRowHeight="14.25" x14ac:dyDescent="0.45"/>
  <cols>
    <col min="1" max="1" width="47.265625" bestFit="1" customWidth="1"/>
    <col min="3" max="3" width="11.33203125" bestFit="1" customWidth="1"/>
    <col min="4" max="4" width="22.06640625" bestFit="1" customWidth="1"/>
  </cols>
  <sheetData>
    <row r="1" spans="1:4" x14ac:dyDescent="0.45">
      <c r="A1" t="s">
        <v>323</v>
      </c>
      <c r="B1" s="19" t="s">
        <v>324</v>
      </c>
      <c r="C1" s="19" t="s">
        <v>319</v>
      </c>
      <c r="D1" s="19" t="s">
        <v>321</v>
      </c>
    </row>
    <row r="2" spans="1:4" x14ac:dyDescent="0.45">
      <c r="A2" s="5" t="s">
        <v>39</v>
      </c>
      <c r="B2" s="18">
        <v>0.49790000000000001</v>
      </c>
      <c r="C2" s="18">
        <v>2.1600000000000001E-2</v>
      </c>
      <c r="D2" s="18" t="s">
        <v>322</v>
      </c>
    </row>
    <row r="3" spans="1:4" x14ac:dyDescent="0.45">
      <c r="A3" s="5" t="s">
        <v>177</v>
      </c>
      <c r="B3" s="18">
        <v>0.53720000000000001</v>
      </c>
      <c r="C3" s="18">
        <v>1.2E-2</v>
      </c>
      <c r="D3" s="18" t="s">
        <v>322</v>
      </c>
    </row>
    <row r="4" spans="1:4" x14ac:dyDescent="0.45">
      <c r="A4" s="5" t="s">
        <v>41</v>
      </c>
      <c r="B4" s="18">
        <v>0.56930000000000003</v>
      </c>
      <c r="C4" s="18">
        <v>7.1000000000000004E-3</v>
      </c>
      <c r="D4" s="18" t="s">
        <v>322</v>
      </c>
    </row>
    <row r="5" spans="1:4" x14ac:dyDescent="0.45">
      <c r="A5" s="5" t="s">
        <v>283</v>
      </c>
      <c r="B5" s="18">
        <v>0.5857</v>
      </c>
      <c r="C5" s="18">
        <v>5.3E-3</v>
      </c>
      <c r="D5" s="18" t="s">
        <v>322</v>
      </c>
    </row>
    <row r="6" spans="1:4" x14ac:dyDescent="0.45">
      <c r="A6" s="5" t="s">
        <v>183</v>
      </c>
      <c r="B6" s="18">
        <v>0.44269999999999998</v>
      </c>
      <c r="C6" s="18">
        <v>4.4499999999999998E-2</v>
      </c>
      <c r="D6" s="18" t="s">
        <v>322</v>
      </c>
    </row>
    <row r="7" spans="1:4" x14ac:dyDescent="0.45">
      <c r="A7" s="5" t="s">
        <v>58</v>
      </c>
      <c r="B7" s="18">
        <v>0.55330000000000001</v>
      </c>
      <c r="C7" s="18">
        <v>9.2999999999999992E-3</v>
      </c>
      <c r="D7" s="18" t="s">
        <v>322</v>
      </c>
    </row>
    <row r="8" spans="1:4" x14ac:dyDescent="0.45">
      <c r="A8" s="5" t="s">
        <v>244</v>
      </c>
      <c r="B8" s="18">
        <v>0.51700000000000002</v>
      </c>
      <c r="C8" s="18">
        <v>1.6400000000000001E-2</v>
      </c>
      <c r="D8" s="18" t="s">
        <v>322</v>
      </c>
    </row>
    <row r="9" spans="1:4" x14ac:dyDescent="0.45">
      <c r="A9" s="5" t="s">
        <v>191</v>
      </c>
      <c r="B9" s="18">
        <v>0.46260000000000001</v>
      </c>
      <c r="C9" s="18">
        <v>3.4700000000000002E-2</v>
      </c>
      <c r="D9" s="18" t="s">
        <v>322</v>
      </c>
    </row>
    <row r="10" spans="1:4" x14ac:dyDescent="0.45">
      <c r="A10" s="5" t="s">
        <v>156</v>
      </c>
      <c r="B10" s="18">
        <v>-0.50470000000000004</v>
      </c>
      <c r="C10" s="18">
        <v>1.9599999999999999E-2</v>
      </c>
      <c r="D10" s="18" t="s">
        <v>322</v>
      </c>
    </row>
    <row r="11" spans="1:4" x14ac:dyDescent="0.45">
      <c r="A11" s="5" t="s">
        <v>150</v>
      </c>
      <c r="B11" s="18">
        <v>-0.55889999999999995</v>
      </c>
      <c r="C11" s="18">
        <v>8.3999999999999995E-3</v>
      </c>
      <c r="D11" s="18" t="s">
        <v>322</v>
      </c>
    </row>
    <row r="12" spans="1:4" x14ac:dyDescent="0.45">
      <c r="A12" s="5" t="s">
        <v>211</v>
      </c>
      <c r="B12" s="18">
        <v>0.55940000000000001</v>
      </c>
      <c r="C12" s="18">
        <v>8.3999999999999995E-3</v>
      </c>
      <c r="D12" s="18" t="s">
        <v>322</v>
      </c>
    </row>
    <row r="13" spans="1:4" x14ac:dyDescent="0.45">
      <c r="A13" s="5" t="s">
        <v>93</v>
      </c>
      <c r="B13" s="18">
        <v>0.65620000000000001</v>
      </c>
      <c r="C13" s="18">
        <v>1.1999999999999999E-3</v>
      </c>
      <c r="D13" s="18" t="s">
        <v>322</v>
      </c>
    </row>
    <row r="14" spans="1:4" x14ac:dyDescent="0.45">
      <c r="A14" s="5" t="s">
        <v>95</v>
      </c>
      <c r="B14" s="18">
        <v>0.82120000000000004</v>
      </c>
      <c r="C14" s="18" t="s">
        <v>320</v>
      </c>
      <c r="D14" s="18" t="s">
        <v>322</v>
      </c>
    </row>
    <row r="15" spans="1:4" x14ac:dyDescent="0.45">
      <c r="A15" s="5" t="s">
        <v>100</v>
      </c>
      <c r="B15" s="18">
        <v>0.53210000000000002</v>
      </c>
      <c r="C15" s="18">
        <v>1.2999999999999999E-2</v>
      </c>
      <c r="D15" s="18" t="s">
        <v>322</v>
      </c>
    </row>
    <row r="16" spans="1:4" x14ac:dyDescent="0.45">
      <c r="A16" s="5" t="s">
        <v>137</v>
      </c>
      <c r="B16" s="18">
        <v>0.45050000000000001</v>
      </c>
      <c r="C16" s="18">
        <v>4.0399999999999998E-2</v>
      </c>
      <c r="D16" s="18" t="s">
        <v>322</v>
      </c>
    </row>
    <row r="17" spans="1:4" x14ac:dyDescent="0.45">
      <c r="A17" s="5" t="s">
        <v>145</v>
      </c>
      <c r="B17" s="18">
        <v>0.46100000000000002</v>
      </c>
      <c r="C17" s="18">
        <v>3.5400000000000001E-2</v>
      </c>
      <c r="D17" s="18" t="s">
        <v>322</v>
      </c>
    </row>
    <row r="18" spans="1:4" x14ac:dyDescent="0.45">
      <c r="A18" s="5" t="s">
        <v>104</v>
      </c>
      <c r="B18" s="18">
        <v>0.64080000000000004</v>
      </c>
      <c r="C18" s="18">
        <v>1.6999999999999999E-3</v>
      </c>
      <c r="D18" s="18" t="s">
        <v>322</v>
      </c>
    </row>
    <row r="19" spans="1:4" x14ac:dyDescent="0.45">
      <c r="A19" s="5" t="s">
        <v>140</v>
      </c>
      <c r="B19" s="18">
        <v>0.61040000000000005</v>
      </c>
      <c r="C19" s="18">
        <v>3.3E-3</v>
      </c>
      <c r="D19" s="18" t="s">
        <v>322</v>
      </c>
    </row>
    <row r="20" spans="1:4" x14ac:dyDescent="0.45">
      <c r="A20" s="5" t="s">
        <v>108</v>
      </c>
      <c r="B20" s="18">
        <v>0.44</v>
      </c>
      <c r="C20" s="18">
        <v>4.5900000000000003E-2</v>
      </c>
      <c r="D20" s="18" t="s">
        <v>322</v>
      </c>
    </row>
    <row r="22" spans="1:4" x14ac:dyDescent="0.45">
      <c r="A22" t="s">
        <v>323</v>
      </c>
      <c r="B22" s="19" t="s">
        <v>324</v>
      </c>
      <c r="C22" s="19" t="s">
        <v>319</v>
      </c>
      <c r="D22" s="19" t="s">
        <v>321</v>
      </c>
    </row>
    <row r="23" spans="1:4" x14ac:dyDescent="0.45">
      <c r="A23" s="5" t="s">
        <v>156</v>
      </c>
      <c r="B23" s="18">
        <v>-0.50470000000000004</v>
      </c>
      <c r="C23" s="18">
        <v>1.9599999999999999E-2</v>
      </c>
      <c r="D23" s="18" t="s">
        <v>322</v>
      </c>
    </row>
    <row r="24" spans="1:4" x14ac:dyDescent="0.45">
      <c r="A24" s="5" t="s">
        <v>150</v>
      </c>
      <c r="B24" s="18">
        <v>-0.55889999999999995</v>
      </c>
      <c r="C24" s="18">
        <v>8.3999999999999995E-3</v>
      </c>
      <c r="D24" s="18" t="s">
        <v>322</v>
      </c>
    </row>
    <row r="25" spans="1:4" x14ac:dyDescent="0.45">
      <c r="A25" s="5" t="s">
        <v>140</v>
      </c>
      <c r="B25" s="18">
        <v>0.61040000000000005</v>
      </c>
      <c r="C25" s="18">
        <v>3.3E-3</v>
      </c>
      <c r="D25" s="18" t="s">
        <v>322</v>
      </c>
    </row>
  </sheetData>
  <sortState xmlns:xlrd2="http://schemas.microsoft.com/office/spreadsheetml/2017/richdata2" ref="A2:D215">
    <sortCondition ref="A1:A215"/>
  </sortState>
  <conditionalFormatting sqref="A2:A20">
    <cfRule type="duplicateValues" dxfId="16" priority="47"/>
  </conditionalFormatting>
  <conditionalFormatting sqref="A23:A24">
    <cfRule type="duplicateValues" dxfId="15" priority="2"/>
  </conditionalFormatting>
  <conditionalFormatting sqref="A25">
    <cfRule type="duplicateValues" dxfId="1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02400-47C8-471F-96C3-7AC8FB4ADC56}">
  <dimension ref="A1:N213"/>
  <sheetViews>
    <sheetView workbookViewId="0">
      <selection activeCell="L3" sqref="L3"/>
    </sheetView>
  </sheetViews>
  <sheetFormatPr defaultRowHeight="14.25" x14ac:dyDescent="0.45"/>
  <sheetData>
    <row r="1" spans="1:14" x14ac:dyDescent="0.45">
      <c r="A1" s="1" t="s">
        <v>0</v>
      </c>
      <c r="B1" s="1" t="s">
        <v>292</v>
      </c>
      <c r="C1" s="1" t="s">
        <v>293</v>
      </c>
      <c r="D1" s="1" t="s">
        <v>300</v>
      </c>
      <c r="E1" s="1" t="s">
        <v>301</v>
      </c>
      <c r="F1" s="1" t="s">
        <v>306</v>
      </c>
      <c r="G1" s="1" t="s">
        <v>307</v>
      </c>
      <c r="H1" s="1" t="s">
        <v>288</v>
      </c>
      <c r="I1" s="1" t="s">
        <v>295</v>
      </c>
      <c r="J1" s="1" t="s">
        <v>296</v>
      </c>
      <c r="K1" s="1" t="s">
        <v>303</v>
      </c>
      <c r="L1" s="12" t="s">
        <v>314</v>
      </c>
      <c r="M1" s="12" t="s">
        <v>316</v>
      </c>
      <c r="N1" s="12" t="s">
        <v>317</v>
      </c>
    </row>
    <row r="2" spans="1:14" x14ac:dyDescent="0.45">
      <c r="A2" s="5" t="s">
        <v>149</v>
      </c>
      <c r="B2" s="13">
        <v>11127587.239047199</v>
      </c>
      <c r="C2" s="13">
        <v>8162947.9409190901</v>
      </c>
      <c r="D2" s="13">
        <v>15149808.4403506</v>
      </c>
      <c r="E2" s="13">
        <v>8863978.7782937996</v>
      </c>
      <c r="F2" s="13">
        <v>10728381.161259299</v>
      </c>
      <c r="G2" s="13">
        <v>11540052.3698896</v>
      </c>
      <c r="H2" s="13">
        <v>19183845.495694499</v>
      </c>
      <c r="I2" s="13">
        <v>16157875.0622056</v>
      </c>
      <c r="J2" s="13">
        <v>15699274.198818</v>
      </c>
      <c r="K2" s="13">
        <v>18520207.093179401</v>
      </c>
      <c r="L2">
        <f t="shared" ref="L2:L65" si="0">TTEST(B2:G2,H2:K2,2,2)</f>
        <v>1.9231871211610595E-3</v>
      </c>
      <c r="M2" s="13">
        <v>1</v>
      </c>
      <c r="N2">
        <f>L2*27/M2</f>
        <v>5.1926052271348604E-2</v>
      </c>
    </row>
    <row r="3" spans="1:14" x14ac:dyDescent="0.45">
      <c r="A3" s="5" t="s">
        <v>161</v>
      </c>
      <c r="B3" s="5">
        <v>220715443.74184299</v>
      </c>
      <c r="C3" s="5">
        <v>132665291.945647</v>
      </c>
      <c r="D3" s="5">
        <v>211900252.82348299</v>
      </c>
      <c r="E3" s="5">
        <v>213571931.03876901</v>
      </c>
      <c r="F3" s="5">
        <v>163675091.76964101</v>
      </c>
      <c r="G3" s="5">
        <v>95657943.837781295</v>
      </c>
      <c r="H3" s="5">
        <v>274618400.66367</v>
      </c>
      <c r="I3" s="5">
        <v>316619733.64541799</v>
      </c>
      <c r="J3" s="5">
        <v>282960106.38460898</v>
      </c>
      <c r="K3" s="5">
        <v>267056650.67541099</v>
      </c>
      <c r="L3">
        <f t="shared" si="0"/>
        <v>3.5503579143688706E-3</v>
      </c>
      <c r="M3" s="16">
        <v>2</v>
      </c>
      <c r="N3">
        <f t="shared" ref="N3:N28" si="1">L3*27/M3</f>
        <v>4.7929831843979753E-2</v>
      </c>
    </row>
    <row r="4" spans="1:14" x14ac:dyDescent="0.45">
      <c r="A4" s="5" t="s">
        <v>118</v>
      </c>
      <c r="B4" s="5">
        <v>376050.556091593</v>
      </c>
      <c r="C4" s="5">
        <v>208199.446530152</v>
      </c>
      <c r="D4" s="5">
        <v>425293.45304898702</v>
      </c>
      <c r="E4" s="5">
        <v>359222.68455943</v>
      </c>
      <c r="F4" s="5">
        <v>330346.35985864099</v>
      </c>
      <c r="G4" s="5">
        <v>114470.222425776</v>
      </c>
      <c r="H4" s="5">
        <v>963177.28413333604</v>
      </c>
      <c r="I4" s="5">
        <v>811213.48222455697</v>
      </c>
      <c r="J4" s="5">
        <v>448212.68208955502</v>
      </c>
      <c r="K4" s="5">
        <v>692827.58970816201</v>
      </c>
      <c r="L4">
        <f t="shared" si="0"/>
        <v>3.5616401666874412E-3</v>
      </c>
      <c r="M4" s="13">
        <v>3</v>
      </c>
      <c r="N4">
        <f t="shared" si="1"/>
        <v>3.2054761500186969E-2</v>
      </c>
    </row>
    <row r="5" spans="1:14" x14ac:dyDescent="0.45">
      <c r="A5" s="5" t="s">
        <v>154</v>
      </c>
      <c r="B5" s="5">
        <v>12962969.9336037</v>
      </c>
      <c r="C5" s="5">
        <v>8250713.6260289503</v>
      </c>
      <c r="D5" s="5">
        <v>12341450.7131915</v>
      </c>
      <c r="E5" s="5">
        <v>13505713.3864042</v>
      </c>
      <c r="F5" s="5">
        <v>12778925.6514559</v>
      </c>
      <c r="G5" s="5">
        <v>9719344.0081619397</v>
      </c>
      <c r="H5" s="5">
        <v>17418754.194152702</v>
      </c>
      <c r="I5" s="5">
        <v>15086427.5960995</v>
      </c>
      <c r="J5" s="5">
        <v>15319398.457394401</v>
      </c>
      <c r="K5" s="5">
        <v>18497313.2314847</v>
      </c>
      <c r="L5">
        <f t="shared" si="0"/>
        <v>4.1501173225641274E-3</v>
      </c>
      <c r="M5" s="16">
        <v>4</v>
      </c>
      <c r="N5">
        <f t="shared" si="1"/>
        <v>2.8013291927307858E-2</v>
      </c>
    </row>
    <row r="6" spans="1:14" x14ac:dyDescent="0.45">
      <c r="A6" s="5" t="s">
        <v>153</v>
      </c>
      <c r="B6" s="5">
        <v>92039002.521173403</v>
      </c>
      <c r="C6" s="5">
        <v>40020028.877116099</v>
      </c>
      <c r="D6" s="5">
        <v>114385107.07939699</v>
      </c>
      <c r="E6" s="5">
        <v>75769819.063060895</v>
      </c>
      <c r="F6" s="5">
        <v>58408691.051850401</v>
      </c>
      <c r="G6" s="5">
        <v>65077747.447695598</v>
      </c>
      <c r="H6" s="5">
        <v>120157576.744047</v>
      </c>
      <c r="I6" s="5">
        <v>119263116.295158</v>
      </c>
      <c r="J6" s="5">
        <v>115502659.80570599</v>
      </c>
      <c r="K6" s="5">
        <v>137885213.52073699</v>
      </c>
      <c r="L6">
        <f t="shared" si="0"/>
        <v>7.9979387547424938E-3</v>
      </c>
      <c r="M6" s="13">
        <v>5</v>
      </c>
      <c r="N6">
        <f t="shared" si="1"/>
        <v>4.3188869275609464E-2</v>
      </c>
    </row>
    <row r="7" spans="1:14" x14ac:dyDescent="0.45">
      <c r="A7" s="5" t="s">
        <v>125</v>
      </c>
      <c r="B7" s="5">
        <v>61932726.315492101</v>
      </c>
      <c r="C7" s="5">
        <v>37053907.206524901</v>
      </c>
      <c r="D7" s="5">
        <v>42676480.564847499</v>
      </c>
      <c r="E7" s="5">
        <v>49876573.806706399</v>
      </c>
      <c r="F7" s="5">
        <v>41478188.630417302</v>
      </c>
      <c r="G7" s="5">
        <v>29894632.071466599</v>
      </c>
      <c r="H7" s="5">
        <v>66996938.8332095</v>
      </c>
      <c r="I7" s="5">
        <v>104021243.975917</v>
      </c>
      <c r="J7" s="5">
        <v>69969499.3499455</v>
      </c>
      <c r="K7" s="5">
        <v>63343661.617564</v>
      </c>
      <c r="L7">
        <f t="shared" si="0"/>
        <v>8.6266896012543361E-3</v>
      </c>
      <c r="M7" s="16">
        <v>6</v>
      </c>
      <c r="N7">
        <f t="shared" si="1"/>
        <v>3.8820103205644517E-2</v>
      </c>
    </row>
    <row r="8" spans="1:14" x14ac:dyDescent="0.45">
      <c r="A8" s="5" t="s">
        <v>220</v>
      </c>
      <c r="B8" s="5">
        <v>7888658.9174887799</v>
      </c>
      <c r="C8" s="5">
        <v>4651090.6794912601</v>
      </c>
      <c r="D8" s="5">
        <v>6051477.4282878302</v>
      </c>
      <c r="E8" s="5">
        <v>6661907.7536846101</v>
      </c>
      <c r="F8" s="5">
        <v>7467324.99577762</v>
      </c>
      <c r="G8" s="5">
        <v>4766340.4937455496</v>
      </c>
      <c r="H8" s="5">
        <v>11381067.354959</v>
      </c>
      <c r="I8" s="5">
        <v>11033183.031955799</v>
      </c>
      <c r="J8" s="5">
        <v>7224061.6478271503</v>
      </c>
      <c r="K8" s="5">
        <v>9131167.8471708801</v>
      </c>
      <c r="L8">
        <f t="shared" si="0"/>
        <v>9.9467394860124105E-3</v>
      </c>
      <c r="M8" s="13">
        <v>7</v>
      </c>
      <c r="N8">
        <f t="shared" si="1"/>
        <v>3.836599516033358E-2</v>
      </c>
    </row>
    <row r="9" spans="1:14" x14ac:dyDescent="0.45">
      <c r="A9" s="5" t="s">
        <v>218</v>
      </c>
      <c r="B9" s="5">
        <v>53650667.435003601</v>
      </c>
      <c r="C9" s="5">
        <v>21972439.806740899</v>
      </c>
      <c r="D9" s="5">
        <v>54917744.8271828</v>
      </c>
      <c r="E9" s="5">
        <v>36270454.328683197</v>
      </c>
      <c r="F9" s="5">
        <v>47477204.291085899</v>
      </c>
      <c r="G9" s="5">
        <v>19773514.344739199</v>
      </c>
      <c r="H9" s="5">
        <v>72998921.939102605</v>
      </c>
      <c r="I9" s="5">
        <v>120650747.413352</v>
      </c>
      <c r="J9" s="5">
        <v>52291055.688244604</v>
      </c>
      <c r="K9" s="5">
        <v>88251784.1903442</v>
      </c>
      <c r="L9">
        <f t="shared" si="0"/>
        <v>1.2406509628151888E-2</v>
      </c>
      <c r="M9" s="16">
        <v>8</v>
      </c>
      <c r="N9">
        <f t="shared" si="1"/>
        <v>4.1871969995012623E-2</v>
      </c>
    </row>
    <row r="10" spans="1:14" x14ac:dyDescent="0.45">
      <c r="A10" s="5" t="s">
        <v>151</v>
      </c>
      <c r="B10" s="5">
        <v>12541462.403023601</v>
      </c>
      <c r="C10" s="5">
        <v>11260236.344340101</v>
      </c>
      <c r="D10" s="5">
        <v>15893525.1881912</v>
      </c>
      <c r="E10" s="5">
        <v>9564960.8185183108</v>
      </c>
      <c r="F10" s="5">
        <v>12472688.0173494</v>
      </c>
      <c r="G10" s="5">
        <v>12546292.911481701</v>
      </c>
      <c r="H10" s="5">
        <v>15966095.681325199</v>
      </c>
      <c r="I10" s="5">
        <v>14703698.759105399</v>
      </c>
      <c r="J10" s="5">
        <v>16086578.081091501</v>
      </c>
      <c r="K10" s="5">
        <v>17126241.436561</v>
      </c>
      <c r="L10">
        <f t="shared" si="0"/>
        <v>1.3072010951159342E-2</v>
      </c>
      <c r="M10" s="13">
        <v>9</v>
      </c>
      <c r="N10">
        <f t="shared" si="1"/>
        <v>3.9216032853478029E-2</v>
      </c>
    </row>
    <row r="11" spans="1:14" x14ac:dyDescent="0.45">
      <c r="A11" s="5" t="s">
        <v>122</v>
      </c>
      <c r="B11" s="5">
        <v>6726173.2496553799</v>
      </c>
      <c r="C11" s="5">
        <v>4353594.7764485497</v>
      </c>
      <c r="D11" s="5">
        <v>5804943.7451796001</v>
      </c>
      <c r="E11" s="5">
        <v>4192951.0735116</v>
      </c>
      <c r="F11" s="5">
        <v>4511464.34343848</v>
      </c>
      <c r="G11" s="5">
        <v>4459538.7412908804</v>
      </c>
      <c r="H11" s="5">
        <v>15096921.1277098</v>
      </c>
      <c r="I11" s="5">
        <v>12795879.320127999</v>
      </c>
      <c r="J11" s="5">
        <v>6790574.5359485596</v>
      </c>
      <c r="K11" s="5">
        <v>7125439.4615116296</v>
      </c>
      <c r="L11">
        <f t="shared" si="0"/>
        <v>1.3272582304972302E-2</v>
      </c>
      <c r="M11" s="16">
        <v>10</v>
      </c>
      <c r="N11">
        <f t="shared" si="1"/>
        <v>3.5835972223425216E-2</v>
      </c>
    </row>
    <row r="12" spans="1:14" x14ac:dyDescent="0.45">
      <c r="A12" s="5" t="s">
        <v>144</v>
      </c>
      <c r="B12" s="5">
        <v>37228421.141860202</v>
      </c>
      <c r="C12" s="5">
        <v>24046657.740989499</v>
      </c>
      <c r="D12" s="5">
        <v>35712563.086119398</v>
      </c>
      <c r="E12" s="5">
        <v>27173609.592444099</v>
      </c>
      <c r="F12" s="5">
        <v>20264115.3793942</v>
      </c>
      <c r="G12" s="5">
        <v>19488403.338113099</v>
      </c>
      <c r="H12" s="5">
        <v>49967799.782867797</v>
      </c>
      <c r="I12" s="5">
        <v>43220306.027625203</v>
      </c>
      <c r="J12" s="5">
        <v>38068666.165773198</v>
      </c>
      <c r="K12" s="5">
        <v>35346264.369371302</v>
      </c>
      <c r="L12">
        <f t="shared" si="0"/>
        <v>1.5028901328910764E-2</v>
      </c>
      <c r="M12" s="13">
        <v>11</v>
      </c>
      <c r="N12">
        <f t="shared" si="1"/>
        <v>3.6889121443690061E-2</v>
      </c>
    </row>
    <row r="13" spans="1:14" x14ac:dyDescent="0.45">
      <c r="A13" s="5" t="s">
        <v>160</v>
      </c>
      <c r="B13" s="5">
        <v>218302836.18803999</v>
      </c>
      <c r="C13" s="5">
        <v>143655495.09417501</v>
      </c>
      <c r="D13" s="5">
        <v>226553884.70244601</v>
      </c>
      <c r="E13" s="5">
        <v>136515832.43679801</v>
      </c>
      <c r="F13" s="5">
        <v>270368328.87797099</v>
      </c>
      <c r="G13" s="5">
        <v>179109803.02171999</v>
      </c>
      <c r="H13" s="5">
        <v>368021629.090119</v>
      </c>
      <c r="I13" s="5">
        <v>450728689.21267802</v>
      </c>
      <c r="J13" s="5">
        <v>243802860.74028999</v>
      </c>
      <c r="K13" s="5">
        <v>273860194.26757902</v>
      </c>
      <c r="L13">
        <f t="shared" si="0"/>
        <v>1.6337464325558427E-2</v>
      </c>
      <c r="M13" s="16">
        <v>12</v>
      </c>
      <c r="N13">
        <f t="shared" si="1"/>
        <v>3.6759294732506463E-2</v>
      </c>
    </row>
    <row r="14" spans="1:14" x14ac:dyDescent="0.45">
      <c r="A14" s="5" t="s">
        <v>221</v>
      </c>
      <c r="B14" s="5">
        <v>3651269.6287447698</v>
      </c>
      <c r="C14" s="5">
        <v>3631179.6942676902</v>
      </c>
      <c r="D14" s="5">
        <v>2708516.02497544</v>
      </c>
      <c r="E14" s="5">
        <v>2940184.6414370402</v>
      </c>
      <c r="F14" s="5">
        <v>3029176.98695692</v>
      </c>
      <c r="G14" s="5">
        <v>3407825.0109143499</v>
      </c>
      <c r="H14" s="5">
        <v>2952231.2739377199</v>
      </c>
      <c r="I14" s="5">
        <v>2557260.7260742602</v>
      </c>
      <c r="J14" s="5">
        <v>2252524.25327776</v>
      </c>
      <c r="K14" s="5">
        <v>2463770.25056651</v>
      </c>
      <c r="L14">
        <f t="shared" si="0"/>
        <v>1.9643635224874938E-2</v>
      </c>
      <c r="M14" s="13">
        <v>13</v>
      </c>
      <c r="N14">
        <f t="shared" si="1"/>
        <v>4.0798319313201797E-2</v>
      </c>
    </row>
    <row r="15" spans="1:14" x14ac:dyDescent="0.45">
      <c r="A15" s="5" t="s">
        <v>110</v>
      </c>
      <c r="B15" s="5">
        <v>290477213.610349</v>
      </c>
      <c r="C15" s="5">
        <v>128275322.64100599</v>
      </c>
      <c r="D15" s="5">
        <v>353751165.08918399</v>
      </c>
      <c r="E15" s="5">
        <v>243761921.56711701</v>
      </c>
      <c r="F15" s="5">
        <v>181215699.02836499</v>
      </c>
      <c r="G15" s="5">
        <v>202822373.713911</v>
      </c>
      <c r="H15" s="5">
        <v>344875894.07349002</v>
      </c>
      <c r="I15" s="5">
        <v>345018684.87113798</v>
      </c>
      <c r="J15" s="5">
        <v>333984372.43207002</v>
      </c>
      <c r="K15" s="5">
        <v>403032846.67531401</v>
      </c>
      <c r="L15">
        <f t="shared" si="0"/>
        <v>2.0874414804098611E-2</v>
      </c>
      <c r="M15" s="16">
        <v>14</v>
      </c>
      <c r="N15">
        <f t="shared" si="1"/>
        <v>4.0257799979333035E-2</v>
      </c>
    </row>
    <row r="16" spans="1:14" x14ac:dyDescent="0.45">
      <c r="A16" s="5" t="s">
        <v>202</v>
      </c>
      <c r="B16" s="5">
        <v>17946128.1013324</v>
      </c>
      <c r="C16" s="5">
        <v>8741122.1053736992</v>
      </c>
      <c r="D16" s="5">
        <v>16095272.2009202</v>
      </c>
      <c r="E16" s="5">
        <v>15892224.108408401</v>
      </c>
      <c r="F16" s="5">
        <v>10621328.4526507</v>
      </c>
      <c r="G16" s="5">
        <v>10177991.4878616</v>
      </c>
      <c r="H16" s="5">
        <v>17383865.8977319</v>
      </c>
      <c r="I16" s="5">
        <v>19929995.6655288</v>
      </c>
      <c r="J16" s="5">
        <v>18649515.279874701</v>
      </c>
      <c r="K16" s="5">
        <v>20293095.611139301</v>
      </c>
      <c r="L16">
        <f t="shared" si="0"/>
        <v>2.0915942072439065E-2</v>
      </c>
      <c r="M16" s="13">
        <v>15</v>
      </c>
      <c r="N16">
        <f t="shared" si="1"/>
        <v>3.7648695730390314E-2</v>
      </c>
    </row>
    <row r="17" spans="1:14" x14ac:dyDescent="0.45">
      <c r="A17" s="5" t="s">
        <v>67</v>
      </c>
      <c r="B17" s="5">
        <v>32126648.842984602</v>
      </c>
      <c r="C17" s="5">
        <v>27676841.614918198</v>
      </c>
      <c r="D17" s="5">
        <v>18161409.014808699</v>
      </c>
      <c r="E17" s="5">
        <v>27295533.867874399</v>
      </c>
      <c r="F17" s="5">
        <v>34733502.986227699</v>
      </c>
      <c r="G17" s="5">
        <v>27390958.6309264</v>
      </c>
      <c r="H17" s="5">
        <v>13264164.357609499</v>
      </c>
      <c r="I17" s="5">
        <v>15207014.4812357</v>
      </c>
      <c r="J17" s="5">
        <v>17605450.5899988</v>
      </c>
      <c r="K17" s="5">
        <v>25025121.1168136</v>
      </c>
      <c r="L17">
        <f t="shared" si="0"/>
        <v>2.0980821289753787E-2</v>
      </c>
      <c r="M17" s="16">
        <v>16</v>
      </c>
      <c r="N17">
        <f t="shared" si="1"/>
        <v>3.5405135926459518E-2</v>
      </c>
    </row>
    <row r="18" spans="1:14" x14ac:dyDescent="0.45">
      <c r="A18" s="5" t="s">
        <v>148</v>
      </c>
      <c r="B18" s="5">
        <v>278818116.93568599</v>
      </c>
      <c r="C18" s="5">
        <v>181496857.267221</v>
      </c>
      <c r="D18" s="5">
        <v>290152810.97879201</v>
      </c>
      <c r="E18" s="5">
        <v>215043714.41202301</v>
      </c>
      <c r="F18" s="5">
        <v>199371961.14541501</v>
      </c>
      <c r="G18" s="5">
        <v>194752556.259424</v>
      </c>
      <c r="H18" s="5">
        <v>323848985.843409</v>
      </c>
      <c r="I18" s="5">
        <v>275127120.25181001</v>
      </c>
      <c r="J18" s="5">
        <v>291313122.40633601</v>
      </c>
      <c r="K18" s="5">
        <v>290038315.34481901</v>
      </c>
      <c r="L18">
        <f t="shared" si="0"/>
        <v>2.5283042392074455E-2</v>
      </c>
      <c r="M18" s="13">
        <v>17</v>
      </c>
      <c r="N18">
        <f t="shared" si="1"/>
        <v>4.0155420269765311E-2</v>
      </c>
    </row>
    <row r="19" spans="1:14" x14ac:dyDescent="0.45">
      <c r="A19" s="5" t="s">
        <v>142</v>
      </c>
      <c r="B19" s="5">
        <v>19953239.409718499</v>
      </c>
      <c r="C19" s="5">
        <v>16161639.140568599</v>
      </c>
      <c r="D19" s="5">
        <v>14235014.4667932</v>
      </c>
      <c r="E19" s="5">
        <v>28036983.802674901</v>
      </c>
      <c r="F19" s="5">
        <v>24201599.943581302</v>
      </c>
      <c r="G19" s="5">
        <v>18880094.0634549</v>
      </c>
      <c r="H19" s="5">
        <v>24301051.703805599</v>
      </c>
      <c r="I19" s="5">
        <v>42857035.637347899</v>
      </c>
      <c r="J19" s="5">
        <v>31165082.226466399</v>
      </c>
      <c r="K19" s="5">
        <v>27656917.923570901</v>
      </c>
      <c r="L19">
        <f t="shared" si="0"/>
        <v>2.5969280815413463E-2</v>
      </c>
      <c r="M19" s="16">
        <v>18</v>
      </c>
      <c r="N19">
        <f t="shared" si="1"/>
        <v>3.8953921223120198E-2</v>
      </c>
    </row>
    <row r="20" spans="1:14" x14ac:dyDescent="0.45">
      <c r="A20" s="5" t="s">
        <v>226</v>
      </c>
      <c r="B20" s="5">
        <v>7842998.6563552199</v>
      </c>
      <c r="C20" s="5">
        <v>3590100.3996840101</v>
      </c>
      <c r="D20" s="5">
        <v>5083358.7921047201</v>
      </c>
      <c r="E20" s="5">
        <v>5508495.4156227103</v>
      </c>
      <c r="F20" s="5">
        <v>1533415.5823166899</v>
      </c>
      <c r="G20" s="5">
        <v>5126500.5627872003</v>
      </c>
      <c r="H20" s="5">
        <v>5977385.2998812096</v>
      </c>
      <c r="I20" s="5">
        <v>7686683.7648764299</v>
      </c>
      <c r="J20" s="5">
        <v>11301511.265732899</v>
      </c>
      <c r="K20" s="5">
        <v>9335535.5276699793</v>
      </c>
      <c r="L20">
        <f t="shared" si="0"/>
        <v>2.664121932998554E-2</v>
      </c>
      <c r="M20" s="13">
        <v>19</v>
      </c>
      <c r="N20">
        <f t="shared" si="1"/>
        <v>3.7858574837347871E-2</v>
      </c>
    </row>
    <row r="21" spans="1:14" x14ac:dyDescent="0.45">
      <c r="A21" s="5" t="s">
        <v>230</v>
      </c>
      <c r="B21" s="5">
        <v>28105102.517822299</v>
      </c>
      <c r="C21" s="5">
        <v>9491790.2109314594</v>
      </c>
      <c r="D21" s="5">
        <v>38821019.092050098</v>
      </c>
      <c r="E21" s="5">
        <v>39556241.745631903</v>
      </c>
      <c r="F21" s="5">
        <v>19657726.8373079</v>
      </c>
      <c r="G21" s="5">
        <v>10252199.9894436</v>
      </c>
      <c r="H21" s="5">
        <v>36965532.985519901</v>
      </c>
      <c r="I21" s="5">
        <v>43971620.459573403</v>
      </c>
      <c r="J21" s="5">
        <v>41609860.097830303</v>
      </c>
      <c r="K21" s="5">
        <v>55568893.598639302</v>
      </c>
      <c r="L21">
        <f t="shared" si="0"/>
        <v>2.7491324346016043E-2</v>
      </c>
      <c r="M21" s="16">
        <v>20</v>
      </c>
      <c r="N21">
        <f t="shared" si="1"/>
        <v>3.7113287867121661E-2</v>
      </c>
    </row>
    <row r="22" spans="1:14" x14ac:dyDescent="0.45">
      <c r="A22" s="5" t="s">
        <v>258</v>
      </c>
      <c r="B22" s="5">
        <v>1156550.6572743601</v>
      </c>
      <c r="C22" s="5">
        <v>6186545.9079758096</v>
      </c>
      <c r="D22" s="5">
        <v>6757606.74580424</v>
      </c>
      <c r="E22" s="5">
        <v>1675520.56846079</v>
      </c>
      <c r="F22" s="5">
        <v>3076206.5445508701</v>
      </c>
      <c r="G22" s="5">
        <v>2632313.5402413802</v>
      </c>
      <c r="H22" s="5">
        <v>541825.93248777499</v>
      </c>
      <c r="I22" s="5">
        <v>568276.46772173</v>
      </c>
      <c r="J22" s="5">
        <v>311543.50262293301</v>
      </c>
      <c r="K22" s="5">
        <v>68494.964588957504</v>
      </c>
      <c r="L22">
        <f t="shared" si="0"/>
        <v>2.8330431263945546E-2</v>
      </c>
      <c r="M22" s="13">
        <v>21</v>
      </c>
      <c r="N22">
        <f t="shared" si="1"/>
        <v>3.6424840196501419E-2</v>
      </c>
    </row>
    <row r="23" spans="1:14" x14ac:dyDescent="0.45">
      <c r="A23" s="5" t="s">
        <v>105</v>
      </c>
      <c r="B23" s="5">
        <v>3374000.0400924799</v>
      </c>
      <c r="C23" s="5">
        <v>1940510.7192824299</v>
      </c>
      <c r="D23" s="5">
        <v>3328812.4244259899</v>
      </c>
      <c r="E23" s="5">
        <v>2919301.2558911098</v>
      </c>
      <c r="F23" s="5">
        <v>3185051.67643434</v>
      </c>
      <c r="G23" s="5">
        <v>2145055.27867084</v>
      </c>
      <c r="H23" s="5">
        <v>3173678.43681128</v>
      </c>
      <c r="I23" s="5">
        <v>3711583.7274737</v>
      </c>
      <c r="J23" s="5">
        <v>3957160.6308784098</v>
      </c>
      <c r="K23" s="5">
        <v>4235631.4317701003</v>
      </c>
      <c r="L23">
        <f t="shared" si="0"/>
        <v>3.0718292859326736E-2</v>
      </c>
      <c r="M23" s="16">
        <v>22</v>
      </c>
      <c r="N23">
        <f t="shared" si="1"/>
        <v>3.7699723054628265E-2</v>
      </c>
    </row>
    <row r="24" spans="1:14" x14ac:dyDescent="0.45">
      <c r="A24" s="5" t="s">
        <v>146</v>
      </c>
      <c r="B24" s="5">
        <v>303894735.31424201</v>
      </c>
      <c r="C24" s="5">
        <v>177766599.932928</v>
      </c>
      <c r="D24" s="5">
        <v>360276899.31733203</v>
      </c>
      <c r="E24" s="5">
        <v>216266368.395834</v>
      </c>
      <c r="F24" s="5">
        <v>205850532.834465</v>
      </c>
      <c r="G24" s="5">
        <v>190805466.23309401</v>
      </c>
      <c r="H24" s="5">
        <v>347754770.65239102</v>
      </c>
      <c r="I24" s="5">
        <v>331653944.37360799</v>
      </c>
      <c r="J24" s="5">
        <v>341765420.26474202</v>
      </c>
      <c r="K24" s="5">
        <v>322901485.30427301</v>
      </c>
      <c r="L24">
        <f t="shared" si="0"/>
        <v>3.6985679329957909E-2</v>
      </c>
      <c r="M24" s="13">
        <v>23</v>
      </c>
      <c r="N24">
        <f t="shared" si="1"/>
        <v>4.3417971387341894E-2</v>
      </c>
    </row>
    <row r="25" spans="1:14" x14ac:dyDescent="0.45">
      <c r="A25" s="5" t="s">
        <v>262</v>
      </c>
      <c r="B25" s="5">
        <v>3861849.5009361901</v>
      </c>
      <c r="C25" s="5">
        <v>3477554.4437826499</v>
      </c>
      <c r="D25" s="5">
        <v>4164900.79337407</v>
      </c>
      <c r="E25" s="5">
        <v>5024961.3446335103</v>
      </c>
      <c r="F25" s="5">
        <v>5185735.8803285202</v>
      </c>
      <c r="G25" s="5">
        <v>3505544.0204511299</v>
      </c>
      <c r="H25" s="5">
        <v>6386630.5866645398</v>
      </c>
      <c r="I25" s="5">
        <v>6498623.9075097404</v>
      </c>
      <c r="J25" s="5">
        <v>5050196.6335541196</v>
      </c>
      <c r="K25" s="5">
        <v>4406276.8016913598</v>
      </c>
      <c r="L25">
        <f t="shared" si="0"/>
        <v>3.7646479491446054E-2</v>
      </c>
      <c r="M25" s="16">
        <v>24</v>
      </c>
      <c r="N25">
        <f t="shared" si="1"/>
        <v>4.2352289427876812E-2</v>
      </c>
    </row>
    <row r="26" spans="1:14" x14ac:dyDescent="0.45">
      <c r="A26" s="5" t="s">
        <v>170</v>
      </c>
      <c r="B26" s="5">
        <v>178536.46986989101</v>
      </c>
      <c r="C26" s="5">
        <v>311392.31132085301</v>
      </c>
      <c r="D26" s="5">
        <v>83816.298552999593</v>
      </c>
      <c r="E26" s="5">
        <v>39397.657074360803</v>
      </c>
      <c r="F26" s="5">
        <v>354722.57007744099</v>
      </c>
      <c r="G26" s="5">
        <v>214284.73636812001</v>
      </c>
      <c r="H26" s="5">
        <v>58330.074040243897</v>
      </c>
      <c r="I26" s="5">
        <v>61852.352321272701</v>
      </c>
      <c r="J26" s="5">
        <v>58795.406404372901</v>
      </c>
      <c r="K26" s="5">
        <v>12313.888735966</v>
      </c>
      <c r="L26">
        <f t="shared" si="0"/>
        <v>4.7283588720487255E-2</v>
      </c>
      <c r="M26" s="13">
        <v>25</v>
      </c>
      <c r="N26">
        <f t="shared" si="1"/>
        <v>5.1066275818126235E-2</v>
      </c>
    </row>
    <row r="27" spans="1:14" x14ac:dyDescent="0.45">
      <c r="A27" s="5" t="s">
        <v>162</v>
      </c>
      <c r="B27" s="5">
        <v>30435085.400394499</v>
      </c>
      <c r="C27" s="5">
        <v>24469761.524273999</v>
      </c>
      <c r="D27" s="5">
        <v>32473325.827751901</v>
      </c>
      <c r="E27" s="5">
        <v>31768917.1445271</v>
      </c>
      <c r="F27" s="5">
        <v>25254845.616342202</v>
      </c>
      <c r="G27" s="5">
        <v>27279022.309339002</v>
      </c>
      <c r="H27" s="5">
        <v>34428629.367053702</v>
      </c>
      <c r="I27" s="5">
        <v>34213527.661934704</v>
      </c>
      <c r="J27" s="5">
        <v>31920307.253525499</v>
      </c>
      <c r="K27" s="5">
        <v>31227884.184116598</v>
      </c>
      <c r="L27">
        <f t="shared" si="0"/>
        <v>4.7872416048743427E-2</v>
      </c>
      <c r="M27" s="16">
        <v>26</v>
      </c>
      <c r="N27">
        <f t="shared" si="1"/>
        <v>4.9713662819848944E-2</v>
      </c>
    </row>
    <row r="28" spans="1:14" x14ac:dyDescent="0.45">
      <c r="A28" s="5" t="s">
        <v>79</v>
      </c>
      <c r="B28" s="5">
        <v>4744320.3175332798</v>
      </c>
      <c r="C28" s="5">
        <v>1687448.07423841</v>
      </c>
      <c r="D28" s="5">
        <v>5641660.1367660798</v>
      </c>
      <c r="E28" s="5">
        <v>1821843.5897780899</v>
      </c>
      <c r="F28" s="5">
        <v>3924387.5329189701</v>
      </c>
      <c r="G28" s="5">
        <v>1279267.4703027101</v>
      </c>
      <c r="H28" s="5">
        <v>7260273.4568776302</v>
      </c>
      <c r="I28" s="5">
        <v>15666797.339403</v>
      </c>
      <c r="J28" s="5">
        <v>5202273.5787730096</v>
      </c>
      <c r="K28" s="5">
        <v>4946106.6013735998</v>
      </c>
      <c r="L28">
        <f t="shared" si="0"/>
        <v>4.9567530833624938E-2</v>
      </c>
      <c r="M28" s="13">
        <v>27</v>
      </c>
      <c r="N28">
        <f t="shared" si="1"/>
        <v>4.9567530833624938E-2</v>
      </c>
    </row>
    <row r="29" spans="1:14" x14ac:dyDescent="0.45">
      <c r="A29" s="5" t="s">
        <v>273</v>
      </c>
      <c r="B29" s="5">
        <v>9435111.8231936507</v>
      </c>
      <c r="C29" s="5">
        <v>5346339.1150909904</v>
      </c>
      <c r="D29" s="5">
        <v>6715394.6623627404</v>
      </c>
      <c r="E29" s="5">
        <v>3552833.5105236601</v>
      </c>
      <c r="F29" s="5">
        <v>8959981.4796482008</v>
      </c>
      <c r="G29" s="5">
        <v>4172688.3765176302</v>
      </c>
      <c r="H29" s="5">
        <v>3362034.7812791299</v>
      </c>
      <c r="I29" s="5">
        <v>4794211.7986894101</v>
      </c>
      <c r="J29" s="5">
        <v>3329267.0575870802</v>
      </c>
      <c r="K29" s="5">
        <v>1343609.6947138601</v>
      </c>
      <c r="L29">
        <f t="shared" si="0"/>
        <v>5.0229902968101058E-2</v>
      </c>
    </row>
    <row r="30" spans="1:14" x14ac:dyDescent="0.45">
      <c r="A30" s="5" t="s">
        <v>173</v>
      </c>
      <c r="B30" s="5">
        <v>666099.22272508498</v>
      </c>
      <c r="C30" s="5">
        <v>2968605.5570318499</v>
      </c>
      <c r="D30" s="5">
        <v>4605255.4751530001</v>
      </c>
      <c r="E30" s="5">
        <v>1145366.23185368</v>
      </c>
      <c r="F30" s="5">
        <v>1417304.42201969</v>
      </c>
      <c r="G30" s="5">
        <v>1156524.58562969</v>
      </c>
      <c r="H30" s="5">
        <v>291069.09229566099</v>
      </c>
      <c r="I30" s="5">
        <v>354716.05717041797</v>
      </c>
      <c r="J30" s="5">
        <v>217210.03895035901</v>
      </c>
      <c r="K30" s="5">
        <v>50206.471549857299</v>
      </c>
      <c r="L30">
        <f t="shared" si="0"/>
        <v>5.0730728828109591E-2</v>
      </c>
    </row>
    <row r="31" spans="1:14" x14ac:dyDescent="0.45">
      <c r="A31" s="5" t="s">
        <v>39</v>
      </c>
      <c r="B31" s="5">
        <v>8242071.7562041497</v>
      </c>
      <c r="C31" s="5">
        <v>9095433.2483424693</v>
      </c>
      <c r="D31" s="5">
        <v>15136842.8176533</v>
      </c>
      <c r="E31" s="5">
        <v>10137336.777671</v>
      </c>
      <c r="F31" s="5">
        <v>8996583.8179680705</v>
      </c>
      <c r="G31" s="5">
        <v>8960680.7398420908</v>
      </c>
      <c r="H31" s="5">
        <v>3374273.0268717399</v>
      </c>
      <c r="I31" s="5">
        <v>5338622.2844597204</v>
      </c>
      <c r="J31" s="5">
        <v>8286543.8490079297</v>
      </c>
      <c r="K31" s="5">
        <v>8502609.3576871995</v>
      </c>
      <c r="L31">
        <f t="shared" si="0"/>
        <v>5.1191742206473462E-2</v>
      </c>
    </row>
    <row r="32" spans="1:14" x14ac:dyDescent="0.45">
      <c r="A32" s="5" t="s">
        <v>60</v>
      </c>
      <c r="B32" s="5">
        <v>9691696.5943892598</v>
      </c>
      <c r="C32" s="5">
        <v>6434665.4106936799</v>
      </c>
      <c r="D32" s="5">
        <v>5414314.1505133696</v>
      </c>
      <c r="E32" s="5">
        <v>14892492.697183499</v>
      </c>
      <c r="F32" s="5">
        <v>7664214.8212442799</v>
      </c>
      <c r="G32" s="5">
        <v>9245223.89332214</v>
      </c>
      <c r="H32" s="5">
        <v>12009196.082831001</v>
      </c>
      <c r="I32" s="5">
        <v>11702036.571045101</v>
      </c>
      <c r="J32" s="5">
        <v>13542726.6719495</v>
      </c>
      <c r="K32" s="5">
        <v>14575028.570343999</v>
      </c>
      <c r="L32">
        <f t="shared" si="0"/>
        <v>5.3224559875408792E-2</v>
      </c>
    </row>
    <row r="33" spans="1:12" x14ac:dyDescent="0.45">
      <c r="A33" s="5" t="s">
        <v>268</v>
      </c>
      <c r="B33" s="5">
        <v>246696816.171682</v>
      </c>
      <c r="C33" s="5">
        <v>137431034.27394599</v>
      </c>
      <c r="D33" s="5">
        <v>161744945.35832301</v>
      </c>
      <c r="E33" s="5">
        <v>269634414.26409</v>
      </c>
      <c r="F33" s="5">
        <v>169053978.83387399</v>
      </c>
      <c r="G33" s="5">
        <v>129398363.22808801</v>
      </c>
      <c r="H33" s="5">
        <v>277014053.48723</v>
      </c>
      <c r="I33" s="5">
        <v>324889117.158795</v>
      </c>
      <c r="J33" s="5">
        <v>231119148.183934</v>
      </c>
      <c r="K33" s="5">
        <v>225645455.22149101</v>
      </c>
      <c r="L33">
        <f t="shared" si="0"/>
        <v>5.4040839629623715E-2</v>
      </c>
    </row>
    <row r="34" spans="1:12" x14ac:dyDescent="0.45">
      <c r="A34" s="5" t="s">
        <v>84</v>
      </c>
      <c r="B34" s="5">
        <v>2745356.21282579</v>
      </c>
      <c r="C34" s="5">
        <v>293074371.58816499</v>
      </c>
      <c r="D34" s="5">
        <v>4508653.6640287004</v>
      </c>
      <c r="E34" s="5">
        <v>444960193.04672903</v>
      </c>
      <c r="F34" s="5">
        <v>249568667.661724</v>
      </c>
      <c r="G34" s="5">
        <v>372218622.74692702</v>
      </c>
      <c r="H34" s="5">
        <v>9798387.5825121291</v>
      </c>
      <c r="I34" s="5">
        <v>56242483.049944997</v>
      </c>
      <c r="J34" s="5">
        <v>3099711.6746671498</v>
      </c>
      <c r="K34" s="5">
        <v>1188303.82025409</v>
      </c>
      <c r="L34">
        <f t="shared" si="0"/>
        <v>5.894218086429253E-2</v>
      </c>
    </row>
    <row r="35" spans="1:12" x14ac:dyDescent="0.45">
      <c r="A35" s="5" t="s">
        <v>164</v>
      </c>
      <c r="B35" s="5">
        <v>47109940.799685501</v>
      </c>
      <c r="C35" s="5">
        <v>39539898.135522</v>
      </c>
      <c r="D35" s="5">
        <v>92958778.176270097</v>
      </c>
      <c r="E35" s="5">
        <v>74296463.979290307</v>
      </c>
      <c r="F35" s="5">
        <v>36201489.4282673</v>
      </c>
      <c r="G35" s="5">
        <v>53403345.164208703</v>
      </c>
      <c r="H35" s="5">
        <v>78993673.095376506</v>
      </c>
      <c r="I35" s="5">
        <v>76677230.301937893</v>
      </c>
      <c r="J35" s="5">
        <v>83527527.927723601</v>
      </c>
      <c r="K35" s="5">
        <v>88936353.063397303</v>
      </c>
      <c r="L35">
        <f t="shared" si="0"/>
        <v>6.2808232719639173E-2</v>
      </c>
    </row>
    <row r="36" spans="1:12" x14ac:dyDescent="0.45">
      <c r="A36" s="5" t="s">
        <v>119</v>
      </c>
      <c r="B36" s="5">
        <v>6098464.3851672299</v>
      </c>
      <c r="C36" s="5">
        <v>4381012.4035424199</v>
      </c>
      <c r="D36" s="5">
        <v>4995780.66061028</v>
      </c>
      <c r="E36" s="5">
        <v>4629566.1138549196</v>
      </c>
      <c r="F36" s="5">
        <v>3470187.2596872901</v>
      </c>
      <c r="G36" s="5">
        <v>4443450.7637321502</v>
      </c>
      <c r="H36" s="5">
        <v>5993622.3890902298</v>
      </c>
      <c r="I36" s="5">
        <v>4729256.40066336</v>
      </c>
      <c r="J36" s="5">
        <v>6573556.4310326399</v>
      </c>
      <c r="K36" s="5">
        <v>6005615.4130286202</v>
      </c>
      <c r="L36">
        <f t="shared" si="0"/>
        <v>6.3704629688602493E-2</v>
      </c>
    </row>
    <row r="37" spans="1:12" x14ac:dyDescent="0.45">
      <c r="A37" s="5" t="s">
        <v>255</v>
      </c>
      <c r="B37" s="5">
        <v>9828483.8981065992</v>
      </c>
      <c r="C37" s="5">
        <v>7359740.9422214096</v>
      </c>
      <c r="D37" s="5">
        <v>4221465.16052189</v>
      </c>
      <c r="E37" s="5">
        <v>15458235.420628499</v>
      </c>
      <c r="F37" s="5">
        <v>12366215.524513001</v>
      </c>
      <c r="G37" s="5">
        <v>7925948.7581976801</v>
      </c>
      <c r="H37" s="5">
        <v>11482150.313389201</v>
      </c>
      <c r="I37" s="5">
        <v>22275686.261404801</v>
      </c>
      <c r="J37" s="5">
        <v>15058898.2647507</v>
      </c>
      <c r="K37" s="5">
        <v>13067475.9046055</v>
      </c>
      <c r="L37">
        <f t="shared" si="0"/>
        <v>6.3871700366532391E-2</v>
      </c>
    </row>
    <row r="38" spans="1:12" x14ac:dyDescent="0.45">
      <c r="A38" s="5" t="s">
        <v>124</v>
      </c>
      <c r="B38" s="5">
        <v>41351463.324416503</v>
      </c>
      <c r="C38" s="5">
        <v>26974661.483667601</v>
      </c>
      <c r="D38" s="5">
        <v>43651974.498445399</v>
      </c>
      <c r="E38" s="5">
        <v>31790966.252193</v>
      </c>
      <c r="F38" s="5">
        <v>29023858.4281458</v>
      </c>
      <c r="G38" s="5">
        <v>29560842.728148099</v>
      </c>
      <c r="H38" s="5">
        <v>44660228.242472097</v>
      </c>
      <c r="I38" s="5">
        <v>38986428.303489603</v>
      </c>
      <c r="J38" s="5">
        <v>41215425.674198098</v>
      </c>
      <c r="K38" s="5">
        <v>41477113.999209203</v>
      </c>
      <c r="L38">
        <f t="shared" si="0"/>
        <v>6.5968332254999817E-2</v>
      </c>
    </row>
    <row r="39" spans="1:12" x14ac:dyDescent="0.45">
      <c r="A39" s="5" t="s">
        <v>120</v>
      </c>
      <c r="B39" s="5">
        <v>6083063.0614432897</v>
      </c>
      <c r="C39" s="5">
        <v>2170695.8888830799</v>
      </c>
      <c r="D39" s="5">
        <v>3848146.8399298899</v>
      </c>
      <c r="E39" s="5">
        <v>5075557.3851875002</v>
      </c>
      <c r="F39" s="5">
        <v>3478129.5085761002</v>
      </c>
      <c r="G39" s="5">
        <v>2787030.05266674</v>
      </c>
      <c r="H39" s="5">
        <v>4879958.9970623404</v>
      </c>
      <c r="I39" s="5">
        <v>5538898.5571711604</v>
      </c>
      <c r="J39" s="5">
        <v>5893073.6096160701</v>
      </c>
      <c r="K39" s="5">
        <v>11754348.1376421</v>
      </c>
      <c r="L39">
        <f t="shared" si="0"/>
        <v>6.6050905405998131E-2</v>
      </c>
    </row>
    <row r="40" spans="1:12" x14ac:dyDescent="0.45">
      <c r="A40" s="5" t="s">
        <v>147</v>
      </c>
      <c r="B40" s="5">
        <v>37948667.102324098</v>
      </c>
      <c r="C40" s="5">
        <v>42739634.778640501</v>
      </c>
      <c r="D40" s="5">
        <v>59990361.132868104</v>
      </c>
      <c r="E40" s="5">
        <v>34423727.743930399</v>
      </c>
      <c r="F40" s="5">
        <v>40826926.580809303</v>
      </c>
      <c r="G40" s="5">
        <v>39722338.0888891</v>
      </c>
      <c r="H40" s="5">
        <v>64219914.485548697</v>
      </c>
      <c r="I40" s="5">
        <v>81739643.917994604</v>
      </c>
      <c r="J40" s="5">
        <v>57121560.069562599</v>
      </c>
      <c r="K40" s="5">
        <v>38630548.994254902</v>
      </c>
      <c r="L40">
        <f t="shared" si="0"/>
        <v>6.6866482033774544E-2</v>
      </c>
    </row>
    <row r="41" spans="1:12" x14ac:dyDescent="0.45">
      <c r="A41" s="5" t="s">
        <v>33</v>
      </c>
      <c r="B41" s="5">
        <v>81860.640702230696</v>
      </c>
      <c r="C41" s="5">
        <v>484792.97308886697</v>
      </c>
      <c r="D41" s="5">
        <v>308756.02415917499</v>
      </c>
      <c r="E41" s="5">
        <v>114207.792471272</v>
      </c>
      <c r="F41" s="5">
        <v>585237.82918688306</v>
      </c>
      <c r="G41" s="5">
        <v>434577.59532338299</v>
      </c>
      <c r="H41" s="5">
        <v>75773.768313098903</v>
      </c>
      <c r="I41" s="5">
        <v>130528.164016775</v>
      </c>
      <c r="J41" s="5">
        <v>131450.23865660801</v>
      </c>
      <c r="K41" s="5">
        <v>118836.13096765</v>
      </c>
      <c r="L41">
        <f t="shared" si="0"/>
        <v>6.8075966932306595E-2</v>
      </c>
    </row>
    <row r="42" spans="1:12" x14ac:dyDescent="0.45">
      <c r="A42" s="5" t="s">
        <v>48</v>
      </c>
      <c r="B42" s="5">
        <v>10396770.882031901</v>
      </c>
      <c r="C42" s="5">
        <v>7202149.86016877</v>
      </c>
      <c r="D42" s="5">
        <v>12922793.548991499</v>
      </c>
      <c r="E42" s="5">
        <v>9474491.9374588504</v>
      </c>
      <c r="F42" s="5">
        <v>6793071.8767575603</v>
      </c>
      <c r="G42" s="5">
        <v>8643415.5298001301</v>
      </c>
      <c r="H42" s="5">
        <v>11886730.079361601</v>
      </c>
      <c r="I42" s="5">
        <v>12496533.8409857</v>
      </c>
      <c r="J42" s="5">
        <v>10946467.377118301</v>
      </c>
      <c r="K42" s="5">
        <v>11508437.9325055</v>
      </c>
      <c r="L42">
        <f t="shared" si="0"/>
        <v>6.9563224880634544E-2</v>
      </c>
    </row>
    <row r="43" spans="1:12" x14ac:dyDescent="0.45">
      <c r="A43" s="5" t="s">
        <v>101</v>
      </c>
      <c r="B43" s="5">
        <v>3616585.3410264798</v>
      </c>
      <c r="C43" s="5">
        <v>1061159.0418056799</v>
      </c>
      <c r="D43" s="5">
        <v>1735035.36434566</v>
      </c>
      <c r="E43" s="5">
        <v>1662547.13164536</v>
      </c>
      <c r="F43" s="5">
        <v>1799016.6168701099</v>
      </c>
      <c r="G43" s="5">
        <v>1211887.25181591</v>
      </c>
      <c r="H43" s="5">
        <v>3282054.1935155299</v>
      </c>
      <c r="I43" s="5">
        <v>2888784.3305904302</v>
      </c>
      <c r="J43" s="5">
        <v>3452985.8946949202</v>
      </c>
      <c r="K43" s="5">
        <v>2123815.9846529602</v>
      </c>
      <c r="L43">
        <f t="shared" si="0"/>
        <v>7.0791104017639245E-2</v>
      </c>
    </row>
    <row r="44" spans="1:12" x14ac:dyDescent="0.45">
      <c r="A44" s="5" t="s">
        <v>155</v>
      </c>
      <c r="B44" s="5">
        <v>34873623.293730997</v>
      </c>
      <c r="C44" s="5">
        <v>23181737.920157</v>
      </c>
      <c r="D44" s="5">
        <v>65605197.112760603</v>
      </c>
      <c r="E44" s="5">
        <v>39779308.371073604</v>
      </c>
      <c r="F44" s="5">
        <v>29634246.306816101</v>
      </c>
      <c r="G44" s="5">
        <v>34725614.170797899</v>
      </c>
      <c r="H44" s="5">
        <v>52423975.914278097</v>
      </c>
      <c r="I44" s="5">
        <v>48745983.599147096</v>
      </c>
      <c r="J44" s="5">
        <v>53235807.696136497</v>
      </c>
      <c r="K44" s="5">
        <v>62270687.545855701</v>
      </c>
      <c r="L44">
        <f t="shared" si="0"/>
        <v>7.2023153516699634E-2</v>
      </c>
    </row>
    <row r="45" spans="1:12" x14ac:dyDescent="0.45">
      <c r="A45" s="5" t="s">
        <v>44</v>
      </c>
      <c r="B45" s="5">
        <v>336933021.866804</v>
      </c>
      <c r="C45" s="5">
        <v>309347964.348216</v>
      </c>
      <c r="D45" s="5">
        <v>196747186.83077201</v>
      </c>
      <c r="E45" s="5">
        <v>302497530.28409898</v>
      </c>
      <c r="F45" s="5">
        <v>371316293.11931098</v>
      </c>
      <c r="G45" s="5">
        <v>264172126.44101599</v>
      </c>
      <c r="H45" s="5">
        <v>227949774.967242</v>
      </c>
      <c r="I45" s="5">
        <v>174339981.90157899</v>
      </c>
      <c r="J45" s="5">
        <v>224703109.24732101</v>
      </c>
      <c r="K45" s="5">
        <v>274142527.83715302</v>
      </c>
      <c r="L45">
        <f t="shared" si="0"/>
        <v>7.465020841439364E-2</v>
      </c>
    </row>
    <row r="46" spans="1:12" x14ac:dyDescent="0.45">
      <c r="A46" s="5" t="s">
        <v>131</v>
      </c>
      <c r="B46" s="5">
        <v>65581165.644308597</v>
      </c>
      <c r="C46" s="5">
        <v>37276405.596277602</v>
      </c>
      <c r="D46" s="5">
        <v>15707398.7826955</v>
      </c>
      <c r="E46" s="5">
        <v>44527479.832337096</v>
      </c>
      <c r="F46" s="5">
        <v>57588550.953868203</v>
      </c>
      <c r="G46" s="5">
        <v>27493682.1232506</v>
      </c>
      <c r="H46" s="5">
        <v>65602860.505880997</v>
      </c>
      <c r="I46" s="5">
        <v>125800594.548013</v>
      </c>
      <c r="J46" s="5">
        <v>88026955.699608907</v>
      </c>
      <c r="K46" s="5">
        <v>33435609.191245101</v>
      </c>
      <c r="L46">
        <f t="shared" si="0"/>
        <v>7.540024419139757E-2</v>
      </c>
    </row>
    <row r="47" spans="1:12" x14ac:dyDescent="0.45">
      <c r="A47" s="5" t="s">
        <v>274</v>
      </c>
      <c r="B47" s="5">
        <v>496224.19184393901</v>
      </c>
      <c r="C47" s="5">
        <v>168047.00740566899</v>
      </c>
      <c r="D47" s="5">
        <v>339122.56209298701</v>
      </c>
      <c r="E47" s="5">
        <v>358735.11086725799</v>
      </c>
      <c r="F47" s="5">
        <v>237268.76287079099</v>
      </c>
      <c r="G47" s="5">
        <v>123919.923508376</v>
      </c>
      <c r="H47" s="5">
        <v>419767.92292589799</v>
      </c>
      <c r="I47" s="5">
        <v>588369.11460109404</v>
      </c>
      <c r="J47" s="5">
        <v>408770.06534123502</v>
      </c>
      <c r="K47" s="5">
        <v>379988.11668481701</v>
      </c>
      <c r="L47">
        <f t="shared" si="0"/>
        <v>7.6097862825707782E-2</v>
      </c>
    </row>
    <row r="48" spans="1:12" x14ac:dyDescent="0.45">
      <c r="A48" s="5" t="s">
        <v>99</v>
      </c>
      <c r="B48" s="5">
        <v>23262963.494684301</v>
      </c>
      <c r="C48" s="5">
        <v>106537486.803082</v>
      </c>
      <c r="D48" s="5">
        <v>15952541.5037216</v>
      </c>
      <c r="E48" s="5">
        <v>22609341.788054701</v>
      </c>
      <c r="F48" s="5">
        <v>93427011.421246603</v>
      </c>
      <c r="G48" s="5">
        <v>58706188.969110698</v>
      </c>
      <c r="H48" s="5">
        <v>7574671.50271047</v>
      </c>
      <c r="I48" s="5">
        <v>12680636.6557514</v>
      </c>
      <c r="J48" s="5">
        <v>17726429.368466899</v>
      </c>
      <c r="K48" s="5">
        <v>14415943.491750499</v>
      </c>
      <c r="L48">
        <f t="shared" si="0"/>
        <v>7.9946264136186149E-2</v>
      </c>
    </row>
    <row r="49" spans="1:12" x14ac:dyDescent="0.45">
      <c r="A49" s="5" t="s">
        <v>234</v>
      </c>
      <c r="B49" s="5">
        <v>2065355.9039668699</v>
      </c>
      <c r="C49" s="5">
        <v>5139655.4065236701</v>
      </c>
      <c r="D49" s="5">
        <v>1229845.5565810399</v>
      </c>
      <c r="E49" s="5">
        <v>1209155.04370018</v>
      </c>
      <c r="F49" s="5">
        <v>3739339.6670400701</v>
      </c>
      <c r="G49" s="5">
        <v>4362379.4867300503</v>
      </c>
      <c r="H49" s="5">
        <v>1348355.08438288</v>
      </c>
      <c r="I49" s="5">
        <v>996701.55309874995</v>
      </c>
      <c r="J49" s="5">
        <v>1842192.75520773</v>
      </c>
      <c r="K49" s="5">
        <v>598135.95087448403</v>
      </c>
      <c r="L49">
        <f t="shared" si="0"/>
        <v>8.1622694843309293E-2</v>
      </c>
    </row>
    <row r="50" spans="1:12" x14ac:dyDescent="0.45">
      <c r="A50" s="5" t="s">
        <v>96</v>
      </c>
      <c r="B50" s="5">
        <v>236134.975710564</v>
      </c>
      <c r="C50" s="5">
        <v>1073568.7622138499</v>
      </c>
      <c r="D50" s="5">
        <v>504918.88692440599</v>
      </c>
      <c r="E50" s="5">
        <v>203218.89949073899</v>
      </c>
      <c r="F50" s="5">
        <v>836665.16647109203</v>
      </c>
      <c r="G50" s="5">
        <v>917916.163525949</v>
      </c>
      <c r="H50" s="5">
        <v>347816.01925902697</v>
      </c>
      <c r="I50" s="5">
        <v>257431.81334449901</v>
      </c>
      <c r="J50" s="5">
        <v>242914.89920086</v>
      </c>
      <c r="K50" s="5">
        <v>158130.146740367</v>
      </c>
      <c r="L50">
        <f t="shared" si="0"/>
        <v>8.2444880878488308E-2</v>
      </c>
    </row>
    <row r="51" spans="1:12" x14ac:dyDescent="0.45">
      <c r="A51" s="5" t="s">
        <v>280</v>
      </c>
      <c r="B51" s="5">
        <v>10983186.982388699</v>
      </c>
      <c r="C51" s="5">
        <v>20137680.7225978</v>
      </c>
      <c r="D51" s="5">
        <v>12727487.4796257</v>
      </c>
      <c r="E51" s="5">
        <v>12553183.773947001</v>
      </c>
      <c r="F51" s="5">
        <v>23026498.752966601</v>
      </c>
      <c r="G51" s="5">
        <v>20810629.079034202</v>
      </c>
      <c r="H51" s="5">
        <v>16495485.258021301</v>
      </c>
      <c r="I51" s="5">
        <v>11823788.472478</v>
      </c>
      <c r="J51" s="5">
        <v>7503157.5195788601</v>
      </c>
      <c r="K51" s="5">
        <v>4110341.2210146901</v>
      </c>
      <c r="L51">
        <f t="shared" si="0"/>
        <v>8.2739107966701156E-2</v>
      </c>
    </row>
    <row r="52" spans="1:12" x14ac:dyDescent="0.45">
      <c r="A52" s="5" t="s">
        <v>235</v>
      </c>
      <c r="B52" s="5">
        <v>5673329.0567261297</v>
      </c>
      <c r="C52" s="5">
        <v>23565958.289538398</v>
      </c>
      <c r="D52" s="5">
        <v>2472009.5852136901</v>
      </c>
      <c r="E52" s="5">
        <v>1450042.94573272</v>
      </c>
      <c r="F52" s="5">
        <v>19201970.5023387</v>
      </c>
      <c r="G52" s="5">
        <v>10400551.724388501</v>
      </c>
      <c r="H52" s="5">
        <v>1163857.5537298999</v>
      </c>
      <c r="I52" s="5">
        <v>1394706.8148358499</v>
      </c>
      <c r="J52" s="5">
        <v>1923114.8797146</v>
      </c>
      <c r="K52" s="5">
        <v>418703.06746173301</v>
      </c>
      <c r="L52">
        <f t="shared" si="0"/>
        <v>8.2905782948512363E-2</v>
      </c>
    </row>
    <row r="53" spans="1:12" x14ac:dyDescent="0.45">
      <c r="A53" s="5" t="s">
        <v>169</v>
      </c>
      <c r="B53" s="5">
        <v>3487859.7700316999</v>
      </c>
      <c r="C53" s="5">
        <v>2255160.8239771998</v>
      </c>
      <c r="D53" s="5">
        <v>4817092.80544795</v>
      </c>
      <c r="E53" s="5">
        <v>3265579.5830151401</v>
      </c>
      <c r="F53" s="5">
        <v>3597334.6452785102</v>
      </c>
      <c r="G53" s="5">
        <v>2870282.82301421</v>
      </c>
      <c r="H53" s="5">
        <v>4868273.0800522696</v>
      </c>
      <c r="I53" s="5">
        <v>4316171.55087322</v>
      </c>
      <c r="J53" s="5">
        <v>3824083.2288464098</v>
      </c>
      <c r="K53" s="5">
        <v>4230375.50804534</v>
      </c>
      <c r="L53">
        <f t="shared" si="0"/>
        <v>8.3147330979542522E-2</v>
      </c>
    </row>
    <row r="54" spans="1:12" x14ac:dyDescent="0.45">
      <c r="A54" s="5" t="s">
        <v>267</v>
      </c>
      <c r="B54" s="5">
        <v>360939.79829293001</v>
      </c>
      <c r="C54" s="5">
        <v>1588938.50901521</v>
      </c>
      <c r="D54" s="5">
        <v>191740.02135093999</v>
      </c>
      <c r="E54" s="5">
        <v>116877.067223808</v>
      </c>
      <c r="F54" s="5">
        <v>1043708.14471914</v>
      </c>
      <c r="G54" s="5">
        <v>853591.86571413698</v>
      </c>
      <c r="H54" s="5">
        <v>176190.30451172299</v>
      </c>
      <c r="I54" s="5">
        <v>101311.20630356199</v>
      </c>
      <c r="J54" s="5">
        <v>141920.620406203</v>
      </c>
      <c r="K54" s="5">
        <v>91567.472502856996</v>
      </c>
      <c r="L54">
        <f t="shared" si="0"/>
        <v>9.0103468267111991E-2</v>
      </c>
    </row>
    <row r="55" spans="1:12" x14ac:dyDescent="0.45">
      <c r="A55" s="5" t="s">
        <v>102</v>
      </c>
      <c r="B55" s="5">
        <v>11189761.377364401</v>
      </c>
      <c r="C55" s="5">
        <v>50058566.902027197</v>
      </c>
      <c r="D55" s="5">
        <v>20925547.176977701</v>
      </c>
      <c r="E55" s="5">
        <v>8122277.2965267701</v>
      </c>
      <c r="F55" s="5">
        <v>40899062.133098401</v>
      </c>
      <c r="G55" s="5">
        <v>45955214.521986</v>
      </c>
      <c r="H55" s="5">
        <v>11435201.0770273</v>
      </c>
      <c r="I55" s="5">
        <v>11719854.0295466</v>
      </c>
      <c r="J55" s="5">
        <v>12437463.8471111</v>
      </c>
      <c r="K55" s="5">
        <v>10221198.6438732</v>
      </c>
      <c r="L55">
        <f t="shared" si="0"/>
        <v>9.0382180444084553E-2</v>
      </c>
    </row>
    <row r="56" spans="1:12" x14ac:dyDescent="0.45">
      <c r="A56" s="5" t="s">
        <v>47</v>
      </c>
      <c r="B56" s="5">
        <v>1593218884.0028999</v>
      </c>
      <c r="C56" s="5">
        <v>1242057174.47929</v>
      </c>
      <c r="D56" s="5">
        <v>1634098728.4286001</v>
      </c>
      <c r="E56" s="5">
        <v>1429271944.1635001</v>
      </c>
      <c r="F56" s="5">
        <v>1286081433.5190899</v>
      </c>
      <c r="G56" s="5">
        <v>1202268718.87571</v>
      </c>
      <c r="H56" s="5">
        <v>1431174852.2044101</v>
      </c>
      <c r="I56" s="5">
        <v>1516969344.8268499</v>
      </c>
      <c r="J56" s="5">
        <v>1697656016.2604401</v>
      </c>
      <c r="K56" s="5">
        <v>1951771525.8269601</v>
      </c>
      <c r="L56">
        <f t="shared" si="0"/>
        <v>9.0831633126642497E-2</v>
      </c>
    </row>
    <row r="57" spans="1:12" x14ac:dyDescent="0.45">
      <c r="A57" s="5" t="s">
        <v>166</v>
      </c>
      <c r="B57" s="5">
        <v>196905.952132062</v>
      </c>
      <c r="C57" s="5">
        <v>1312930.77461721</v>
      </c>
      <c r="D57" s="5">
        <v>416983.82036728301</v>
      </c>
      <c r="E57" s="5">
        <v>277910.64990814799</v>
      </c>
      <c r="F57" s="5">
        <v>837986.22938976798</v>
      </c>
      <c r="G57" s="5">
        <v>936753.536658881</v>
      </c>
      <c r="H57" s="5">
        <v>205605.93660630801</v>
      </c>
      <c r="I57" s="5">
        <v>239578.87456723899</v>
      </c>
      <c r="J57" s="5">
        <v>244671.77133692999</v>
      </c>
      <c r="K57" s="5">
        <v>252763.71510894399</v>
      </c>
      <c r="L57">
        <f t="shared" si="0"/>
        <v>9.1550101775767917E-2</v>
      </c>
    </row>
    <row r="58" spans="1:12" x14ac:dyDescent="0.45">
      <c r="A58" s="5" t="s">
        <v>81</v>
      </c>
      <c r="B58" s="5">
        <v>4542876.0341563299</v>
      </c>
      <c r="C58" s="5">
        <v>3820506.2203813498</v>
      </c>
      <c r="D58" s="5">
        <v>6394293.1921431003</v>
      </c>
      <c r="E58" s="5">
        <v>3727157.4686121801</v>
      </c>
      <c r="F58" s="5">
        <v>4409032.0807079803</v>
      </c>
      <c r="G58" s="5">
        <v>4212131.7327130698</v>
      </c>
      <c r="H58" s="5">
        <v>5958201.5929944301</v>
      </c>
      <c r="I58" s="5">
        <v>4867405.9744698899</v>
      </c>
      <c r="J58" s="5">
        <v>5497532.4130435605</v>
      </c>
      <c r="K58" s="5">
        <v>5832200.8551284103</v>
      </c>
      <c r="L58">
        <f t="shared" si="0"/>
        <v>9.1655168445856194E-2</v>
      </c>
    </row>
    <row r="59" spans="1:12" x14ac:dyDescent="0.45">
      <c r="A59" s="5" t="s">
        <v>182</v>
      </c>
      <c r="B59" s="5">
        <v>236662.64686529801</v>
      </c>
      <c r="C59" s="5">
        <v>1916986.3753662701</v>
      </c>
      <c r="D59" s="5">
        <v>17070.4823362157</v>
      </c>
      <c r="E59" s="5">
        <v>250752.602092555</v>
      </c>
      <c r="F59" s="5">
        <v>1460885.7927200301</v>
      </c>
      <c r="G59" s="5">
        <v>1966206.1842942699</v>
      </c>
      <c r="H59" s="5">
        <v>128781.016805031</v>
      </c>
      <c r="I59" s="5">
        <v>131943.54103274501</v>
      </c>
      <c r="J59" s="5">
        <v>86067.127583728303</v>
      </c>
      <c r="K59" s="5">
        <v>39581.561183780403</v>
      </c>
      <c r="L59">
        <f t="shared" si="0"/>
        <v>9.3877686770258012E-2</v>
      </c>
    </row>
    <row r="60" spans="1:12" x14ac:dyDescent="0.45">
      <c r="A60" s="5" t="s">
        <v>187</v>
      </c>
      <c r="B60" s="5">
        <v>1494975.5657683299</v>
      </c>
      <c r="C60" s="5">
        <v>2831694.8000417501</v>
      </c>
      <c r="D60" s="5">
        <v>636980.10241451894</v>
      </c>
      <c r="E60" s="5">
        <v>359575.591996376</v>
      </c>
      <c r="F60" s="5">
        <v>2505661.5851984001</v>
      </c>
      <c r="G60" s="5">
        <v>1846819.7423624699</v>
      </c>
      <c r="H60" s="5">
        <v>919203.90841846506</v>
      </c>
      <c r="I60" s="5">
        <v>727978.84732472699</v>
      </c>
      <c r="J60" s="5">
        <v>690894.90946286905</v>
      </c>
      <c r="K60" s="5">
        <v>183037.946865484</v>
      </c>
      <c r="L60">
        <f t="shared" si="0"/>
        <v>9.5004670450885981E-2</v>
      </c>
    </row>
    <row r="61" spans="1:12" x14ac:dyDescent="0.45">
      <c r="A61" s="5" t="s">
        <v>266</v>
      </c>
      <c r="B61" s="5">
        <v>135788.81462759501</v>
      </c>
      <c r="C61" s="5">
        <v>1199105.44951525</v>
      </c>
      <c r="D61" s="5">
        <v>50723.233673258597</v>
      </c>
      <c r="E61" s="5">
        <v>37843.583518828404</v>
      </c>
      <c r="F61" s="5">
        <v>1276392.31758671</v>
      </c>
      <c r="G61" s="5">
        <v>847012.24457230896</v>
      </c>
      <c r="H61" s="5">
        <v>27786.276273020001</v>
      </c>
      <c r="I61" s="5">
        <v>35098.758417413097</v>
      </c>
      <c r="J61" s="5">
        <v>32241.0776238572</v>
      </c>
      <c r="K61" s="5">
        <v>11530.373119032</v>
      </c>
      <c r="L61">
        <f t="shared" si="0"/>
        <v>9.5251882911144253E-2</v>
      </c>
    </row>
    <row r="62" spans="1:12" x14ac:dyDescent="0.45">
      <c r="A62" s="5" t="s">
        <v>167</v>
      </c>
      <c r="B62" s="5">
        <v>421684.06353716698</v>
      </c>
      <c r="C62" s="5">
        <v>384306.64502244099</v>
      </c>
      <c r="D62" s="5">
        <v>614879.33147478302</v>
      </c>
      <c r="E62" s="5">
        <v>442119.13449286798</v>
      </c>
      <c r="F62" s="5">
        <v>400397.75391821901</v>
      </c>
      <c r="G62" s="5">
        <v>416179.963934328</v>
      </c>
      <c r="H62" s="5">
        <v>599129.30207266903</v>
      </c>
      <c r="I62" s="5">
        <v>445525.18831825297</v>
      </c>
      <c r="J62" s="5">
        <v>625957.79852409195</v>
      </c>
      <c r="K62" s="5">
        <v>523101.89131681802</v>
      </c>
      <c r="L62">
        <f t="shared" si="0"/>
        <v>9.5355209483336395E-2</v>
      </c>
    </row>
    <row r="63" spans="1:12" x14ac:dyDescent="0.45">
      <c r="A63" s="5" t="s">
        <v>35</v>
      </c>
      <c r="B63" s="5">
        <v>8371288.9457826903</v>
      </c>
      <c r="C63" s="5">
        <v>2495077.6958069401</v>
      </c>
      <c r="D63" s="5">
        <v>5014583.8022616804</v>
      </c>
      <c r="E63" s="5">
        <v>4273033.1918038502</v>
      </c>
      <c r="F63" s="5">
        <v>2147635.4116187301</v>
      </c>
      <c r="G63" s="5">
        <v>4098312.5044291802</v>
      </c>
      <c r="H63" s="5">
        <v>6123254.5799664296</v>
      </c>
      <c r="I63" s="5">
        <v>6169214.1481798198</v>
      </c>
      <c r="J63" s="5">
        <v>8672737.1121897697</v>
      </c>
      <c r="K63" s="5">
        <v>5979544.61600486</v>
      </c>
      <c r="L63">
        <f t="shared" si="0"/>
        <v>9.8459489309832435E-2</v>
      </c>
    </row>
    <row r="64" spans="1:12" x14ac:dyDescent="0.45">
      <c r="A64" s="5" t="s">
        <v>32</v>
      </c>
      <c r="B64" s="5">
        <v>6945649.0422506304</v>
      </c>
      <c r="C64" s="5">
        <v>4297551.77348522</v>
      </c>
      <c r="D64" s="5">
        <v>3162619.3360498501</v>
      </c>
      <c r="E64" s="5">
        <v>8250820.6664532796</v>
      </c>
      <c r="F64" s="5">
        <v>6007652.2157618897</v>
      </c>
      <c r="G64" s="5">
        <v>3725300.0864480701</v>
      </c>
      <c r="H64" s="5">
        <v>5955574.0091102198</v>
      </c>
      <c r="I64" s="5">
        <v>11654823.6933263</v>
      </c>
      <c r="J64" s="5">
        <v>10413748.9222726</v>
      </c>
      <c r="K64" s="5">
        <v>5484010.7566808304</v>
      </c>
      <c r="L64">
        <f t="shared" si="0"/>
        <v>9.9329896263422868E-2</v>
      </c>
    </row>
    <row r="65" spans="1:12" x14ac:dyDescent="0.45">
      <c r="A65" s="5" t="s">
        <v>181</v>
      </c>
      <c r="B65" s="5">
        <v>8435401.9886031095</v>
      </c>
      <c r="C65" s="5">
        <v>21498047.474083401</v>
      </c>
      <c r="D65" s="5">
        <v>5966809.0030063801</v>
      </c>
      <c r="E65" s="5">
        <v>3184250.1815660801</v>
      </c>
      <c r="F65" s="5">
        <v>19861142.026835602</v>
      </c>
      <c r="G65" s="5">
        <v>24045491.541991901</v>
      </c>
      <c r="H65" s="5">
        <v>7113970.6182552204</v>
      </c>
      <c r="I65" s="5">
        <v>4889405.7716800999</v>
      </c>
      <c r="J65" s="5">
        <v>6804448.4496324603</v>
      </c>
      <c r="K65" s="5">
        <v>1555248.0046300299</v>
      </c>
      <c r="L65">
        <f t="shared" si="0"/>
        <v>9.97031167649996E-2</v>
      </c>
    </row>
    <row r="66" spans="1:12" x14ac:dyDescent="0.45">
      <c r="A66" s="5" t="s">
        <v>233</v>
      </c>
      <c r="B66" s="5">
        <v>1860720.9514852001</v>
      </c>
      <c r="C66" s="5">
        <v>10043040.5567539</v>
      </c>
      <c r="D66" s="5">
        <v>3612742.1836779998</v>
      </c>
      <c r="E66" s="5">
        <v>318431.35956101998</v>
      </c>
      <c r="F66" s="5">
        <v>12457617.6902059</v>
      </c>
      <c r="G66" s="5">
        <v>6077513.3191913804</v>
      </c>
      <c r="H66" s="5">
        <v>964630.66386364796</v>
      </c>
      <c r="I66" s="5">
        <v>1711635.5549359201</v>
      </c>
      <c r="J66" s="5">
        <v>1864406.9059874599</v>
      </c>
      <c r="K66" s="5">
        <v>322860.08834243898</v>
      </c>
      <c r="L66">
        <f t="shared" ref="L66:L129" si="2">TTEST(B66:G66,H66:K66,2,2)</f>
        <v>0.10150043488867025</v>
      </c>
    </row>
    <row r="67" spans="1:12" x14ac:dyDescent="0.45">
      <c r="A67" s="5" t="s">
        <v>51</v>
      </c>
      <c r="B67" s="5">
        <v>727640.273307428</v>
      </c>
      <c r="C67" s="5">
        <v>2770051.9905614601</v>
      </c>
      <c r="D67" s="5">
        <v>774276.92878896999</v>
      </c>
      <c r="E67" s="5">
        <v>639084.40595538204</v>
      </c>
      <c r="F67" s="5">
        <v>1634090.5949039401</v>
      </c>
      <c r="G67" s="5">
        <v>3108043.82927251</v>
      </c>
      <c r="H67" s="5">
        <v>553153.03243258595</v>
      </c>
      <c r="I67" s="5">
        <v>627637.97892311402</v>
      </c>
      <c r="J67" s="5">
        <v>708253.43131232006</v>
      </c>
      <c r="K67" s="5">
        <v>388451.17957376101</v>
      </c>
      <c r="L67">
        <f t="shared" si="2"/>
        <v>0.10157197103064937</v>
      </c>
    </row>
    <row r="68" spans="1:12" x14ac:dyDescent="0.45">
      <c r="A68" s="5" t="s">
        <v>176</v>
      </c>
      <c r="B68" s="5">
        <v>48197144.187938198</v>
      </c>
      <c r="C68" s="5">
        <v>22850327.8400237</v>
      </c>
      <c r="D68" s="5">
        <v>56374078.735508002</v>
      </c>
      <c r="E68" s="5">
        <v>37306260.571054399</v>
      </c>
      <c r="F68" s="5">
        <v>20940562.487657901</v>
      </c>
      <c r="G68" s="5">
        <v>25484931.934388299</v>
      </c>
      <c r="H68" s="5">
        <v>60276451.640484497</v>
      </c>
      <c r="I68" s="5">
        <v>40027265.656321697</v>
      </c>
      <c r="J68" s="5">
        <v>52437447.831717402</v>
      </c>
      <c r="K68" s="5">
        <v>48272023.675129898</v>
      </c>
      <c r="L68">
        <f t="shared" si="2"/>
        <v>0.10296151645738097</v>
      </c>
    </row>
    <row r="69" spans="1:12" x14ac:dyDescent="0.45">
      <c r="A69" s="5" t="s">
        <v>241</v>
      </c>
      <c r="B69" s="5">
        <v>19247.157041901999</v>
      </c>
      <c r="C69" s="5">
        <v>400735.75056510698</v>
      </c>
      <c r="D69" s="5">
        <v>39204.049311062503</v>
      </c>
      <c r="E69" s="5">
        <v>23041.647748372299</v>
      </c>
      <c r="F69" s="5">
        <v>348539.42947990901</v>
      </c>
      <c r="G69" s="5">
        <v>344496.59086614603</v>
      </c>
      <c r="H69" s="5">
        <v>18079.665965373501</v>
      </c>
      <c r="I69" s="5">
        <v>18173.769653791202</v>
      </c>
      <c r="J69" s="5">
        <v>30261.180201221501</v>
      </c>
      <c r="K69" s="5">
        <v>21172.6402198125</v>
      </c>
      <c r="L69">
        <f t="shared" si="2"/>
        <v>0.10428659561351979</v>
      </c>
    </row>
    <row r="70" spans="1:12" x14ac:dyDescent="0.45">
      <c r="A70" s="5" t="s">
        <v>252</v>
      </c>
      <c r="B70" s="5">
        <v>58675.380998348999</v>
      </c>
      <c r="C70" s="5">
        <v>743878.47831962805</v>
      </c>
      <c r="D70" s="5">
        <v>65999.297332998001</v>
      </c>
      <c r="E70" s="5">
        <v>83595.011096300499</v>
      </c>
      <c r="F70" s="5">
        <v>837150.35672144196</v>
      </c>
      <c r="G70" s="5">
        <v>733152.30195448198</v>
      </c>
      <c r="H70" s="5">
        <v>61377.100495388098</v>
      </c>
      <c r="I70" s="5">
        <v>59225.280752271698</v>
      </c>
      <c r="J70" s="5">
        <v>59475.394209177299</v>
      </c>
      <c r="K70" s="5">
        <v>63688.541456957799</v>
      </c>
      <c r="L70">
        <f t="shared" si="2"/>
        <v>0.10566641995449114</v>
      </c>
    </row>
    <row r="71" spans="1:12" x14ac:dyDescent="0.45">
      <c r="A71" s="5" t="s">
        <v>259</v>
      </c>
      <c r="B71" s="5">
        <v>43560298.101821303</v>
      </c>
      <c r="C71" s="5">
        <v>21658834.818319499</v>
      </c>
      <c r="D71" s="5">
        <v>49966099.946239702</v>
      </c>
      <c r="E71" s="5">
        <v>23561455.582049899</v>
      </c>
      <c r="F71" s="5">
        <v>34655437.778078601</v>
      </c>
      <c r="G71" s="5">
        <v>23443195.516431201</v>
      </c>
      <c r="H71" s="5">
        <v>48432845.968585901</v>
      </c>
      <c r="I71" s="5">
        <v>56518838.707197897</v>
      </c>
      <c r="J71" s="5">
        <v>42402583.022204801</v>
      </c>
      <c r="K71" s="5">
        <v>34740222.146774799</v>
      </c>
      <c r="L71">
        <f t="shared" si="2"/>
        <v>0.11082507867810308</v>
      </c>
    </row>
    <row r="72" spans="1:12" x14ac:dyDescent="0.45">
      <c r="A72" s="5" t="s">
        <v>279</v>
      </c>
      <c r="B72" s="5">
        <v>548612.59296182904</v>
      </c>
      <c r="C72" s="5">
        <v>3982457.8925323202</v>
      </c>
      <c r="D72" s="5">
        <v>671945.19766085898</v>
      </c>
      <c r="E72" s="5">
        <v>536152.83692928695</v>
      </c>
      <c r="F72" s="5">
        <v>3741924.97300083</v>
      </c>
      <c r="G72" s="5">
        <v>3943727.3813822102</v>
      </c>
      <c r="H72" s="5">
        <v>848182.61883097095</v>
      </c>
      <c r="I72" s="5">
        <v>769473.76314391405</v>
      </c>
      <c r="J72" s="5">
        <v>489825.02927244402</v>
      </c>
      <c r="K72" s="5">
        <v>188621.13450894499</v>
      </c>
      <c r="L72">
        <f t="shared" si="2"/>
        <v>0.11220359734295868</v>
      </c>
    </row>
    <row r="73" spans="1:12" x14ac:dyDescent="0.45">
      <c r="A73" s="5" t="s">
        <v>269</v>
      </c>
      <c r="B73" s="5">
        <v>630545.383811826</v>
      </c>
      <c r="C73" s="5">
        <v>7407006.3486313</v>
      </c>
      <c r="D73" s="5">
        <v>275175.51901249302</v>
      </c>
      <c r="E73" s="5">
        <v>510541.35474939301</v>
      </c>
      <c r="F73" s="5">
        <v>4830178.70123115</v>
      </c>
      <c r="G73" s="5">
        <v>6316053.3361952901</v>
      </c>
      <c r="H73" s="5">
        <v>370261.72286328702</v>
      </c>
      <c r="I73" s="5">
        <v>297195.79616821499</v>
      </c>
      <c r="J73" s="5">
        <v>401813.49671886099</v>
      </c>
      <c r="K73" s="5">
        <v>495025.64983915602</v>
      </c>
      <c r="L73">
        <f t="shared" si="2"/>
        <v>0.11324164195999746</v>
      </c>
    </row>
    <row r="74" spans="1:12" x14ac:dyDescent="0.45">
      <c r="A74" s="5" t="s">
        <v>232</v>
      </c>
      <c r="B74" s="5">
        <v>9065905.9067383297</v>
      </c>
      <c r="C74" s="5">
        <v>86733760.474906206</v>
      </c>
      <c r="D74" s="5">
        <v>6377756.6510328297</v>
      </c>
      <c r="E74" s="5">
        <v>7032542.1838739198</v>
      </c>
      <c r="F74" s="5">
        <v>51377423.355009302</v>
      </c>
      <c r="G74" s="5">
        <v>58454950.238472797</v>
      </c>
      <c r="H74" s="5">
        <v>5224297.7112736003</v>
      </c>
      <c r="I74" s="5">
        <v>5966405.84119057</v>
      </c>
      <c r="J74" s="5">
        <v>9537707.6402713191</v>
      </c>
      <c r="K74" s="5">
        <v>2394857.1687028701</v>
      </c>
      <c r="L74">
        <f t="shared" si="2"/>
        <v>0.11455473733262476</v>
      </c>
    </row>
    <row r="75" spans="1:12" x14ac:dyDescent="0.45">
      <c r="A75" s="5" t="s">
        <v>185</v>
      </c>
      <c r="B75" s="5">
        <v>476125.51812440797</v>
      </c>
      <c r="C75" s="5">
        <v>66774824.993462197</v>
      </c>
      <c r="D75" s="5">
        <v>110112.91128433699</v>
      </c>
      <c r="E75" s="5">
        <v>681437.06624710304</v>
      </c>
      <c r="F75" s="5">
        <v>54097591.841656402</v>
      </c>
      <c r="G75" s="5">
        <v>48807350.521434203</v>
      </c>
      <c r="H75" s="5">
        <v>355561.05484643101</v>
      </c>
      <c r="I75" s="5">
        <v>451236.10730242101</v>
      </c>
      <c r="J75" s="5">
        <v>86621.212165236095</v>
      </c>
      <c r="K75" s="5">
        <v>137078.43326638901</v>
      </c>
      <c r="L75">
        <f t="shared" si="2"/>
        <v>0.11508544426332011</v>
      </c>
    </row>
    <row r="76" spans="1:12" x14ac:dyDescent="0.45">
      <c r="A76" s="5" t="s">
        <v>135</v>
      </c>
      <c r="B76" s="5">
        <v>1165814.8898198199</v>
      </c>
      <c r="C76" s="5">
        <v>2077027.1083557301</v>
      </c>
      <c r="D76" s="5">
        <v>464632.42153297702</v>
      </c>
      <c r="E76" s="5">
        <v>2968972.9281404</v>
      </c>
      <c r="F76" s="5">
        <v>1777098.9044560799</v>
      </c>
      <c r="G76" s="5">
        <v>1179083.5166515601</v>
      </c>
      <c r="H76" s="5">
        <v>929338.93216382503</v>
      </c>
      <c r="I76" s="5">
        <v>442961.70273531001</v>
      </c>
      <c r="J76" s="5">
        <v>597552.83346884896</v>
      </c>
      <c r="K76" s="5">
        <v>1179962.907803</v>
      </c>
      <c r="L76">
        <f t="shared" si="2"/>
        <v>0.11528703403146459</v>
      </c>
    </row>
    <row r="77" spans="1:12" x14ac:dyDescent="0.45">
      <c r="A77" s="5" t="s">
        <v>98</v>
      </c>
      <c r="B77" s="5">
        <v>498866.65063442499</v>
      </c>
      <c r="C77" s="5">
        <v>134086.98410537399</v>
      </c>
      <c r="D77" s="5">
        <v>1009934.39085636</v>
      </c>
      <c r="E77" s="5">
        <v>378903.033723086</v>
      </c>
      <c r="F77" s="5">
        <v>176869.076651671</v>
      </c>
      <c r="G77" s="5">
        <v>153736.09454533699</v>
      </c>
      <c r="H77" s="5">
        <v>656857.248465123</v>
      </c>
      <c r="I77" s="5">
        <v>898535.908762265</v>
      </c>
      <c r="J77" s="5">
        <v>660922.88245025103</v>
      </c>
      <c r="K77" s="5">
        <v>614343.998765531</v>
      </c>
      <c r="L77">
        <f t="shared" si="2"/>
        <v>0.1153183945564312</v>
      </c>
    </row>
    <row r="78" spans="1:12" x14ac:dyDescent="0.45">
      <c r="A78" s="5" t="s">
        <v>224</v>
      </c>
      <c r="B78" s="5">
        <v>1199303.9033017899</v>
      </c>
      <c r="C78" s="5">
        <v>34400981.202955298</v>
      </c>
      <c r="D78" s="5">
        <v>1676106.7662325499</v>
      </c>
      <c r="E78" s="5">
        <v>1020730.34142192</v>
      </c>
      <c r="F78" s="5">
        <v>24817855.557541501</v>
      </c>
      <c r="G78" s="5">
        <v>30317151.2232472</v>
      </c>
      <c r="H78" s="5">
        <v>1099067.6339626601</v>
      </c>
      <c r="I78" s="5">
        <v>1126316.4779163101</v>
      </c>
      <c r="J78" s="5">
        <v>1780950.4844051001</v>
      </c>
      <c r="K78" s="5">
        <v>851298.79497942596</v>
      </c>
      <c r="L78">
        <f t="shared" si="2"/>
        <v>0.11541833804754112</v>
      </c>
    </row>
    <row r="79" spans="1:12" x14ac:dyDescent="0.45">
      <c r="A79" s="5" t="s">
        <v>200</v>
      </c>
      <c r="B79" s="5">
        <v>11729896.6964486</v>
      </c>
      <c r="C79" s="5">
        <v>2501285.4705204102</v>
      </c>
      <c r="D79" s="5">
        <v>13293307.0731005</v>
      </c>
      <c r="E79" s="5">
        <v>12881505.3165306</v>
      </c>
      <c r="F79" s="5">
        <v>11659734.8328193</v>
      </c>
      <c r="G79" s="5">
        <v>3850423.3883243599</v>
      </c>
      <c r="H79" s="5">
        <v>13248928.406089401</v>
      </c>
      <c r="I79" s="5">
        <v>19294444.321309999</v>
      </c>
      <c r="J79" s="5">
        <v>13452749.3044431</v>
      </c>
      <c r="K79" s="5">
        <v>11187602.4646006</v>
      </c>
      <c r="L79">
        <f t="shared" si="2"/>
        <v>0.11554006533221427</v>
      </c>
    </row>
    <row r="80" spans="1:12" x14ac:dyDescent="0.45">
      <c r="A80" s="5" t="s">
        <v>286</v>
      </c>
      <c r="B80" s="5">
        <v>5034388.7783415196</v>
      </c>
      <c r="C80" s="5">
        <v>710028239.03636503</v>
      </c>
      <c r="D80" s="5">
        <v>835938.47551611601</v>
      </c>
      <c r="E80" s="5">
        <v>7915199.48289074</v>
      </c>
      <c r="F80" s="5">
        <v>577174080.78691196</v>
      </c>
      <c r="G80" s="5">
        <v>518796405.56788599</v>
      </c>
      <c r="H80" s="5">
        <v>5024667.2615748802</v>
      </c>
      <c r="I80" s="5">
        <v>5295415.1750850296</v>
      </c>
      <c r="J80" s="5">
        <v>1550020.75740736</v>
      </c>
      <c r="K80" s="5">
        <v>2164858.9861244</v>
      </c>
      <c r="L80">
        <f t="shared" si="2"/>
        <v>0.11575124109717565</v>
      </c>
    </row>
    <row r="81" spans="1:12" x14ac:dyDescent="0.45">
      <c r="A81" s="5" t="s">
        <v>195</v>
      </c>
      <c r="B81" s="5">
        <v>150314.867485803</v>
      </c>
      <c r="C81" s="5">
        <v>4601026.5875869803</v>
      </c>
      <c r="D81" s="5">
        <v>130267.28388929499</v>
      </c>
      <c r="E81" s="5">
        <v>58897.270351571402</v>
      </c>
      <c r="F81" s="5">
        <v>3411600.43284918</v>
      </c>
      <c r="G81" s="5">
        <v>5140723.1656103302</v>
      </c>
      <c r="H81" s="5">
        <v>64296.994131133702</v>
      </c>
      <c r="I81" s="5">
        <v>87278.645269487301</v>
      </c>
      <c r="J81" s="5">
        <v>203667.54288776699</v>
      </c>
      <c r="K81" s="5">
        <v>21154.8949754762</v>
      </c>
      <c r="L81">
        <f t="shared" si="2"/>
        <v>0.11740392987598111</v>
      </c>
    </row>
    <row r="82" spans="1:12" x14ac:dyDescent="0.45">
      <c r="A82" s="5" t="s">
        <v>237</v>
      </c>
      <c r="B82" s="5">
        <v>66657.990382930599</v>
      </c>
      <c r="C82" s="5">
        <v>772499.87307018298</v>
      </c>
      <c r="D82" s="5">
        <v>67952.869658647905</v>
      </c>
      <c r="E82" s="5">
        <v>65445.554274771101</v>
      </c>
      <c r="F82" s="5">
        <v>561946.11093253898</v>
      </c>
      <c r="G82" s="5">
        <v>797998.07624635997</v>
      </c>
      <c r="H82" s="5">
        <v>72503.542201416203</v>
      </c>
      <c r="I82" s="5">
        <v>69182.688065118098</v>
      </c>
      <c r="J82" s="5">
        <v>59757.6117815916</v>
      </c>
      <c r="K82" s="5">
        <v>64865.616975872101</v>
      </c>
      <c r="L82">
        <f t="shared" si="2"/>
        <v>0.11950930504306631</v>
      </c>
    </row>
    <row r="83" spans="1:12" x14ac:dyDescent="0.45">
      <c r="A83" s="5" t="s">
        <v>270</v>
      </c>
      <c r="B83" s="5">
        <v>515527.19013110898</v>
      </c>
      <c r="C83" s="5">
        <v>11213689.0627901</v>
      </c>
      <c r="D83" s="5">
        <v>472960.86443797598</v>
      </c>
      <c r="E83" s="5">
        <v>632075.34270021506</v>
      </c>
      <c r="F83" s="5">
        <v>7831876.6030177698</v>
      </c>
      <c r="G83" s="5">
        <v>9811926.8377093691</v>
      </c>
      <c r="H83" s="5">
        <v>506541.70497056702</v>
      </c>
      <c r="I83" s="5">
        <v>257538.90499393499</v>
      </c>
      <c r="J83" s="5">
        <v>780424.67908802698</v>
      </c>
      <c r="K83" s="5">
        <v>669706.64679449995</v>
      </c>
      <c r="L83">
        <f t="shared" si="2"/>
        <v>0.11964141541039845</v>
      </c>
    </row>
    <row r="84" spans="1:12" x14ac:dyDescent="0.45">
      <c r="A84" s="5" t="s">
        <v>94</v>
      </c>
      <c r="B84" s="5">
        <v>31811140.429123901</v>
      </c>
      <c r="C84" s="5">
        <v>722765053.95175505</v>
      </c>
      <c r="D84" s="5">
        <v>43923525.742443897</v>
      </c>
      <c r="E84" s="5">
        <v>20228433.570144799</v>
      </c>
      <c r="F84" s="5">
        <v>584173307.56260502</v>
      </c>
      <c r="G84" s="5">
        <v>665972682.62444603</v>
      </c>
      <c r="H84" s="5">
        <v>35420634.275148101</v>
      </c>
      <c r="I84" s="5">
        <v>36042461.094391704</v>
      </c>
      <c r="J84" s="5">
        <v>56433693.401855797</v>
      </c>
      <c r="K84" s="5">
        <v>22521031.461946599</v>
      </c>
      <c r="L84">
        <f t="shared" si="2"/>
        <v>0.11983988734619239</v>
      </c>
    </row>
    <row r="85" spans="1:12" x14ac:dyDescent="0.45">
      <c r="A85" s="5" t="s">
        <v>121</v>
      </c>
      <c r="B85" s="5">
        <v>678591.77189151396</v>
      </c>
      <c r="C85" s="5">
        <v>12507446.276856</v>
      </c>
      <c r="D85" s="5">
        <v>595904.46874484397</v>
      </c>
      <c r="E85" s="5">
        <v>178670.74263478001</v>
      </c>
      <c r="F85" s="5">
        <v>9392022.2122452892</v>
      </c>
      <c r="G85" s="5">
        <v>12230688.363851501</v>
      </c>
      <c r="H85" s="5">
        <v>598772.89512584696</v>
      </c>
      <c r="I85" s="5">
        <v>600848.44175333797</v>
      </c>
      <c r="J85" s="5">
        <v>862542.38115783199</v>
      </c>
      <c r="K85" s="5">
        <v>96111.227592892494</v>
      </c>
      <c r="L85">
        <f t="shared" si="2"/>
        <v>0.12009358942359563</v>
      </c>
    </row>
    <row r="86" spans="1:12" x14ac:dyDescent="0.45">
      <c r="A86" s="5" t="s">
        <v>216</v>
      </c>
      <c r="B86" s="5">
        <v>3765370.1522122002</v>
      </c>
      <c r="C86" s="5">
        <v>116270158.522383</v>
      </c>
      <c r="D86" s="5">
        <v>192736.09711818601</v>
      </c>
      <c r="E86" s="5">
        <v>1623822.7805024299</v>
      </c>
      <c r="F86" s="5">
        <v>98207296.698595405</v>
      </c>
      <c r="G86" s="5">
        <v>127260801.064364</v>
      </c>
      <c r="H86" s="5">
        <v>1686135.60887782</v>
      </c>
      <c r="I86" s="5">
        <v>1915028.0842580199</v>
      </c>
      <c r="J86" s="5">
        <v>7285797.8697285196</v>
      </c>
      <c r="K86" s="5">
        <v>552176.88893195195</v>
      </c>
      <c r="L86">
        <f t="shared" si="2"/>
        <v>0.12083132354380331</v>
      </c>
    </row>
    <row r="87" spans="1:12" x14ac:dyDescent="0.45">
      <c r="A87" s="5" t="s">
        <v>228</v>
      </c>
      <c r="B87" s="5">
        <v>13458660.210223399</v>
      </c>
      <c r="C87" s="5">
        <v>407648776.430668</v>
      </c>
      <c r="D87" s="5">
        <v>705370.44468747405</v>
      </c>
      <c r="E87" s="5">
        <v>5862576.8436984597</v>
      </c>
      <c r="F87" s="5">
        <v>346306624.08405101</v>
      </c>
      <c r="G87" s="5">
        <v>446531744.13990802</v>
      </c>
      <c r="H87" s="5">
        <v>6443197.6473731603</v>
      </c>
      <c r="I87" s="5">
        <v>7658510.7424470996</v>
      </c>
      <c r="J87" s="5">
        <v>27368158.6346559</v>
      </c>
      <c r="K87" s="5">
        <v>2070522.5279147599</v>
      </c>
      <c r="L87">
        <f t="shared" si="2"/>
        <v>0.12188864503297746</v>
      </c>
    </row>
    <row r="88" spans="1:12" x14ac:dyDescent="0.45">
      <c r="A88" s="5" t="s">
        <v>282</v>
      </c>
      <c r="B88" s="5">
        <v>3680049.8285926101</v>
      </c>
      <c r="C88" s="5">
        <v>30343395.931092702</v>
      </c>
      <c r="D88" s="5">
        <v>2017513.86480966</v>
      </c>
      <c r="E88" s="5">
        <v>1377198.7683311801</v>
      </c>
      <c r="F88" s="5">
        <v>35653243.871511899</v>
      </c>
      <c r="G88" s="5">
        <v>53554318.022791997</v>
      </c>
      <c r="H88" s="5">
        <v>1282782.80428808</v>
      </c>
      <c r="I88" s="5">
        <v>2748061.7095815102</v>
      </c>
      <c r="J88" s="5">
        <v>2551818.9354011002</v>
      </c>
      <c r="K88" s="5">
        <v>590833.88126134698</v>
      </c>
      <c r="L88">
        <f t="shared" si="2"/>
        <v>0.12308530806089084</v>
      </c>
    </row>
    <row r="89" spans="1:12" x14ac:dyDescent="0.45">
      <c r="A89" s="5" t="s">
        <v>103</v>
      </c>
      <c r="B89" s="5">
        <v>2439588.4009658401</v>
      </c>
      <c r="C89" s="5">
        <v>11987727.5485128</v>
      </c>
      <c r="D89" s="5">
        <v>3295840.0518171298</v>
      </c>
      <c r="E89" s="5">
        <v>2792716.1963607301</v>
      </c>
      <c r="F89" s="5">
        <v>8911719.2305753697</v>
      </c>
      <c r="G89" s="5">
        <v>11356416.496233501</v>
      </c>
      <c r="H89" s="5">
        <v>3258255.3741390002</v>
      </c>
      <c r="I89" s="5">
        <v>2666824.76428694</v>
      </c>
      <c r="J89" s="5">
        <v>3328024.0095957802</v>
      </c>
      <c r="K89" s="5">
        <v>2259862.2339178701</v>
      </c>
      <c r="L89">
        <f t="shared" si="2"/>
        <v>0.1246767475602184</v>
      </c>
    </row>
    <row r="90" spans="1:12" x14ac:dyDescent="0.45">
      <c r="A90" s="5" t="s">
        <v>179</v>
      </c>
      <c r="B90" s="5">
        <v>916291.29750478105</v>
      </c>
      <c r="C90" s="5">
        <v>20890027.526346698</v>
      </c>
      <c r="D90" s="5">
        <v>22091.901026201002</v>
      </c>
      <c r="E90" s="5">
        <v>286447.24665436998</v>
      </c>
      <c r="F90" s="5">
        <v>16807400.4345924</v>
      </c>
      <c r="G90" s="5">
        <v>23262679.8383331</v>
      </c>
      <c r="H90" s="5">
        <v>358006.12667123298</v>
      </c>
      <c r="I90" s="5">
        <v>445731.962710611</v>
      </c>
      <c r="J90" s="5">
        <v>1667745.45219626</v>
      </c>
      <c r="K90" s="5">
        <v>91277.173570861894</v>
      </c>
      <c r="L90">
        <f t="shared" si="2"/>
        <v>0.12488477777307062</v>
      </c>
    </row>
    <row r="91" spans="1:12" x14ac:dyDescent="0.45">
      <c r="A91" s="5" t="s">
        <v>197</v>
      </c>
      <c r="B91" s="5">
        <v>785934.34515457996</v>
      </c>
      <c r="C91" s="5">
        <v>5325958.7987109898</v>
      </c>
      <c r="D91" s="5">
        <v>549421.92280944297</v>
      </c>
      <c r="E91" s="5">
        <v>747348.12271127698</v>
      </c>
      <c r="F91" s="5">
        <v>4451364.62938789</v>
      </c>
      <c r="G91" s="5">
        <v>5938793.3551680297</v>
      </c>
      <c r="H91" s="5">
        <v>1327236.6618250201</v>
      </c>
      <c r="I91" s="5">
        <v>579144.29663952498</v>
      </c>
      <c r="J91" s="5">
        <v>754265.620910628</v>
      </c>
      <c r="K91" s="5">
        <v>278593.91768379201</v>
      </c>
      <c r="L91">
        <f t="shared" si="2"/>
        <v>0.12568843728119178</v>
      </c>
    </row>
    <row r="92" spans="1:12" x14ac:dyDescent="0.45">
      <c r="A92" s="5" t="s">
        <v>77</v>
      </c>
      <c r="B92" s="5">
        <v>23862.395540604299</v>
      </c>
      <c r="C92" s="5">
        <v>593173.69536003703</v>
      </c>
      <c r="D92" s="5">
        <v>29260.223067074501</v>
      </c>
      <c r="E92" s="5">
        <v>29431.398550731501</v>
      </c>
      <c r="F92" s="5">
        <v>419757.82756996102</v>
      </c>
      <c r="G92" s="5">
        <v>495163.04645455198</v>
      </c>
      <c r="H92" s="5">
        <v>50961.493282515999</v>
      </c>
      <c r="I92" s="5">
        <v>23698.568163847402</v>
      </c>
      <c r="J92" s="5">
        <v>31075.135077532599</v>
      </c>
      <c r="K92" s="5">
        <v>28953.966377589899</v>
      </c>
      <c r="L92">
        <f t="shared" si="2"/>
        <v>0.12682169046473232</v>
      </c>
    </row>
    <row r="93" spans="1:12" x14ac:dyDescent="0.45">
      <c r="A93" s="5" t="s">
        <v>115</v>
      </c>
      <c r="B93" s="5">
        <v>75611113.683093697</v>
      </c>
      <c r="C93" s="5">
        <v>59232967.876925699</v>
      </c>
      <c r="D93" s="5">
        <v>92538065.362923801</v>
      </c>
      <c r="E93" s="5">
        <v>68433715.713200897</v>
      </c>
      <c r="F93" s="5">
        <v>54956907.090848297</v>
      </c>
      <c r="G93" s="5">
        <v>43227783.110673703</v>
      </c>
      <c r="H93" s="5">
        <v>100450900.62871499</v>
      </c>
      <c r="I93" s="5">
        <v>81869047.367983505</v>
      </c>
      <c r="J93" s="5">
        <v>70164715.221581504</v>
      </c>
      <c r="K93" s="5">
        <v>79248667.050880596</v>
      </c>
      <c r="L93">
        <f t="shared" si="2"/>
        <v>0.12690140152257934</v>
      </c>
    </row>
    <row r="94" spans="1:12" x14ac:dyDescent="0.45">
      <c r="A94" s="5" t="s">
        <v>223</v>
      </c>
      <c r="B94" s="5">
        <v>174613322.231895</v>
      </c>
      <c r="C94" s="5">
        <v>237225287.124401</v>
      </c>
      <c r="D94" s="5">
        <v>177637687.02316099</v>
      </c>
      <c r="E94" s="5">
        <v>418053256.13014501</v>
      </c>
      <c r="F94" s="5">
        <v>181940197.49959099</v>
      </c>
      <c r="G94" s="5">
        <v>214646624.196062</v>
      </c>
      <c r="H94" s="5">
        <v>140693412.906582</v>
      </c>
      <c r="I94" s="5">
        <v>130841086.483859</v>
      </c>
      <c r="J94" s="5">
        <v>149733183.49138701</v>
      </c>
      <c r="K94" s="5">
        <v>184838301.96583799</v>
      </c>
      <c r="L94">
        <f t="shared" si="2"/>
        <v>0.12799619218868885</v>
      </c>
    </row>
    <row r="95" spans="1:12" x14ac:dyDescent="0.45">
      <c r="A95" s="5" t="s">
        <v>277</v>
      </c>
      <c r="B95" s="5">
        <v>11757831.178488201</v>
      </c>
      <c r="C95" s="5">
        <v>225788962.850375</v>
      </c>
      <c r="D95" s="5">
        <v>17184018.1401827</v>
      </c>
      <c r="E95" s="5">
        <v>10847406.9834137</v>
      </c>
      <c r="F95" s="5">
        <v>142285947.13528401</v>
      </c>
      <c r="G95" s="5">
        <v>189412632.24214199</v>
      </c>
      <c r="H95" s="5">
        <v>14606046.1819236</v>
      </c>
      <c r="I95" s="5">
        <v>14474669.9438102</v>
      </c>
      <c r="J95" s="5">
        <v>18785603.092139199</v>
      </c>
      <c r="K95" s="5">
        <v>11086184.398003699</v>
      </c>
      <c r="L95">
        <f t="shared" si="2"/>
        <v>0.12907581286137357</v>
      </c>
    </row>
    <row r="96" spans="1:12" x14ac:dyDescent="0.45">
      <c r="A96" s="5" t="s">
        <v>243</v>
      </c>
      <c r="B96" s="5">
        <v>6351517.5383581501</v>
      </c>
      <c r="C96" s="5">
        <v>19766878.912726801</v>
      </c>
      <c r="D96" s="5">
        <v>4599132.6404216504</v>
      </c>
      <c r="E96" s="5">
        <v>2814629.5014773798</v>
      </c>
      <c r="F96" s="5">
        <v>15804183.763790701</v>
      </c>
      <c r="G96" s="5">
        <v>19960782.149494201</v>
      </c>
      <c r="H96" s="5">
        <v>6619422.0685290303</v>
      </c>
      <c r="I96" s="5">
        <v>4768040.7451439304</v>
      </c>
      <c r="J96" s="5">
        <v>5700474.0427443599</v>
      </c>
      <c r="K96" s="5">
        <v>1331999.3332898901</v>
      </c>
      <c r="L96">
        <f t="shared" si="2"/>
        <v>0.12939393246408298</v>
      </c>
    </row>
    <row r="97" spans="1:12" x14ac:dyDescent="0.45">
      <c r="A97" s="5" t="s">
        <v>174</v>
      </c>
      <c r="B97" s="5">
        <v>167278.090085356</v>
      </c>
      <c r="C97" s="5">
        <v>2386167.2161330399</v>
      </c>
      <c r="D97" s="5">
        <v>23708.4989790578</v>
      </c>
      <c r="E97" s="5">
        <v>20174.6608092776</v>
      </c>
      <c r="F97" s="5">
        <v>3291112.3802137999</v>
      </c>
      <c r="G97" s="5">
        <v>4873373.7405381398</v>
      </c>
      <c r="H97" s="5">
        <v>23393.274131448699</v>
      </c>
      <c r="I97" s="5">
        <v>102528.057708443</v>
      </c>
      <c r="J97" s="5">
        <v>83271.334963040994</v>
      </c>
      <c r="K97" s="5">
        <v>22496.394044225501</v>
      </c>
      <c r="L97">
        <f t="shared" si="2"/>
        <v>0.13561525510949718</v>
      </c>
    </row>
    <row r="98" spans="1:12" x14ac:dyDescent="0.45">
      <c r="A98" s="5" t="s">
        <v>186</v>
      </c>
      <c r="B98" s="5">
        <v>2238758.7927333498</v>
      </c>
      <c r="C98" s="5">
        <v>6393237.6118251504</v>
      </c>
      <c r="D98" s="5">
        <v>2432967.94485112</v>
      </c>
      <c r="E98" s="5">
        <v>2893056.28715256</v>
      </c>
      <c r="F98" s="5">
        <v>3899414.6412637401</v>
      </c>
      <c r="G98" s="5">
        <v>4258022.0020733196</v>
      </c>
      <c r="H98" s="5">
        <v>2774709.3288648399</v>
      </c>
      <c r="I98" s="5">
        <v>1666525.6965906499</v>
      </c>
      <c r="J98" s="5">
        <v>2502670.3887321302</v>
      </c>
      <c r="K98" s="5">
        <v>2410757.5946574798</v>
      </c>
      <c r="L98">
        <f t="shared" si="2"/>
        <v>0.13579728573400715</v>
      </c>
    </row>
    <row r="99" spans="1:12" x14ac:dyDescent="0.45">
      <c r="A99" s="5" t="s">
        <v>159</v>
      </c>
      <c r="B99" s="5">
        <v>98509.146552344493</v>
      </c>
      <c r="C99" s="5">
        <v>3692093.3916584202</v>
      </c>
      <c r="D99" s="5">
        <v>70966.022568367</v>
      </c>
      <c r="E99" s="5">
        <v>102537.310189565</v>
      </c>
      <c r="F99" s="5">
        <v>1964528.43739468</v>
      </c>
      <c r="G99" s="5">
        <v>3492641.5688612</v>
      </c>
      <c r="H99" s="5">
        <v>93207.155697909693</v>
      </c>
      <c r="I99" s="5">
        <v>108650.501955716</v>
      </c>
      <c r="J99" s="5">
        <v>184125.83274406299</v>
      </c>
      <c r="K99" s="5">
        <v>69375.3352636692</v>
      </c>
      <c r="L99">
        <f t="shared" si="2"/>
        <v>0.1372143644284457</v>
      </c>
    </row>
    <row r="100" spans="1:12" x14ac:dyDescent="0.45">
      <c r="A100" s="5" t="s">
        <v>158</v>
      </c>
      <c r="B100" s="5">
        <v>6679372.1439427603</v>
      </c>
      <c r="C100" s="5">
        <v>21348377.995446101</v>
      </c>
      <c r="D100" s="5">
        <v>6540294.0552058201</v>
      </c>
      <c r="E100" s="5">
        <v>7078961.5922729103</v>
      </c>
      <c r="F100" s="5">
        <v>12607634.2644004</v>
      </c>
      <c r="G100" s="5">
        <v>16537117.7333366</v>
      </c>
      <c r="H100" s="5">
        <v>7710345.0713089099</v>
      </c>
      <c r="I100" s="5">
        <v>4646777.7675766796</v>
      </c>
      <c r="J100" s="5">
        <v>7670023.5852856403</v>
      </c>
      <c r="K100" s="5">
        <v>6079289.9606885398</v>
      </c>
      <c r="L100">
        <f t="shared" si="2"/>
        <v>0.13830514091679624</v>
      </c>
    </row>
    <row r="101" spans="1:12" x14ac:dyDescent="0.45">
      <c r="A101" s="5" t="s">
        <v>253</v>
      </c>
      <c r="B101" s="5">
        <v>360093.387656665</v>
      </c>
      <c r="C101" s="5">
        <v>2344778.2711395998</v>
      </c>
      <c r="D101" s="5">
        <v>75912.629125944004</v>
      </c>
      <c r="E101" s="5">
        <v>277254.48270761</v>
      </c>
      <c r="F101" s="5">
        <v>1657775.4579238701</v>
      </c>
      <c r="G101" s="5">
        <v>2060345.55382397</v>
      </c>
      <c r="H101" s="5">
        <v>202464.63871961701</v>
      </c>
      <c r="I101" s="5">
        <v>581830.43427725404</v>
      </c>
      <c r="J101" s="5">
        <v>315296.62624901498</v>
      </c>
      <c r="K101" s="5">
        <v>29436.170773754598</v>
      </c>
      <c r="L101">
        <f t="shared" si="2"/>
        <v>0.14262875189420068</v>
      </c>
    </row>
    <row r="102" spans="1:12" x14ac:dyDescent="0.45">
      <c r="A102" s="5" t="s">
        <v>247</v>
      </c>
      <c r="B102" s="5">
        <v>25596827.398058198</v>
      </c>
      <c r="C102" s="5">
        <v>9479580.16280628</v>
      </c>
      <c r="D102" s="5">
        <v>39575883.188619502</v>
      </c>
      <c r="E102" s="5">
        <v>33503242.479057401</v>
      </c>
      <c r="F102" s="5">
        <v>10578203.513395101</v>
      </c>
      <c r="G102" s="5">
        <v>22839624.707920801</v>
      </c>
      <c r="H102" s="5">
        <v>33745005.886546999</v>
      </c>
      <c r="I102" s="5">
        <v>28031130.137926102</v>
      </c>
      <c r="J102" s="5">
        <v>44643373.6453458</v>
      </c>
      <c r="K102" s="5">
        <v>31427717.949593</v>
      </c>
      <c r="L102">
        <f t="shared" si="2"/>
        <v>0.14746302370709449</v>
      </c>
    </row>
    <row r="103" spans="1:12" x14ac:dyDescent="0.45">
      <c r="A103" s="5" t="s">
        <v>214</v>
      </c>
      <c r="B103" s="5">
        <v>1949464.8673481201</v>
      </c>
      <c r="C103" s="5">
        <v>10397092.397585601</v>
      </c>
      <c r="D103" s="5">
        <v>1958016.7354071401</v>
      </c>
      <c r="E103" s="5">
        <v>2553961.1767880898</v>
      </c>
      <c r="F103" s="5">
        <v>8210654.0070916899</v>
      </c>
      <c r="G103" s="5">
        <v>11327580.3736692</v>
      </c>
      <c r="H103" s="5">
        <v>3456347.32270345</v>
      </c>
      <c r="I103" s="5">
        <v>1772400.8576041099</v>
      </c>
      <c r="J103" s="5">
        <v>2152040.3421927299</v>
      </c>
      <c r="K103" s="5">
        <v>2363277.7023496898</v>
      </c>
      <c r="L103">
        <f t="shared" si="2"/>
        <v>0.14814493398245299</v>
      </c>
    </row>
    <row r="104" spans="1:12" x14ac:dyDescent="0.45">
      <c r="A104" s="5" t="s">
        <v>177</v>
      </c>
      <c r="B104" s="5">
        <v>993603.48704739497</v>
      </c>
      <c r="C104" s="5">
        <v>634829.32336477505</v>
      </c>
      <c r="D104" s="5">
        <v>1975653.0416579801</v>
      </c>
      <c r="E104" s="5">
        <v>1776880.93432439</v>
      </c>
      <c r="F104" s="5">
        <v>733196.75753919198</v>
      </c>
      <c r="G104" s="5">
        <v>573440.29127520905</v>
      </c>
      <c r="H104" s="5">
        <v>2138444.4394956501</v>
      </c>
      <c r="I104" s="5">
        <v>1257376.68671475</v>
      </c>
      <c r="J104" s="5">
        <v>1376717.9998449699</v>
      </c>
      <c r="K104" s="5">
        <v>1912242.27717051</v>
      </c>
      <c r="L104">
        <f t="shared" si="2"/>
        <v>0.15388423227135126</v>
      </c>
    </row>
    <row r="105" spans="1:12" x14ac:dyDescent="0.45">
      <c r="A105" s="5" t="s">
        <v>212</v>
      </c>
      <c r="B105" s="5">
        <v>10265803.8148594</v>
      </c>
      <c r="C105" s="5">
        <v>10165991.651990499</v>
      </c>
      <c r="D105" s="5">
        <v>1841719.0418664999</v>
      </c>
      <c r="E105" s="5">
        <v>2855531.79549838</v>
      </c>
      <c r="F105" s="5">
        <v>8139885.6360266404</v>
      </c>
      <c r="G105" s="5">
        <v>5922709.1168671697</v>
      </c>
      <c r="H105" s="5">
        <v>16253347.792053901</v>
      </c>
      <c r="I105" s="5">
        <v>9965029.45129296</v>
      </c>
      <c r="J105" s="5">
        <v>12296373.2989711</v>
      </c>
      <c r="K105" s="5">
        <v>4328812.7295306204</v>
      </c>
      <c r="L105">
        <f t="shared" si="2"/>
        <v>0.16049385108445408</v>
      </c>
    </row>
    <row r="106" spans="1:12" x14ac:dyDescent="0.45">
      <c r="A106" s="5" t="s">
        <v>114</v>
      </c>
      <c r="B106" s="5">
        <v>40964705.646025799</v>
      </c>
      <c r="C106" s="5">
        <v>21055619.8750281</v>
      </c>
      <c r="D106" s="5">
        <v>36698654.714452498</v>
      </c>
      <c r="E106" s="5">
        <v>56225588.171006702</v>
      </c>
      <c r="F106" s="5">
        <v>28190487.023901999</v>
      </c>
      <c r="G106" s="5">
        <v>19632455.8116979</v>
      </c>
      <c r="H106" s="5">
        <v>33886808.874857903</v>
      </c>
      <c r="I106" s="5">
        <v>54900386.043422699</v>
      </c>
      <c r="J106" s="5">
        <v>55194880.638124198</v>
      </c>
      <c r="K106" s="5">
        <v>41758128.429467</v>
      </c>
      <c r="L106">
        <f t="shared" si="2"/>
        <v>0.16089512799290204</v>
      </c>
    </row>
    <row r="107" spans="1:12" x14ac:dyDescent="0.45">
      <c r="A107" s="5" t="s">
        <v>61</v>
      </c>
      <c r="B107" s="5">
        <v>45535380.895784497</v>
      </c>
      <c r="C107" s="5">
        <v>30088934.994455699</v>
      </c>
      <c r="D107" s="5">
        <v>27625863.999618299</v>
      </c>
      <c r="E107" s="5">
        <v>70814956.640788704</v>
      </c>
      <c r="F107" s="5">
        <v>35171261.116104104</v>
      </c>
      <c r="G107" s="5">
        <v>42852821.521140203</v>
      </c>
      <c r="H107" s="5">
        <v>49038054.094246097</v>
      </c>
      <c r="I107" s="5">
        <v>49859455.7242302</v>
      </c>
      <c r="J107" s="5">
        <v>56535935.420533702</v>
      </c>
      <c r="K107" s="5">
        <v>65710143.784920797</v>
      </c>
      <c r="L107">
        <f t="shared" si="2"/>
        <v>0.16102316693174507</v>
      </c>
    </row>
    <row r="108" spans="1:12" x14ac:dyDescent="0.45">
      <c r="A108" s="5" t="s">
        <v>42</v>
      </c>
      <c r="B108" s="5">
        <v>945012.238102676</v>
      </c>
      <c r="C108" s="5">
        <v>693826.17433058796</v>
      </c>
      <c r="D108" s="5">
        <v>996823.77628160501</v>
      </c>
      <c r="E108" s="5">
        <v>1326966.37711103</v>
      </c>
      <c r="F108" s="5">
        <v>699822.78870002797</v>
      </c>
      <c r="G108" s="5">
        <v>614828.76041230699</v>
      </c>
      <c r="H108" s="5">
        <v>958521.49352341495</v>
      </c>
      <c r="I108" s="5">
        <v>1347495.8616890099</v>
      </c>
      <c r="J108" s="5">
        <v>1306202.7870034201</v>
      </c>
      <c r="K108" s="5">
        <v>6853018.9770473698</v>
      </c>
      <c r="L108">
        <f t="shared" si="2"/>
        <v>0.16181891673611701</v>
      </c>
    </row>
    <row r="109" spans="1:12" x14ac:dyDescent="0.45">
      <c r="A109" s="5" t="s">
        <v>199</v>
      </c>
      <c r="B109" s="5">
        <v>272107.78250319901</v>
      </c>
      <c r="C109" s="5">
        <v>1368156.15549988</v>
      </c>
      <c r="D109" s="5">
        <v>22307.022737536499</v>
      </c>
      <c r="E109" s="5">
        <v>63852.0437258702</v>
      </c>
      <c r="F109" s="5">
        <v>835381.47758669499</v>
      </c>
      <c r="G109" s="5">
        <v>1354155.4798819099</v>
      </c>
      <c r="H109" s="5">
        <v>114555.578011077</v>
      </c>
      <c r="I109" s="5">
        <v>62802.082372278397</v>
      </c>
      <c r="J109" s="5">
        <v>402575.39913617098</v>
      </c>
      <c r="K109" s="5">
        <v>35402.880494534002</v>
      </c>
      <c r="L109">
        <f t="shared" si="2"/>
        <v>0.16190000711527885</v>
      </c>
    </row>
    <row r="110" spans="1:12" x14ac:dyDescent="0.45">
      <c r="A110" s="5" t="s">
        <v>236</v>
      </c>
      <c r="B110" s="5">
        <v>4993401.2316360399</v>
      </c>
      <c r="C110" s="5">
        <v>34297179.109253503</v>
      </c>
      <c r="D110" s="5">
        <v>1561971.45462455</v>
      </c>
      <c r="E110" s="5">
        <v>1708663.7513341301</v>
      </c>
      <c r="F110" s="5">
        <v>25611072.475058898</v>
      </c>
      <c r="G110" s="5">
        <v>49751796.1257376</v>
      </c>
      <c r="H110" s="5">
        <v>4255158.8304977203</v>
      </c>
      <c r="I110" s="5">
        <v>3381020.8116479702</v>
      </c>
      <c r="J110" s="5">
        <v>6635979.7376051201</v>
      </c>
      <c r="K110" s="5">
        <v>1931882.5143327699</v>
      </c>
      <c r="L110">
        <f t="shared" si="2"/>
        <v>0.16779372469020362</v>
      </c>
    </row>
    <row r="111" spans="1:12" x14ac:dyDescent="0.45">
      <c r="A111" s="5" t="s">
        <v>285</v>
      </c>
      <c r="B111" s="5">
        <v>90353313.433298796</v>
      </c>
      <c r="C111" s="5">
        <v>523983837.42313802</v>
      </c>
      <c r="D111" s="5">
        <v>46474814.560951903</v>
      </c>
      <c r="E111" s="5">
        <v>60370220.025249504</v>
      </c>
      <c r="F111" s="5">
        <v>438572269.65693402</v>
      </c>
      <c r="G111" s="5">
        <v>567094665.22742403</v>
      </c>
      <c r="H111" s="5">
        <v>78300925.664219201</v>
      </c>
      <c r="I111" s="5">
        <v>91471713.381520703</v>
      </c>
      <c r="J111" s="5">
        <v>136480230.88725901</v>
      </c>
      <c r="K111" s="5">
        <v>80411061.870750397</v>
      </c>
      <c r="L111">
        <f t="shared" si="2"/>
        <v>0.169502345966002</v>
      </c>
    </row>
    <row r="112" spans="1:12" x14ac:dyDescent="0.45">
      <c r="A112" s="5" t="s">
        <v>45</v>
      </c>
      <c r="B112" s="5">
        <v>80808.603953376907</v>
      </c>
      <c r="C112" s="5">
        <v>3630036.44995768</v>
      </c>
      <c r="D112" s="5">
        <v>195627.01093780799</v>
      </c>
      <c r="E112" s="5">
        <v>320303.85887597001</v>
      </c>
      <c r="F112" s="5">
        <v>2660821.08175526</v>
      </c>
      <c r="G112" s="5">
        <v>3420428.33514645</v>
      </c>
      <c r="H112" s="5">
        <v>436691.37972817803</v>
      </c>
      <c r="I112" s="5">
        <v>585655.79236368998</v>
      </c>
      <c r="J112" s="5">
        <v>426323.58521285898</v>
      </c>
      <c r="K112" s="5">
        <v>242714.398407525</v>
      </c>
      <c r="L112">
        <f t="shared" si="2"/>
        <v>0.17385425786135403</v>
      </c>
    </row>
    <row r="113" spans="1:12" x14ac:dyDescent="0.45">
      <c r="A113" s="5" t="s">
        <v>175</v>
      </c>
      <c r="B113" s="5">
        <v>111477.43342980801</v>
      </c>
      <c r="C113" s="5">
        <v>36125.355473185402</v>
      </c>
      <c r="D113" s="5">
        <v>126199.460803102</v>
      </c>
      <c r="E113" s="5">
        <v>69112.946685388903</v>
      </c>
      <c r="F113" s="5">
        <v>56036.511650841698</v>
      </c>
      <c r="G113" s="5">
        <v>33176.707278899201</v>
      </c>
      <c r="H113" s="5">
        <v>105085.13843664101</v>
      </c>
      <c r="I113" s="5">
        <v>101237.35681604101</v>
      </c>
      <c r="J113" s="5">
        <v>102437.736115922</v>
      </c>
      <c r="K113" s="5">
        <v>97442.781580926705</v>
      </c>
      <c r="L113">
        <f t="shared" si="2"/>
        <v>0.17563437034129964</v>
      </c>
    </row>
    <row r="114" spans="1:12" x14ac:dyDescent="0.45">
      <c r="A114" s="5" t="s">
        <v>46</v>
      </c>
      <c r="B114" s="5">
        <v>18184556.7377025</v>
      </c>
      <c r="C114" s="5">
        <v>41511184.243469201</v>
      </c>
      <c r="D114" s="5">
        <v>29292108.618039899</v>
      </c>
      <c r="E114" s="5">
        <v>15838081.5387426</v>
      </c>
      <c r="F114" s="5">
        <v>32602319.424564499</v>
      </c>
      <c r="G114" s="5">
        <v>38981164.323812</v>
      </c>
      <c r="H114" s="5">
        <v>20029389.0722153</v>
      </c>
      <c r="I114" s="5">
        <v>26241845.756060101</v>
      </c>
      <c r="J114" s="5">
        <v>17840540.600175101</v>
      </c>
      <c r="K114" s="5">
        <v>20699278.312667601</v>
      </c>
      <c r="L114">
        <f t="shared" si="2"/>
        <v>0.17960513317959606</v>
      </c>
    </row>
    <row r="115" spans="1:12" x14ac:dyDescent="0.45">
      <c r="A115" s="5" t="s">
        <v>287</v>
      </c>
      <c r="B115" s="5">
        <v>27891417.9948957</v>
      </c>
      <c r="C115" s="5">
        <v>141432749.921242</v>
      </c>
      <c r="D115" s="5">
        <v>3661955.97283345</v>
      </c>
      <c r="E115" s="5">
        <v>13932941.582137899</v>
      </c>
      <c r="F115" s="5">
        <v>102675595.76626401</v>
      </c>
      <c r="G115" s="5">
        <v>139393452.42561799</v>
      </c>
      <c r="H115" s="5">
        <v>12720181.737880301</v>
      </c>
      <c r="I115" s="5">
        <v>50914711.194385797</v>
      </c>
      <c r="J115" s="5">
        <v>24274325.544972301</v>
      </c>
      <c r="K115" s="5">
        <v>2559422.3440651</v>
      </c>
      <c r="L115">
        <f t="shared" si="2"/>
        <v>0.18306670911202505</v>
      </c>
    </row>
    <row r="116" spans="1:12" x14ac:dyDescent="0.45">
      <c r="A116" s="5" t="s">
        <v>97</v>
      </c>
      <c r="B116" s="5">
        <v>30772861.7563335</v>
      </c>
      <c r="C116" s="5">
        <v>26714807.503438</v>
      </c>
      <c r="D116" s="5">
        <v>60672322.511498198</v>
      </c>
      <c r="E116" s="5">
        <v>49510341.6865343</v>
      </c>
      <c r="F116" s="5">
        <v>24407341.879869599</v>
      </c>
      <c r="G116" s="5">
        <v>35562342.813085303</v>
      </c>
      <c r="H116" s="5">
        <v>45763150.093362197</v>
      </c>
      <c r="I116" s="5">
        <v>44771141.102547102</v>
      </c>
      <c r="J116" s="5">
        <v>50386732.462200999</v>
      </c>
      <c r="K116" s="5">
        <v>54247079.539658703</v>
      </c>
      <c r="L116">
        <f t="shared" si="2"/>
        <v>0.18492031879773527</v>
      </c>
    </row>
    <row r="117" spans="1:12" x14ac:dyDescent="0.45">
      <c r="A117" s="5" t="s">
        <v>50</v>
      </c>
      <c r="B117" s="5">
        <v>6785231.66548998</v>
      </c>
      <c r="C117" s="5">
        <v>722006.13414109498</v>
      </c>
      <c r="D117" s="5">
        <v>3410180.3404260101</v>
      </c>
      <c r="E117" s="5">
        <v>2866652.6640278199</v>
      </c>
      <c r="F117" s="5">
        <v>771986.77866679104</v>
      </c>
      <c r="G117" s="5">
        <v>606911.24185938202</v>
      </c>
      <c r="H117" s="5">
        <v>6808678.5647619404</v>
      </c>
      <c r="I117" s="5">
        <v>12496373.1919479</v>
      </c>
      <c r="J117" s="5">
        <v>2656519.3486926998</v>
      </c>
      <c r="K117" s="5">
        <v>1522902.2646159001</v>
      </c>
      <c r="L117">
        <f t="shared" si="2"/>
        <v>0.18692893981982556</v>
      </c>
    </row>
    <row r="118" spans="1:12" x14ac:dyDescent="0.45">
      <c r="A118" s="5" t="s">
        <v>210</v>
      </c>
      <c r="B118" s="5">
        <v>2828445.30282749</v>
      </c>
      <c r="C118" s="5">
        <v>359251.33065990702</v>
      </c>
      <c r="D118" s="5">
        <v>755048.89204968803</v>
      </c>
      <c r="E118" s="5">
        <v>727318.83480582002</v>
      </c>
      <c r="F118" s="5">
        <v>451216.13819523901</v>
      </c>
      <c r="G118" s="5">
        <v>340091.24762022501</v>
      </c>
      <c r="H118" s="5">
        <v>2939549.44339548</v>
      </c>
      <c r="I118" s="5">
        <v>2498701.4333941299</v>
      </c>
      <c r="J118" s="5">
        <v>1212076.4677375499</v>
      </c>
      <c r="K118" s="5">
        <v>686218.55169379595</v>
      </c>
      <c r="L118">
        <f t="shared" si="2"/>
        <v>0.18884858569598409</v>
      </c>
    </row>
    <row r="119" spans="1:12" x14ac:dyDescent="0.45">
      <c r="A119" s="5" t="s">
        <v>172</v>
      </c>
      <c r="B119" s="5">
        <v>71199.115236043799</v>
      </c>
      <c r="C119" s="5">
        <v>114863.752933257</v>
      </c>
      <c r="D119" s="5">
        <v>106852.534515359</v>
      </c>
      <c r="E119" s="5">
        <v>134640.89021384</v>
      </c>
      <c r="F119" s="5">
        <v>75322.446207604502</v>
      </c>
      <c r="G119" s="5">
        <v>80152.019685948704</v>
      </c>
      <c r="H119" s="5">
        <v>114401.62972112899</v>
      </c>
      <c r="I119" s="5">
        <v>287045.70513434702</v>
      </c>
      <c r="J119" s="5">
        <v>110136.845684905</v>
      </c>
      <c r="K119" s="5">
        <v>94979.424957568495</v>
      </c>
      <c r="L119">
        <f t="shared" si="2"/>
        <v>0.19094305075934714</v>
      </c>
    </row>
    <row r="120" spans="1:12" x14ac:dyDescent="0.45">
      <c r="A120" s="5" t="s">
        <v>265</v>
      </c>
      <c r="B120" s="5">
        <v>3945998.5303850998</v>
      </c>
      <c r="C120" s="5">
        <v>1811612.43457974</v>
      </c>
      <c r="D120" s="5">
        <v>2278050.8456818098</v>
      </c>
      <c r="E120" s="5">
        <v>1051446.60398089</v>
      </c>
      <c r="F120" s="5">
        <v>1755048.7181975101</v>
      </c>
      <c r="G120" s="5">
        <v>972900.83927872102</v>
      </c>
      <c r="H120" s="5">
        <v>7263006.1333568497</v>
      </c>
      <c r="I120" s="5">
        <v>4314755.8239178499</v>
      </c>
      <c r="J120" s="5">
        <v>1475783.0123012899</v>
      </c>
      <c r="K120" s="5">
        <v>1682692.7928318901</v>
      </c>
      <c r="L120">
        <f t="shared" si="2"/>
        <v>0.19334634864567685</v>
      </c>
    </row>
    <row r="121" spans="1:12" x14ac:dyDescent="0.45">
      <c r="A121" s="5" t="s">
        <v>219</v>
      </c>
      <c r="B121" s="5">
        <v>18450474.405767702</v>
      </c>
      <c r="C121" s="5">
        <v>2985837.19912139</v>
      </c>
      <c r="D121" s="5">
        <v>4959306.5642860997</v>
      </c>
      <c r="E121" s="5">
        <v>6558238.3081990704</v>
      </c>
      <c r="F121" s="5">
        <v>5523135.2134554395</v>
      </c>
      <c r="G121" s="5">
        <v>2965491.8562635402</v>
      </c>
      <c r="H121" s="5">
        <v>21229884.003840599</v>
      </c>
      <c r="I121" s="5">
        <v>17494500.6205214</v>
      </c>
      <c r="J121" s="5">
        <v>6941365.30909066</v>
      </c>
      <c r="K121" s="5">
        <v>5411626.6279179603</v>
      </c>
      <c r="L121">
        <f t="shared" si="2"/>
        <v>0.20816200355674411</v>
      </c>
    </row>
    <row r="122" spans="1:12" x14ac:dyDescent="0.45">
      <c r="A122" s="5" t="s">
        <v>141</v>
      </c>
      <c r="B122" s="5">
        <v>1579261.95224001</v>
      </c>
      <c r="C122" s="5">
        <v>1382609.4676153499</v>
      </c>
      <c r="D122" s="5">
        <v>163215.882815252</v>
      </c>
      <c r="E122" s="5">
        <v>38682.636999507798</v>
      </c>
      <c r="F122" s="5">
        <v>1522883.17222613</v>
      </c>
      <c r="G122" s="5">
        <v>147099.37660466199</v>
      </c>
      <c r="H122" s="5">
        <v>165106.21829187599</v>
      </c>
      <c r="I122" s="5">
        <v>754976.85715392104</v>
      </c>
      <c r="J122" s="5">
        <v>33259.618571031497</v>
      </c>
      <c r="K122" s="5">
        <v>39239.104397035902</v>
      </c>
      <c r="L122">
        <f t="shared" si="2"/>
        <v>0.21141858185293119</v>
      </c>
    </row>
    <row r="123" spans="1:12" x14ac:dyDescent="0.45">
      <c r="A123" s="5" t="s">
        <v>53</v>
      </c>
      <c r="B123" s="5">
        <v>5427505.1152080996</v>
      </c>
      <c r="C123" s="5">
        <v>5056397.7351329997</v>
      </c>
      <c r="D123" s="5">
        <v>13827379.481411301</v>
      </c>
      <c r="E123" s="5">
        <v>4917213.2596360696</v>
      </c>
      <c r="F123" s="5">
        <v>5623685.0826422898</v>
      </c>
      <c r="G123" s="5">
        <v>5814503.7102595298</v>
      </c>
      <c r="H123" s="5">
        <v>9758526.0579164904</v>
      </c>
      <c r="I123" s="5">
        <v>7329221.8758906303</v>
      </c>
      <c r="J123" s="5">
        <v>9307126.6226618793</v>
      </c>
      <c r="K123" s="5">
        <v>10267221.4321054</v>
      </c>
      <c r="L123">
        <f t="shared" si="2"/>
        <v>0.23107819519977998</v>
      </c>
    </row>
    <row r="124" spans="1:12" x14ac:dyDescent="0.45">
      <c r="A124" s="5" t="s">
        <v>116</v>
      </c>
      <c r="B124" s="5">
        <v>4266218.8276147498</v>
      </c>
      <c r="C124" s="5">
        <v>166352937.673868</v>
      </c>
      <c r="D124" s="5">
        <v>1261783.69532978</v>
      </c>
      <c r="E124" s="5">
        <v>258072865.24090499</v>
      </c>
      <c r="F124" s="5">
        <v>166638805.91397801</v>
      </c>
      <c r="G124" s="5">
        <v>172415767.84891999</v>
      </c>
      <c r="H124" s="5">
        <v>64690810.9336721</v>
      </c>
      <c r="I124" s="5">
        <v>132805063.07986701</v>
      </c>
      <c r="J124" s="5">
        <v>16094456.512448801</v>
      </c>
      <c r="K124" s="5">
        <v>555789.68749547598</v>
      </c>
      <c r="L124">
        <f t="shared" si="2"/>
        <v>0.23169537428003639</v>
      </c>
    </row>
    <row r="125" spans="1:12" x14ac:dyDescent="0.45">
      <c r="A125" s="5" t="s">
        <v>111</v>
      </c>
      <c r="B125" s="5">
        <v>68308119.192688793</v>
      </c>
      <c r="C125" s="5">
        <v>77760585.015671402</v>
      </c>
      <c r="D125" s="5">
        <v>139608889.90803301</v>
      </c>
      <c r="E125" s="5">
        <v>45882952.6465545</v>
      </c>
      <c r="F125" s="5">
        <v>79084026.928838506</v>
      </c>
      <c r="G125" s="5">
        <v>53172597.894793801</v>
      </c>
      <c r="H125" s="5">
        <v>120737891.97080401</v>
      </c>
      <c r="I125" s="5">
        <v>126612232.491394</v>
      </c>
      <c r="J125" s="5">
        <v>85854767.192650303</v>
      </c>
      <c r="K125" s="5">
        <v>75503519.138659403</v>
      </c>
      <c r="L125">
        <f t="shared" si="2"/>
        <v>0.24238868828067375</v>
      </c>
    </row>
    <row r="126" spans="1:12" x14ac:dyDescent="0.45">
      <c r="A126" s="5" t="s">
        <v>57</v>
      </c>
      <c r="B126" s="5">
        <v>5030706.7121648602</v>
      </c>
      <c r="C126" s="5">
        <v>4199717.6237697303</v>
      </c>
      <c r="D126" s="5">
        <v>9571111.2964508291</v>
      </c>
      <c r="E126" s="5">
        <v>7618834.5871467199</v>
      </c>
      <c r="F126" s="5">
        <v>3785970.3215695499</v>
      </c>
      <c r="G126" s="5">
        <v>5750396.7613931</v>
      </c>
      <c r="H126" s="5">
        <v>6924510.4625072498</v>
      </c>
      <c r="I126" s="5">
        <v>6854800.1852026703</v>
      </c>
      <c r="J126" s="5">
        <v>7904746.7477304703</v>
      </c>
      <c r="K126" s="5">
        <v>8100300.0646369997</v>
      </c>
      <c r="L126">
        <f t="shared" si="2"/>
        <v>0.24515927321538786</v>
      </c>
    </row>
    <row r="127" spans="1:12" x14ac:dyDescent="0.45">
      <c r="A127" s="5" t="s">
        <v>138</v>
      </c>
      <c r="B127" s="5">
        <v>25029309.627934799</v>
      </c>
      <c r="C127" s="5">
        <v>14600416.535595199</v>
      </c>
      <c r="D127" s="5">
        <v>34903477.5385499</v>
      </c>
      <c r="E127" s="5">
        <v>27106913.658468001</v>
      </c>
      <c r="F127" s="5">
        <v>16013847.739060501</v>
      </c>
      <c r="G127" s="5">
        <v>11986785.313859399</v>
      </c>
      <c r="H127" s="5">
        <v>29423105.1309621</v>
      </c>
      <c r="I127" s="5">
        <v>32359940.604484402</v>
      </c>
      <c r="J127" s="5">
        <v>22646683.372828599</v>
      </c>
      <c r="K127" s="5">
        <v>25321441.529045701</v>
      </c>
      <c r="L127">
        <f t="shared" si="2"/>
        <v>0.26150734980493751</v>
      </c>
    </row>
    <row r="128" spans="1:12" x14ac:dyDescent="0.45">
      <c r="A128" s="5" t="s">
        <v>52</v>
      </c>
      <c r="B128" s="5">
        <v>1723757.50336317</v>
      </c>
      <c r="C128" s="5">
        <v>1113870.1662667801</v>
      </c>
      <c r="D128" s="5">
        <v>1871841.3650120499</v>
      </c>
      <c r="E128" s="5">
        <v>1953575.17989816</v>
      </c>
      <c r="F128" s="5">
        <v>983846.91167741001</v>
      </c>
      <c r="G128" s="5">
        <v>1181606.2126210199</v>
      </c>
      <c r="H128" s="5">
        <v>1692892.43569381</v>
      </c>
      <c r="I128" s="5">
        <v>1565477.5342763499</v>
      </c>
      <c r="J128" s="5">
        <v>1815758.4379792199</v>
      </c>
      <c r="K128" s="5">
        <v>1873697.2317060099</v>
      </c>
      <c r="L128">
        <f t="shared" si="2"/>
        <v>0.26960806870956977</v>
      </c>
    </row>
    <row r="129" spans="1:12" x14ac:dyDescent="0.45">
      <c r="A129" s="5" t="s">
        <v>239</v>
      </c>
      <c r="B129" s="5">
        <v>73416643.622391194</v>
      </c>
      <c r="C129" s="5">
        <v>42324085.103019401</v>
      </c>
      <c r="D129" s="5">
        <v>53951461.883732103</v>
      </c>
      <c r="E129" s="5">
        <v>27356948.347272001</v>
      </c>
      <c r="F129" s="5">
        <v>20578142.620473702</v>
      </c>
      <c r="G129" s="5">
        <v>44435722.835086398</v>
      </c>
      <c r="H129" s="5">
        <v>73557628.159526899</v>
      </c>
      <c r="I129" s="5">
        <v>52752533.300981</v>
      </c>
      <c r="J129" s="5">
        <v>60472154.023224398</v>
      </c>
      <c r="K129" s="5">
        <v>40271521.005322501</v>
      </c>
      <c r="L129">
        <f t="shared" si="2"/>
        <v>0.27328001635005023</v>
      </c>
    </row>
    <row r="130" spans="1:12" x14ac:dyDescent="0.45">
      <c r="A130" s="5" t="s">
        <v>222</v>
      </c>
      <c r="B130" s="5">
        <v>404655.25149165001</v>
      </c>
      <c r="C130" s="5">
        <v>453486.02006920398</v>
      </c>
      <c r="D130" s="5">
        <v>118361.926285115</v>
      </c>
      <c r="E130" s="5">
        <v>92079.753657474794</v>
      </c>
      <c r="F130" s="5">
        <v>347695.74744122202</v>
      </c>
      <c r="G130" s="5">
        <v>324964.68711065402</v>
      </c>
      <c r="H130" s="5">
        <v>29987.771703972499</v>
      </c>
      <c r="I130" s="5">
        <v>194500.18467935501</v>
      </c>
      <c r="J130" s="5">
        <v>420131.49443616503</v>
      </c>
      <c r="K130" s="5">
        <v>13650.2436152879</v>
      </c>
      <c r="L130">
        <f t="shared" ref="L130:L193" si="3">TTEST(B130:G130,H130:K130,2,2)</f>
        <v>0.27441617402242424</v>
      </c>
    </row>
    <row r="131" spans="1:12" x14ac:dyDescent="0.45">
      <c r="A131" s="5" t="s">
        <v>133</v>
      </c>
      <c r="B131" s="5">
        <v>728849714.08654797</v>
      </c>
      <c r="C131" s="5">
        <v>302835047.39004397</v>
      </c>
      <c r="D131" s="5">
        <v>571431790.66222703</v>
      </c>
      <c r="E131" s="5">
        <v>544778748.62114203</v>
      </c>
      <c r="F131" s="5">
        <v>152090366.49853399</v>
      </c>
      <c r="G131" s="5">
        <v>163998640.748184</v>
      </c>
      <c r="H131" s="5">
        <v>501336324.079669</v>
      </c>
      <c r="I131" s="5">
        <v>406031673.21071202</v>
      </c>
      <c r="J131" s="5">
        <v>752192830.77281499</v>
      </c>
      <c r="K131" s="5">
        <v>616399840.90299296</v>
      </c>
      <c r="L131">
        <f t="shared" si="3"/>
        <v>0.27552309722734392</v>
      </c>
    </row>
    <row r="132" spans="1:12" x14ac:dyDescent="0.45">
      <c r="A132" s="5" t="s">
        <v>278</v>
      </c>
      <c r="B132" s="5">
        <v>65332.697637802703</v>
      </c>
      <c r="C132" s="5">
        <v>25276.404066863801</v>
      </c>
      <c r="D132" s="5">
        <v>66705.662054474</v>
      </c>
      <c r="E132" s="5">
        <v>65588.751936051805</v>
      </c>
      <c r="F132" s="5">
        <v>25156.853049899499</v>
      </c>
      <c r="G132" s="5">
        <v>31532.9721048885</v>
      </c>
      <c r="H132" s="5">
        <v>44081.490236334597</v>
      </c>
      <c r="I132" s="5">
        <v>52505.744496313702</v>
      </c>
      <c r="J132" s="5">
        <v>73696.838581255201</v>
      </c>
      <c r="K132" s="5">
        <v>73251.277152227995</v>
      </c>
      <c r="L132">
        <f t="shared" si="3"/>
        <v>0.28065619939508207</v>
      </c>
    </row>
    <row r="133" spans="1:12" x14ac:dyDescent="0.45">
      <c r="A133" s="5" t="s">
        <v>37</v>
      </c>
      <c r="B133" s="5">
        <v>9066988.56998224</v>
      </c>
      <c r="C133" s="5">
        <v>7935861.3590930495</v>
      </c>
      <c r="D133" s="5">
        <v>1686511.8251928999</v>
      </c>
      <c r="E133" s="5">
        <v>2107939.1428582799</v>
      </c>
      <c r="F133" s="5">
        <v>6007016.9359133001</v>
      </c>
      <c r="G133" s="5">
        <v>2878363.23952233</v>
      </c>
      <c r="H133" s="5">
        <v>4776112.1572645502</v>
      </c>
      <c r="I133" s="5">
        <v>735432.61273407401</v>
      </c>
      <c r="J133" s="5">
        <v>5089231.3764804602</v>
      </c>
      <c r="K133" s="5">
        <v>722584.08587828104</v>
      </c>
      <c r="L133">
        <f t="shared" si="3"/>
        <v>0.29247563994525633</v>
      </c>
    </row>
    <row r="134" spans="1:12" x14ac:dyDescent="0.45">
      <c r="A134" s="5" t="s">
        <v>54</v>
      </c>
      <c r="B134" s="5">
        <v>4662930.6420500297</v>
      </c>
      <c r="C134" s="5">
        <v>4016948.38252318</v>
      </c>
      <c r="D134" s="5">
        <v>9533771.8769498207</v>
      </c>
      <c r="E134" s="5">
        <v>7417108.3542764904</v>
      </c>
      <c r="F134" s="5">
        <v>3633158.7285099099</v>
      </c>
      <c r="G134" s="5">
        <v>5403106.6154669998</v>
      </c>
      <c r="H134" s="5">
        <v>6604705.1287976</v>
      </c>
      <c r="I134" s="5">
        <v>6582500.8203701796</v>
      </c>
      <c r="J134" s="5">
        <v>7493212.8632514998</v>
      </c>
      <c r="K134" s="5">
        <v>7638833.8774788296</v>
      </c>
      <c r="L134">
        <f t="shared" si="3"/>
        <v>0.30279370676202855</v>
      </c>
    </row>
    <row r="135" spans="1:12" x14ac:dyDescent="0.45">
      <c r="A135" s="5" t="s">
        <v>123</v>
      </c>
      <c r="B135" s="5">
        <v>31352428.936691001</v>
      </c>
      <c r="C135" s="5">
        <v>22303298.6642575</v>
      </c>
      <c r="D135" s="5">
        <v>31112495.102546901</v>
      </c>
      <c r="E135" s="5">
        <v>27520387.3466595</v>
      </c>
      <c r="F135" s="5">
        <v>21255840.5982274</v>
      </c>
      <c r="G135" s="5">
        <v>22551044.502973799</v>
      </c>
      <c r="H135" s="5">
        <v>29167534.692101698</v>
      </c>
      <c r="I135" s="5">
        <v>25010114.555525701</v>
      </c>
      <c r="J135" s="5">
        <v>30599987.164115701</v>
      </c>
      <c r="K135" s="5">
        <v>30454330.193740498</v>
      </c>
      <c r="L135">
        <f t="shared" si="3"/>
        <v>0.30683991322643667</v>
      </c>
    </row>
    <row r="136" spans="1:12" x14ac:dyDescent="0.45">
      <c r="A136" s="5" t="s">
        <v>257</v>
      </c>
      <c r="B136" s="5">
        <v>4877599.6926372303</v>
      </c>
      <c r="C136" s="5">
        <v>12140117.016380999</v>
      </c>
      <c r="D136" s="5">
        <v>1754337.5682906499</v>
      </c>
      <c r="E136" s="5">
        <v>25646579.734976299</v>
      </c>
      <c r="F136" s="5">
        <v>13686481.882195501</v>
      </c>
      <c r="G136" s="5">
        <v>13094808.762709999</v>
      </c>
      <c r="H136" s="5">
        <v>7248516.2754948502</v>
      </c>
      <c r="I136" s="5">
        <v>12482662.393856799</v>
      </c>
      <c r="J136" s="5">
        <v>4921907.4365038602</v>
      </c>
      <c r="K136" s="5">
        <v>3123437.6151390099</v>
      </c>
      <c r="L136">
        <f t="shared" si="3"/>
        <v>0.30961368766891206</v>
      </c>
    </row>
    <row r="137" spans="1:12" x14ac:dyDescent="0.45">
      <c r="A137" s="5" t="s">
        <v>108</v>
      </c>
      <c r="B137" s="5">
        <v>1524326.5751654899</v>
      </c>
      <c r="C137" s="5">
        <v>1038910.99995626</v>
      </c>
      <c r="D137" s="5">
        <v>3023062.37784694</v>
      </c>
      <c r="E137" s="5">
        <v>1805750.7301586999</v>
      </c>
      <c r="F137" s="5">
        <v>1042069.64783883</v>
      </c>
      <c r="G137" s="5">
        <v>1282576.7249548</v>
      </c>
      <c r="H137" s="5">
        <v>2506875.3155467799</v>
      </c>
      <c r="I137" s="5">
        <v>1757568.2254439399</v>
      </c>
      <c r="J137" s="5">
        <v>2272463.35521399</v>
      </c>
      <c r="K137" s="5">
        <v>1717592.8771488999</v>
      </c>
      <c r="L137">
        <f t="shared" si="3"/>
        <v>0.31187739118446445</v>
      </c>
    </row>
    <row r="138" spans="1:12" x14ac:dyDescent="0.45">
      <c r="A138" s="5" t="s">
        <v>240</v>
      </c>
      <c r="B138" s="5">
        <v>530039067.72613001</v>
      </c>
      <c r="C138" s="5">
        <v>212396142.094392</v>
      </c>
      <c r="D138" s="5">
        <v>782566123.37737596</v>
      </c>
      <c r="E138" s="5">
        <v>437279790.50869697</v>
      </c>
      <c r="F138" s="5">
        <v>296826949.57795602</v>
      </c>
      <c r="G138" s="5">
        <v>284375408.61974502</v>
      </c>
      <c r="H138" s="5">
        <v>539573312.61101103</v>
      </c>
      <c r="I138" s="5">
        <v>509884967.99706602</v>
      </c>
      <c r="J138" s="5">
        <v>528459739.822317</v>
      </c>
      <c r="K138" s="5">
        <v>580337651.31162298</v>
      </c>
      <c r="L138">
        <f t="shared" si="3"/>
        <v>0.31462483814670156</v>
      </c>
    </row>
    <row r="139" spans="1:12" x14ac:dyDescent="0.45">
      <c r="A139" s="5" t="s">
        <v>83</v>
      </c>
      <c r="B139" s="5">
        <v>2524515.1757165999</v>
      </c>
      <c r="C139" s="5">
        <v>19047051.433453299</v>
      </c>
      <c r="D139" s="5">
        <v>2455873.4931776999</v>
      </c>
      <c r="E139" s="5">
        <v>1625581.1241174201</v>
      </c>
      <c r="F139" s="5">
        <v>16092834.4112812</v>
      </c>
      <c r="G139" s="5">
        <v>1091971.2049533301</v>
      </c>
      <c r="H139" s="5">
        <v>2335907.8953517098</v>
      </c>
      <c r="I139" s="5">
        <v>5498684.8637772398</v>
      </c>
      <c r="J139" s="5">
        <v>1661383.56558163</v>
      </c>
      <c r="K139" s="5">
        <v>1091435.4097988601</v>
      </c>
      <c r="L139">
        <f t="shared" si="3"/>
        <v>0.31934514835414135</v>
      </c>
    </row>
    <row r="140" spans="1:12" x14ac:dyDescent="0.45">
      <c r="A140" s="5" t="s">
        <v>59</v>
      </c>
      <c r="B140" s="5">
        <v>86896948.649665296</v>
      </c>
      <c r="C140" s="5">
        <v>66433402.388724297</v>
      </c>
      <c r="D140" s="5">
        <v>123479526.722197</v>
      </c>
      <c r="E140" s="5">
        <v>97128530.157799199</v>
      </c>
      <c r="F140" s="5">
        <v>70903360.327080801</v>
      </c>
      <c r="G140" s="5">
        <v>63859823.728146903</v>
      </c>
      <c r="H140" s="5">
        <v>109876050.98092499</v>
      </c>
      <c r="I140" s="5">
        <v>90533239.974021301</v>
      </c>
      <c r="J140" s="5">
        <v>92106273.317709699</v>
      </c>
      <c r="K140" s="5">
        <v>96754478.635038599</v>
      </c>
      <c r="L140">
        <f t="shared" si="3"/>
        <v>0.33390000983347762</v>
      </c>
    </row>
    <row r="141" spans="1:12" x14ac:dyDescent="0.45">
      <c r="A141" s="5" t="s">
        <v>139</v>
      </c>
      <c r="B141" s="5">
        <v>1030115.4267569199</v>
      </c>
      <c r="C141" s="5">
        <v>207641.425057452</v>
      </c>
      <c r="D141" s="5">
        <v>968410.17497112905</v>
      </c>
      <c r="E141" s="5">
        <v>1123198.1796299</v>
      </c>
      <c r="F141" s="5">
        <v>245720.820008448</v>
      </c>
      <c r="G141" s="5">
        <v>258411.40989743799</v>
      </c>
      <c r="H141" s="5">
        <v>735456.59021046502</v>
      </c>
      <c r="I141" s="5">
        <v>924377.77664665703</v>
      </c>
      <c r="J141" s="5">
        <v>861961.71912269096</v>
      </c>
      <c r="K141" s="5">
        <v>974982.55533147801</v>
      </c>
      <c r="L141">
        <f t="shared" si="3"/>
        <v>0.33579775862942451</v>
      </c>
    </row>
    <row r="142" spans="1:12" x14ac:dyDescent="0.45">
      <c r="A142" s="5" t="s">
        <v>276</v>
      </c>
      <c r="B142" s="5">
        <v>22997993.8499569</v>
      </c>
      <c r="C142" s="5">
        <v>106238388.506237</v>
      </c>
      <c r="D142" s="5">
        <v>528990212.19806498</v>
      </c>
      <c r="E142" s="5">
        <v>331114307.37273502</v>
      </c>
      <c r="F142" s="5">
        <v>101928363.207715</v>
      </c>
      <c r="G142" s="5">
        <v>317901302.123698</v>
      </c>
      <c r="H142" s="5">
        <v>321700834.66317803</v>
      </c>
      <c r="I142" s="5">
        <v>101018688.96462899</v>
      </c>
      <c r="J142" s="5">
        <v>497501604.22643203</v>
      </c>
      <c r="K142" s="5">
        <v>511122422.223795</v>
      </c>
      <c r="L142">
        <f t="shared" si="3"/>
        <v>0.34790872821134966</v>
      </c>
    </row>
    <row r="143" spans="1:12" x14ac:dyDescent="0.45">
      <c r="A143" s="5" t="s">
        <v>263</v>
      </c>
      <c r="B143" s="5">
        <v>187868887.996398</v>
      </c>
      <c r="C143" s="5">
        <v>83627193.820366994</v>
      </c>
      <c r="D143" s="5">
        <v>34273261.109415703</v>
      </c>
      <c r="E143" s="5">
        <v>99695813.603411198</v>
      </c>
      <c r="F143" s="5">
        <v>61975979.977967598</v>
      </c>
      <c r="G143" s="5">
        <v>109051659.460885</v>
      </c>
      <c r="H143" s="5">
        <v>123332071.54549</v>
      </c>
      <c r="I143" s="5">
        <v>140781169.24343401</v>
      </c>
      <c r="J143" s="5">
        <v>155098963.73502299</v>
      </c>
      <c r="K143" s="5">
        <v>79040741.044553295</v>
      </c>
      <c r="L143">
        <f t="shared" si="3"/>
        <v>0.36670298013825753</v>
      </c>
    </row>
    <row r="144" spans="1:12" x14ac:dyDescent="0.45">
      <c r="A144" s="5" t="s">
        <v>171</v>
      </c>
      <c r="B144" s="5">
        <v>242815.534579687</v>
      </c>
      <c r="C144" s="5">
        <v>227682.82703679099</v>
      </c>
      <c r="D144" s="5">
        <v>558703.98347624403</v>
      </c>
      <c r="E144" s="5">
        <v>479501.79587127903</v>
      </c>
      <c r="F144" s="5">
        <v>196282.764441665</v>
      </c>
      <c r="G144" s="5">
        <v>145115.68323330799</v>
      </c>
      <c r="H144" s="5">
        <v>415860.544749811</v>
      </c>
      <c r="I144" s="5">
        <v>330253.59658441303</v>
      </c>
      <c r="J144" s="5">
        <v>380400.26240766002</v>
      </c>
      <c r="K144" s="5">
        <v>438433.41185242299</v>
      </c>
      <c r="L144">
        <f t="shared" si="3"/>
        <v>0.37375834427986165</v>
      </c>
    </row>
    <row r="145" spans="1:12" x14ac:dyDescent="0.45">
      <c r="A145" s="5" t="s">
        <v>211</v>
      </c>
      <c r="B145" s="5">
        <v>15491295.790985299</v>
      </c>
      <c r="C145" s="5">
        <v>7012872.9596553296</v>
      </c>
      <c r="D145" s="5">
        <v>37170659.179063298</v>
      </c>
      <c r="E145" s="5">
        <v>9607953.0771510899</v>
      </c>
      <c r="F145" s="5">
        <v>14636023.508427201</v>
      </c>
      <c r="G145" s="5">
        <v>6860852.2070631497</v>
      </c>
      <c r="H145" s="5">
        <v>29826269.275114901</v>
      </c>
      <c r="I145" s="5">
        <v>26101336.126791801</v>
      </c>
      <c r="J145" s="5">
        <v>14514566.712407099</v>
      </c>
      <c r="K145" s="5">
        <v>14319475.2856417</v>
      </c>
      <c r="L145">
        <f t="shared" si="3"/>
        <v>0.38669459576319465</v>
      </c>
    </row>
    <row r="146" spans="1:12" x14ac:dyDescent="0.45">
      <c r="A146" s="5" t="s">
        <v>117</v>
      </c>
      <c r="B146" s="5">
        <v>9347626.0133483</v>
      </c>
      <c r="C146" s="5">
        <v>10110590.2608198</v>
      </c>
      <c r="D146" s="5">
        <v>1878970.49791918</v>
      </c>
      <c r="E146" s="5">
        <v>21914357.219061598</v>
      </c>
      <c r="F146" s="5">
        <v>10440104.072830999</v>
      </c>
      <c r="G146" s="5">
        <v>9125306.1656921599</v>
      </c>
      <c r="H146" s="5">
        <v>19081638.9011118</v>
      </c>
      <c r="I146" s="5">
        <v>27122039.910858199</v>
      </c>
      <c r="J146" s="5">
        <v>10213586.4671582</v>
      </c>
      <c r="K146" s="5">
        <v>4238992.6328165997</v>
      </c>
      <c r="L146">
        <f t="shared" si="3"/>
        <v>0.3890598627880012</v>
      </c>
    </row>
    <row r="147" spans="1:12" x14ac:dyDescent="0.45">
      <c r="A147" s="5" t="s">
        <v>130</v>
      </c>
      <c r="B147" s="5">
        <v>289211002.909944</v>
      </c>
      <c r="C147" s="5">
        <v>161818167.39720199</v>
      </c>
      <c r="D147" s="5">
        <v>269084515.561584</v>
      </c>
      <c r="E147" s="5">
        <v>320604770.44602603</v>
      </c>
      <c r="F147" s="5">
        <v>193259250.681059</v>
      </c>
      <c r="G147" s="5">
        <v>217034664.586027</v>
      </c>
      <c r="H147" s="5">
        <v>263941244.894126</v>
      </c>
      <c r="I147" s="5">
        <v>248341568.299716</v>
      </c>
      <c r="J147" s="5">
        <v>178349969.752446</v>
      </c>
      <c r="K147" s="5">
        <v>508764278.07024598</v>
      </c>
      <c r="L147">
        <f t="shared" si="3"/>
        <v>0.3976061784649404</v>
      </c>
    </row>
    <row r="148" spans="1:12" x14ac:dyDescent="0.45">
      <c r="A148" s="5" t="s">
        <v>231</v>
      </c>
      <c r="B148" s="5">
        <v>4109365.1606847299</v>
      </c>
      <c r="C148" s="5">
        <v>2211102.8421173799</v>
      </c>
      <c r="D148" s="5">
        <v>8823973.5840617195</v>
      </c>
      <c r="E148" s="5">
        <v>7711288.4721275596</v>
      </c>
      <c r="F148" s="5">
        <v>3149489.6647252599</v>
      </c>
      <c r="G148" s="5">
        <v>3715307.7214775598</v>
      </c>
      <c r="H148" s="5">
        <v>4004513.8816747498</v>
      </c>
      <c r="I148" s="5">
        <v>4526308.6594554102</v>
      </c>
      <c r="J148" s="5">
        <v>9126657.2074130401</v>
      </c>
      <c r="K148" s="5">
        <v>7905455.3764859503</v>
      </c>
      <c r="L148">
        <f t="shared" si="3"/>
        <v>0.41863972351747891</v>
      </c>
    </row>
    <row r="149" spans="1:12" x14ac:dyDescent="0.45">
      <c r="A149" s="5" t="s">
        <v>184</v>
      </c>
      <c r="B149" s="5">
        <v>30116810.248366602</v>
      </c>
      <c r="C149" s="5">
        <v>16695335.588323399</v>
      </c>
      <c r="D149" s="5">
        <v>32472045.9834489</v>
      </c>
      <c r="E149" s="5">
        <v>36088471.873629898</v>
      </c>
      <c r="F149" s="5">
        <v>16183434.5571394</v>
      </c>
      <c r="G149" s="5">
        <v>16106378.648592601</v>
      </c>
      <c r="H149" s="5">
        <v>25940010.560396701</v>
      </c>
      <c r="I149" s="5">
        <v>28135935.185130399</v>
      </c>
      <c r="J149" s="5">
        <v>28519140.088852402</v>
      </c>
      <c r="K149" s="5">
        <v>32371788.067703102</v>
      </c>
      <c r="L149">
        <f t="shared" si="3"/>
        <v>0.41891779066029911</v>
      </c>
    </row>
    <row r="150" spans="1:12" x14ac:dyDescent="0.45">
      <c r="A150" s="5" t="s">
        <v>183</v>
      </c>
      <c r="B150" s="5">
        <v>1630414077.00069</v>
      </c>
      <c r="C150" s="5">
        <v>1001880473.56259</v>
      </c>
      <c r="D150" s="5">
        <v>2302666885.5039601</v>
      </c>
      <c r="E150" s="5">
        <v>1203417386.9854801</v>
      </c>
      <c r="F150" s="5">
        <v>1321036283.9251001</v>
      </c>
      <c r="G150" s="5">
        <v>1118963820.0006399</v>
      </c>
      <c r="H150" s="5">
        <v>1779380427.83092</v>
      </c>
      <c r="I150" s="5">
        <v>1934750859.4881799</v>
      </c>
      <c r="J150" s="5">
        <v>1460420077.20962</v>
      </c>
      <c r="K150" s="5">
        <v>1426411889.8202801</v>
      </c>
      <c r="L150">
        <f t="shared" si="3"/>
        <v>0.42623243983826065</v>
      </c>
    </row>
    <row r="151" spans="1:12" x14ac:dyDescent="0.45">
      <c r="A151" s="5" t="s">
        <v>107</v>
      </c>
      <c r="B151" s="5">
        <v>1380042.59774266</v>
      </c>
      <c r="C151" s="5">
        <v>2529658.17439073</v>
      </c>
      <c r="D151" s="5">
        <v>38256065.221831597</v>
      </c>
      <c r="E151" s="5">
        <v>529172.57664115005</v>
      </c>
      <c r="F151" s="5">
        <v>998260.22251359897</v>
      </c>
      <c r="G151" s="5">
        <v>269934.273832192</v>
      </c>
      <c r="H151" s="5">
        <v>1137580.0587288099</v>
      </c>
      <c r="I151" s="5">
        <v>1628877.71213445</v>
      </c>
      <c r="J151" s="5">
        <v>86618058.729953095</v>
      </c>
      <c r="K151" s="5">
        <v>1567104.4031754001</v>
      </c>
      <c r="L151">
        <f t="shared" si="3"/>
        <v>0.42970772653434364</v>
      </c>
    </row>
    <row r="152" spans="1:12" x14ac:dyDescent="0.45">
      <c r="A152" s="5" t="s">
        <v>143</v>
      </c>
      <c r="B152" s="5">
        <v>3010525.7640473498</v>
      </c>
      <c r="C152" s="5">
        <v>2682043.7938273102</v>
      </c>
      <c r="D152" s="5">
        <v>3090455.36007943</v>
      </c>
      <c r="E152" s="5">
        <v>3989752.22467463</v>
      </c>
      <c r="F152" s="5">
        <v>4048254.3126228899</v>
      </c>
      <c r="G152" s="5">
        <v>2700775.1327576502</v>
      </c>
      <c r="H152" s="5">
        <v>4080721.5962777901</v>
      </c>
      <c r="I152" s="5">
        <v>1391330.3931004601</v>
      </c>
      <c r="J152" s="5">
        <v>3845580.0645909901</v>
      </c>
      <c r="K152" s="5">
        <v>1590224.7800539299</v>
      </c>
      <c r="L152">
        <f t="shared" si="3"/>
        <v>0.43957668488588741</v>
      </c>
    </row>
    <row r="153" spans="1:12" x14ac:dyDescent="0.45">
      <c r="A153" s="5" t="s">
        <v>272</v>
      </c>
      <c r="B153" s="5">
        <v>450852.24085912498</v>
      </c>
      <c r="C153" s="5">
        <v>626005.05285700201</v>
      </c>
      <c r="D153" s="5">
        <v>430798.47806792799</v>
      </c>
      <c r="E153" s="5">
        <v>417830.15599505597</v>
      </c>
      <c r="F153" s="5">
        <v>570722.493769711</v>
      </c>
      <c r="G153" s="5">
        <v>500873.86772919702</v>
      </c>
      <c r="H153" s="5">
        <v>568992.24010306795</v>
      </c>
      <c r="I153" s="5">
        <v>420210.84947941802</v>
      </c>
      <c r="J153" s="5">
        <v>472883.15319241502</v>
      </c>
      <c r="K153" s="5">
        <v>357849.27350168303</v>
      </c>
      <c r="L153">
        <f t="shared" si="3"/>
        <v>0.4442578037470517</v>
      </c>
    </row>
    <row r="154" spans="1:12" x14ac:dyDescent="0.45">
      <c r="A154" s="5" t="s">
        <v>188</v>
      </c>
      <c r="B154" s="5">
        <v>1756738.85594148</v>
      </c>
      <c r="C154" s="5">
        <v>318378.54771742201</v>
      </c>
      <c r="D154" s="5">
        <v>2021507.19572955</v>
      </c>
      <c r="E154" s="5">
        <v>2579135.5716133402</v>
      </c>
      <c r="F154" s="5">
        <v>312486.63955499697</v>
      </c>
      <c r="G154" s="5">
        <v>320940.25823765498</v>
      </c>
      <c r="H154" s="5">
        <v>1385193.87116565</v>
      </c>
      <c r="I154" s="5">
        <v>1524623.34208011</v>
      </c>
      <c r="J154" s="5">
        <v>1819330.15434068</v>
      </c>
      <c r="K154" s="5">
        <v>1837433.0350155099</v>
      </c>
      <c r="L154">
        <f t="shared" si="3"/>
        <v>0.44651540867645634</v>
      </c>
    </row>
    <row r="155" spans="1:12" x14ac:dyDescent="0.45">
      <c r="A155" s="5" t="s">
        <v>165</v>
      </c>
      <c r="B155" s="5">
        <v>2761620.3254197598</v>
      </c>
      <c r="C155" s="5">
        <v>1390437.6918792699</v>
      </c>
      <c r="D155" s="5">
        <v>4411673.62617689</v>
      </c>
      <c r="E155" s="5">
        <v>1948314.82223813</v>
      </c>
      <c r="F155" s="5">
        <v>2086345.45160649</v>
      </c>
      <c r="G155" s="5">
        <v>1744287.41278265</v>
      </c>
      <c r="H155" s="5">
        <v>2813988.2573324302</v>
      </c>
      <c r="I155" s="5">
        <v>3783960.7146830098</v>
      </c>
      <c r="J155" s="5">
        <v>2596195.1577202701</v>
      </c>
      <c r="K155" s="5">
        <v>2214454.8926840802</v>
      </c>
      <c r="L155">
        <f t="shared" si="3"/>
        <v>0.47456447492303711</v>
      </c>
    </row>
    <row r="156" spans="1:12" x14ac:dyDescent="0.45">
      <c r="A156" s="5" t="s">
        <v>104</v>
      </c>
      <c r="B156" s="5">
        <v>9041318.33420901</v>
      </c>
      <c r="C156" s="5">
        <v>9739533.4435617309</v>
      </c>
      <c r="D156" s="5">
        <v>27193869.579668101</v>
      </c>
      <c r="E156" s="5">
        <v>17621479.442679901</v>
      </c>
      <c r="F156" s="5">
        <v>8610747.8670000602</v>
      </c>
      <c r="G156" s="5">
        <v>14235183.2965704</v>
      </c>
      <c r="H156" s="5">
        <v>12961321.085847801</v>
      </c>
      <c r="I156" s="5">
        <v>9953376.4113364592</v>
      </c>
      <c r="J156" s="5">
        <v>13051366.448534399</v>
      </c>
      <c r="K156" s="5">
        <v>10780942.8589593</v>
      </c>
      <c r="L156">
        <f t="shared" si="3"/>
        <v>0.48521161812831481</v>
      </c>
    </row>
    <row r="157" spans="1:12" x14ac:dyDescent="0.45">
      <c r="A157" s="5" t="s">
        <v>55</v>
      </c>
      <c r="B157" s="5">
        <v>131955.261365452</v>
      </c>
      <c r="C157" s="5">
        <v>51161.139219548699</v>
      </c>
      <c r="D157" s="5">
        <v>2231117.83914608</v>
      </c>
      <c r="E157" s="5">
        <v>2072668.82410171</v>
      </c>
      <c r="F157" s="5">
        <v>57199.702933036097</v>
      </c>
      <c r="G157" s="5">
        <v>46515.658017920403</v>
      </c>
      <c r="H157" s="5">
        <v>227353.57961993301</v>
      </c>
      <c r="I157" s="5">
        <v>432510.60041046399</v>
      </c>
      <c r="J157" s="5">
        <v>482357.72845511598</v>
      </c>
      <c r="K157" s="5">
        <v>317590.05052084499</v>
      </c>
      <c r="L157">
        <f t="shared" si="3"/>
        <v>0.4883068416940396</v>
      </c>
    </row>
    <row r="158" spans="1:12" x14ac:dyDescent="0.45">
      <c r="A158" s="5" t="s">
        <v>58</v>
      </c>
      <c r="B158" s="5">
        <v>19834060.770400699</v>
      </c>
      <c r="C158" s="5">
        <v>19189448.446761198</v>
      </c>
      <c r="D158" s="5">
        <v>63363211.596374698</v>
      </c>
      <c r="E158" s="5">
        <v>46096629.2726539</v>
      </c>
      <c r="F158" s="5">
        <v>21380671.717150301</v>
      </c>
      <c r="G158" s="5">
        <v>25891045.3540272</v>
      </c>
      <c r="H158" s="5">
        <v>33554101.0859796</v>
      </c>
      <c r="I158" s="5">
        <v>25741955.739881098</v>
      </c>
      <c r="J158" s="5">
        <v>24255338.522461001</v>
      </c>
      <c r="K158" s="5">
        <v>19543596.975937702</v>
      </c>
      <c r="L158">
        <f t="shared" si="3"/>
        <v>0.49261790081571855</v>
      </c>
    </row>
    <row r="159" spans="1:12" x14ac:dyDescent="0.45">
      <c r="A159" s="5" t="s">
        <v>56</v>
      </c>
      <c r="B159" s="5">
        <v>239637191.04173201</v>
      </c>
      <c r="C159" s="5">
        <v>299691798.15353799</v>
      </c>
      <c r="D159" s="5">
        <v>302812836.32587397</v>
      </c>
      <c r="E159" s="5">
        <v>271058844.86993301</v>
      </c>
      <c r="F159" s="5">
        <v>285262519.38485599</v>
      </c>
      <c r="G159" s="5">
        <v>242193093.03486201</v>
      </c>
      <c r="H159" s="5">
        <v>382401156.06734103</v>
      </c>
      <c r="I159" s="5">
        <v>221562378.54777801</v>
      </c>
      <c r="J159" s="5">
        <v>209452872.915135</v>
      </c>
      <c r="K159" s="5">
        <v>165343372.22756901</v>
      </c>
      <c r="L159">
        <f t="shared" si="3"/>
        <v>0.49361729450471392</v>
      </c>
    </row>
    <row r="160" spans="1:12" x14ac:dyDescent="0.45">
      <c r="A160" s="5" t="s">
        <v>40</v>
      </c>
      <c r="B160" s="5">
        <v>6572158.6999750501</v>
      </c>
      <c r="C160" s="5">
        <v>6902077.0224695401</v>
      </c>
      <c r="D160" s="5">
        <v>9474746.1562538501</v>
      </c>
      <c r="E160" s="5">
        <v>6625980.56803736</v>
      </c>
      <c r="F160" s="5">
        <v>5187401.9782805704</v>
      </c>
      <c r="G160" s="5">
        <v>4383399.7118189698</v>
      </c>
      <c r="H160" s="5">
        <v>4199509.4037390696</v>
      </c>
      <c r="I160" s="5">
        <v>4743853.58748045</v>
      </c>
      <c r="J160" s="5">
        <v>5692002.58614437</v>
      </c>
      <c r="K160" s="5">
        <v>8305097.3182322597</v>
      </c>
      <c r="L160">
        <f t="shared" si="3"/>
        <v>0.51022202967571317</v>
      </c>
    </row>
    <row r="161" spans="1:12" x14ac:dyDescent="0.45">
      <c r="A161" s="5" t="s">
        <v>244</v>
      </c>
      <c r="B161" s="5">
        <v>1214201.01436446</v>
      </c>
      <c r="C161" s="5">
        <v>834038.12533563899</v>
      </c>
      <c r="D161" s="5">
        <v>2084368.4990006101</v>
      </c>
      <c r="E161" s="5">
        <v>1192418.2894444801</v>
      </c>
      <c r="F161" s="5">
        <v>916002.05039281596</v>
      </c>
      <c r="G161" s="5">
        <v>932333.08287550998</v>
      </c>
      <c r="H161" s="5">
        <v>1494379.8665628601</v>
      </c>
      <c r="I161" s="5">
        <v>1163361.4894151699</v>
      </c>
      <c r="J161" s="5">
        <v>1634475.1105998999</v>
      </c>
      <c r="K161" s="5">
        <v>1173403.11661721</v>
      </c>
      <c r="L161">
        <f t="shared" si="3"/>
        <v>0.51956477186915517</v>
      </c>
    </row>
    <row r="162" spans="1:12" x14ac:dyDescent="0.45">
      <c r="A162" s="5" t="s">
        <v>225</v>
      </c>
      <c r="B162" s="5">
        <v>2022647.4900879399</v>
      </c>
      <c r="C162" s="5">
        <v>1428616.9888282099</v>
      </c>
      <c r="D162" s="5">
        <v>3660170.7718778499</v>
      </c>
      <c r="E162" s="5">
        <v>1439422.8523404901</v>
      </c>
      <c r="F162" s="5">
        <v>2169804.38959073</v>
      </c>
      <c r="G162" s="5">
        <v>2293397.3887590598</v>
      </c>
      <c r="H162" s="5">
        <v>1855576.8700371799</v>
      </c>
      <c r="I162" s="5">
        <v>2127261.60633572</v>
      </c>
      <c r="J162" s="5">
        <v>1509520.4450509399</v>
      </c>
      <c r="K162" s="5">
        <v>2070127.8750098399</v>
      </c>
      <c r="L162">
        <f t="shared" si="3"/>
        <v>0.53692071190024615</v>
      </c>
    </row>
    <row r="163" spans="1:12" x14ac:dyDescent="0.45">
      <c r="A163" s="5" t="s">
        <v>68</v>
      </c>
      <c r="B163" s="5">
        <v>1397291.9170474301</v>
      </c>
      <c r="C163" s="5">
        <v>469023.16082838998</v>
      </c>
      <c r="D163" s="5">
        <v>3433274.88577807</v>
      </c>
      <c r="E163" s="5">
        <v>1429048.8034305</v>
      </c>
      <c r="F163" s="5">
        <v>689448.74836031999</v>
      </c>
      <c r="G163" s="5">
        <v>412259.05294355698</v>
      </c>
      <c r="H163" s="5">
        <v>1594664.5490794899</v>
      </c>
      <c r="I163" s="5">
        <v>1948640.7947893599</v>
      </c>
      <c r="J163" s="5">
        <v>1487591.4908204</v>
      </c>
      <c r="K163" s="5">
        <v>1688304.35144986</v>
      </c>
      <c r="L163">
        <f t="shared" si="3"/>
        <v>0.53891917381269816</v>
      </c>
    </row>
    <row r="164" spans="1:12" x14ac:dyDescent="0.45">
      <c r="A164" s="5" t="s">
        <v>191</v>
      </c>
      <c r="B164" s="5">
        <v>103630550.343345</v>
      </c>
      <c r="C164" s="5">
        <v>72349049.328518003</v>
      </c>
      <c r="D164" s="5">
        <v>126862767.70782299</v>
      </c>
      <c r="E164" s="5">
        <v>104732202.694103</v>
      </c>
      <c r="F164" s="5">
        <v>76064931.228222907</v>
      </c>
      <c r="G164" s="5">
        <v>74216204.225421593</v>
      </c>
      <c r="H164" s="5">
        <v>86622151.871775806</v>
      </c>
      <c r="I164" s="5">
        <v>50289229.433644801</v>
      </c>
      <c r="J164" s="5">
        <v>90142332.902020499</v>
      </c>
      <c r="K164" s="5">
        <v>108275050.33913399</v>
      </c>
      <c r="L164">
        <f t="shared" si="3"/>
        <v>0.55515513241234149</v>
      </c>
    </row>
    <row r="165" spans="1:12" x14ac:dyDescent="0.45">
      <c r="A165" s="5" t="s">
        <v>113</v>
      </c>
      <c r="B165" s="5">
        <v>2861668.6811425802</v>
      </c>
      <c r="C165" s="5">
        <v>2378034.5848999401</v>
      </c>
      <c r="D165" s="5">
        <v>3477756.47685462</v>
      </c>
      <c r="E165" s="5">
        <v>6077716.5737934196</v>
      </c>
      <c r="F165" s="5">
        <v>2510525.8512089602</v>
      </c>
      <c r="G165" s="5">
        <v>2452608.8332174099</v>
      </c>
      <c r="H165" s="5">
        <v>6426089.4949807199</v>
      </c>
      <c r="I165" s="5">
        <v>3013772.0675570299</v>
      </c>
      <c r="J165" s="5">
        <v>3055628.4742707498</v>
      </c>
      <c r="K165" s="5">
        <v>3095166.0854028999</v>
      </c>
      <c r="L165">
        <f t="shared" si="3"/>
        <v>0.55668636321848508</v>
      </c>
    </row>
    <row r="166" spans="1:12" x14ac:dyDescent="0.45">
      <c r="A166" s="5" t="s">
        <v>152</v>
      </c>
      <c r="B166" s="5">
        <v>502113621.03520101</v>
      </c>
      <c r="C166" s="5">
        <v>404434612.66376603</v>
      </c>
      <c r="D166" s="5">
        <v>901795887.56556404</v>
      </c>
      <c r="E166" s="5">
        <v>230079403.629742</v>
      </c>
      <c r="F166" s="5">
        <v>381839969.79501301</v>
      </c>
      <c r="G166" s="5">
        <v>356612138.36377001</v>
      </c>
      <c r="H166" s="5">
        <v>596653823.45951402</v>
      </c>
      <c r="I166" s="5">
        <v>701995385.82776296</v>
      </c>
      <c r="J166" s="5">
        <v>463846411.78651202</v>
      </c>
      <c r="K166" s="5">
        <v>400722267.75392598</v>
      </c>
      <c r="L166">
        <f t="shared" si="3"/>
        <v>0.56504763624980336</v>
      </c>
    </row>
    <row r="167" spans="1:12" x14ac:dyDescent="0.45">
      <c r="A167" s="5" t="s">
        <v>213</v>
      </c>
      <c r="B167" s="5">
        <v>10731308.5984757</v>
      </c>
      <c r="C167" s="5">
        <v>8811610.9865399394</v>
      </c>
      <c r="D167" s="5">
        <v>14868032.6682449</v>
      </c>
      <c r="E167" s="5">
        <v>7898509.5088096699</v>
      </c>
      <c r="F167" s="5">
        <v>8721794.9700832404</v>
      </c>
      <c r="G167" s="5">
        <v>10344057.4184172</v>
      </c>
      <c r="H167" s="5">
        <v>9239428.5984381009</v>
      </c>
      <c r="I167" s="5">
        <v>8402909.1234585308</v>
      </c>
      <c r="J167" s="5">
        <v>9326239.4259939492</v>
      </c>
      <c r="K167" s="5">
        <v>10831611.019848701</v>
      </c>
      <c r="L167">
        <f t="shared" si="3"/>
        <v>0.57740725629364209</v>
      </c>
    </row>
    <row r="168" spans="1:12" x14ac:dyDescent="0.45">
      <c r="A168" s="5" t="s">
        <v>43</v>
      </c>
      <c r="B168" s="5">
        <v>2723678.8836769899</v>
      </c>
      <c r="C168" s="5">
        <v>1438963.0885403301</v>
      </c>
      <c r="D168" s="5">
        <v>2852992.3806431401</v>
      </c>
      <c r="E168" s="5">
        <v>3235075.94782724</v>
      </c>
      <c r="F168" s="5">
        <v>2402271.1887191902</v>
      </c>
      <c r="G168" s="5">
        <v>1843811.24779546</v>
      </c>
      <c r="H168" s="5">
        <v>2279924.3888956001</v>
      </c>
      <c r="I168" s="5">
        <v>1405063.7346582001</v>
      </c>
      <c r="J168" s="5">
        <v>1686759.26112819</v>
      </c>
      <c r="K168" s="5">
        <v>3229701.1729594199</v>
      </c>
      <c r="L168">
        <f t="shared" si="3"/>
        <v>0.5850632204049917</v>
      </c>
    </row>
    <row r="169" spans="1:12" x14ac:dyDescent="0.45">
      <c r="A169" s="5" t="s">
        <v>112</v>
      </c>
      <c r="B169" s="5">
        <v>186131.00667664601</v>
      </c>
      <c r="C169" s="5">
        <v>1220629.81509243</v>
      </c>
      <c r="D169" s="5">
        <v>2688717.0256252498</v>
      </c>
      <c r="E169" s="5">
        <v>5647396.6615953799</v>
      </c>
      <c r="F169" s="5">
        <v>50493.896064292501</v>
      </c>
      <c r="G169" s="5">
        <v>1990786.0198349</v>
      </c>
      <c r="H169" s="5">
        <v>760264.39946933906</v>
      </c>
      <c r="I169" s="5">
        <v>528029.38721852005</v>
      </c>
      <c r="J169" s="5">
        <v>4712839.5654521501</v>
      </c>
      <c r="K169" s="5">
        <v>5063379.1443288997</v>
      </c>
      <c r="L169">
        <f t="shared" si="3"/>
        <v>0.59163150467265968</v>
      </c>
    </row>
    <row r="170" spans="1:12" x14ac:dyDescent="0.45">
      <c r="A170" s="5" t="s">
        <v>76</v>
      </c>
      <c r="B170" s="5">
        <v>6449302.07382451</v>
      </c>
      <c r="C170" s="5">
        <v>4510234.4125617202</v>
      </c>
      <c r="D170" s="5">
        <v>42050219.479493402</v>
      </c>
      <c r="E170" s="5">
        <v>2977445.70917087</v>
      </c>
      <c r="F170" s="5">
        <v>9124468.7976111807</v>
      </c>
      <c r="G170" s="5">
        <v>2958468.2275346098</v>
      </c>
      <c r="H170" s="5">
        <v>15326053.584274201</v>
      </c>
      <c r="I170" s="5">
        <v>22780975.303298801</v>
      </c>
      <c r="J170" s="5">
        <v>10124735.596798001</v>
      </c>
      <c r="K170" s="5">
        <v>15056717.059479199</v>
      </c>
      <c r="L170">
        <f t="shared" si="3"/>
        <v>0.59276823770096043</v>
      </c>
    </row>
    <row r="171" spans="1:12" x14ac:dyDescent="0.45">
      <c r="A171" s="5" t="s">
        <v>256</v>
      </c>
      <c r="B171" s="5">
        <v>6901061.0214074701</v>
      </c>
      <c r="C171" s="5">
        <v>3335073.9435701198</v>
      </c>
      <c r="D171" s="5">
        <v>12881434.877404699</v>
      </c>
      <c r="E171" s="5">
        <v>852728.909255423</v>
      </c>
      <c r="F171" s="5">
        <v>3521261.7701698099</v>
      </c>
      <c r="G171" s="5">
        <v>2570210.6961544799</v>
      </c>
      <c r="H171" s="5">
        <v>10265647.939507499</v>
      </c>
      <c r="I171" s="5">
        <v>6854642.2841392197</v>
      </c>
      <c r="J171" s="5">
        <v>3946384.43140226</v>
      </c>
      <c r="K171" s="5">
        <v>4190079.7718749801</v>
      </c>
      <c r="L171">
        <f t="shared" si="3"/>
        <v>0.6158412454306067</v>
      </c>
    </row>
    <row r="172" spans="1:12" x14ac:dyDescent="0.45">
      <c r="A172" s="5" t="s">
        <v>100</v>
      </c>
      <c r="B172" s="5">
        <v>2414724.3123361999</v>
      </c>
      <c r="C172" s="5">
        <v>1416901.2336170101</v>
      </c>
      <c r="D172" s="5">
        <v>3968349.3919889401</v>
      </c>
      <c r="E172" s="5">
        <v>1500785.2688270099</v>
      </c>
      <c r="F172" s="5">
        <v>2057551.58205052</v>
      </c>
      <c r="G172" s="5">
        <v>1464278.67381548</v>
      </c>
      <c r="H172" s="5">
        <v>2844843.0035283002</v>
      </c>
      <c r="I172" s="5">
        <v>2937986.1670757602</v>
      </c>
      <c r="J172" s="5">
        <v>1885271.3183327401</v>
      </c>
      <c r="K172" s="5">
        <v>2001957.75167125</v>
      </c>
      <c r="L172">
        <f t="shared" si="3"/>
        <v>0.62138752047127976</v>
      </c>
    </row>
    <row r="173" spans="1:12" x14ac:dyDescent="0.45">
      <c r="A173" s="5" t="s">
        <v>145</v>
      </c>
      <c r="B173" s="5">
        <v>151417820.88790801</v>
      </c>
      <c r="C173" s="5">
        <v>120073722.135958</v>
      </c>
      <c r="D173" s="5">
        <v>481504564.01034099</v>
      </c>
      <c r="E173" s="5">
        <v>151400330.88460201</v>
      </c>
      <c r="F173" s="5">
        <v>151683362.65818599</v>
      </c>
      <c r="G173" s="5">
        <v>143247010.69690701</v>
      </c>
      <c r="H173" s="5">
        <v>275554673.35254502</v>
      </c>
      <c r="I173" s="5">
        <v>209227411.221459</v>
      </c>
      <c r="J173" s="5">
        <v>226893802.94001299</v>
      </c>
      <c r="K173" s="5">
        <v>226918864.846156</v>
      </c>
      <c r="L173">
        <f t="shared" si="3"/>
        <v>0.64021322844010031</v>
      </c>
    </row>
    <row r="174" spans="1:12" x14ac:dyDescent="0.45">
      <c r="A174" s="5" t="s">
        <v>136</v>
      </c>
      <c r="B174" s="5">
        <v>422903194.73768401</v>
      </c>
      <c r="C174" s="5">
        <v>153449040.25143099</v>
      </c>
      <c r="D174" s="5">
        <v>247706524.869205</v>
      </c>
      <c r="E174" s="5">
        <v>268267194.64197299</v>
      </c>
      <c r="F174" s="5">
        <v>149473460.47549999</v>
      </c>
      <c r="G174" s="5">
        <v>191217397.18982399</v>
      </c>
      <c r="H174" s="5">
        <v>214607246.79714999</v>
      </c>
      <c r="I174" s="5">
        <v>191683445.795414</v>
      </c>
      <c r="J174" s="5">
        <v>134092963.26293001</v>
      </c>
      <c r="K174" s="5">
        <v>305651131.13507402</v>
      </c>
      <c r="L174">
        <f t="shared" si="3"/>
        <v>0.65744876872700364</v>
      </c>
    </row>
    <row r="175" spans="1:12" x14ac:dyDescent="0.45">
      <c r="A175" s="5" t="s">
        <v>196</v>
      </c>
      <c r="B175" s="5">
        <v>8086013.2097498998</v>
      </c>
      <c r="C175" s="5">
        <v>5818349.0599790504</v>
      </c>
      <c r="D175" s="5">
        <v>2854937.2063848102</v>
      </c>
      <c r="E175" s="5">
        <v>6447585.0650448604</v>
      </c>
      <c r="F175" s="5">
        <v>5453275.4241644302</v>
      </c>
      <c r="G175" s="5">
        <v>3064510.3484331002</v>
      </c>
      <c r="H175" s="5">
        <v>5199015.3338683099</v>
      </c>
      <c r="I175" s="5">
        <v>10085108.178608101</v>
      </c>
      <c r="J175" s="5">
        <v>5918061.67657011</v>
      </c>
      <c r="K175" s="5">
        <v>2798765.2449199599</v>
      </c>
      <c r="L175">
        <f t="shared" si="3"/>
        <v>0.66386766612482395</v>
      </c>
    </row>
    <row r="176" spans="1:12" x14ac:dyDescent="0.45">
      <c r="A176" s="5" t="s">
        <v>238</v>
      </c>
      <c r="B176" s="5">
        <v>18011963.644699302</v>
      </c>
      <c r="C176" s="5">
        <v>10038092.5541877</v>
      </c>
      <c r="D176" s="5">
        <v>16781627.421070602</v>
      </c>
      <c r="E176" s="5">
        <v>22845989.839586101</v>
      </c>
      <c r="F176" s="5">
        <v>12189751.194324899</v>
      </c>
      <c r="G176" s="5">
        <v>10517292.8730138</v>
      </c>
      <c r="H176" s="5">
        <v>16500678.982625101</v>
      </c>
      <c r="I176" s="5">
        <v>14603947.853112301</v>
      </c>
      <c r="J176" s="5">
        <v>15884908.761738099</v>
      </c>
      <c r="K176" s="5">
        <v>17856840.311035302</v>
      </c>
      <c r="L176">
        <f t="shared" si="3"/>
        <v>0.6730856214425498</v>
      </c>
    </row>
    <row r="177" spans="1:12" x14ac:dyDescent="0.45">
      <c r="A177" s="5" t="s">
        <v>284</v>
      </c>
      <c r="B177" s="5">
        <v>5349227.2987439902</v>
      </c>
      <c r="C177" s="5">
        <v>206476.182421406</v>
      </c>
      <c r="D177" s="5">
        <v>9384729.9415160902</v>
      </c>
      <c r="E177" s="5">
        <v>5644480.7581249196</v>
      </c>
      <c r="F177" s="5">
        <v>524165.89579014701</v>
      </c>
      <c r="G177" s="5">
        <v>444846.30841604999</v>
      </c>
      <c r="H177" s="5">
        <v>3761276.5385200302</v>
      </c>
      <c r="I177" s="5">
        <v>3015114.7331226701</v>
      </c>
      <c r="J177" s="5">
        <v>4858802.79755159</v>
      </c>
      <c r="K177" s="5">
        <v>6068321.52035351</v>
      </c>
      <c r="L177">
        <f t="shared" si="3"/>
        <v>0.68808614435844695</v>
      </c>
    </row>
    <row r="178" spans="1:12" x14ac:dyDescent="0.45">
      <c r="A178" s="5" t="s">
        <v>49</v>
      </c>
      <c r="B178" s="5">
        <v>83849730.612857297</v>
      </c>
      <c r="C178" s="5">
        <v>75940884.929891706</v>
      </c>
      <c r="D178" s="5">
        <v>98046566.395426795</v>
      </c>
      <c r="E178" s="5">
        <v>76058886.256480604</v>
      </c>
      <c r="F178" s="5">
        <v>65678754.629473098</v>
      </c>
      <c r="G178" s="5">
        <v>78824775.420579597</v>
      </c>
      <c r="H178" s="5">
        <v>73872601.598802805</v>
      </c>
      <c r="I178" s="5">
        <v>80164136.334365696</v>
      </c>
      <c r="J178" s="5">
        <v>84162845.496524602</v>
      </c>
      <c r="K178" s="5">
        <v>90988818.2031582</v>
      </c>
      <c r="L178">
        <f t="shared" si="3"/>
        <v>0.68910968008977291</v>
      </c>
    </row>
    <row r="179" spans="1:12" x14ac:dyDescent="0.45">
      <c r="A179" s="5" t="s">
        <v>31</v>
      </c>
      <c r="B179" s="5">
        <v>770026.11606018501</v>
      </c>
      <c r="C179" s="5">
        <v>669037.312583033</v>
      </c>
      <c r="D179" s="5">
        <v>2983280.7045652</v>
      </c>
      <c r="E179" s="5">
        <v>1590867.9206330799</v>
      </c>
      <c r="F179" s="5">
        <v>622938.61464211799</v>
      </c>
      <c r="G179" s="5">
        <v>684085.05521857098</v>
      </c>
      <c r="H179" s="5">
        <v>1476676.5265573601</v>
      </c>
      <c r="I179" s="5">
        <v>1522182.0821954</v>
      </c>
      <c r="J179" s="5">
        <v>1465726.6199840801</v>
      </c>
      <c r="K179" s="5">
        <v>1213189.5318680401</v>
      </c>
      <c r="L179">
        <f t="shared" si="3"/>
        <v>0.68977495602424388</v>
      </c>
    </row>
    <row r="180" spans="1:12" x14ac:dyDescent="0.45">
      <c r="A180" s="5" t="s">
        <v>106</v>
      </c>
      <c r="B180" s="5">
        <v>640756618.93078196</v>
      </c>
      <c r="C180" s="5">
        <v>534373079.35209697</v>
      </c>
      <c r="D180" s="5">
        <v>657504098.32128501</v>
      </c>
      <c r="E180" s="5">
        <v>646718805.13004601</v>
      </c>
      <c r="F180" s="5">
        <v>494376108.44435698</v>
      </c>
      <c r="G180" s="5">
        <v>436837498.62034798</v>
      </c>
      <c r="H180" s="5">
        <v>679425982.09742796</v>
      </c>
      <c r="I180" s="5">
        <v>504041817.52493</v>
      </c>
      <c r="J180" s="5">
        <v>651889271.921767</v>
      </c>
      <c r="K180" s="5">
        <v>534573457.87388998</v>
      </c>
      <c r="L180">
        <f t="shared" si="3"/>
        <v>0.69130733434425173</v>
      </c>
    </row>
    <row r="181" spans="1:12" x14ac:dyDescent="0.45">
      <c r="A181" s="5" t="s">
        <v>82</v>
      </c>
      <c r="B181" s="5">
        <v>6177017.2384781605</v>
      </c>
      <c r="C181" s="5">
        <v>2238714.0286912201</v>
      </c>
      <c r="D181" s="5">
        <v>2894423.9244425399</v>
      </c>
      <c r="E181" s="5">
        <v>1015917.90471001</v>
      </c>
      <c r="F181" s="5">
        <v>2935261.9254704202</v>
      </c>
      <c r="G181" s="5">
        <v>1947750.09321573</v>
      </c>
      <c r="H181" s="5">
        <v>3817331.48818549</v>
      </c>
      <c r="I181" s="5">
        <v>2830826.2436436401</v>
      </c>
      <c r="J181" s="5">
        <v>2471613.8364964002</v>
      </c>
      <c r="K181" s="5">
        <v>633690.91466403403</v>
      </c>
      <c r="L181">
        <f t="shared" si="3"/>
        <v>0.6914697713016269</v>
      </c>
    </row>
    <row r="182" spans="1:12" x14ac:dyDescent="0.45">
      <c r="A182" s="5" t="s">
        <v>41</v>
      </c>
      <c r="B182" s="5">
        <v>29102509.2940896</v>
      </c>
      <c r="C182" s="5">
        <v>18252650.1634553</v>
      </c>
      <c r="D182" s="5">
        <v>60131850.232973099</v>
      </c>
      <c r="E182" s="5">
        <v>17799464.144618101</v>
      </c>
      <c r="F182" s="5">
        <v>19610788.0369468</v>
      </c>
      <c r="G182" s="5">
        <v>17959102.444545899</v>
      </c>
      <c r="H182" s="5">
        <v>33592731.689236097</v>
      </c>
      <c r="I182" s="5">
        <v>31232477.361311201</v>
      </c>
      <c r="J182" s="5">
        <v>27418524.909761101</v>
      </c>
      <c r="K182" s="5">
        <v>30074132.884582099</v>
      </c>
      <c r="L182">
        <f t="shared" si="3"/>
        <v>0.69981738193373544</v>
      </c>
    </row>
    <row r="183" spans="1:12" x14ac:dyDescent="0.45">
      <c r="A183" s="5" t="s">
        <v>137</v>
      </c>
      <c r="B183" s="5">
        <v>32308496.054028202</v>
      </c>
      <c r="C183" s="5">
        <v>30567680.623750199</v>
      </c>
      <c r="D183" s="5">
        <v>65047551.307138197</v>
      </c>
      <c r="E183" s="5">
        <v>25640259.4811791</v>
      </c>
      <c r="F183" s="5">
        <v>28741308.922270902</v>
      </c>
      <c r="G183" s="5">
        <v>37583004.958799198</v>
      </c>
      <c r="H183" s="5">
        <v>50637354.152227797</v>
      </c>
      <c r="I183" s="5">
        <v>29686096.088340901</v>
      </c>
      <c r="J183" s="5">
        <v>37793119.469378203</v>
      </c>
      <c r="K183" s="5">
        <v>40268964.906753197</v>
      </c>
      <c r="L183">
        <f t="shared" si="3"/>
        <v>0.72643141922412258</v>
      </c>
    </row>
    <row r="184" spans="1:12" x14ac:dyDescent="0.45">
      <c r="A184" s="5" t="s">
        <v>93</v>
      </c>
      <c r="B184" s="5">
        <v>27002868.360527098</v>
      </c>
      <c r="C184" s="5">
        <v>28894715.146694802</v>
      </c>
      <c r="D184" s="5">
        <v>68441568.454303995</v>
      </c>
      <c r="E184" s="5">
        <v>18758067.732104</v>
      </c>
      <c r="F184" s="5">
        <v>21973364.341425002</v>
      </c>
      <c r="G184" s="5">
        <v>25842053.575037099</v>
      </c>
      <c r="H184" s="5">
        <v>43449393.401913598</v>
      </c>
      <c r="I184" s="5">
        <v>28957763.124961201</v>
      </c>
      <c r="J184" s="5">
        <v>35093132.442817897</v>
      </c>
      <c r="K184" s="5">
        <v>32245216.2900308</v>
      </c>
      <c r="L184">
        <f t="shared" si="3"/>
        <v>0.75517261730377527</v>
      </c>
    </row>
    <row r="185" spans="1:12" x14ac:dyDescent="0.45">
      <c r="A185" s="5" t="s">
        <v>271</v>
      </c>
      <c r="B185" s="5">
        <v>6148652.6789783603</v>
      </c>
      <c r="C185" s="5">
        <v>7486166.1902624303</v>
      </c>
      <c r="D185" s="5">
        <v>3110454.5651998199</v>
      </c>
      <c r="E185" s="5">
        <v>11313579.841588501</v>
      </c>
      <c r="F185" s="5">
        <v>5905945.5882523302</v>
      </c>
      <c r="G185" s="5">
        <v>6364661.6338241696</v>
      </c>
      <c r="H185" s="5">
        <v>6081770.9648662498</v>
      </c>
      <c r="I185" s="5">
        <v>6753177.9575285902</v>
      </c>
      <c r="J185" s="5">
        <v>6248481.0872896696</v>
      </c>
      <c r="K185" s="5">
        <v>6041361.7966381898</v>
      </c>
      <c r="L185">
        <f t="shared" si="3"/>
        <v>0.75649078277053039</v>
      </c>
    </row>
    <row r="186" spans="1:12" x14ac:dyDescent="0.45">
      <c r="A186" s="5" t="s">
        <v>245</v>
      </c>
      <c r="B186" s="5">
        <v>211926197.706705</v>
      </c>
      <c r="C186" s="5">
        <v>73658110.101836503</v>
      </c>
      <c r="D186" s="5">
        <v>151857912.52552399</v>
      </c>
      <c r="E186" s="5">
        <v>546522366.51409197</v>
      </c>
      <c r="F186" s="5">
        <v>79853608.566136405</v>
      </c>
      <c r="G186" s="5">
        <v>78817751.2508775</v>
      </c>
      <c r="H186" s="5">
        <v>185024153.96035099</v>
      </c>
      <c r="I186" s="5">
        <v>125805519.891976</v>
      </c>
      <c r="J186" s="5">
        <v>161622733.767923</v>
      </c>
      <c r="K186" s="5">
        <v>168998894.884561</v>
      </c>
      <c r="L186">
        <f t="shared" si="3"/>
        <v>0.75670901115262612</v>
      </c>
    </row>
    <row r="187" spans="1:12" x14ac:dyDescent="0.45">
      <c r="A187" s="5" t="s">
        <v>163</v>
      </c>
      <c r="B187" s="5">
        <v>9917188.1295177191</v>
      </c>
      <c r="C187" s="5">
        <v>12824546.5860488</v>
      </c>
      <c r="D187" s="5">
        <v>9346597.1032935493</v>
      </c>
      <c r="E187" s="5">
        <v>8284078.7526123002</v>
      </c>
      <c r="F187" s="5">
        <v>9469473.5842496492</v>
      </c>
      <c r="G187" s="5">
        <v>11431974.093123401</v>
      </c>
      <c r="H187" s="5">
        <v>11195065.5345394</v>
      </c>
      <c r="I187" s="5">
        <v>10943220.827820901</v>
      </c>
      <c r="J187" s="5">
        <v>9711903.47974368</v>
      </c>
      <c r="K187" s="5">
        <v>10126152.6063614</v>
      </c>
      <c r="L187">
        <f t="shared" si="3"/>
        <v>0.75693813669341026</v>
      </c>
    </row>
    <row r="188" spans="1:12" x14ac:dyDescent="0.45">
      <c r="A188" s="5" t="s">
        <v>74</v>
      </c>
      <c r="B188" s="5">
        <v>329295517.85779101</v>
      </c>
      <c r="C188" s="5">
        <v>294089179.90713501</v>
      </c>
      <c r="D188" s="5">
        <v>339911343.677284</v>
      </c>
      <c r="E188" s="5">
        <v>403160652.50095302</v>
      </c>
      <c r="F188" s="5">
        <v>242404164.181494</v>
      </c>
      <c r="G188" s="5">
        <v>288934845.356516</v>
      </c>
      <c r="H188" s="5">
        <v>297269841.86491501</v>
      </c>
      <c r="I188" s="5">
        <v>281135063.88802701</v>
      </c>
      <c r="J188" s="5">
        <v>304540000.57095402</v>
      </c>
      <c r="K188" s="5">
        <v>344272936.42921698</v>
      </c>
      <c r="L188">
        <f t="shared" si="3"/>
        <v>0.75873602165624421</v>
      </c>
    </row>
    <row r="189" spans="1:12" x14ac:dyDescent="0.45">
      <c r="A189" s="5" t="s">
        <v>80</v>
      </c>
      <c r="B189" s="5">
        <v>295212591.45800602</v>
      </c>
      <c r="C189" s="5">
        <v>362899679.29296702</v>
      </c>
      <c r="D189" s="5">
        <v>231283146.26726601</v>
      </c>
      <c r="E189" s="5">
        <v>137425532.532114</v>
      </c>
      <c r="F189" s="5">
        <v>334273737.16496402</v>
      </c>
      <c r="G189" s="5">
        <v>279280206.55856597</v>
      </c>
      <c r="H189" s="5">
        <v>271901661.749336</v>
      </c>
      <c r="I189" s="5">
        <v>247652148.79435799</v>
      </c>
      <c r="J189" s="5">
        <v>245445233.64002401</v>
      </c>
      <c r="K189" s="5">
        <v>277844342.25693202</v>
      </c>
      <c r="L189">
        <f t="shared" si="3"/>
        <v>0.76848862690176145</v>
      </c>
    </row>
    <row r="190" spans="1:12" x14ac:dyDescent="0.45">
      <c r="A190" s="5" t="s">
        <v>254</v>
      </c>
      <c r="B190" s="5">
        <v>8801609.0481851306</v>
      </c>
      <c r="C190" s="5">
        <v>3281732.66419798</v>
      </c>
      <c r="D190" s="5">
        <v>3758921.7504485901</v>
      </c>
      <c r="E190" s="5">
        <v>1667192.65836536</v>
      </c>
      <c r="F190" s="5">
        <v>3891350.60412713</v>
      </c>
      <c r="G190" s="5">
        <v>3048223.8843292599</v>
      </c>
      <c r="H190" s="5">
        <v>7693875.3134938804</v>
      </c>
      <c r="I190" s="5">
        <v>5229569.2813806599</v>
      </c>
      <c r="J190" s="5">
        <v>4204157.9041502103</v>
      </c>
      <c r="K190" s="5">
        <v>1152096.06627787</v>
      </c>
      <c r="L190">
        <f t="shared" si="3"/>
        <v>0.77113546756200702</v>
      </c>
    </row>
    <row r="191" spans="1:12" x14ac:dyDescent="0.45">
      <c r="A191" s="5" t="s">
        <v>227</v>
      </c>
      <c r="B191" s="5">
        <v>2300874.2486147201</v>
      </c>
      <c r="C191" s="5">
        <v>422320.70790425199</v>
      </c>
      <c r="D191" s="5">
        <v>659282.75455927197</v>
      </c>
      <c r="E191" s="5">
        <v>2121367.54736521</v>
      </c>
      <c r="F191" s="5">
        <v>716611.85039562103</v>
      </c>
      <c r="G191" s="5">
        <v>450620.86712543201</v>
      </c>
      <c r="H191" s="5">
        <v>905763.37549960602</v>
      </c>
      <c r="I191" s="5">
        <v>1303473.52470203</v>
      </c>
      <c r="J191" s="5">
        <v>1800650.8681292799</v>
      </c>
      <c r="K191" s="5">
        <v>917743.87965442904</v>
      </c>
      <c r="L191">
        <f t="shared" si="3"/>
        <v>0.80479775303242806</v>
      </c>
    </row>
    <row r="192" spans="1:12" x14ac:dyDescent="0.45">
      <c r="A192" s="5" t="s">
        <v>157</v>
      </c>
      <c r="B192" s="5">
        <v>2614222.0231488901</v>
      </c>
      <c r="C192" s="5">
        <v>5013443.6577725904</v>
      </c>
      <c r="D192" s="5">
        <v>1310316.24895124</v>
      </c>
      <c r="E192" s="5">
        <v>2207908.7215096601</v>
      </c>
      <c r="F192" s="5">
        <v>5551760.6404126799</v>
      </c>
      <c r="G192" s="5">
        <v>4853819.3668914596</v>
      </c>
      <c r="H192" s="5">
        <v>4412989.3340426302</v>
      </c>
      <c r="I192" s="5">
        <v>3971085.1160818199</v>
      </c>
      <c r="J192" s="5">
        <v>3414396.04652208</v>
      </c>
      <c r="K192" s="5">
        <v>3474477.4474205999</v>
      </c>
      <c r="L192">
        <f t="shared" si="3"/>
        <v>0.81152394897227031</v>
      </c>
    </row>
    <row r="193" spans="1:12" x14ac:dyDescent="0.45">
      <c r="A193" s="5" t="s">
        <v>261</v>
      </c>
      <c r="B193" s="5">
        <v>42094583.900234498</v>
      </c>
      <c r="C193" s="5">
        <v>5452343.2009319896</v>
      </c>
      <c r="D193" s="5">
        <v>10244873.7967974</v>
      </c>
      <c r="E193" s="5">
        <v>45814770.266625203</v>
      </c>
      <c r="F193" s="5">
        <v>22536581.5262991</v>
      </c>
      <c r="G193" s="5">
        <v>25017810.750486199</v>
      </c>
      <c r="H193" s="5">
        <v>21748227.068365499</v>
      </c>
      <c r="I193" s="5">
        <v>27561416.036911201</v>
      </c>
      <c r="J193" s="5">
        <v>28609087.503691498</v>
      </c>
      <c r="K193" s="5">
        <v>14354856.399414301</v>
      </c>
      <c r="L193">
        <f t="shared" si="3"/>
        <v>0.81357882599993259</v>
      </c>
    </row>
    <row r="194" spans="1:12" x14ac:dyDescent="0.45">
      <c r="A194" s="5" t="s">
        <v>156</v>
      </c>
      <c r="B194" s="5">
        <v>29876392.510655802</v>
      </c>
      <c r="C194" s="5">
        <v>44724276.181408197</v>
      </c>
      <c r="D194" s="5">
        <v>23522130.447323501</v>
      </c>
      <c r="E194" s="5">
        <v>44731476.077957101</v>
      </c>
      <c r="F194" s="5">
        <v>55121055.493619002</v>
      </c>
      <c r="G194" s="5">
        <v>33828516.848925903</v>
      </c>
      <c r="H194" s="5">
        <v>36306875.971767999</v>
      </c>
      <c r="I194" s="5">
        <v>33542583.992501199</v>
      </c>
      <c r="J194" s="5">
        <v>39437335.882415801</v>
      </c>
      <c r="K194" s="5">
        <v>39384282.910805397</v>
      </c>
      <c r="L194">
        <f t="shared" ref="L194:L257" si="4">TTEST(B194:G194,H194:K194,2,2)</f>
        <v>0.81401536637752014</v>
      </c>
    </row>
    <row r="195" spans="1:12" x14ac:dyDescent="0.45">
      <c r="A195" s="5" t="s">
        <v>150</v>
      </c>
      <c r="B195" s="5">
        <v>227684701.40568399</v>
      </c>
      <c r="C195" s="5">
        <v>240870136.47961399</v>
      </c>
      <c r="D195" s="5">
        <v>151898164.63314301</v>
      </c>
      <c r="E195" s="5">
        <v>258627688.01371399</v>
      </c>
      <c r="F195" s="5">
        <v>255446711.35765699</v>
      </c>
      <c r="G195" s="5">
        <v>193809905.216708</v>
      </c>
      <c r="H195" s="5">
        <v>195686915.655294</v>
      </c>
      <c r="I195" s="5">
        <v>290744009.18362403</v>
      </c>
      <c r="J195" s="5">
        <v>200295702.19892099</v>
      </c>
      <c r="K195" s="5">
        <v>172030939.153074</v>
      </c>
      <c r="L195">
        <f t="shared" si="4"/>
        <v>0.82612024601958689</v>
      </c>
    </row>
    <row r="196" spans="1:12" x14ac:dyDescent="0.45">
      <c r="A196" s="5" t="s">
        <v>109</v>
      </c>
      <c r="B196" s="5">
        <v>1258493.66833094</v>
      </c>
      <c r="C196" s="5">
        <v>1252137.6527549699</v>
      </c>
      <c r="D196" s="5">
        <v>3276977.9638392101</v>
      </c>
      <c r="E196" s="5">
        <v>6015208.7231189404</v>
      </c>
      <c r="F196" s="5">
        <v>942582.14022623503</v>
      </c>
      <c r="G196" s="5">
        <v>748622.54825542297</v>
      </c>
      <c r="H196" s="5">
        <v>2421896.2949425401</v>
      </c>
      <c r="I196" s="5">
        <v>1718046.9256913899</v>
      </c>
      <c r="J196" s="5">
        <v>2034697.2150222301</v>
      </c>
      <c r="K196" s="5">
        <v>1894851.25403325</v>
      </c>
      <c r="L196">
        <f t="shared" si="4"/>
        <v>0.83199459651534879</v>
      </c>
    </row>
    <row r="197" spans="1:12" x14ac:dyDescent="0.45">
      <c r="A197" s="5" t="s">
        <v>95</v>
      </c>
      <c r="B197" s="5">
        <v>1803168.1588349801</v>
      </c>
      <c r="C197" s="5">
        <v>1245965.0224493099</v>
      </c>
      <c r="D197" s="5">
        <v>7925939.6521946704</v>
      </c>
      <c r="E197" s="5">
        <v>2429120.0664660698</v>
      </c>
      <c r="F197" s="5">
        <v>1604107.68511635</v>
      </c>
      <c r="G197" s="5">
        <v>958023.10157748498</v>
      </c>
      <c r="H197" s="5">
        <v>5071837.15903138</v>
      </c>
      <c r="I197" s="5">
        <v>2644707.5085847699</v>
      </c>
      <c r="J197" s="5">
        <v>1780700.7430270901</v>
      </c>
      <c r="K197" s="5">
        <v>2061853.5319463301</v>
      </c>
      <c r="L197">
        <f t="shared" si="4"/>
        <v>0.87988747431577785</v>
      </c>
    </row>
    <row r="198" spans="1:12" x14ac:dyDescent="0.45">
      <c r="A198" s="5" t="s">
        <v>36</v>
      </c>
      <c r="B198" s="5">
        <v>14397443.708982401</v>
      </c>
      <c r="C198" s="5">
        <v>11357600.766350901</v>
      </c>
      <c r="D198" s="5">
        <v>14720768.330501501</v>
      </c>
      <c r="E198" s="5">
        <v>13352419.1555357</v>
      </c>
      <c r="F198" s="5">
        <v>11686661.758225899</v>
      </c>
      <c r="G198" s="5">
        <v>11279884.5841412</v>
      </c>
      <c r="H198" s="5">
        <v>10970140.7070037</v>
      </c>
      <c r="I198" s="5">
        <v>11632472.9286645</v>
      </c>
      <c r="J198" s="5">
        <v>13511362.212535299</v>
      </c>
      <c r="K198" s="5">
        <v>15764535.1766755</v>
      </c>
      <c r="L198">
        <f t="shared" si="4"/>
        <v>0.88728555908930207</v>
      </c>
    </row>
    <row r="199" spans="1:12" x14ac:dyDescent="0.45">
      <c r="A199" s="5" t="s">
        <v>34</v>
      </c>
      <c r="B199" s="5">
        <v>588195.34507617401</v>
      </c>
      <c r="C199" s="5">
        <v>71370.144779070397</v>
      </c>
      <c r="D199" s="5">
        <v>828193.12168767594</v>
      </c>
      <c r="E199" s="5">
        <v>762790.77432665299</v>
      </c>
      <c r="F199" s="5">
        <v>215270.422707313</v>
      </c>
      <c r="G199" s="5">
        <v>156468.283142653</v>
      </c>
      <c r="H199" s="5">
        <v>396520.273123944</v>
      </c>
      <c r="I199" s="5">
        <v>262487.308182245</v>
      </c>
      <c r="J199" s="5">
        <v>564349.29243476305</v>
      </c>
      <c r="K199" s="5">
        <v>438476.46509810298</v>
      </c>
      <c r="L199">
        <f t="shared" si="4"/>
        <v>0.90502099364855915</v>
      </c>
    </row>
    <row r="200" spans="1:12" x14ac:dyDescent="0.45">
      <c r="A200" s="5" t="s">
        <v>140</v>
      </c>
      <c r="B200" s="5">
        <v>10314770.095716</v>
      </c>
      <c r="C200" s="5">
        <v>10067130.887041699</v>
      </c>
      <c r="D200" s="5">
        <v>20001322.081905901</v>
      </c>
      <c r="E200" s="5">
        <v>12198777.287311999</v>
      </c>
      <c r="F200" s="5">
        <v>5761782.3099570395</v>
      </c>
      <c r="G200" s="5">
        <v>8215799.0088317702</v>
      </c>
      <c r="H200" s="5">
        <v>13967688.9505983</v>
      </c>
      <c r="I200" s="5">
        <v>7988021.8188082501</v>
      </c>
      <c r="J200" s="5">
        <v>10363954.120390199</v>
      </c>
      <c r="K200" s="5">
        <v>10747605.6978893</v>
      </c>
      <c r="L200">
        <f t="shared" si="4"/>
        <v>0.90577162939450218</v>
      </c>
    </row>
    <row r="201" spans="1:12" x14ac:dyDescent="0.45">
      <c r="A201" s="5" t="s">
        <v>215</v>
      </c>
      <c r="B201" s="5">
        <v>1404209.4500297001</v>
      </c>
      <c r="C201" s="5">
        <v>1263922.80578313</v>
      </c>
      <c r="D201" s="5">
        <v>1886223.84177157</v>
      </c>
      <c r="E201" s="5">
        <v>2727751.33525234</v>
      </c>
      <c r="F201" s="5">
        <v>1137910.6754624101</v>
      </c>
      <c r="G201" s="5">
        <v>1036227.62650237</v>
      </c>
      <c r="H201" s="5">
        <v>1392705.6747377701</v>
      </c>
      <c r="I201" s="5">
        <v>1790782.5652564899</v>
      </c>
      <c r="J201" s="5">
        <v>1392158.7492742201</v>
      </c>
      <c r="K201" s="5">
        <v>1881334.04035666</v>
      </c>
      <c r="L201">
        <f t="shared" si="4"/>
        <v>0.91357917863576121</v>
      </c>
    </row>
    <row r="202" spans="1:12" x14ac:dyDescent="0.45">
      <c r="A202" s="5" t="s">
        <v>275</v>
      </c>
      <c r="B202" s="5">
        <v>4756139.9572647698</v>
      </c>
      <c r="C202" s="5">
        <v>4718631.8605755996</v>
      </c>
      <c r="D202" s="5">
        <v>11669786.082141099</v>
      </c>
      <c r="E202" s="5">
        <v>6171363.5354035096</v>
      </c>
      <c r="F202" s="5">
        <v>6749290.9389384398</v>
      </c>
      <c r="G202" s="5">
        <v>3830222.52430525</v>
      </c>
      <c r="H202" s="5">
        <v>6651853.9481990403</v>
      </c>
      <c r="I202" s="5">
        <v>7971465.0558604598</v>
      </c>
      <c r="J202" s="5">
        <v>5241633.9982048804</v>
      </c>
      <c r="K202" s="5">
        <v>4749091.74448861</v>
      </c>
      <c r="L202">
        <f t="shared" si="4"/>
        <v>0.91936702679469107</v>
      </c>
    </row>
    <row r="203" spans="1:12" x14ac:dyDescent="0.45">
      <c r="A203" s="5" t="s">
        <v>283</v>
      </c>
      <c r="B203" s="5">
        <v>4530324.2593870796</v>
      </c>
      <c r="C203" s="5">
        <v>2033011.82984377</v>
      </c>
      <c r="D203" s="5">
        <v>18916373.422487799</v>
      </c>
      <c r="E203" s="5">
        <v>6601829.4103698498</v>
      </c>
      <c r="F203" s="5">
        <v>2430897.3366907798</v>
      </c>
      <c r="G203" s="5">
        <v>2653638.8232271201</v>
      </c>
      <c r="H203" s="5">
        <v>5799965.8621108402</v>
      </c>
      <c r="I203" s="5">
        <v>6354490.55500264</v>
      </c>
      <c r="J203" s="5">
        <v>5980171.4934957903</v>
      </c>
      <c r="K203" s="5">
        <v>5299906.86594644</v>
      </c>
      <c r="L203">
        <f t="shared" si="4"/>
        <v>0.92152803725598642</v>
      </c>
    </row>
    <row r="204" spans="1:12" x14ac:dyDescent="0.45">
      <c r="A204" s="5" t="s">
        <v>180</v>
      </c>
      <c r="B204" s="5">
        <v>53597778.075428203</v>
      </c>
      <c r="C204" s="5">
        <v>32324685.449632</v>
      </c>
      <c r="D204" s="5">
        <v>20551880.1795993</v>
      </c>
      <c r="E204" s="5">
        <v>10771112.269643299</v>
      </c>
      <c r="F204" s="5">
        <v>32165903.1264029</v>
      </c>
      <c r="G204" s="5">
        <v>24048508.2935232</v>
      </c>
      <c r="H204" s="5">
        <v>47629809.847000197</v>
      </c>
      <c r="I204" s="5">
        <v>31260910.9033053</v>
      </c>
      <c r="J204" s="5">
        <v>27412429.518250398</v>
      </c>
      <c r="K204" s="5">
        <v>6222034.3531317003</v>
      </c>
      <c r="L204">
        <f t="shared" si="4"/>
        <v>0.93991982732205015</v>
      </c>
    </row>
    <row r="205" spans="1:12" x14ac:dyDescent="0.45">
      <c r="A205" s="5" t="s">
        <v>229</v>
      </c>
      <c r="B205" s="5">
        <v>27690028.072859202</v>
      </c>
      <c r="C205" s="5">
        <v>16933761.8663381</v>
      </c>
      <c r="D205" s="5">
        <v>10135275.1156996</v>
      </c>
      <c r="E205" s="5">
        <v>6389347.9547006302</v>
      </c>
      <c r="F205" s="5">
        <v>15861760.5482889</v>
      </c>
      <c r="G205" s="5">
        <v>13490207.071194099</v>
      </c>
      <c r="H205" s="5">
        <v>24944207.908452898</v>
      </c>
      <c r="I205" s="5">
        <v>15973980.5334682</v>
      </c>
      <c r="J205" s="5">
        <v>14536553.8050886</v>
      </c>
      <c r="K205" s="5">
        <v>3296765.3846537</v>
      </c>
      <c r="L205">
        <f t="shared" si="4"/>
        <v>0.94025517455067953</v>
      </c>
    </row>
    <row r="206" spans="1:12" x14ac:dyDescent="0.45">
      <c r="A206" s="5" t="s">
        <v>78</v>
      </c>
      <c r="B206" s="5">
        <v>1710275.7449076599</v>
      </c>
      <c r="C206" s="5">
        <v>381891.20177159301</v>
      </c>
      <c r="D206" s="5">
        <v>2309473.38809975</v>
      </c>
      <c r="E206" s="5">
        <v>1422320.7289718499</v>
      </c>
      <c r="F206" s="5">
        <v>536941.03868450003</v>
      </c>
      <c r="G206" s="5">
        <v>6852480.4016961996</v>
      </c>
      <c r="H206" s="5">
        <v>2090936.02058434</v>
      </c>
      <c r="I206" s="5">
        <v>2469196.1915262402</v>
      </c>
      <c r="J206" s="5">
        <v>2167228.57026221</v>
      </c>
      <c r="K206" s="5">
        <v>1711922.1033993401</v>
      </c>
      <c r="L206">
        <f t="shared" si="4"/>
        <v>0.94177271477628244</v>
      </c>
    </row>
    <row r="207" spans="1:12" x14ac:dyDescent="0.45">
      <c r="A207" s="5" t="s">
        <v>178</v>
      </c>
      <c r="B207" s="5">
        <v>10804028.7150116</v>
      </c>
      <c r="C207" s="5">
        <v>7973672.9887797805</v>
      </c>
      <c r="D207" s="5">
        <v>12277622.996466201</v>
      </c>
      <c r="E207" s="5">
        <v>12893974.809857899</v>
      </c>
      <c r="F207" s="5">
        <v>7024395.2131811501</v>
      </c>
      <c r="G207" s="5">
        <v>7867699.88434627</v>
      </c>
      <c r="H207" s="5">
        <v>9068140.0273250509</v>
      </c>
      <c r="I207" s="5">
        <v>9446674.6277674194</v>
      </c>
      <c r="J207" s="5">
        <v>9887782.7774766702</v>
      </c>
      <c r="K207" s="5">
        <v>11144375.182527199</v>
      </c>
      <c r="L207">
        <f t="shared" si="4"/>
        <v>0.95358468699492616</v>
      </c>
    </row>
    <row r="208" spans="1:12" x14ac:dyDescent="0.45">
      <c r="A208" s="5" t="s">
        <v>38</v>
      </c>
      <c r="B208" s="5">
        <v>4643869.0393826496</v>
      </c>
      <c r="C208" s="5">
        <v>3675673.49766269</v>
      </c>
      <c r="D208" s="5">
        <v>7548312.7189799501</v>
      </c>
      <c r="E208" s="5">
        <v>1569271.26839168</v>
      </c>
      <c r="F208" s="5">
        <v>3619593.7038141098</v>
      </c>
      <c r="G208" s="5">
        <v>3468554.6418205299</v>
      </c>
      <c r="H208" s="5">
        <v>4030429.4106316501</v>
      </c>
      <c r="I208" s="5">
        <v>5712057.5397413997</v>
      </c>
      <c r="J208" s="5">
        <v>3350711.9439143599</v>
      </c>
      <c r="K208" s="5">
        <v>3064211.7888588998</v>
      </c>
      <c r="L208">
        <f t="shared" si="4"/>
        <v>0.96640942203621671</v>
      </c>
    </row>
    <row r="209" spans="1:12" x14ac:dyDescent="0.45">
      <c r="A209" s="5" t="s">
        <v>281</v>
      </c>
      <c r="B209" s="5">
        <v>1666872.7678510901</v>
      </c>
      <c r="C209" s="5">
        <v>1908672.14526422</v>
      </c>
      <c r="D209" s="5">
        <v>4999469.49500388</v>
      </c>
      <c r="E209" s="5">
        <v>1602833.6491328799</v>
      </c>
      <c r="F209" s="5">
        <v>1348209.34654052</v>
      </c>
      <c r="G209" s="5">
        <v>1575103.4680072099</v>
      </c>
      <c r="H209" s="5">
        <v>1705285.4343594599</v>
      </c>
      <c r="I209" s="5">
        <v>3387954.9097703299</v>
      </c>
      <c r="J209" s="5">
        <v>2084791.1441001</v>
      </c>
      <c r="K209" s="5">
        <v>1678301.6460013399</v>
      </c>
      <c r="L209">
        <f t="shared" si="4"/>
        <v>0.96962825512199191</v>
      </c>
    </row>
    <row r="210" spans="1:12" x14ac:dyDescent="0.45">
      <c r="A210" s="5" t="s">
        <v>264</v>
      </c>
      <c r="B210" s="5">
        <v>2994512.6464521098</v>
      </c>
      <c r="C210" s="5">
        <v>1765972.4259649301</v>
      </c>
      <c r="D210" s="5">
        <v>2389010.2357455301</v>
      </c>
      <c r="E210" s="5">
        <v>4601216.0113728102</v>
      </c>
      <c r="F210" s="5">
        <v>1848661.7820644199</v>
      </c>
      <c r="G210" s="5">
        <v>1835232.76987278</v>
      </c>
      <c r="H210" s="5">
        <v>2582147.5743545499</v>
      </c>
      <c r="I210" s="5">
        <v>2659546.0266960901</v>
      </c>
      <c r="J210" s="5">
        <v>1375433.93134107</v>
      </c>
      <c r="K210" s="5">
        <v>3777771.55359845</v>
      </c>
      <c r="L210">
        <f t="shared" si="4"/>
        <v>0.97020391883689627</v>
      </c>
    </row>
    <row r="211" spans="1:12" x14ac:dyDescent="0.45">
      <c r="A211" s="5" t="s">
        <v>198</v>
      </c>
      <c r="B211" s="5">
        <v>10800100.447420301</v>
      </c>
      <c r="C211" s="5">
        <v>3871114.0779098701</v>
      </c>
      <c r="D211" s="5">
        <v>4737752.0207197899</v>
      </c>
      <c r="E211" s="5">
        <v>1731715.4713004299</v>
      </c>
      <c r="F211" s="5">
        <v>4770568.0246270997</v>
      </c>
      <c r="G211" s="5">
        <v>3325280.4274855298</v>
      </c>
      <c r="H211" s="5">
        <v>7606818.4743095599</v>
      </c>
      <c r="I211" s="5">
        <v>5723965.9973688498</v>
      </c>
      <c r="J211" s="5">
        <v>4654543.71351997</v>
      </c>
      <c r="K211" s="5">
        <v>1305299.7485634801</v>
      </c>
      <c r="L211">
        <f t="shared" si="4"/>
        <v>0.97962163197634933</v>
      </c>
    </row>
    <row r="212" spans="1:12" x14ac:dyDescent="0.45">
      <c r="A212" s="5" t="s">
        <v>201</v>
      </c>
      <c r="B212" s="5">
        <v>16833238.909796901</v>
      </c>
      <c r="C212" s="5">
        <v>13106138.030362001</v>
      </c>
      <c r="D212" s="5">
        <v>19037712.719236299</v>
      </c>
      <c r="E212" s="5">
        <v>19732136.047267798</v>
      </c>
      <c r="F212" s="5">
        <v>10981473.060737399</v>
      </c>
      <c r="G212" s="5">
        <v>14521203.310427001</v>
      </c>
      <c r="H212" s="5">
        <v>14404008.478018399</v>
      </c>
      <c r="I212" s="5">
        <v>14581666.5343842</v>
      </c>
      <c r="J212" s="5">
        <v>15729211.7025855</v>
      </c>
      <c r="K212" s="5">
        <v>18195235.7683198</v>
      </c>
      <c r="L212">
        <f t="shared" si="4"/>
        <v>0.989518472448913</v>
      </c>
    </row>
    <row r="213" spans="1:12" x14ac:dyDescent="0.45">
      <c r="A213" s="1" t="s">
        <v>313</v>
      </c>
      <c r="B213" s="14" t="s">
        <v>312</v>
      </c>
      <c r="C213" s="14" t="s">
        <v>312</v>
      </c>
      <c r="D213" s="14" t="s">
        <v>312</v>
      </c>
      <c r="E213" s="14" t="s">
        <v>312</v>
      </c>
      <c r="F213" s="14" t="s">
        <v>312</v>
      </c>
      <c r="G213" s="14" t="s">
        <v>312</v>
      </c>
      <c r="H213" s="15" t="s">
        <v>309</v>
      </c>
      <c r="I213" s="15" t="s">
        <v>309</v>
      </c>
      <c r="J213" s="15" t="s">
        <v>309</v>
      </c>
      <c r="K213" s="15" t="s">
        <v>309</v>
      </c>
      <c r="L213" s="9" t="s">
        <v>315</v>
      </c>
    </row>
  </sheetData>
  <sortState xmlns:xlrd2="http://schemas.microsoft.com/office/spreadsheetml/2017/richdata2" ref="A2:L213">
    <sortCondition ref="L73:L213"/>
  </sortState>
  <conditionalFormatting sqref="A1:A129">
    <cfRule type="duplicateValues" dxfId="13" priority="1"/>
  </conditionalFormatting>
  <conditionalFormatting sqref="A130:A213"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9A60-AA1D-4700-8AB9-A4031E5F75A7}">
  <dimension ref="A1:M56"/>
  <sheetViews>
    <sheetView topLeftCell="A34" workbookViewId="0">
      <selection activeCell="A49" sqref="A49:K49"/>
    </sheetView>
  </sheetViews>
  <sheetFormatPr defaultRowHeight="14.25" x14ac:dyDescent="0.45"/>
  <cols>
    <col min="1" max="1" width="29.53125" bestFit="1" customWidth="1"/>
  </cols>
  <sheetData>
    <row r="1" spans="1:13" x14ac:dyDescent="0.45">
      <c r="A1" s="1" t="s">
        <v>0</v>
      </c>
      <c r="B1" s="1" t="s">
        <v>292</v>
      </c>
      <c r="C1" s="1" t="s">
        <v>293</v>
      </c>
      <c r="D1" s="1" t="s">
        <v>300</v>
      </c>
      <c r="E1" s="1" t="s">
        <v>301</v>
      </c>
      <c r="F1" s="1" t="s">
        <v>306</v>
      </c>
      <c r="G1" s="1" t="s">
        <v>307</v>
      </c>
      <c r="H1" s="1" t="s">
        <v>288</v>
      </c>
      <c r="I1" s="1" t="s">
        <v>295</v>
      </c>
      <c r="J1" s="1" t="s">
        <v>296</v>
      </c>
      <c r="K1" s="1" t="s">
        <v>303</v>
      </c>
      <c r="L1" t="s">
        <v>317</v>
      </c>
    </row>
    <row r="2" spans="1:13" x14ac:dyDescent="0.45">
      <c r="A2" s="1" t="s">
        <v>313</v>
      </c>
      <c r="B2" s="14" t="s">
        <v>312</v>
      </c>
      <c r="C2" s="14" t="s">
        <v>312</v>
      </c>
      <c r="D2" s="14" t="s">
        <v>312</v>
      </c>
      <c r="E2" s="14" t="s">
        <v>312</v>
      </c>
      <c r="F2" s="14" t="s">
        <v>312</v>
      </c>
      <c r="G2" s="14" t="s">
        <v>312</v>
      </c>
      <c r="H2" s="15" t="s">
        <v>309</v>
      </c>
      <c r="I2" s="15" t="s">
        <v>309</v>
      </c>
      <c r="J2" s="15" t="s">
        <v>309</v>
      </c>
      <c r="K2" s="15" t="s">
        <v>309</v>
      </c>
      <c r="L2" s="9" t="s">
        <v>315</v>
      </c>
      <c r="M2" s="9" t="s">
        <v>318</v>
      </c>
    </row>
    <row r="3" spans="1:13" x14ac:dyDescent="0.45">
      <c r="A3" s="5" t="s">
        <v>154</v>
      </c>
      <c r="B3" s="5">
        <v>12962969.9336037</v>
      </c>
      <c r="C3" s="5">
        <v>8250713.6260289503</v>
      </c>
      <c r="D3" s="5">
        <v>12341450.7131915</v>
      </c>
      <c r="E3" s="5">
        <v>13505713.3864042</v>
      </c>
      <c r="F3" s="5">
        <v>12778925.6514559</v>
      </c>
      <c r="G3" s="5">
        <v>9719344.0081619397</v>
      </c>
      <c r="H3" s="5">
        <v>17418754.194152702</v>
      </c>
      <c r="I3" s="5">
        <v>15086427.5960995</v>
      </c>
      <c r="J3" s="5">
        <v>15319398.457394401</v>
      </c>
      <c r="K3" s="5">
        <v>18497313.2314847</v>
      </c>
      <c r="L3">
        <v>2.8013291927307858E-2</v>
      </c>
      <c r="M3">
        <f>AVERAGE(H3:K3)/AVERAGE(B3:G3)</f>
        <v>1.4301912395277518</v>
      </c>
    </row>
    <row r="4" spans="1:13" x14ac:dyDescent="0.45">
      <c r="A4" s="5" t="s">
        <v>118</v>
      </c>
      <c r="B4" s="5">
        <v>376050.556091593</v>
      </c>
      <c r="C4" s="5">
        <v>208199.446530152</v>
      </c>
      <c r="D4" s="5">
        <v>425293.45304898702</v>
      </c>
      <c r="E4" s="5">
        <v>359222.68455943</v>
      </c>
      <c r="F4" s="5">
        <v>330346.35985864099</v>
      </c>
      <c r="G4" s="5">
        <v>114470.222425776</v>
      </c>
      <c r="H4" s="5">
        <v>963177.28413333604</v>
      </c>
      <c r="I4" s="5">
        <v>811213.48222455697</v>
      </c>
      <c r="J4" s="5">
        <v>448212.68208955502</v>
      </c>
      <c r="K4" s="5">
        <v>692827.58970816201</v>
      </c>
      <c r="L4">
        <v>3.2054761500186969E-2</v>
      </c>
      <c r="M4">
        <f t="shared" ref="M4:M27" si="0">AVERAGE(H4:K4)/AVERAGE(B4:G4)</f>
        <v>2.4113300722064306</v>
      </c>
    </row>
    <row r="5" spans="1:13" x14ac:dyDescent="0.45">
      <c r="A5" s="5" t="s">
        <v>67</v>
      </c>
      <c r="B5" s="5">
        <v>32126648.842984602</v>
      </c>
      <c r="C5" s="5">
        <v>27676841.614918198</v>
      </c>
      <c r="D5" s="5">
        <v>18161409.014808699</v>
      </c>
      <c r="E5" s="5">
        <v>27295533.867874399</v>
      </c>
      <c r="F5" s="5">
        <v>34733502.986227699</v>
      </c>
      <c r="G5" s="5">
        <v>27390958.6309264</v>
      </c>
      <c r="H5" s="5">
        <v>13264164.357609499</v>
      </c>
      <c r="I5" s="5">
        <v>15207014.4812357</v>
      </c>
      <c r="J5" s="5">
        <v>17605450.5899988</v>
      </c>
      <c r="K5" s="5">
        <v>25025121.1168136</v>
      </c>
      <c r="L5">
        <v>3.5405135926459518E-2</v>
      </c>
      <c r="M5">
        <f t="shared" si="0"/>
        <v>0.63716995398786258</v>
      </c>
    </row>
    <row r="6" spans="1:13" x14ac:dyDescent="0.45">
      <c r="A6" s="5" t="s">
        <v>122</v>
      </c>
      <c r="B6" s="5">
        <v>6726173.2496553799</v>
      </c>
      <c r="C6" s="5">
        <v>4353594.7764485497</v>
      </c>
      <c r="D6" s="5">
        <v>5804943.7451796001</v>
      </c>
      <c r="E6" s="5">
        <v>4192951.0735116</v>
      </c>
      <c r="F6" s="5">
        <v>4511464.34343848</v>
      </c>
      <c r="G6" s="5">
        <v>4459538.7412908804</v>
      </c>
      <c r="H6" s="5">
        <v>15096921.1277098</v>
      </c>
      <c r="I6" s="5">
        <v>12795879.320127999</v>
      </c>
      <c r="J6" s="5">
        <v>6790574.5359485596</v>
      </c>
      <c r="K6" s="5">
        <v>7125439.4615116296</v>
      </c>
      <c r="L6">
        <v>3.5835972223425216E-2</v>
      </c>
      <c r="M6">
        <f t="shared" si="0"/>
        <v>2.0870551063742151</v>
      </c>
    </row>
    <row r="7" spans="1:13" x14ac:dyDescent="0.45">
      <c r="A7" s="5" t="s">
        <v>258</v>
      </c>
      <c r="B7" s="5">
        <v>1156550.6572743601</v>
      </c>
      <c r="C7" s="5">
        <v>6186545.9079758096</v>
      </c>
      <c r="D7" s="5">
        <v>6757606.74580424</v>
      </c>
      <c r="E7" s="5">
        <v>1675520.56846079</v>
      </c>
      <c r="F7" s="5">
        <v>3076206.5445508701</v>
      </c>
      <c r="G7" s="5">
        <v>2632313.5402413802</v>
      </c>
      <c r="H7" s="5">
        <v>541825.93248777499</v>
      </c>
      <c r="I7" s="5">
        <v>568276.46772173</v>
      </c>
      <c r="J7" s="5">
        <v>311543.50262293301</v>
      </c>
      <c r="K7" s="5">
        <v>68494.964588957504</v>
      </c>
      <c r="L7">
        <v>3.6424840196501419E-2</v>
      </c>
      <c r="M7">
        <f t="shared" si="0"/>
        <v>0.10403713932292814</v>
      </c>
    </row>
    <row r="8" spans="1:13" x14ac:dyDescent="0.45">
      <c r="A8" s="5" t="s">
        <v>160</v>
      </c>
      <c r="B8" s="5">
        <v>218302836.18803999</v>
      </c>
      <c r="C8" s="5">
        <v>143655495.09417501</v>
      </c>
      <c r="D8" s="5">
        <v>226553884.70244601</v>
      </c>
      <c r="E8" s="5">
        <v>136515832.43679801</v>
      </c>
      <c r="F8" s="5">
        <v>270368328.87797099</v>
      </c>
      <c r="G8" s="5">
        <v>179109803.02171999</v>
      </c>
      <c r="H8" s="5">
        <v>368021629.090119</v>
      </c>
      <c r="I8" s="5">
        <v>450728689.21267802</v>
      </c>
      <c r="J8" s="5">
        <v>243802860.74028999</v>
      </c>
      <c r="K8" s="5">
        <v>273860194.26757902</v>
      </c>
      <c r="L8">
        <v>3.6759294732506463E-2</v>
      </c>
      <c r="M8">
        <f t="shared" si="0"/>
        <v>1.7067769361740337</v>
      </c>
    </row>
    <row r="9" spans="1:13" x14ac:dyDescent="0.45">
      <c r="A9" s="5" t="s">
        <v>144</v>
      </c>
      <c r="B9" s="5">
        <v>37228421.141860202</v>
      </c>
      <c r="C9" s="5">
        <v>24046657.740989499</v>
      </c>
      <c r="D9" s="5">
        <v>35712563.086119398</v>
      </c>
      <c r="E9" s="5">
        <v>27173609.592444099</v>
      </c>
      <c r="F9" s="5">
        <v>20264115.3793942</v>
      </c>
      <c r="G9" s="5">
        <v>19488403.338113099</v>
      </c>
      <c r="H9" s="5">
        <v>49967799.782867797</v>
      </c>
      <c r="I9" s="5">
        <v>43220306.027625203</v>
      </c>
      <c r="J9" s="5">
        <v>38068666.165773198</v>
      </c>
      <c r="K9" s="5">
        <v>35346264.369371302</v>
      </c>
      <c r="L9">
        <v>3.6889121443690061E-2</v>
      </c>
      <c r="M9">
        <f t="shared" si="0"/>
        <v>1.5246098853879775</v>
      </c>
    </row>
    <row r="10" spans="1:13" x14ac:dyDescent="0.45">
      <c r="A10" s="5" t="s">
        <v>230</v>
      </c>
      <c r="B10" s="5">
        <v>28105102.517822299</v>
      </c>
      <c r="C10" s="5">
        <v>9491790.2109314594</v>
      </c>
      <c r="D10" s="5">
        <v>38821019.092050098</v>
      </c>
      <c r="E10" s="5">
        <v>39556241.745631903</v>
      </c>
      <c r="F10" s="5">
        <v>19657726.8373079</v>
      </c>
      <c r="G10" s="5">
        <v>10252199.9894436</v>
      </c>
      <c r="H10" s="5">
        <v>36965532.985519901</v>
      </c>
      <c r="I10" s="5">
        <v>43971620.459573403</v>
      </c>
      <c r="J10" s="5">
        <v>41609860.097830303</v>
      </c>
      <c r="K10" s="5">
        <v>55568893.598639302</v>
      </c>
      <c r="L10">
        <v>3.7113287867121661E-2</v>
      </c>
      <c r="M10">
        <f t="shared" si="0"/>
        <v>1.8314120361334596</v>
      </c>
    </row>
    <row r="11" spans="1:13" x14ac:dyDescent="0.45">
      <c r="A11" s="5" t="s">
        <v>202</v>
      </c>
      <c r="B11" s="5">
        <v>17946128.1013324</v>
      </c>
      <c r="C11" s="5">
        <v>8741122.1053736992</v>
      </c>
      <c r="D11" s="5">
        <v>16095272.2009202</v>
      </c>
      <c r="E11" s="5">
        <v>15892224.108408401</v>
      </c>
      <c r="F11" s="5">
        <v>10621328.4526507</v>
      </c>
      <c r="G11" s="5">
        <v>10177991.4878616</v>
      </c>
      <c r="H11" s="5">
        <v>17383865.8977319</v>
      </c>
      <c r="I11" s="5">
        <v>19929995.6655288</v>
      </c>
      <c r="J11" s="5">
        <v>18649515.279874701</v>
      </c>
      <c r="K11" s="5">
        <v>20293095.611139301</v>
      </c>
      <c r="L11">
        <v>3.7648695730390314E-2</v>
      </c>
      <c r="M11">
        <f t="shared" si="0"/>
        <v>1.4392708688683078</v>
      </c>
    </row>
    <row r="12" spans="1:13" x14ac:dyDescent="0.45">
      <c r="A12" s="5" t="s">
        <v>105</v>
      </c>
      <c r="B12" s="5">
        <v>3374000.0400924799</v>
      </c>
      <c r="C12" s="5">
        <v>1940510.7192824299</v>
      </c>
      <c r="D12" s="5">
        <v>3328812.4244259899</v>
      </c>
      <c r="E12" s="5">
        <v>2919301.2558911098</v>
      </c>
      <c r="F12" s="5">
        <v>3185051.67643434</v>
      </c>
      <c r="G12" s="5">
        <v>2145055.27867084</v>
      </c>
      <c r="H12" s="5">
        <v>3173678.43681128</v>
      </c>
      <c r="I12" s="5">
        <v>3711583.7274737</v>
      </c>
      <c r="J12" s="5">
        <v>3957160.6308784098</v>
      </c>
      <c r="K12" s="5">
        <v>4235631.4317701003</v>
      </c>
      <c r="L12">
        <v>3.7699723054628265E-2</v>
      </c>
      <c r="M12">
        <f t="shared" si="0"/>
        <v>1.3388646756892193</v>
      </c>
    </row>
    <row r="13" spans="1:13" x14ac:dyDescent="0.45">
      <c r="A13" s="5" t="s">
        <v>226</v>
      </c>
      <c r="B13" s="5">
        <v>7842998.6563552199</v>
      </c>
      <c r="C13" s="5">
        <v>3590100.3996840101</v>
      </c>
      <c r="D13" s="5">
        <v>5083358.7921047201</v>
      </c>
      <c r="E13" s="5">
        <v>5508495.4156227103</v>
      </c>
      <c r="F13" s="5">
        <v>1533415.5823166899</v>
      </c>
      <c r="G13" s="5">
        <v>5126500.5627872003</v>
      </c>
      <c r="H13" s="5">
        <v>5977385.2998812096</v>
      </c>
      <c r="I13" s="5">
        <v>7686683.7648764299</v>
      </c>
      <c r="J13" s="5">
        <v>11301511.265732899</v>
      </c>
      <c r="K13" s="5">
        <v>9335535.5276699793</v>
      </c>
      <c r="L13">
        <v>3.7858574837347871E-2</v>
      </c>
      <c r="M13">
        <f t="shared" si="0"/>
        <v>1.7936868756087063</v>
      </c>
    </row>
    <row r="14" spans="1:13" x14ac:dyDescent="0.45">
      <c r="A14" s="5" t="s">
        <v>220</v>
      </c>
      <c r="B14" s="5">
        <v>7888658.9174887799</v>
      </c>
      <c r="C14" s="5">
        <v>4651090.6794912601</v>
      </c>
      <c r="D14" s="5">
        <v>6051477.4282878302</v>
      </c>
      <c r="E14" s="5">
        <v>6661907.7536846101</v>
      </c>
      <c r="F14" s="5">
        <v>7467324.99577762</v>
      </c>
      <c r="G14" s="5">
        <v>4766340.4937455496</v>
      </c>
      <c r="H14" s="5">
        <v>11381067.354959</v>
      </c>
      <c r="I14" s="5">
        <v>11033183.031955799</v>
      </c>
      <c r="J14" s="5">
        <v>7224061.6478271503</v>
      </c>
      <c r="K14" s="5">
        <v>9131167.8471708801</v>
      </c>
      <c r="L14">
        <v>3.836599516033358E-2</v>
      </c>
      <c r="M14">
        <f t="shared" si="0"/>
        <v>1.5513252506582633</v>
      </c>
    </row>
    <row r="15" spans="1:13" x14ac:dyDescent="0.45">
      <c r="A15" s="5" t="s">
        <v>125</v>
      </c>
      <c r="B15" s="5">
        <v>61932726.315492101</v>
      </c>
      <c r="C15" s="5">
        <v>37053907.206524901</v>
      </c>
      <c r="D15" s="5">
        <v>42676480.564847499</v>
      </c>
      <c r="E15" s="5">
        <v>49876573.806706399</v>
      </c>
      <c r="F15" s="5">
        <v>41478188.630417302</v>
      </c>
      <c r="G15" s="5">
        <v>29894632.071466599</v>
      </c>
      <c r="H15" s="5">
        <v>66996938.8332095</v>
      </c>
      <c r="I15" s="5">
        <v>104021243.975917</v>
      </c>
      <c r="J15" s="5">
        <v>69969499.3499455</v>
      </c>
      <c r="K15" s="5">
        <v>63343661.617564</v>
      </c>
      <c r="L15">
        <v>3.8820103205644517E-2</v>
      </c>
      <c r="M15">
        <f t="shared" si="0"/>
        <v>1.7363077097536237</v>
      </c>
    </row>
    <row r="16" spans="1:13" x14ac:dyDescent="0.45">
      <c r="A16" s="5" t="s">
        <v>142</v>
      </c>
      <c r="B16" s="5">
        <v>19953239.409718499</v>
      </c>
      <c r="C16" s="5">
        <v>16161639.140568599</v>
      </c>
      <c r="D16" s="5">
        <v>14235014.4667932</v>
      </c>
      <c r="E16" s="5">
        <v>28036983.802674901</v>
      </c>
      <c r="F16" s="5">
        <v>24201599.943581302</v>
      </c>
      <c r="G16" s="5">
        <v>18880094.0634549</v>
      </c>
      <c r="H16" s="5">
        <v>24301051.703805599</v>
      </c>
      <c r="I16" s="5">
        <v>42857035.637347899</v>
      </c>
      <c r="J16" s="5">
        <v>31165082.226466399</v>
      </c>
      <c r="K16" s="5">
        <v>27656917.923570901</v>
      </c>
      <c r="L16">
        <v>3.8953921223120198E-2</v>
      </c>
      <c r="M16">
        <f t="shared" si="0"/>
        <v>1.5557121480111011</v>
      </c>
    </row>
    <row r="17" spans="1:13" x14ac:dyDescent="0.45">
      <c r="A17" s="5" t="s">
        <v>151</v>
      </c>
      <c r="B17" s="5">
        <v>12541462.403023601</v>
      </c>
      <c r="C17" s="5">
        <v>11260236.344340101</v>
      </c>
      <c r="D17" s="5">
        <v>15893525.1881912</v>
      </c>
      <c r="E17" s="5">
        <v>9564960.8185183108</v>
      </c>
      <c r="F17" s="5">
        <v>12472688.0173494</v>
      </c>
      <c r="G17" s="5">
        <v>12546292.911481701</v>
      </c>
      <c r="H17" s="5">
        <v>15966095.681325199</v>
      </c>
      <c r="I17" s="5">
        <v>14703698.759105399</v>
      </c>
      <c r="J17" s="5">
        <v>16086578.081091501</v>
      </c>
      <c r="K17" s="5">
        <v>17126241.436561</v>
      </c>
      <c r="L17">
        <v>3.9216032853478029E-2</v>
      </c>
      <c r="M17">
        <f t="shared" si="0"/>
        <v>1.2900511207435246</v>
      </c>
    </row>
    <row r="18" spans="1:13" x14ac:dyDescent="0.45">
      <c r="A18" s="5" t="s">
        <v>148</v>
      </c>
      <c r="B18" s="5">
        <v>278818116.93568599</v>
      </c>
      <c r="C18" s="5">
        <v>181496857.267221</v>
      </c>
      <c r="D18" s="5">
        <v>290152810.97879201</v>
      </c>
      <c r="E18" s="5">
        <v>215043714.41202301</v>
      </c>
      <c r="F18" s="5">
        <v>199371961.14541501</v>
      </c>
      <c r="G18" s="5">
        <v>194752556.259424</v>
      </c>
      <c r="H18" s="5">
        <v>323848985.843409</v>
      </c>
      <c r="I18" s="5">
        <v>275127120.25181001</v>
      </c>
      <c r="J18" s="5">
        <v>291313122.40633601</v>
      </c>
      <c r="K18" s="5">
        <v>290038315.34481901</v>
      </c>
      <c r="L18">
        <v>4.0155420269765311E-2</v>
      </c>
      <c r="M18">
        <f t="shared" si="0"/>
        <v>1.302180358297639</v>
      </c>
    </row>
    <row r="19" spans="1:13" x14ac:dyDescent="0.45">
      <c r="A19" s="5" t="s">
        <v>110</v>
      </c>
      <c r="B19" s="5">
        <v>290477213.610349</v>
      </c>
      <c r="C19" s="5">
        <v>128275322.64100599</v>
      </c>
      <c r="D19" s="5">
        <v>353751165.08918399</v>
      </c>
      <c r="E19" s="5">
        <v>243761921.56711701</v>
      </c>
      <c r="F19" s="5">
        <v>181215699.02836499</v>
      </c>
      <c r="G19" s="5">
        <v>202822373.713911</v>
      </c>
      <c r="H19" s="5">
        <v>344875894.07349002</v>
      </c>
      <c r="I19" s="5">
        <v>345018684.87113798</v>
      </c>
      <c r="J19" s="5">
        <v>333984372.43207002</v>
      </c>
      <c r="K19" s="5">
        <v>403032846.67531401</v>
      </c>
      <c r="L19">
        <v>4.0257799979333035E-2</v>
      </c>
      <c r="M19">
        <f t="shared" si="0"/>
        <v>1.5285024982274258</v>
      </c>
    </row>
    <row r="20" spans="1:13" x14ac:dyDescent="0.45">
      <c r="A20" s="5" t="s">
        <v>221</v>
      </c>
      <c r="B20" s="5">
        <v>3651269.6287447698</v>
      </c>
      <c r="C20" s="5">
        <v>3631179.6942676902</v>
      </c>
      <c r="D20" s="5">
        <v>2708516.02497544</v>
      </c>
      <c r="E20" s="5">
        <v>2940184.6414370402</v>
      </c>
      <c r="F20" s="5">
        <v>3029176.98695692</v>
      </c>
      <c r="G20" s="5">
        <v>3407825.0109143499</v>
      </c>
      <c r="H20" s="5">
        <v>2952231.2739377199</v>
      </c>
      <c r="I20" s="5">
        <v>2557260.7260742602</v>
      </c>
      <c r="J20" s="5">
        <v>2252524.25327776</v>
      </c>
      <c r="K20" s="5">
        <v>2463770.25056651</v>
      </c>
      <c r="L20">
        <v>4.0798319313201797E-2</v>
      </c>
      <c r="M20">
        <f t="shared" si="0"/>
        <v>0.79195370657175712</v>
      </c>
    </row>
    <row r="21" spans="1:13" x14ac:dyDescent="0.45">
      <c r="A21" s="5" t="s">
        <v>218</v>
      </c>
      <c r="B21" s="5">
        <v>53650667.435003601</v>
      </c>
      <c r="C21" s="5">
        <v>21972439.806740899</v>
      </c>
      <c r="D21" s="5">
        <v>54917744.8271828</v>
      </c>
      <c r="E21" s="5">
        <v>36270454.328683197</v>
      </c>
      <c r="F21" s="5">
        <v>47477204.291085899</v>
      </c>
      <c r="G21" s="5">
        <v>19773514.344739199</v>
      </c>
      <c r="H21" s="5">
        <v>72998921.939102605</v>
      </c>
      <c r="I21" s="5">
        <v>120650747.413352</v>
      </c>
      <c r="J21" s="5">
        <v>52291055.688244604</v>
      </c>
      <c r="K21" s="5">
        <v>88251784.1903442</v>
      </c>
      <c r="L21">
        <v>4.1871969995012623E-2</v>
      </c>
      <c r="M21">
        <f t="shared" si="0"/>
        <v>2.1416919885870267</v>
      </c>
    </row>
    <row r="22" spans="1:13" x14ac:dyDescent="0.45">
      <c r="A22" s="5" t="s">
        <v>262</v>
      </c>
      <c r="B22" s="5">
        <v>3861849.5009361901</v>
      </c>
      <c r="C22" s="5">
        <v>3477554.4437826499</v>
      </c>
      <c r="D22" s="5">
        <v>4164900.79337407</v>
      </c>
      <c r="E22" s="5">
        <v>5024961.3446335103</v>
      </c>
      <c r="F22" s="5">
        <v>5185735.8803285202</v>
      </c>
      <c r="G22" s="5">
        <v>3505544.0204511299</v>
      </c>
      <c r="H22" s="5">
        <v>6386630.5866645398</v>
      </c>
      <c r="I22" s="5">
        <v>6498623.9075097404</v>
      </c>
      <c r="J22" s="5">
        <v>5050196.6335541196</v>
      </c>
      <c r="K22" s="5">
        <v>4406276.8016913598</v>
      </c>
      <c r="L22">
        <v>4.2352289427876812E-2</v>
      </c>
      <c r="M22">
        <f t="shared" si="0"/>
        <v>1.3287813799132846</v>
      </c>
    </row>
    <row r="23" spans="1:13" x14ac:dyDescent="0.45">
      <c r="A23" s="5" t="s">
        <v>153</v>
      </c>
      <c r="B23" s="5">
        <v>92039002.521173403</v>
      </c>
      <c r="C23" s="5">
        <v>40020028.877116099</v>
      </c>
      <c r="D23" s="5">
        <v>114385107.07939699</v>
      </c>
      <c r="E23" s="5">
        <v>75769819.063060895</v>
      </c>
      <c r="F23" s="5">
        <v>58408691.051850401</v>
      </c>
      <c r="G23" s="5">
        <v>65077747.447695598</v>
      </c>
      <c r="H23" s="5">
        <v>120157576.744047</v>
      </c>
      <c r="I23" s="5">
        <v>119263116.295158</v>
      </c>
      <c r="J23" s="5">
        <v>115502659.80570599</v>
      </c>
      <c r="K23" s="5">
        <v>137885213.52073699</v>
      </c>
      <c r="L23">
        <v>4.3188869275609464E-2</v>
      </c>
      <c r="M23">
        <f t="shared" si="0"/>
        <v>1.6585420522750527</v>
      </c>
    </row>
    <row r="24" spans="1:13" x14ac:dyDescent="0.45">
      <c r="A24" s="5" t="s">
        <v>146</v>
      </c>
      <c r="B24" s="5">
        <v>303894735.31424201</v>
      </c>
      <c r="C24" s="5">
        <v>177766599.932928</v>
      </c>
      <c r="D24" s="5">
        <v>360276899.31733203</v>
      </c>
      <c r="E24" s="5">
        <v>216266368.395834</v>
      </c>
      <c r="F24" s="5">
        <v>205850532.834465</v>
      </c>
      <c r="G24" s="5">
        <v>190805466.23309401</v>
      </c>
      <c r="H24" s="5">
        <v>347754770.65239102</v>
      </c>
      <c r="I24" s="5">
        <v>331653944.37360799</v>
      </c>
      <c r="J24" s="5">
        <v>341765420.26474202</v>
      </c>
      <c r="K24" s="5">
        <v>322901485.30427301</v>
      </c>
      <c r="L24">
        <v>4.3417971387341894E-2</v>
      </c>
      <c r="M24">
        <f t="shared" si="0"/>
        <v>1.3857777357379184</v>
      </c>
    </row>
    <row r="25" spans="1:13" x14ac:dyDescent="0.45">
      <c r="A25" s="5" t="s">
        <v>161</v>
      </c>
      <c r="B25" s="5">
        <v>220715443.74184299</v>
      </c>
      <c r="C25" s="5">
        <v>132665291.945647</v>
      </c>
      <c r="D25" s="5">
        <v>211900252.82348299</v>
      </c>
      <c r="E25" s="5">
        <v>213571931.03876901</v>
      </c>
      <c r="F25" s="5">
        <v>163675091.76964101</v>
      </c>
      <c r="G25" s="5">
        <v>95657943.837781295</v>
      </c>
      <c r="H25" s="5">
        <v>274618400.66367</v>
      </c>
      <c r="I25" s="5">
        <v>316619733.64541799</v>
      </c>
      <c r="J25" s="5">
        <v>282960106.38460898</v>
      </c>
      <c r="K25" s="5">
        <v>267056650.67541099</v>
      </c>
      <c r="L25">
        <v>4.7929831843979753E-2</v>
      </c>
      <c r="M25">
        <f t="shared" si="0"/>
        <v>1.6489168713465314</v>
      </c>
    </row>
    <row r="26" spans="1:13" x14ac:dyDescent="0.45">
      <c r="A26" s="5" t="s">
        <v>79</v>
      </c>
      <c r="B26" s="5">
        <v>4744320.3175332798</v>
      </c>
      <c r="C26" s="5">
        <v>1687448.07423841</v>
      </c>
      <c r="D26" s="5">
        <v>5641660.1367660798</v>
      </c>
      <c r="E26" s="5">
        <v>1821843.5897780899</v>
      </c>
      <c r="F26" s="5">
        <v>3924387.5329189701</v>
      </c>
      <c r="G26" s="5">
        <v>1279267.4703027101</v>
      </c>
      <c r="H26" s="5">
        <v>7260273.4568776302</v>
      </c>
      <c r="I26" s="5">
        <v>15666797.339403</v>
      </c>
      <c r="J26" s="5">
        <v>5202273.5787730096</v>
      </c>
      <c r="K26" s="5">
        <v>4946106.6013735998</v>
      </c>
      <c r="L26">
        <v>4.9567530833624938E-2</v>
      </c>
      <c r="M26">
        <f t="shared" si="0"/>
        <v>2.5976944227769172</v>
      </c>
    </row>
    <row r="27" spans="1:13" x14ac:dyDescent="0.45">
      <c r="A27" s="5" t="s">
        <v>162</v>
      </c>
      <c r="B27" s="5">
        <v>30435085.400394499</v>
      </c>
      <c r="C27" s="5">
        <v>24469761.524273999</v>
      </c>
      <c r="D27" s="5">
        <v>32473325.827751901</v>
      </c>
      <c r="E27" s="5">
        <v>31768917.1445271</v>
      </c>
      <c r="F27" s="5">
        <v>25254845.616342202</v>
      </c>
      <c r="G27" s="5">
        <v>27279022.309339002</v>
      </c>
      <c r="H27" s="5">
        <v>34428629.367053702</v>
      </c>
      <c r="I27" s="5">
        <v>34213527.661934704</v>
      </c>
      <c r="J27" s="5">
        <v>31920307.253525499</v>
      </c>
      <c r="K27" s="5">
        <v>31227884.184116598</v>
      </c>
      <c r="L27">
        <v>4.9713662819848944E-2</v>
      </c>
      <c r="M27">
        <f t="shared" si="0"/>
        <v>1.1514702923790976</v>
      </c>
    </row>
    <row r="30" spans="1:13" x14ac:dyDescent="0.45">
      <c r="A30" s="1" t="s">
        <v>0</v>
      </c>
      <c r="B30" s="1" t="s">
        <v>292</v>
      </c>
      <c r="C30" s="1" t="s">
        <v>293</v>
      </c>
      <c r="D30" s="1" t="s">
        <v>300</v>
      </c>
      <c r="E30" s="1" t="s">
        <v>301</v>
      </c>
      <c r="F30" s="1" t="s">
        <v>306</v>
      </c>
      <c r="G30" s="1" t="s">
        <v>307</v>
      </c>
      <c r="H30" s="1" t="s">
        <v>288</v>
      </c>
      <c r="I30" s="1" t="s">
        <v>295</v>
      </c>
      <c r="J30" s="1" t="s">
        <v>296</v>
      </c>
      <c r="K30" s="1" t="s">
        <v>303</v>
      </c>
      <c r="L30" t="s">
        <v>317</v>
      </c>
    </row>
    <row r="31" spans="1:13" x14ac:dyDescent="0.45">
      <c r="A31" s="1" t="s">
        <v>313</v>
      </c>
      <c r="B31" s="14" t="s">
        <v>312</v>
      </c>
      <c r="C31" s="14" t="s">
        <v>312</v>
      </c>
      <c r="D31" s="14" t="s">
        <v>312</v>
      </c>
      <c r="E31" s="14" t="s">
        <v>312</v>
      </c>
      <c r="F31" s="14" t="s">
        <v>312</v>
      </c>
      <c r="G31" s="14" t="s">
        <v>312</v>
      </c>
      <c r="H31" s="15" t="s">
        <v>309</v>
      </c>
      <c r="I31" s="15" t="s">
        <v>309</v>
      </c>
      <c r="J31" s="15" t="s">
        <v>309</v>
      </c>
      <c r="K31" s="15" t="s">
        <v>309</v>
      </c>
      <c r="L31" s="9" t="s">
        <v>315</v>
      </c>
    </row>
    <row r="32" spans="1:13" x14ac:dyDescent="0.45">
      <c r="A32" s="5" t="s">
        <v>154</v>
      </c>
      <c r="B32">
        <f>LOG10(B3)</f>
        <v>7.1127045137266309</v>
      </c>
      <c r="C32">
        <f t="shared" ref="C32:K32" si="1">LOG10(C3)</f>
        <v>6.9164915134521143</v>
      </c>
      <c r="D32">
        <f t="shared" si="1"/>
        <v>7.0913662131577295</v>
      </c>
      <c r="E32">
        <f t="shared" si="1"/>
        <v>7.1305175290341074</v>
      </c>
      <c r="F32">
        <f t="shared" si="1"/>
        <v>7.1064943433953793</v>
      </c>
      <c r="G32">
        <f t="shared" si="1"/>
        <v>6.9876369538923804</v>
      </c>
      <c r="H32">
        <f t="shared" si="1"/>
        <v>7.2410170906284392</v>
      </c>
      <c r="I32">
        <f t="shared" si="1"/>
        <v>7.1785864128055366</v>
      </c>
      <c r="J32">
        <f t="shared" si="1"/>
        <v>7.1852417123094225</v>
      </c>
      <c r="K32">
        <f t="shared" si="1"/>
        <v>7.267108650917625</v>
      </c>
      <c r="L32">
        <v>2.8013291927307858E-2</v>
      </c>
    </row>
    <row r="33" spans="1:12" x14ac:dyDescent="0.45">
      <c r="A33" s="5" t="s">
        <v>118</v>
      </c>
      <c r="B33">
        <f t="shared" ref="B33:K56" si="2">LOG10(B4)</f>
        <v>5.5752462352352294</v>
      </c>
      <c r="C33">
        <f t="shared" si="2"/>
        <v>5.3184795706633725</v>
      </c>
      <c r="D33">
        <f t="shared" si="2"/>
        <v>5.6286886972529766</v>
      </c>
      <c r="E33">
        <f t="shared" si="2"/>
        <v>5.5553637541308829</v>
      </c>
      <c r="F33">
        <f t="shared" si="2"/>
        <v>5.5189695256077371</v>
      </c>
      <c r="G33">
        <f t="shared" si="2"/>
        <v>5.058692526692675</v>
      </c>
      <c r="H33">
        <f t="shared" si="2"/>
        <v>5.9837062315010865</v>
      </c>
      <c r="I33">
        <f t="shared" si="2"/>
        <v>5.9091351599466968</v>
      </c>
      <c r="J33">
        <f t="shared" si="2"/>
        <v>5.6514841406497149</v>
      </c>
      <c r="K33">
        <f t="shared" si="2"/>
        <v>5.8406251737833008</v>
      </c>
      <c r="L33">
        <v>3.2054761500186969E-2</v>
      </c>
    </row>
    <row r="34" spans="1:12" x14ac:dyDescent="0.45">
      <c r="A34" s="5" t="s">
        <v>67</v>
      </c>
      <c r="B34">
        <f t="shared" si="2"/>
        <v>7.5068654263014851</v>
      </c>
      <c r="C34">
        <f t="shared" si="2"/>
        <v>7.4421165284337505</v>
      </c>
      <c r="D34">
        <f t="shared" si="2"/>
        <v>7.2591495393182255</v>
      </c>
      <c r="E34">
        <f t="shared" si="2"/>
        <v>7.4360915930037494</v>
      </c>
      <c r="F34">
        <f t="shared" si="2"/>
        <v>7.5407485855241481</v>
      </c>
      <c r="G34">
        <f t="shared" si="2"/>
        <v>7.4376072319924091</v>
      </c>
      <c r="H34">
        <f t="shared" si="2"/>
        <v>7.1226798946266312</v>
      </c>
      <c r="I34">
        <f t="shared" si="2"/>
        <v>7.1820439595103531</v>
      </c>
      <c r="J34">
        <f t="shared" si="2"/>
        <v>7.2456471447851207</v>
      </c>
      <c r="K34">
        <f t="shared" si="2"/>
        <v>7.3983761880589096</v>
      </c>
      <c r="L34">
        <v>3.5405135926459518E-2</v>
      </c>
    </row>
    <row r="35" spans="1:12" x14ac:dyDescent="0.45">
      <c r="A35" s="5" t="s">
        <v>122</v>
      </c>
      <c r="B35">
        <f t="shared" si="2"/>
        <v>6.8277680494788102</v>
      </c>
      <c r="C35">
        <f t="shared" si="2"/>
        <v>6.6388480033586585</v>
      </c>
      <c r="D35">
        <f t="shared" si="2"/>
        <v>6.7637980154137036</v>
      </c>
      <c r="E35">
        <f t="shared" si="2"/>
        <v>6.6225197947603762</v>
      </c>
      <c r="F35">
        <f t="shared" si="2"/>
        <v>6.654317529251256</v>
      </c>
      <c r="G35">
        <f t="shared" si="2"/>
        <v>6.6492899411176136</v>
      </c>
      <c r="H35">
        <f t="shared" si="2"/>
        <v>7.178888386128599</v>
      </c>
      <c r="I35">
        <f t="shared" si="2"/>
        <v>7.1070701355344799</v>
      </c>
      <c r="J35">
        <f t="shared" si="2"/>
        <v>6.8319065205597704</v>
      </c>
      <c r="K35">
        <f t="shared" si="2"/>
        <v>6.8528116546207407</v>
      </c>
      <c r="L35">
        <v>3.5835972223425216E-2</v>
      </c>
    </row>
    <row r="36" spans="1:12" x14ac:dyDescent="0.45">
      <c r="A36" s="5" t="s">
        <v>258</v>
      </c>
      <c r="B36">
        <f t="shared" si="2"/>
        <v>6.0631646597550679</v>
      </c>
      <c r="C36">
        <f t="shared" si="2"/>
        <v>6.791448240006134</v>
      </c>
      <c r="D36">
        <f t="shared" si="2"/>
        <v>6.8297929147107697</v>
      </c>
      <c r="E36">
        <f t="shared" si="2"/>
        <v>6.224149763543533</v>
      </c>
      <c r="F36">
        <f t="shared" si="2"/>
        <v>6.488015491775446</v>
      </c>
      <c r="G36">
        <f t="shared" si="2"/>
        <v>6.4203376177256155</v>
      </c>
      <c r="H36">
        <f t="shared" si="2"/>
        <v>5.7338597870884813</v>
      </c>
      <c r="I36">
        <f t="shared" si="2"/>
        <v>5.7545596723209931</v>
      </c>
      <c r="J36">
        <f t="shared" si="2"/>
        <v>5.493518698282382</v>
      </c>
      <c r="K36">
        <f t="shared" si="2"/>
        <v>4.8356586454835035</v>
      </c>
      <c r="L36">
        <v>3.6424840196501419E-2</v>
      </c>
    </row>
    <row r="37" spans="1:12" x14ac:dyDescent="0.45">
      <c r="A37" s="5" t="s">
        <v>160</v>
      </c>
      <c r="B37">
        <f t="shared" si="2"/>
        <v>8.3390593780949107</v>
      </c>
      <c r="C37">
        <f t="shared" si="2"/>
        <v>8.1573222432303911</v>
      </c>
      <c r="D37">
        <f t="shared" si="2"/>
        <v>8.3551715133939144</v>
      </c>
      <c r="E37">
        <f t="shared" si="2"/>
        <v>8.1351830216419927</v>
      </c>
      <c r="F37">
        <f t="shared" si="2"/>
        <v>8.4319558167107509</v>
      </c>
      <c r="G37">
        <f t="shared" si="2"/>
        <v>8.2531193562662786</v>
      </c>
      <c r="H37">
        <f t="shared" si="2"/>
        <v>8.5658733434519174</v>
      </c>
      <c r="I37">
        <f t="shared" si="2"/>
        <v>8.6539152021140602</v>
      </c>
      <c r="J37">
        <f t="shared" si="2"/>
        <v>8.387038797248044</v>
      </c>
      <c r="K37">
        <f t="shared" si="2"/>
        <v>8.4375289118952725</v>
      </c>
      <c r="L37">
        <v>3.6759294732506463E-2</v>
      </c>
    </row>
    <row r="38" spans="1:12" x14ac:dyDescent="0.45">
      <c r="A38" s="5" t="s">
        <v>144</v>
      </c>
      <c r="B38">
        <f t="shared" si="2"/>
        <v>7.5708746181706443</v>
      </c>
      <c r="C38">
        <f t="shared" si="2"/>
        <v>7.3810547220605862</v>
      </c>
      <c r="D38">
        <f t="shared" si="2"/>
        <v>7.5528210205711801</v>
      </c>
      <c r="E38">
        <f t="shared" si="2"/>
        <v>7.4341473315337678</v>
      </c>
      <c r="F38">
        <f t="shared" si="2"/>
        <v>7.3067276495663238</v>
      </c>
      <c r="G38">
        <f t="shared" si="2"/>
        <v>7.289776259340722</v>
      </c>
      <c r="H38">
        <f t="shared" si="2"/>
        <v>7.6986902267050095</v>
      </c>
      <c r="I38">
        <f t="shared" si="2"/>
        <v>7.6356878376429744</v>
      </c>
      <c r="J38">
        <f t="shared" si="2"/>
        <v>7.5805676604499705</v>
      </c>
      <c r="K38">
        <f t="shared" si="2"/>
        <v>7.5483435214003407</v>
      </c>
      <c r="L38">
        <v>3.6889121443690061E-2</v>
      </c>
    </row>
    <row r="39" spans="1:12" x14ac:dyDescent="0.45">
      <c r="A39" s="5" t="s">
        <v>230</v>
      </c>
      <c r="B39">
        <f t="shared" si="2"/>
        <v>7.4487851737898998</v>
      </c>
      <c r="C39">
        <f t="shared" si="2"/>
        <v>6.9773481308051322</v>
      </c>
      <c r="D39">
        <f t="shared" si="2"/>
        <v>7.5890669318829644</v>
      </c>
      <c r="E39">
        <f t="shared" si="2"/>
        <v>7.5972150223925663</v>
      </c>
      <c r="F39">
        <f t="shared" si="2"/>
        <v>7.293533295841427</v>
      </c>
      <c r="G39">
        <f t="shared" si="2"/>
        <v>7.0108170693679082</v>
      </c>
      <c r="H39">
        <f t="shared" si="2"/>
        <v>7.5677969724299645</v>
      </c>
      <c r="I39">
        <f t="shared" si="2"/>
        <v>7.6431724707068831</v>
      </c>
      <c r="J39">
        <f t="shared" si="2"/>
        <v>7.6191962555948596</v>
      </c>
      <c r="K39">
        <f t="shared" si="2"/>
        <v>7.7448317498753703</v>
      </c>
      <c r="L39">
        <v>3.7113287867121661E-2</v>
      </c>
    </row>
    <row r="40" spans="1:12" x14ac:dyDescent="0.45">
      <c r="A40" s="5" t="s">
        <v>202</v>
      </c>
      <c r="B40">
        <f t="shared" si="2"/>
        <v>7.2539707634652917</v>
      </c>
      <c r="C40">
        <f t="shared" si="2"/>
        <v>6.9415671869698103</v>
      </c>
      <c r="D40">
        <f t="shared" si="2"/>
        <v>7.2066983258093291</v>
      </c>
      <c r="E40">
        <f t="shared" si="2"/>
        <v>7.2011846807451967</v>
      </c>
      <c r="F40">
        <f t="shared" si="2"/>
        <v>7.0261788391158904</v>
      </c>
      <c r="G40">
        <f t="shared" si="2"/>
        <v>7.0076620833248295</v>
      </c>
      <c r="H40">
        <f t="shared" si="2"/>
        <v>7.2401463630996474</v>
      </c>
      <c r="I40">
        <f t="shared" si="2"/>
        <v>7.299507204248048</v>
      </c>
      <c r="J40">
        <f t="shared" si="2"/>
        <v>7.270667548530156</v>
      </c>
      <c r="K40">
        <f t="shared" si="2"/>
        <v>7.3073483015572203</v>
      </c>
      <c r="L40">
        <v>3.7648695730390314E-2</v>
      </c>
    </row>
    <row r="41" spans="1:12" x14ac:dyDescent="0.45">
      <c r="A41" s="5" t="s">
        <v>105</v>
      </c>
      <c r="B41">
        <f t="shared" si="2"/>
        <v>6.5281450834137296</v>
      </c>
      <c r="C41">
        <f t="shared" si="2"/>
        <v>6.2879160461032697</v>
      </c>
      <c r="D41">
        <f t="shared" si="2"/>
        <v>6.5222893237442694</v>
      </c>
      <c r="E41">
        <f t="shared" si="2"/>
        <v>6.4652789141110887</v>
      </c>
      <c r="F41">
        <f t="shared" si="2"/>
        <v>6.5031164830161776</v>
      </c>
      <c r="G41">
        <f t="shared" si="2"/>
        <v>6.3314384885544834</v>
      </c>
      <c r="H41">
        <f t="shared" si="2"/>
        <v>6.5015629210977313</v>
      </c>
      <c r="I41">
        <f t="shared" si="2"/>
        <v>6.5695592619976004</v>
      </c>
      <c r="J41">
        <f t="shared" si="2"/>
        <v>6.597383679704544</v>
      </c>
      <c r="K41">
        <f t="shared" si="2"/>
        <v>6.6269181624570574</v>
      </c>
      <c r="L41">
        <v>3.7699723054628265E-2</v>
      </c>
    </row>
    <row r="42" spans="1:12" x14ac:dyDescent="0.45">
      <c r="A42" s="5" t="s">
        <v>226</v>
      </c>
      <c r="B42">
        <f t="shared" si="2"/>
        <v>6.8944821406077494</v>
      </c>
      <c r="C42">
        <f t="shared" si="2"/>
        <v>6.5551065940989455</v>
      </c>
      <c r="D42">
        <f t="shared" si="2"/>
        <v>6.7061507640273206</v>
      </c>
      <c r="E42">
        <f t="shared" si="2"/>
        <v>6.7410329923321051</v>
      </c>
      <c r="F42">
        <f t="shared" si="2"/>
        <v>6.1856598721716631</v>
      </c>
      <c r="G42">
        <f t="shared" si="2"/>
        <v>6.7098210093867898</v>
      </c>
      <c r="H42">
        <f t="shared" si="2"/>
        <v>6.7765112511857044</v>
      </c>
      <c r="I42">
        <f t="shared" si="2"/>
        <v>6.8857390142819348</v>
      </c>
      <c r="J42">
        <f t="shared" si="2"/>
        <v>7.053136522287244</v>
      </c>
      <c r="K42">
        <f t="shared" si="2"/>
        <v>6.9701392360548917</v>
      </c>
      <c r="L42">
        <v>3.7858574837347871E-2</v>
      </c>
    </row>
    <row r="43" spans="1:12" x14ac:dyDescent="0.45">
      <c r="A43" s="5" t="s">
        <v>220</v>
      </c>
      <c r="B43">
        <f t="shared" si="2"/>
        <v>6.8970031788446438</v>
      </c>
      <c r="C43">
        <f t="shared" si="2"/>
        <v>6.6675548067699069</v>
      </c>
      <c r="D43">
        <f t="shared" si="2"/>
        <v>6.7818614177302337</v>
      </c>
      <c r="E43">
        <f t="shared" si="2"/>
        <v>6.8235986147941983</v>
      </c>
      <c r="F43">
        <f t="shared" si="2"/>
        <v>6.8731650532703155</v>
      </c>
      <c r="G43">
        <f t="shared" si="2"/>
        <v>6.6781850638754854</v>
      </c>
      <c r="H43">
        <f t="shared" si="2"/>
        <v>7.0561829935732678</v>
      </c>
      <c r="I43">
        <f t="shared" si="2"/>
        <v>7.0427008228472801</v>
      </c>
      <c r="J43">
        <f t="shared" si="2"/>
        <v>6.8587814434512016</v>
      </c>
      <c r="K43">
        <f t="shared" si="2"/>
        <v>6.960526325962193</v>
      </c>
      <c r="L43">
        <v>3.836599516033358E-2</v>
      </c>
    </row>
    <row r="44" spans="1:12" x14ac:dyDescent="0.45">
      <c r="A44" s="5" t="s">
        <v>125</v>
      </c>
      <c r="B44">
        <f t="shared" si="2"/>
        <v>7.7919201983320816</v>
      </c>
      <c r="C44">
        <f t="shared" si="2"/>
        <v>7.5688340095829663</v>
      </c>
      <c r="D44">
        <f t="shared" si="2"/>
        <v>7.6301885969218501</v>
      </c>
      <c r="E44">
        <f t="shared" si="2"/>
        <v>7.6978966126503847</v>
      </c>
      <c r="F44">
        <f t="shared" si="2"/>
        <v>7.6178197823121998</v>
      </c>
      <c r="G44">
        <f t="shared" si="2"/>
        <v>7.475593212704652</v>
      </c>
      <c r="H44">
        <f t="shared" si="2"/>
        <v>7.8260549597423665</v>
      </c>
      <c r="I44">
        <f t="shared" si="2"/>
        <v>8.0171220431385439</v>
      </c>
      <c r="J44">
        <f t="shared" si="2"/>
        <v>7.8449087664327362</v>
      </c>
      <c r="K44">
        <f t="shared" si="2"/>
        <v>7.8017031644091199</v>
      </c>
      <c r="L44">
        <v>3.8820103205644517E-2</v>
      </c>
    </row>
    <row r="45" spans="1:12" x14ac:dyDescent="0.45">
      <c r="A45" s="5" t="s">
        <v>142</v>
      </c>
      <c r="B45">
        <f t="shared" si="2"/>
        <v>7.3000134134842938</v>
      </c>
      <c r="C45">
        <f t="shared" si="2"/>
        <v>7.2084854055476812</v>
      </c>
      <c r="D45">
        <f t="shared" si="2"/>
        <v>7.1533579128489917</v>
      </c>
      <c r="E45">
        <f t="shared" si="2"/>
        <v>7.4477312907385551</v>
      </c>
      <c r="F45">
        <f t="shared" si="2"/>
        <v>7.3838440777035883</v>
      </c>
      <c r="G45">
        <f t="shared" si="2"/>
        <v>7.2760041536875608</v>
      </c>
      <c r="H45">
        <f t="shared" si="2"/>
        <v>7.3856250694532752</v>
      </c>
      <c r="I45">
        <f t="shared" si="2"/>
        <v>7.632022128188189</v>
      </c>
      <c r="J45">
        <f t="shared" si="2"/>
        <v>7.4936682770792453</v>
      </c>
      <c r="K45">
        <f t="shared" si="2"/>
        <v>7.4418037808576818</v>
      </c>
      <c r="L45">
        <v>3.8953921223120198E-2</v>
      </c>
    </row>
    <row r="46" spans="1:12" x14ac:dyDescent="0.45">
      <c r="A46" s="5" t="s">
        <v>151</v>
      </c>
      <c r="B46">
        <f t="shared" si="2"/>
        <v>7.0983481805563544</v>
      </c>
      <c r="C46">
        <f t="shared" si="2"/>
        <v>7.0515475061428168</v>
      </c>
      <c r="D46">
        <f t="shared" si="2"/>
        <v>7.2012202345253025</v>
      </c>
      <c r="E46">
        <f t="shared" si="2"/>
        <v>6.9806831953422854</v>
      </c>
      <c r="F46">
        <f t="shared" si="2"/>
        <v>7.095960059356611</v>
      </c>
      <c r="G46">
        <f t="shared" si="2"/>
        <v>7.0985154225569049</v>
      </c>
      <c r="H46">
        <f t="shared" si="2"/>
        <v>7.2031987275748319</v>
      </c>
      <c r="I46">
        <f t="shared" si="2"/>
        <v>7.1674265965584674</v>
      </c>
      <c r="J46">
        <f t="shared" si="2"/>
        <v>7.2064636712866479</v>
      </c>
      <c r="K46">
        <f t="shared" si="2"/>
        <v>7.2336620621794614</v>
      </c>
      <c r="L46">
        <v>3.9216032853478029E-2</v>
      </c>
    </row>
    <row r="47" spans="1:12" x14ac:dyDescent="0.45">
      <c r="A47" s="5" t="s">
        <v>148</v>
      </c>
      <c r="B47">
        <f t="shared" si="2"/>
        <v>8.4453209897615782</v>
      </c>
      <c r="C47">
        <f t="shared" si="2"/>
        <v>8.2588691093538351</v>
      </c>
      <c r="D47">
        <f t="shared" si="2"/>
        <v>8.46262678233348</v>
      </c>
      <c r="E47">
        <f t="shared" si="2"/>
        <v>8.3325267529302476</v>
      </c>
      <c r="F47">
        <f t="shared" si="2"/>
        <v>8.2996640808760631</v>
      </c>
      <c r="G47">
        <f t="shared" si="2"/>
        <v>8.2894831667917206</v>
      </c>
      <c r="H47">
        <f t="shared" si="2"/>
        <v>8.5103425413673683</v>
      </c>
      <c r="I47">
        <f t="shared" si="2"/>
        <v>8.4395334024405066</v>
      </c>
      <c r="J47">
        <f t="shared" si="2"/>
        <v>8.4643600481714429</v>
      </c>
      <c r="K47">
        <f t="shared" si="2"/>
        <v>8.4624553739115775</v>
      </c>
      <c r="L47">
        <v>4.0155420269765311E-2</v>
      </c>
    </row>
    <row r="48" spans="1:12" x14ac:dyDescent="0.45">
      <c r="A48" s="5" t="s">
        <v>110</v>
      </c>
      <c r="B48">
        <f t="shared" si="2"/>
        <v>8.463112069974466</v>
      </c>
      <c r="C48">
        <f t="shared" si="2"/>
        <v>8.1081431156761443</v>
      </c>
      <c r="D48">
        <f t="shared" si="2"/>
        <v>8.5486978788955135</v>
      </c>
      <c r="E48">
        <f t="shared" si="2"/>
        <v>8.3869658647570624</v>
      </c>
      <c r="F48">
        <f t="shared" si="2"/>
        <v>8.2581958186501438</v>
      </c>
      <c r="G48">
        <f t="shared" si="2"/>
        <v>8.3071158611373015</v>
      </c>
      <c r="H48">
        <f t="shared" si="2"/>
        <v>8.5376628393754039</v>
      </c>
      <c r="I48">
        <f t="shared" si="2"/>
        <v>8.5378426154115203</v>
      </c>
      <c r="J48">
        <f t="shared" si="2"/>
        <v>8.5237261460771307</v>
      </c>
      <c r="K48">
        <f t="shared" si="2"/>
        <v>8.6053404420431612</v>
      </c>
      <c r="L48">
        <v>4.0257799979333035E-2</v>
      </c>
    </row>
    <row r="49" spans="1:12" x14ac:dyDescent="0.45">
      <c r="A49" s="5" t="s">
        <v>221</v>
      </c>
      <c r="B49">
        <f t="shared" si="2"/>
        <v>6.562443904697834</v>
      </c>
      <c r="C49">
        <f t="shared" si="2"/>
        <v>6.5600477411458549</v>
      </c>
      <c r="D49">
        <f t="shared" si="2"/>
        <v>6.4327314094405992</v>
      </c>
      <c r="E49">
        <f t="shared" si="2"/>
        <v>6.4683746046432073</v>
      </c>
      <c r="F49">
        <f t="shared" si="2"/>
        <v>6.4813246487746587</v>
      </c>
      <c r="G49">
        <f t="shared" si="2"/>
        <v>6.5324772859932994</v>
      </c>
      <c r="H49">
        <f t="shared" si="2"/>
        <v>6.4701503765455328</v>
      </c>
      <c r="I49">
        <f t="shared" si="2"/>
        <v>6.407775008872191</v>
      </c>
      <c r="J49">
        <f t="shared" si="2"/>
        <v>6.3526694757922746</v>
      </c>
      <c r="K49">
        <f t="shared" si="2"/>
        <v>6.3916002069163769</v>
      </c>
      <c r="L49">
        <v>4.0798319313201797E-2</v>
      </c>
    </row>
    <row r="50" spans="1:12" x14ac:dyDescent="0.45">
      <c r="A50" s="5" t="s">
        <v>218</v>
      </c>
      <c r="B50">
        <f t="shared" si="2"/>
        <v>7.7295751291265011</v>
      </c>
      <c r="C50">
        <f t="shared" si="2"/>
        <v>7.3418782834008889</v>
      </c>
      <c r="D50">
        <f t="shared" si="2"/>
        <v>7.739712694820736</v>
      </c>
      <c r="E50">
        <f t="shared" si="2"/>
        <v>7.5595529956467233</v>
      </c>
      <c r="F50">
        <f t="shared" si="2"/>
        <v>7.6764851374792302</v>
      </c>
      <c r="G50">
        <f t="shared" si="2"/>
        <v>7.2960838632888185</v>
      </c>
      <c r="H50">
        <f t="shared" si="2"/>
        <v>7.8633164464306464</v>
      </c>
      <c r="I50">
        <f t="shared" si="2"/>
        <v>8.0815300166425583</v>
      </c>
      <c r="J50">
        <f t="shared" si="2"/>
        <v>7.71842740975758</v>
      </c>
      <c r="K50">
        <f t="shared" si="2"/>
        <v>7.9457234942999548</v>
      </c>
      <c r="L50">
        <v>4.1871969995012623E-2</v>
      </c>
    </row>
    <row r="51" spans="1:12" x14ac:dyDescent="0.45">
      <c r="A51" s="5" t="s">
        <v>262</v>
      </c>
      <c r="B51">
        <f t="shared" si="2"/>
        <v>6.5867953450035754</v>
      </c>
      <c r="C51">
        <f t="shared" si="2"/>
        <v>6.5412739379305949</v>
      </c>
      <c r="D51">
        <f t="shared" si="2"/>
        <v>6.6196046611081512</v>
      </c>
      <c r="E51">
        <f t="shared" si="2"/>
        <v>6.7011327252214947</v>
      </c>
      <c r="F51">
        <f t="shared" si="2"/>
        <v>6.7148103935291816</v>
      </c>
      <c r="G51">
        <f t="shared" si="2"/>
        <v>6.5447554250833324</v>
      </c>
      <c r="H51">
        <f t="shared" si="2"/>
        <v>6.8052717965692997</v>
      </c>
      <c r="I51">
        <f t="shared" si="2"/>
        <v>6.8128214039282309</v>
      </c>
      <c r="J51">
        <f t="shared" si="2"/>
        <v>6.7033082880602439</v>
      </c>
      <c r="K51">
        <f t="shared" si="2"/>
        <v>6.6440717759902288</v>
      </c>
      <c r="L51">
        <v>4.2352289427876812E-2</v>
      </c>
    </row>
    <row r="52" spans="1:12" x14ac:dyDescent="0.45">
      <c r="A52" s="5" t="s">
        <v>153</v>
      </c>
      <c r="B52">
        <f t="shared" si="2"/>
        <v>7.9639719033267058</v>
      </c>
      <c r="C52">
        <f t="shared" si="2"/>
        <v>7.6022773976726974</v>
      </c>
      <c r="D52">
        <f t="shared" si="2"/>
        <v>8.0583694830734416</v>
      </c>
      <c r="E52">
        <f t="shared" si="2"/>
        <v>7.8794962501634043</v>
      </c>
      <c r="F52">
        <f t="shared" si="2"/>
        <v>7.7664774737396396</v>
      </c>
      <c r="G52">
        <f t="shared" si="2"/>
        <v>7.8134325121817483</v>
      </c>
      <c r="H52">
        <f t="shared" si="2"/>
        <v>8.0797511611938759</v>
      </c>
      <c r="I52">
        <f t="shared" si="2"/>
        <v>8.0765061530904614</v>
      </c>
      <c r="J52">
        <f t="shared" si="2"/>
        <v>8.0625919853159616</v>
      </c>
      <c r="K52">
        <f t="shared" si="2"/>
        <v>8.1395176959752593</v>
      </c>
      <c r="L52">
        <v>4.3188869275609464E-2</v>
      </c>
    </row>
    <row r="53" spans="1:12" x14ac:dyDescent="0.45">
      <c r="A53" s="5" t="s">
        <v>146</v>
      </c>
      <c r="B53">
        <f t="shared" si="2"/>
        <v>8.4827231764084114</v>
      </c>
      <c r="C53">
        <f t="shared" si="2"/>
        <v>8.2498501659287129</v>
      </c>
      <c r="D53">
        <f t="shared" si="2"/>
        <v>8.5566364163811244</v>
      </c>
      <c r="E53">
        <f t="shared" si="2"/>
        <v>8.3349889875124159</v>
      </c>
      <c r="F53">
        <f t="shared" si="2"/>
        <v>8.3135519954858896</v>
      </c>
      <c r="G53">
        <f t="shared" si="2"/>
        <v>8.2805908123013285</v>
      </c>
      <c r="H53">
        <f t="shared" si="2"/>
        <v>8.5412730965470374</v>
      </c>
      <c r="I53">
        <f t="shared" si="2"/>
        <v>8.5206851667467305</v>
      </c>
      <c r="J53">
        <f t="shared" si="2"/>
        <v>8.53372811880622</v>
      </c>
      <c r="K53">
        <f t="shared" si="2"/>
        <v>8.5090700427191308</v>
      </c>
      <c r="L53">
        <v>4.3417971387341894E-2</v>
      </c>
    </row>
    <row r="54" spans="1:12" x14ac:dyDescent="0.45">
      <c r="A54" s="5" t="s">
        <v>161</v>
      </c>
      <c r="B54">
        <f t="shared" si="2"/>
        <v>8.3438327223651143</v>
      </c>
      <c r="C54">
        <f t="shared" si="2"/>
        <v>8.1227573170762888</v>
      </c>
      <c r="D54">
        <f t="shared" si="2"/>
        <v>8.3261314748786948</v>
      </c>
      <c r="E54">
        <f t="shared" si="2"/>
        <v>8.3295441744052265</v>
      </c>
      <c r="F54">
        <f t="shared" si="2"/>
        <v>8.2139825930951034</v>
      </c>
      <c r="G54">
        <f t="shared" si="2"/>
        <v>7.9807210415003746</v>
      </c>
      <c r="H54">
        <f t="shared" si="2"/>
        <v>8.4387296335524571</v>
      </c>
      <c r="I54">
        <f t="shared" si="2"/>
        <v>8.5005379792131137</v>
      </c>
      <c r="J54">
        <f t="shared" si="2"/>
        <v>8.451725210088572</v>
      </c>
      <c r="K54">
        <f t="shared" si="2"/>
        <v>8.4266033979414274</v>
      </c>
      <c r="L54">
        <v>4.7929831843979753E-2</v>
      </c>
    </row>
    <row r="55" spans="1:12" x14ac:dyDescent="0.45">
      <c r="A55" s="5" t="s">
        <v>79</v>
      </c>
      <c r="B55">
        <f t="shared" si="2"/>
        <v>6.6761740031725862</v>
      </c>
      <c r="C55">
        <f t="shared" si="2"/>
        <v>6.2272304176993929</v>
      </c>
      <c r="D55">
        <f t="shared" si="2"/>
        <v>6.7514069199666595</v>
      </c>
      <c r="E55">
        <f t="shared" si="2"/>
        <v>6.2605110888762159</v>
      </c>
      <c r="F55">
        <f t="shared" si="2"/>
        <v>6.5937718873669366</v>
      </c>
      <c r="G55">
        <f t="shared" si="2"/>
        <v>6.106961356622663</v>
      </c>
      <c r="H55">
        <f t="shared" si="2"/>
        <v>6.8609529786307295</v>
      </c>
      <c r="I55">
        <f t="shared" si="2"/>
        <v>7.1949802255699904</v>
      </c>
      <c r="J55">
        <f t="shared" si="2"/>
        <v>6.7161931872730261</v>
      </c>
      <c r="K55">
        <f t="shared" si="2"/>
        <v>6.6942634722940637</v>
      </c>
      <c r="L55">
        <v>4.9567530833624938E-2</v>
      </c>
    </row>
    <row r="56" spans="1:12" x14ac:dyDescent="0.45">
      <c r="A56" s="5" t="s">
        <v>162</v>
      </c>
      <c r="B56">
        <f t="shared" si="2"/>
        <v>7.4833745247145584</v>
      </c>
      <c r="C56">
        <f t="shared" si="2"/>
        <v>7.3886297368549956</v>
      </c>
      <c r="D56">
        <f t="shared" si="2"/>
        <v>7.5115267701373272</v>
      </c>
      <c r="E56">
        <f t="shared" si="2"/>
        <v>7.5020024119888946</v>
      </c>
      <c r="F56">
        <f t="shared" si="2"/>
        <v>7.4023447180007889</v>
      </c>
      <c r="G56">
        <f t="shared" si="2"/>
        <v>7.4358288009819482</v>
      </c>
      <c r="H56">
        <f t="shared" si="2"/>
        <v>7.536919733417017</v>
      </c>
      <c r="I56">
        <f t="shared" si="2"/>
        <v>7.5341978553931055</v>
      </c>
      <c r="J56">
        <f t="shared" si="2"/>
        <v>7.5040670630630419</v>
      </c>
      <c r="K56">
        <f t="shared" si="2"/>
        <v>7.494542560013377</v>
      </c>
      <c r="L56">
        <v>4.9713662819848944E-2</v>
      </c>
    </row>
  </sheetData>
  <sortState xmlns:xlrd2="http://schemas.microsoft.com/office/spreadsheetml/2017/richdata2" ref="A3:L28">
    <sortCondition ref="L1:L28"/>
  </sortState>
  <conditionalFormatting sqref="A1 A3:A27">
    <cfRule type="duplicateValues" dxfId="11" priority="42"/>
  </conditionalFormatting>
  <conditionalFormatting sqref="A2">
    <cfRule type="duplicateValues" dxfId="10" priority="5"/>
  </conditionalFormatting>
  <conditionalFormatting sqref="A30">
    <cfRule type="duplicateValues" dxfId="9" priority="2"/>
  </conditionalFormatting>
  <conditionalFormatting sqref="A31">
    <cfRule type="duplicateValues" dxfId="8" priority="1"/>
  </conditionalFormatting>
  <conditionalFormatting sqref="A32:A56">
    <cfRule type="duplicateValues" dxfId="7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D9D0-15CE-4BFD-A5ED-51FDE9D7D17F}">
  <dimension ref="A1:P213"/>
  <sheetViews>
    <sheetView workbookViewId="0">
      <selection activeCell="A2" sqref="A2:XFD4"/>
    </sheetView>
  </sheetViews>
  <sheetFormatPr defaultRowHeight="14.25" x14ac:dyDescent="0.45"/>
  <sheetData>
    <row r="1" spans="1:16" x14ac:dyDescent="0.45">
      <c r="A1" s="1" t="s">
        <v>0</v>
      </c>
      <c r="B1" s="1" t="s">
        <v>292</v>
      </c>
      <c r="C1" s="1" t="s">
        <v>293</v>
      </c>
      <c r="D1" s="1" t="s">
        <v>300</v>
      </c>
      <c r="E1" s="1" t="s">
        <v>301</v>
      </c>
      <c r="F1" s="1" t="s">
        <v>306</v>
      </c>
      <c r="G1" s="1" t="s">
        <v>307</v>
      </c>
      <c r="H1" s="1" t="s">
        <v>289</v>
      </c>
      <c r="I1" s="1" t="s">
        <v>294</v>
      </c>
      <c r="J1" s="1" t="s">
        <v>297</v>
      </c>
      <c r="K1" s="1" t="s">
        <v>302</v>
      </c>
      <c r="L1" s="1" t="s">
        <v>304</v>
      </c>
      <c r="M1" s="1" t="s">
        <v>308</v>
      </c>
      <c r="N1" s="12" t="s">
        <v>314</v>
      </c>
      <c r="O1" s="12" t="s">
        <v>316</v>
      </c>
      <c r="P1" s="12" t="s">
        <v>317</v>
      </c>
    </row>
    <row r="2" spans="1:16" x14ac:dyDescent="0.45">
      <c r="A2" s="5" t="s">
        <v>147</v>
      </c>
      <c r="B2" s="13">
        <v>37948667.102324098</v>
      </c>
      <c r="C2" s="13">
        <v>42739634.778640501</v>
      </c>
      <c r="D2" s="13">
        <v>59990361.132868104</v>
      </c>
      <c r="E2" s="13">
        <v>34423727.743930399</v>
      </c>
      <c r="F2" s="13">
        <v>40826926.580809303</v>
      </c>
      <c r="G2" s="13">
        <v>39722338.0888891</v>
      </c>
      <c r="H2" s="13">
        <v>52493626.380338803</v>
      </c>
      <c r="I2" s="13">
        <v>60145977.727599896</v>
      </c>
      <c r="J2" s="13">
        <v>46162336.690043703</v>
      </c>
      <c r="K2" s="13">
        <v>70863162.255552307</v>
      </c>
      <c r="L2" s="13">
        <v>64042600.781485803</v>
      </c>
      <c r="M2" s="13">
        <v>73861106.089232102</v>
      </c>
      <c r="N2">
        <f t="shared" ref="N2:N65" si="0">TTEST(B2:G2,H2:M2,2,2)</f>
        <v>8.2163586336473412E-3</v>
      </c>
      <c r="O2" s="13">
        <v>1</v>
      </c>
      <c r="P2">
        <f>N2*3/O2</f>
        <v>2.4649075900942022E-2</v>
      </c>
    </row>
    <row r="3" spans="1:16" x14ac:dyDescent="0.45">
      <c r="A3" s="5" t="s">
        <v>167</v>
      </c>
      <c r="B3" s="5">
        <v>421684.06353716698</v>
      </c>
      <c r="C3" s="5">
        <v>384306.64502244099</v>
      </c>
      <c r="D3" s="5">
        <v>614879.33147478302</v>
      </c>
      <c r="E3" s="5">
        <v>442119.13449286798</v>
      </c>
      <c r="F3" s="5">
        <v>400397.75391821901</v>
      </c>
      <c r="G3" s="5">
        <v>416179.963934328</v>
      </c>
      <c r="H3" s="5">
        <v>417323.34814908402</v>
      </c>
      <c r="I3" s="5">
        <v>632517.11432803306</v>
      </c>
      <c r="J3" s="5">
        <v>603860.79625073902</v>
      </c>
      <c r="K3" s="5">
        <v>500357.76274992601</v>
      </c>
      <c r="L3" s="5">
        <v>640919.49215007597</v>
      </c>
      <c r="M3" s="5">
        <v>649545.61074963596</v>
      </c>
      <c r="N3">
        <f t="shared" si="0"/>
        <v>3.3493672717076053E-2</v>
      </c>
      <c r="O3" s="17">
        <v>2</v>
      </c>
      <c r="P3">
        <f t="shared" ref="P3:P4" si="1">N3*3/O3</f>
        <v>5.024050907561408E-2</v>
      </c>
    </row>
    <row r="4" spans="1:16" x14ac:dyDescent="0.45">
      <c r="A4" s="5" t="s">
        <v>239</v>
      </c>
      <c r="B4" s="5">
        <v>73416643.622391194</v>
      </c>
      <c r="C4" s="5">
        <v>42324085.103019401</v>
      </c>
      <c r="D4" s="5">
        <v>53951461.883732103</v>
      </c>
      <c r="E4" s="5">
        <v>27356948.347272001</v>
      </c>
      <c r="F4" s="5">
        <v>20578142.620473702</v>
      </c>
      <c r="G4" s="5">
        <v>44435722.835086398</v>
      </c>
      <c r="H4" s="5">
        <v>23341824.218190599</v>
      </c>
      <c r="I4" s="5">
        <v>18858739.9175</v>
      </c>
      <c r="J4" s="5">
        <v>22845507.578219201</v>
      </c>
      <c r="K4" s="5">
        <v>28980564.554900501</v>
      </c>
      <c r="L4" s="5">
        <v>26172518.7173714</v>
      </c>
      <c r="M4" s="5">
        <v>32352712.7595153</v>
      </c>
      <c r="N4">
        <f t="shared" si="0"/>
        <v>4.5100114346086351E-2</v>
      </c>
      <c r="O4" s="16">
        <v>3</v>
      </c>
      <c r="P4">
        <f t="shared" si="1"/>
        <v>4.5100114346086351E-2</v>
      </c>
    </row>
    <row r="5" spans="1:16" x14ac:dyDescent="0.45">
      <c r="A5" s="5" t="s">
        <v>160</v>
      </c>
      <c r="B5" s="5">
        <v>218302836.18803999</v>
      </c>
      <c r="C5" s="5">
        <v>143655495.09417501</v>
      </c>
      <c r="D5" s="5">
        <v>226553884.70244601</v>
      </c>
      <c r="E5" s="5">
        <v>136515832.43679801</v>
      </c>
      <c r="F5" s="5">
        <v>270368328.87797099</v>
      </c>
      <c r="G5" s="5">
        <v>179109803.02171999</v>
      </c>
      <c r="H5" s="5">
        <v>247182994.56250399</v>
      </c>
      <c r="I5" s="5">
        <v>198772071.76267201</v>
      </c>
      <c r="J5" s="5">
        <v>245974559.12964499</v>
      </c>
      <c r="K5" s="5">
        <v>252545832.48296401</v>
      </c>
      <c r="L5" s="5">
        <v>277332434.75844401</v>
      </c>
      <c r="M5" s="5">
        <v>265932206.44661599</v>
      </c>
      <c r="N5">
        <f t="shared" si="0"/>
        <v>5.3961179746089404E-2</v>
      </c>
    </row>
    <row r="6" spans="1:16" x14ac:dyDescent="0.45">
      <c r="A6" s="5" t="s">
        <v>151</v>
      </c>
      <c r="B6" s="5">
        <v>12541462.403023601</v>
      </c>
      <c r="C6" s="5">
        <v>11260236.344340101</v>
      </c>
      <c r="D6" s="5">
        <v>15893525.1881912</v>
      </c>
      <c r="E6" s="5">
        <v>9564960.8185183108</v>
      </c>
      <c r="F6" s="5">
        <v>12472688.0173494</v>
      </c>
      <c r="G6" s="5">
        <v>12546292.911481701</v>
      </c>
      <c r="H6" s="5">
        <v>11670781.577832799</v>
      </c>
      <c r="I6" s="5">
        <v>16277717.8288661</v>
      </c>
      <c r="J6" s="5">
        <v>15927337.109456399</v>
      </c>
      <c r="K6" s="5">
        <v>12776560.5454721</v>
      </c>
      <c r="L6" s="5">
        <v>18001381.778047901</v>
      </c>
      <c r="M6" s="5">
        <v>15920741.612196</v>
      </c>
      <c r="N6">
        <f t="shared" si="0"/>
        <v>6.148599834256234E-2</v>
      </c>
    </row>
    <row r="7" spans="1:16" x14ac:dyDescent="0.45">
      <c r="A7" s="5" t="s">
        <v>218</v>
      </c>
      <c r="B7" s="5">
        <v>53650667.435003601</v>
      </c>
      <c r="C7" s="5">
        <v>21972439.806740899</v>
      </c>
      <c r="D7" s="5">
        <v>54917744.8271828</v>
      </c>
      <c r="E7" s="5">
        <v>36270454.328683197</v>
      </c>
      <c r="F7" s="5">
        <v>47477204.291085899</v>
      </c>
      <c r="G7" s="5">
        <v>19773514.344739199</v>
      </c>
      <c r="H7" s="5">
        <v>43101018.217038497</v>
      </c>
      <c r="I7" s="5">
        <v>22608330.434561301</v>
      </c>
      <c r="J7" s="5">
        <v>59637104.477703303</v>
      </c>
      <c r="K7" s="5">
        <v>95512386.701784894</v>
      </c>
      <c r="L7" s="5">
        <v>105648792.70119999</v>
      </c>
      <c r="M7" s="5">
        <v>114201024.25664499</v>
      </c>
      <c r="N7">
        <f t="shared" si="0"/>
        <v>6.2328419827879303E-2</v>
      </c>
    </row>
    <row r="8" spans="1:16" x14ac:dyDescent="0.45">
      <c r="A8" s="5" t="s">
        <v>191</v>
      </c>
      <c r="B8" s="5">
        <v>103630550.343345</v>
      </c>
      <c r="C8" s="5">
        <v>72349049.328518003</v>
      </c>
      <c r="D8" s="5">
        <v>126862767.70782299</v>
      </c>
      <c r="E8" s="5">
        <v>104732202.694103</v>
      </c>
      <c r="F8" s="5">
        <v>76064931.228222907</v>
      </c>
      <c r="G8" s="5">
        <v>74216204.225421593</v>
      </c>
      <c r="H8" s="5">
        <v>70279889.883359194</v>
      </c>
      <c r="I8" s="5">
        <v>70445878.654438004</v>
      </c>
      <c r="J8" s="5">
        <v>65941064.042206898</v>
      </c>
      <c r="K8" s="5">
        <v>72162978.235684097</v>
      </c>
      <c r="L8" s="5">
        <v>92616555.965724602</v>
      </c>
      <c r="M8" s="5">
        <v>58011721.499884002</v>
      </c>
      <c r="N8">
        <f t="shared" si="0"/>
        <v>6.2426078245391439E-2</v>
      </c>
    </row>
    <row r="9" spans="1:16" x14ac:dyDescent="0.45">
      <c r="A9" s="5" t="s">
        <v>154</v>
      </c>
      <c r="B9" s="5">
        <v>12962969.9336037</v>
      </c>
      <c r="C9" s="5">
        <v>8250713.6260289503</v>
      </c>
      <c r="D9" s="5">
        <v>12341450.7131915</v>
      </c>
      <c r="E9" s="5">
        <v>13505713.3864042</v>
      </c>
      <c r="F9" s="5">
        <v>12778925.6514559</v>
      </c>
      <c r="G9" s="5">
        <v>9719344.0081619397</v>
      </c>
      <c r="H9" s="5">
        <v>11204675.246707</v>
      </c>
      <c r="I9" s="5">
        <v>15123635.858957101</v>
      </c>
      <c r="J9" s="5">
        <v>10191843.846604399</v>
      </c>
      <c r="K9" s="5">
        <v>15964650.067364899</v>
      </c>
      <c r="L9" s="5">
        <v>17230331.536172502</v>
      </c>
      <c r="M9" s="5">
        <v>18475570.573151901</v>
      </c>
      <c r="N9">
        <f t="shared" si="0"/>
        <v>8.1585701790282725E-2</v>
      </c>
    </row>
    <row r="10" spans="1:16" x14ac:dyDescent="0.45">
      <c r="A10" s="5" t="s">
        <v>149</v>
      </c>
      <c r="B10" s="5">
        <v>11127587.239047199</v>
      </c>
      <c r="C10" s="5">
        <v>8162947.9409190901</v>
      </c>
      <c r="D10" s="5">
        <v>15149808.4403506</v>
      </c>
      <c r="E10" s="5">
        <v>8863978.7782937996</v>
      </c>
      <c r="F10" s="5">
        <v>10728381.161259299</v>
      </c>
      <c r="G10" s="5">
        <v>11540052.3698896</v>
      </c>
      <c r="H10" s="5">
        <v>10299031.1740708</v>
      </c>
      <c r="I10" s="5">
        <v>11959790.756127801</v>
      </c>
      <c r="J10" s="5">
        <v>12569263.6269526</v>
      </c>
      <c r="K10" s="5">
        <v>13428033.2699033</v>
      </c>
      <c r="L10" s="5">
        <v>17356376.089666501</v>
      </c>
      <c r="M10" s="5">
        <v>17592528.343601301</v>
      </c>
      <c r="N10">
        <f t="shared" si="0"/>
        <v>9.1753219950939505E-2</v>
      </c>
    </row>
    <row r="11" spans="1:16" x14ac:dyDescent="0.45">
      <c r="A11" s="5" t="s">
        <v>136</v>
      </c>
      <c r="B11" s="5">
        <v>422903194.73768401</v>
      </c>
      <c r="C11" s="5">
        <v>153449040.25143099</v>
      </c>
      <c r="D11" s="5">
        <v>247706524.869205</v>
      </c>
      <c r="E11" s="5">
        <v>268267194.64197299</v>
      </c>
      <c r="F11" s="5">
        <v>149473460.47549999</v>
      </c>
      <c r="G11" s="5">
        <v>191217397.18982399</v>
      </c>
      <c r="H11" s="5">
        <v>160756652.73508599</v>
      </c>
      <c r="I11" s="5">
        <v>121048076.534851</v>
      </c>
      <c r="J11" s="5">
        <v>149574283.83083099</v>
      </c>
      <c r="K11" s="5">
        <v>230815540.845741</v>
      </c>
      <c r="L11" s="5">
        <v>120563712.987391</v>
      </c>
      <c r="M11" s="5">
        <v>158106178.67937699</v>
      </c>
      <c r="N11">
        <f t="shared" si="0"/>
        <v>9.7747060751242912E-2</v>
      </c>
    </row>
    <row r="12" spans="1:16" x14ac:dyDescent="0.45">
      <c r="A12" s="5" t="s">
        <v>82</v>
      </c>
      <c r="B12" s="5">
        <v>6177017.2384781605</v>
      </c>
      <c r="C12" s="5">
        <v>2238714.0286912201</v>
      </c>
      <c r="D12" s="5">
        <v>2894423.9244425399</v>
      </c>
      <c r="E12" s="5">
        <v>1015917.90471001</v>
      </c>
      <c r="F12" s="5">
        <v>2935261.9254704202</v>
      </c>
      <c r="G12" s="5">
        <v>1947750.09321573</v>
      </c>
      <c r="H12" s="5">
        <v>2061332.5327750701</v>
      </c>
      <c r="I12" s="5">
        <v>1769067.2145023099</v>
      </c>
      <c r="J12" s="5">
        <v>1486090.0234030499</v>
      </c>
      <c r="K12" s="5">
        <v>1964796.2250552899</v>
      </c>
      <c r="L12" s="5">
        <v>1036886.30555078</v>
      </c>
      <c r="M12" s="5">
        <v>745927.720211918</v>
      </c>
      <c r="N12">
        <f t="shared" si="0"/>
        <v>0.10162306148762124</v>
      </c>
    </row>
    <row r="13" spans="1:16" x14ac:dyDescent="0.45">
      <c r="A13" s="5" t="s">
        <v>122</v>
      </c>
      <c r="B13" s="5">
        <v>6726173.2496553799</v>
      </c>
      <c r="C13" s="5">
        <v>4353594.7764485497</v>
      </c>
      <c r="D13" s="5">
        <v>5804943.7451796001</v>
      </c>
      <c r="E13" s="5">
        <v>4192951.0735116</v>
      </c>
      <c r="F13" s="5">
        <v>4511464.34343848</v>
      </c>
      <c r="G13" s="5">
        <v>4459538.7412908804</v>
      </c>
      <c r="H13" s="5">
        <v>5421054.3119542599</v>
      </c>
      <c r="I13" s="5">
        <v>5080165.2793276897</v>
      </c>
      <c r="J13" s="5">
        <v>4941972.6898711203</v>
      </c>
      <c r="K13" s="5">
        <v>6864878.7609324697</v>
      </c>
      <c r="L13" s="5">
        <v>9315188.0197283104</v>
      </c>
      <c r="M13" s="5">
        <v>6930374.8546304898</v>
      </c>
      <c r="N13">
        <f t="shared" si="0"/>
        <v>0.1055881249839551</v>
      </c>
    </row>
    <row r="14" spans="1:16" x14ac:dyDescent="0.45">
      <c r="A14" s="5" t="s">
        <v>39</v>
      </c>
      <c r="B14" s="5">
        <v>8242071.7562041497</v>
      </c>
      <c r="C14" s="5">
        <v>9095433.2483424693</v>
      </c>
      <c r="D14" s="5">
        <v>15136842.8176533</v>
      </c>
      <c r="E14" s="5">
        <v>10137336.777671</v>
      </c>
      <c r="F14" s="5">
        <v>8996583.8179680705</v>
      </c>
      <c r="G14" s="5">
        <v>8960680.7398420908</v>
      </c>
      <c r="H14" s="5">
        <v>9307222.1605583709</v>
      </c>
      <c r="I14" s="5">
        <v>6815490.30235912</v>
      </c>
      <c r="J14" s="5">
        <v>6692350.9943856001</v>
      </c>
      <c r="K14" s="5">
        <v>8819911.1302690003</v>
      </c>
      <c r="L14" s="5">
        <v>8663051.9518093001</v>
      </c>
      <c r="M14" s="5">
        <v>8517257.4402806591</v>
      </c>
      <c r="N14">
        <f t="shared" si="0"/>
        <v>0.11420091072721343</v>
      </c>
    </row>
    <row r="15" spans="1:16" x14ac:dyDescent="0.45">
      <c r="A15" s="5" t="s">
        <v>67</v>
      </c>
      <c r="B15" s="5">
        <v>32126648.842984602</v>
      </c>
      <c r="C15" s="5">
        <v>27676841.614918198</v>
      </c>
      <c r="D15" s="5">
        <v>18161409.014808699</v>
      </c>
      <c r="E15" s="5">
        <v>27295533.867874399</v>
      </c>
      <c r="F15" s="5">
        <v>34733502.986227699</v>
      </c>
      <c r="G15" s="5">
        <v>27390958.6309264</v>
      </c>
      <c r="H15" s="5">
        <v>27772800.0889103</v>
      </c>
      <c r="I15" s="5">
        <v>19204206.191495098</v>
      </c>
      <c r="J15" s="5">
        <v>23874058.638355698</v>
      </c>
      <c r="K15" s="5">
        <v>18245565.945544198</v>
      </c>
      <c r="L15" s="5">
        <v>27281072.835071001</v>
      </c>
      <c r="M15" s="5">
        <v>22040294.7157051</v>
      </c>
      <c r="N15">
        <f t="shared" si="0"/>
        <v>0.11854795117042072</v>
      </c>
    </row>
    <row r="16" spans="1:16" x14ac:dyDescent="0.45">
      <c r="A16" s="5" t="s">
        <v>254</v>
      </c>
      <c r="B16" s="5">
        <v>8801609.0481851306</v>
      </c>
      <c r="C16" s="5">
        <v>3281732.66419798</v>
      </c>
      <c r="D16" s="5">
        <v>3758921.7504485901</v>
      </c>
      <c r="E16" s="5">
        <v>1667192.65836536</v>
      </c>
      <c r="F16" s="5">
        <v>3891350.60412713</v>
      </c>
      <c r="G16" s="5">
        <v>3048223.8843292599</v>
      </c>
      <c r="H16" s="5">
        <v>3128004.37924289</v>
      </c>
      <c r="I16" s="5">
        <v>2780733.7666493398</v>
      </c>
      <c r="J16" s="5">
        <v>2126124.6890369998</v>
      </c>
      <c r="K16" s="5">
        <v>3186189.2142236698</v>
      </c>
      <c r="L16" s="5">
        <v>1552492.4157336999</v>
      </c>
      <c r="M16" s="5">
        <v>1257114.35207651</v>
      </c>
      <c r="N16">
        <f t="shared" si="0"/>
        <v>0.13047743881827489</v>
      </c>
    </row>
    <row r="17" spans="1:14" x14ac:dyDescent="0.45">
      <c r="A17" s="5" t="s">
        <v>157</v>
      </c>
      <c r="B17" s="5">
        <v>2614222.0231488901</v>
      </c>
      <c r="C17" s="5">
        <v>5013443.6577725904</v>
      </c>
      <c r="D17" s="5">
        <v>1310316.24895124</v>
      </c>
      <c r="E17" s="5">
        <v>2207908.7215096601</v>
      </c>
      <c r="F17" s="5">
        <v>5551760.6404126799</v>
      </c>
      <c r="G17" s="5">
        <v>4853819.3668914596</v>
      </c>
      <c r="H17" s="5">
        <v>4627693.8614599798</v>
      </c>
      <c r="I17" s="5">
        <v>8703756.2253600694</v>
      </c>
      <c r="J17" s="5">
        <v>7048862.5900956998</v>
      </c>
      <c r="K17" s="5">
        <v>3676691.32649191</v>
      </c>
      <c r="L17" s="5">
        <v>3780941.4126897599</v>
      </c>
      <c r="M17" s="5">
        <v>4407712.7428523302</v>
      </c>
      <c r="N17">
        <f t="shared" si="0"/>
        <v>0.13638792412388742</v>
      </c>
    </row>
    <row r="18" spans="1:14" x14ac:dyDescent="0.45">
      <c r="A18" s="5" t="s">
        <v>118</v>
      </c>
      <c r="B18" s="5">
        <v>376050.556091593</v>
      </c>
      <c r="C18" s="5">
        <v>208199.446530152</v>
      </c>
      <c r="D18" s="5">
        <v>425293.45304898702</v>
      </c>
      <c r="E18" s="5">
        <v>359222.68455943</v>
      </c>
      <c r="F18" s="5">
        <v>330346.35985864099</v>
      </c>
      <c r="G18" s="5">
        <v>114470.222425776</v>
      </c>
      <c r="H18" s="5">
        <v>236700.44455782499</v>
      </c>
      <c r="I18" s="5">
        <v>62697.0097399023</v>
      </c>
      <c r="J18" s="5">
        <v>462478.21029477101</v>
      </c>
      <c r="K18" s="5">
        <v>1075673.6551841199</v>
      </c>
      <c r="L18" s="5">
        <v>658776.61564529501</v>
      </c>
      <c r="M18" s="5">
        <v>953681.32319099701</v>
      </c>
      <c r="N18">
        <f t="shared" si="0"/>
        <v>0.13816224056571352</v>
      </c>
    </row>
    <row r="19" spans="1:14" x14ac:dyDescent="0.45">
      <c r="A19" s="5" t="s">
        <v>198</v>
      </c>
      <c r="B19" s="5">
        <v>10800100.447420301</v>
      </c>
      <c r="C19" s="5">
        <v>3871114.0779098701</v>
      </c>
      <c r="D19" s="5">
        <v>4737752.0207197899</v>
      </c>
      <c r="E19" s="5">
        <v>1731715.4713004299</v>
      </c>
      <c r="F19" s="5">
        <v>4770568.0246270997</v>
      </c>
      <c r="G19" s="5">
        <v>3325280.4274855298</v>
      </c>
      <c r="H19" s="5">
        <v>3879767.1552091399</v>
      </c>
      <c r="I19" s="5">
        <v>3223579.3815412</v>
      </c>
      <c r="J19" s="5">
        <v>2657658.7135159401</v>
      </c>
      <c r="K19" s="5">
        <v>3439347.0956808599</v>
      </c>
      <c r="L19" s="5">
        <v>2008377.67481737</v>
      </c>
      <c r="M19" s="5">
        <v>1462771.5935440999</v>
      </c>
      <c r="N19">
        <f t="shared" si="0"/>
        <v>0.14487952964659562</v>
      </c>
    </row>
    <row r="20" spans="1:14" x14ac:dyDescent="0.45">
      <c r="A20" s="5" t="s">
        <v>156</v>
      </c>
      <c r="B20" s="5">
        <v>29876392.510655802</v>
      </c>
      <c r="C20" s="5">
        <v>44724276.181408197</v>
      </c>
      <c r="D20" s="5">
        <v>23522130.447323501</v>
      </c>
      <c r="E20" s="5">
        <v>44731476.077957101</v>
      </c>
      <c r="F20" s="5">
        <v>55121055.493619002</v>
      </c>
      <c r="G20" s="5">
        <v>33828516.848925903</v>
      </c>
      <c r="H20" s="5">
        <v>41894699.785229199</v>
      </c>
      <c r="I20" s="5">
        <v>44440061.870621704</v>
      </c>
      <c r="J20" s="5">
        <v>61073944.908766396</v>
      </c>
      <c r="K20" s="5">
        <v>40160917.393026903</v>
      </c>
      <c r="L20" s="5">
        <v>44130330.420058303</v>
      </c>
      <c r="M20" s="5">
        <v>51338235.128383197</v>
      </c>
      <c r="N20">
        <f t="shared" si="0"/>
        <v>0.16576100780274888</v>
      </c>
    </row>
    <row r="21" spans="1:14" x14ac:dyDescent="0.45">
      <c r="A21" s="5" t="s">
        <v>261</v>
      </c>
      <c r="B21" s="5">
        <v>42094583.900234498</v>
      </c>
      <c r="C21" s="5">
        <v>5452343.2009319896</v>
      </c>
      <c r="D21" s="5">
        <v>10244873.7967974</v>
      </c>
      <c r="E21" s="5">
        <v>45814770.266625203</v>
      </c>
      <c r="F21" s="5">
        <v>22536581.5262991</v>
      </c>
      <c r="G21" s="5">
        <v>25017810.750486199</v>
      </c>
      <c r="H21" s="5">
        <v>9597926.0252467692</v>
      </c>
      <c r="I21" s="5">
        <v>14341885.8863746</v>
      </c>
      <c r="J21" s="5">
        <v>6962434.8802768197</v>
      </c>
      <c r="K21" s="5">
        <v>28248891.352044299</v>
      </c>
      <c r="L21" s="5">
        <v>13398665.979422901</v>
      </c>
      <c r="M21" s="5">
        <v>14099978.1492946</v>
      </c>
      <c r="N21">
        <f t="shared" si="0"/>
        <v>0.17200364784343739</v>
      </c>
    </row>
    <row r="22" spans="1:14" x14ac:dyDescent="0.45">
      <c r="A22" s="5" t="s">
        <v>83</v>
      </c>
      <c r="B22" s="5">
        <v>2524515.1757165999</v>
      </c>
      <c r="C22" s="5">
        <v>19047051.433453299</v>
      </c>
      <c r="D22" s="5">
        <v>2455873.4931776999</v>
      </c>
      <c r="E22" s="5">
        <v>1625581.1241174201</v>
      </c>
      <c r="F22" s="5">
        <v>16092834.4112812</v>
      </c>
      <c r="G22" s="5">
        <v>1091971.2049533301</v>
      </c>
      <c r="H22" s="5">
        <v>2004257.75242849</v>
      </c>
      <c r="I22" s="5">
        <v>4867578.8593863603</v>
      </c>
      <c r="J22" s="5">
        <v>1937569.46646095</v>
      </c>
      <c r="K22" s="5">
        <v>1387545.0745710901</v>
      </c>
      <c r="L22" s="5">
        <v>1545389.7000818399</v>
      </c>
      <c r="M22" s="5">
        <v>1523866.4019955799</v>
      </c>
      <c r="N22">
        <f t="shared" si="0"/>
        <v>0.17444013120927387</v>
      </c>
    </row>
    <row r="23" spans="1:14" x14ac:dyDescent="0.45">
      <c r="A23" s="5" t="s">
        <v>225</v>
      </c>
      <c r="B23" s="5">
        <v>2022647.4900879399</v>
      </c>
      <c r="C23" s="5">
        <v>1428616.9888282099</v>
      </c>
      <c r="D23" s="5">
        <v>3660170.7718778499</v>
      </c>
      <c r="E23" s="5">
        <v>1439422.8523404901</v>
      </c>
      <c r="F23" s="5">
        <v>2169804.38959073</v>
      </c>
      <c r="G23" s="5">
        <v>2293397.3887590598</v>
      </c>
      <c r="H23" s="5">
        <v>3043905.80920815</v>
      </c>
      <c r="I23" s="5">
        <v>588314.16027831496</v>
      </c>
      <c r="J23" s="5">
        <v>1569130.5905003599</v>
      </c>
      <c r="K23" s="5">
        <v>1308452.0893496701</v>
      </c>
      <c r="L23" s="5">
        <v>1430887.27664254</v>
      </c>
      <c r="M23" s="5">
        <v>867888.72853894299</v>
      </c>
      <c r="N23">
        <f t="shared" si="0"/>
        <v>0.17727921632533566</v>
      </c>
    </row>
    <row r="24" spans="1:14" x14ac:dyDescent="0.45">
      <c r="A24" s="5" t="s">
        <v>142</v>
      </c>
      <c r="B24" s="5">
        <v>19953239.409718499</v>
      </c>
      <c r="C24" s="5">
        <v>16161639.140568599</v>
      </c>
      <c r="D24" s="5">
        <v>14235014.4667932</v>
      </c>
      <c r="E24" s="5">
        <v>28036983.802674901</v>
      </c>
      <c r="F24" s="5">
        <v>24201599.943581302</v>
      </c>
      <c r="G24" s="5">
        <v>18880094.0634549</v>
      </c>
      <c r="H24" s="5">
        <v>22347781.349414401</v>
      </c>
      <c r="I24" s="5">
        <v>25302240.458469901</v>
      </c>
      <c r="J24" s="5">
        <v>17154900.283467699</v>
      </c>
      <c r="K24" s="5">
        <v>42580213.887617998</v>
      </c>
      <c r="L24" s="5">
        <v>24680632.414361801</v>
      </c>
      <c r="M24" s="5">
        <v>24686746.325345699</v>
      </c>
      <c r="N24">
        <f t="shared" si="0"/>
        <v>0.18087758168687385</v>
      </c>
    </row>
    <row r="25" spans="1:14" x14ac:dyDescent="0.45">
      <c r="A25" s="5" t="s">
        <v>130</v>
      </c>
      <c r="B25" s="5">
        <v>289211002.909944</v>
      </c>
      <c r="C25" s="5">
        <v>161818167.39720199</v>
      </c>
      <c r="D25" s="5">
        <v>269084515.561584</v>
      </c>
      <c r="E25" s="5">
        <v>320604770.44602603</v>
      </c>
      <c r="F25" s="5">
        <v>193259250.681059</v>
      </c>
      <c r="G25" s="5">
        <v>217034664.586027</v>
      </c>
      <c r="H25" s="5">
        <v>230256356.174236</v>
      </c>
      <c r="I25" s="5">
        <v>166925990.70138499</v>
      </c>
      <c r="J25" s="5">
        <v>198385421.95597401</v>
      </c>
      <c r="K25" s="5">
        <v>257649352.465716</v>
      </c>
      <c r="L25" s="5">
        <v>139864033.51817</v>
      </c>
      <c r="M25" s="5">
        <v>198328422.77181101</v>
      </c>
      <c r="N25">
        <f t="shared" si="0"/>
        <v>0.18355209787951787</v>
      </c>
    </row>
    <row r="26" spans="1:14" x14ac:dyDescent="0.45">
      <c r="A26" s="5" t="s">
        <v>172</v>
      </c>
      <c r="B26" s="5">
        <v>71199.115236043799</v>
      </c>
      <c r="C26" s="5">
        <v>114863.752933257</v>
      </c>
      <c r="D26" s="5">
        <v>106852.534515359</v>
      </c>
      <c r="E26" s="5">
        <v>134640.89021384</v>
      </c>
      <c r="F26" s="5">
        <v>75322.446207604502</v>
      </c>
      <c r="G26" s="5">
        <v>80152.019685948704</v>
      </c>
      <c r="H26" s="5">
        <v>95937.212382368496</v>
      </c>
      <c r="I26" s="5">
        <v>135194.50142292801</v>
      </c>
      <c r="J26" s="5">
        <v>116232.243205174</v>
      </c>
      <c r="K26" s="5">
        <v>149786.23031011201</v>
      </c>
      <c r="L26" s="5">
        <v>77715.450834706193</v>
      </c>
      <c r="M26" s="5">
        <v>139829.38039684299</v>
      </c>
      <c r="N26">
        <f t="shared" si="0"/>
        <v>0.18534204044883776</v>
      </c>
    </row>
    <row r="27" spans="1:14" x14ac:dyDescent="0.45">
      <c r="A27" s="5" t="s">
        <v>131</v>
      </c>
      <c r="B27" s="5">
        <v>65581165.644308597</v>
      </c>
      <c r="C27" s="5">
        <v>37276405.596277602</v>
      </c>
      <c r="D27" s="5">
        <v>15707398.7826955</v>
      </c>
      <c r="E27" s="5">
        <v>44527479.832337096</v>
      </c>
      <c r="F27" s="5">
        <v>57588550.953868203</v>
      </c>
      <c r="G27" s="5">
        <v>27493682.1232506</v>
      </c>
      <c r="H27" s="5">
        <v>28160108.267233498</v>
      </c>
      <c r="I27" s="5">
        <v>47757214.304227002</v>
      </c>
      <c r="J27" s="5">
        <v>51184107.229226001</v>
      </c>
      <c r="K27" s="5">
        <v>134054327.630017</v>
      </c>
      <c r="L27" s="5">
        <v>58267702.392232999</v>
      </c>
      <c r="M27" s="5">
        <v>69161171.503839701</v>
      </c>
      <c r="N27">
        <f t="shared" si="0"/>
        <v>0.19227584284339871</v>
      </c>
    </row>
    <row r="28" spans="1:14" x14ac:dyDescent="0.45">
      <c r="A28" s="5" t="s">
        <v>180</v>
      </c>
      <c r="B28" s="5">
        <v>53597778.075428203</v>
      </c>
      <c r="C28" s="5">
        <v>32324685.449632</v>
      </c>
      <c r="D28" s="5">
        <v>20551880.1795993</v>
      </c>
      <c r="E28" s="5">
        <v>10771112.269643299</v>
      </c>
      <c r="F28" s="5">
        <v>32165903.1264029</v>
      </c>
      <c r="G28" s="5">
        <v>24048508.2935232</v>
      </c>
      <c r="H28" s="5">
        <v>22148079.452338502</v>
      </c>
      <c r="I28" s="5">
        <v>30187503.6944477</v>
      </c>
      <c r="J28" s="5">
        <v>23594171.197986301</v>
      </c>
      <c r="K28" s="5">
        <v>20948221.545139201</v>
      </c>
      <c r="L28" s="5">
        <v>10716361.1090845</v>
      </c>
      <c r="M28" s="5">
        <v>9711580.8359680604</v>
      </c>
      <c r="N28">
        <f t="shared" si="0"/>
        <v>0.195784424506869</v>
      </c>
    </row>
    <row r="29" spans="1:14" x14ac:dyDescent="0.45">
      <c r="A29" s="5" t="s">
        <v>169</v>
      </c>
      <c r="B29" s="5">
        <v>3487859.7700316999</v>
      </c>
      <c r="C29" s="5">
        <v>2255160.8239771998</v>
      </c>
      <c r="D29" s="5">
        <v>4817092.80544795</v>
      </c>
      <c r="E29" s="5">
        <v>3265579.5830151401</v>
      </c>
      <c r="F29" s="5">
        <v>3597334.6452785102</v>
      </c>
      <c r="G29" s="5">
        <v>2870282.82301421</v>
      </c>
      <c r="H29" s="5">
        <v>3425462.2652374199</v>
      </c>
      <c r="I29" s="5">
        <v>2860801.83962835</v>
      </c>
      <c r="J29" s="5">
        <v>2784787.54625245</v>
      </c>
      <c r="K29" s="5">
        <v>5315951.1017591497</v>
      </c>
      <c r="L29" s="5">
        <v>5487756.3440915998</v>
      </c>
      <c r="M29" s="5">
        <v>5808272.3788140398</v>
      </c>
      <c r="N29">
        <f t="shared" si="0"/>
        <v>0.21033592064260923</v>
      </c>
    </row>
    <row r="30" spans="1:14" x14ac:dyDescent="0.45">
      <c r="A30" s="5" t="s">
        <v>34</v>
      </c>
      <c r="B30" s="5">
        <v>588195.34507617401</v>
      </c>
      <c r="C30" s="5">
        <v>71370.144779070397</v>
      </c>
      <c r="D30" s="5">
        <v>828193.12168767594</v>
      </c>
      <c r="E30" s="5">
        <v>762790.77432665299</v>
      </c>
      <c r="F30" s="5">
        <v>215270.422707313</v>
      </c>
      <c r="G30" s="5">
        <v>156468.283142653</v>
      </c>
      <c r="H30" s="5">
        <v>172506.85689853801</v>
      </c>
      <c r="I30" s="5">
        <v>41283.430103623403</v>
      </c>
      <c r="J30" s="5">
        <v>53711.822034664103</v>
      </c>
      <c r="K30" s="5">
        <v>425802.75931895297</v>
      </c>
      <c r="L30" s="5">
        <v>388605.684998682</v>
      </c>
      <c r="M30" s="5">
        <v>341241.27071397402</v>
      </c>
      <c r="N30">
        <f t="shared" si="0"/>
        <v>0.21669031231165689</v>
      </c>
    </row>
    <row r="31" spans="1:14" x14ac:dyDescent="0.45">
      <c r="A31" s="5" t="s">
        <v>229</v>
      </c>
      <c r="B31" s="5">
        <v>27690028.072859202</v>
      </c>
      <c r="C31" s="5">
        <v>16933761.8663381</v>
      </c>
      <c r="D31" s="5">
        <v>10135275.1156996</v>
      </c>
      <c r="E31" s="5">
        <v>6389347.9547006302</v>
      </c>
      <c r="F31" s="5">
        <v>15861760.5482889</v>
      </c>
      <c r="G31" s="5">
        <v>13490207.071194099</v>
      </c>
      <c r="H31" s="5">
        <v>12473508.088327199</v>
      </c>
      <c r="I31" s="5">
        <v>16856040.6110484</v>
      </c>
      <c r="J31" s="5">
        <v>12148785.4216187</v>
      </c>
      <c r="K31" s="5">
        <v>10997753.4917212</v>
      </c>
      <c r="L31" s="5">
        <v>6084076.0558717698</v>
      </c>
      <c r="M31" s="5">
        <v>4957175.6745500499</v>
      </c>
      <c r="N31">
        <f t="shared" si="0"/>
        <v>0.22513729005039787</v>
      </c>
    </row>
    <row r="32" spans="1:14" x14ac:dyDescent="0.45">
      <c r="A32" s="5" t="s">
        <v>35</v>
      </c>
      <c r="B32" s="5">
        <v>8371288.9457826903</v>
      </c>
      <c r="C32" s="5">
        <v>2495077.6958069401</v>
      </c>
      <c r="D32" s="5">
        <v>5014583.8022616804</v>
      </c>
      <c r="E32" s="5">
        <v>4273033.1918038502</v>
      </c>
      <c r="F32" s="5">
        <v>2147635.4116187301</v>
      </c>
      <c r="G32" s="5">
        <v>4098312.5044291802</v>
      </c>
      <c r="H32" s="5">
        <v>2286245.49379959</v>
      </c>
      <c r="I32" s="5">
        <v>1741749.97667357</v>
      </c>
      <c r="J32" s="5">
        <v>2349698.3708718098</v>
      </c>
      <c r="K32" s="5">
        <v>4070045.6744454699</v>
      </c>
      <c r="L32" s="5">
        <v>3126783.1044025999</v>
      </c>
      <c r="M32" s="5">
        <v>4947801.5417916803</v>
      </c>
      <c r="N32">
        <f t="shared" si="0"/>
        <v>0.2350001425616067</v>
      </c>
    </row>
    <row r="33" spans="1:14" x14ac:dyDescent="0.45">
      <c r="A33" s="5" t="s">
        <v>263</v>
      </c>
      <c r="B33" s="5">
        <v>187868887.996398</v>
      </c>
      <c r="C33" s="5">
        <v>83627193.820366994</v>
      </c>
      <c r="D33" s="5">
        <v>34273261.109415703</v>
      </c>
      <c r="E33" s="5">
        <v>99695813.603411198</v>
      </c>
      <c r="F33" s="5">
        <v>61975979.977967598</v>
      </c>
      <c r="G33" s="5">
        <v>109051659.460885</v>
      </c>
      <c r="H33" s="5">
        <v>95798955.4474608</v>
      </c>
      <c r="I33" s="5">
        <v>65787799.2192384</v>
      </c>
      <c r="J33" s="5">
        <v>32296149.633485101</v>
      </c>
      <c r="K33" s="5">
        <v>69098933.300029099</v>
      </c>
      <c r="L33" s="5">
        <v>79218422.204209596</v>
      </c>
      <c r="M33" s="5">
        <v>61079574.027583599</v>
      </c>
      <c r="N33">
        <f t="shared" si="0"/>
        <v>0.23930875560635384</v>
      </c>
    </row>
    <row r="34" spans="1:14" x14ac:dyDescent="0.45">
      <c r="A34" s="5" t="s">
        <v>48</v>
      </c>
      <c r="B34" s="5">
        <v>10396770.882031901</v>
      </c>
      <c r="C34" s="5">
        <v>7202149.86016877</v>
      </c>
      <c r="D34" s="5">
        <v>12922793.548991499</v>
      </c>
      <c r="E34" s="5">
        <v>9474491.9374588504</v>
      </c>
      <c r="F34" s="5">
        <v>6793071.8767575603</v>
      </c>
      <c r="G34" s="5">
        <v>8643415.5298001301</v>
      </c>
      <c r="H34" s="5">
        <v>6733572.4708976299</v>
      </c>
      <c r="I34" s="5">
        <v>14305436.368325099</v>
      </c>
      <c r="J34" s="5">
        <v>8381432.5265448904</v>
      </c>
      <c r="K34" s="5">
        <v>12774347.5191726</v>
      </c>
      <c r="L34" s="5">
        <v>11095036.696354801</v>
      </c>
      <c r="M34" s="5">
        <v>13766961.4104404</v>
      </c>
      <c r="N34">
        <f t="shared" si="0"/>
        <v>0.23976365551943024</v>
      </c>
    </row>
    <row r="35" spans="1:14" x14ac:dyDescent="0.45">
      <c r="A35" s="5" t="s">
        <v>81</v>
      </c>
      <c r="B35" s="5">
        <v>4542876.0341563299</v>
      </c>
      <c r="C35" s="5">
        <v>3820506.2203813498</v>
      </c>
      <c r="D35" s="5">
        <v>6394293.1921431003</v>
      </c>
      <c r="E35" s="5">
        <v>3727157.4686121801</v>
      </c>
      <c r="F35" s="5">
        <v>4409032.0807079803</v>
      </c>
      <c r="G35" s="5">
        <v>4212131.7327130698</v>
      </c>
      <c r="H35" s="5">
        <v>4161966.7308404199</v>
      </c>
      <c r="I35" s="5">
        <v>4790836.1642785296</v>
      </c>
      <c r="J35" s="5">
        <v>4211165.8533858601</v>
      </c>
      <c r="K35" s="5">
        <v>5358823.6847256999</v>
      </c>
      <c r="L35" s="5">
        <v>6585827.3698528903</v>
      </c>
      <c r="M35" s="5">
        <v>6285954.2567904899</v>
      </c>
      <c r="N35">
        <f t="shared" si="0"/>
        <v>0.24574257961107776</v>
      </c>
    </row>
    <row r="36" spans="1:14" x14ac:dyDescent="0.45">
      <c r="A36" s="5" t="s">
        <v>43</v>
      </c>
      <c r="B36" s="5">
        <v>2723678.8836769899</v>
      </c>
      <c r="C36" s="5">
        <v>1438963.0885403301</v>
      </c>
      <c r="D36" s="5">
        <v>2852992.3806431401</v>
      </c>
      <c r="E36" s="5">
        <v>3235075.94782724</v>
      </c>
      <c r="F36" s="5">
        <v>2402271.1887191902</v>
      </c>
      <c r="G36" s="5">
        <v>1843811.24779546</v>
      </c>
      <c r="H36" s="5">
        <v>1808995.44620924</v>
      </c>
      <c r="I36" s="5">
        <v>1926593.84979482</v>
      </c>
      <c r="J36" s="5">
        <v>1825428.8211078499</v>
      </c>
      <c r="K36" s="5">
        <v>983565.31108631205</v>
      </c>
      <c r="L36" s="5">
        <v>2969788.3358160998</v>
      </c>
      <c r="M36" s="5">
        <v>2247272.3708600099</v>
      </c>
      <c r="N36">
        <f t="shared" si="0"/>
        <v>0.25815882563550052</v>
      </c>
    </row>
    <row r="37" spans="1:14" x14ac:dyDescent="0.45">
      <c r="A37" s="5" t="s">
        <v>221</v>
      </c>
      <c r="B37" s="5">
        <v>3651269.6287447698</v>
      </c>
      <c r="C37" s="5">
        <v>3631179.6942676902</v>
      </c>
      <c r="D37" s="5">
        <v>2708516.02497544</v>
      </c>
      <c r="E37" s="5">
        <v>2940184.6414370402</v>
      </c>
      <c r="F37" s="5">
        <v>3029176.98695692</v>
      </c>
      <c r="G37" s="5">
        <v>3407825.0109143499</v>
      </c>
      <c r="H37" s="5">
        <v>3098236.2388451998</v>
      </c>
      <c r="I37" s="5">
        <v>3697399.8809776301</v>
      </c>
      <c r="J37" s="5">
        <v>3215752.4134178502</v>
      </c>
      <c r="K37" s="5">
        <v>2390971.1482998799</v>
      </c>
      <c r="L37" s="5">
        <v>2710428.5769768902</v>
      </c>
      <c r="M37" s="5">
        <v>2428760.3996653701</v>
      </c>
      <c r="N37">
        <f t="shared" si="0"/>
        <v>0.27174896888450223</v>
      </c>
    </row>
    <row r="38" spans="1:14" x14ac:dyDescent="0.45">
      <c r="A38" s="5" t="s">
        <v>276</v>
      </c>
      <c r="B38" s="5">
        <v>22997993.8499569</v>
      </c>
      <c r="C38" s="5">
        <v>106238388.506237</v>
      </c>
      <c r="D38" s="5">
        <v>528990212.19806498</v>
      </c>
      <c r="E38" s="5">
        <v>331114307.37273502</v>
      </c>
      <c r="F38" s="5">
        <v>101928363.207715</v>
      </c>
      <c r="G38" s="5">
        <v>317901302.123698</v>
      </c>
      <c r="H38" s="5">
        <v>217405766.55799201</v>
      </c>
      <c r="I38" s="5">
        <v>378057564.92404401</v>
      </c>
      <c r="J38" s="5">
        <v>108683258.96886501</v>
      </c>
      <c r="K38" s="5">
        <v>361342979.687594</v>
      </c>
      <c r="L38" s="5">
        <v>532340088.61013198</v>
      </c>
      <c r="M38" s="5">
        <v>526651851.781313</v>
      </c>
      <c r="N38">
        <f t="shared" si="0"/>
        <v>0.27721441125835022</v>
      </c>
    </row>
    <row r="39" spans="1:14" x14ac:dyDescent="0.45">
      <c r="A39" s="5" t="s">
        <v>44</v>
      </c>
      <c r="B39" s="5">
        <v>336933021.866804</v>
      </c>
      <c r="C39" s="5">
        <v>309347964.348216</v>
      </c>
      <c r="D39" s="5">
        <v>196747186.83077201</v>
      </c>
      <c r="E39" s="5">
        <v>302497530.28409898</v>
      </c>
      <c r="F39" s="5">
        <v>371316293.11931098</v>
      </c>
      <c r="G39" s="5">
        <v>264172126.44101599</v>
      </c>
      <c r="H39" s="5">
        <v>321050378.94456702</v>
      </c>
      <c r="I39" s="5">
        <v>198208942.37427601</v>
      </c>
      <c r="J39" s="5">
        <v>246012708.99620101</v>
      </c>
      <c r="K39" s="5">
        <v>235477099.71112201</v>
      </c>
      <c r="L39" s="5">
        <v>271071413.68091202</v>
      </c>
      <c r="M39" s="5">
        <v>299818637.26012701</v>
      </c>
      <c r="N39">
        <f t="shared" si="0"/>
        <v>0.28363149080864208</v>
      </c>
    </row>
    <row r="40" spans="1:14" x14ac:dyDescent="0.45">
      <c r="A40" s="5" t="s">
        <v>133</v>
      </c>
      <c r="B40" s="5">
        <v>728849714.08654797</v>
      </c>
      <c r="C40" s="5">
        <v>302835047.39004397</v>
      </c>
      <c r="D40" s="5">
        <v>571431790.66222703</v>
      </c>
      <c r="E40" s="5">
        <v>544778748.62114203</v>
      </c>
      <c r="F40" s="5">
        <v>152090366.49853399</v>
      </c>
      <c r="G40" s="5">
        <v>163998640.748184</v>
      </c>
      <c r="H40" s="5">
        <v>383058421.33846402</v>
      </c>
      <c r="I40" s="5">
        <v>117394142.403855</v>
      </c>
      <c r="J40" s="5">
        <v>161268364.23258501</v>
      </c>
      <c r="K40" s="5">
        <v>430666997.00560099</v>
      </c>
      <c r="L40" s="5">
        <v>422103700.37435299</v>
      </c>
      <c r="M40" s="5">
        <v>185891189.10332999</v>
      </c>
      <c r="N40">
        <f t="shared" si="0"/>
        <v>0.28882457369783621</v>
      </c>
    </row>
    <row r="41" spans="1:14" x14ac:dyDescent="0.45">
      <c r="A41" s="5" t="s">
        <v>231</v>
      </c>
      <c r="B41" s="5">
        <v>4109365.1606847299</v>
      </c>
      <c r="C41" s="5">
        <v>2211102.8421173799</v>
      </c>
      <c r="D41" s="5">
        <v>8823973.5840617195</v>
      </c>
      <c r="E41" s="5">
        <v>7711288.4721275596</v>
      </c>
      <c r="F41" s="5">
        <v>3149489.6647252599</v>
      </c>
      <c r="G41" s="5">
        <v>3715307.7214775598</v>
      </c>
      <c r="H41" s="5">
        <v>2525004.7320506498</v>
      </c>
      <c r="I41" s="5">
        <v>2547848.4158140998</v>
      </c>
      <c r="J41" s="5">
        <v>2611886.2425466198</v>
      </c>
      <c r="K41" s="5">
        <v>6653189.30055511</v>
      </c>
      <c r="L41" s="5">
        <v>4948070.9925320204</v>
      </c>
      <c r="M41" s="5">
        <v>1669448.26246091</v>
      </c>
      <c r="N41">
        <f t="shared" si="0"/>
        <v>0.30024650465536168</v>
      </c>
    </row>
    <row r="42" spans="1:14" x14ac:dyDescent="0.45">
      <c r="A42" s="5" t="s">
        <v>112</v>
      </c>
      <c r="B42" s="5">
        <v>186131.00667664601</v>
      </c>
      <c r="C42" s="5">
        <v>1220629.81509243</v>
      </c>
      <c r="D42" s="5">
        <v>2688717.0256252498</v>
      </c>
      <c r="E42" s="5">
        <v>5647396.6615953799</v>
      </c>
      <c r="F42" s="5">
        <v>50493.896064292501</v>
      </c>
      <c r="G42" s="5">
        <v>1990786.0198349</v>
      </c>
      <c r="H42" s="5">
        <v>897704.23481509998</v>
      </c>
      <c r="I42" s="5">
        <v>1028410.54633039</v>
      </c>
      <c r="J42" s="5">
        <v>132917.82838501901</v>
      </c>
      <c r="K42" s="5">
        <v>12079372.255744999</v>
      </c>
      <c r="L42" s="5">
        <v>4945431.11876971</v>
      </c>
      <c r="M42" s="5">
        <v>5758441.8016017498</v>
      </c>
      <c r="N42">
        <f t="shared" si="0"/>
        <v>0.30959816265555101</v>
      </c>
    </row>
    <row r="43" spans="1:14" x14ac:dyDescent="0.45">
      <c r="A43" s="5" t="s">
        <v>283</v>
      </c>
      <c r="B43" s="5">
        <v>4530324.2593870796</v>
      </c>
      <c r="C43" s="5">
        <v>2033011.82984377</v>
      </c>
      <c r="D43" s="5">
        <v>18916373.422487799</v>
      </c>
      <c r="E43" s="5">
        <v>6601829.4103698498</v>
      </c>
      <c r="F43" s="5">
        <v>2430897.3366907798</v>
      </c>
      <c r="G43" s="5">
        <v>2653638.8232271201</v>
      </c>
      <c r="H43" s="5">
        <v>4804079.3379095998</v>
      </c>
      <c r="I43" s="5">
        <v>1644249.1548196899</v>
      </c>
      <c r="J43" s="5">
        <v>1918804.5234459999</v>
      </c>
      <c r="K43" s="5">
        <v>5766001.5662475601</v>
      </c>
      <c r="L43" s="5">
        <v>2144367.4307159199</v>
      </c>
      <c r="M43" s="5">
        <v>3497326.4084806899</v>
      </c>
      <c r="N43">
        <f t="shared" si="0"/>
        <v>0.3128939575122982</v>
      </c>
    </row>
    <row r="44" spans="1:14" x14ac:dyDescent="0.45">
      <c r="A44" s="5" t="s">
        <v>78</v>
      </c>
      <c r="B44" s="5">
        <v>1710275.7449076599</v>
      </c>
      <c r="C44" s="5">
        <v>381891.20177159301</v>
      </c>
      <c r="D44" s="5">
        <v>2309473.38809975</v>
      </c>
      <c r="E44" s="5">
        <v>1422320.7289718499</v>
      </c>
      <c r="F44" s="5">
        <v>536941.03868450003</v>
      </c>
      <c r="G44" s="5">
        <v>6852480.4016961996</v>
      </c>
      <c r="H44" s="5">
        <v>403268.27984949201</v>
      </c>
      <c r="I44" s="5">
        <v>480653.96612965898</v>
      </c>
      <c r="J44" s="5">
        <v>566419.38420323504</v>
      </c>
      <c r="K44" s="5">
        <v>2131576.835641</v>
      </c>
      <c r="L44" s="5">
        <v>1364306.7712857199</v>
      </c>
      <c r="M44" s="5">
        <v>1794660.4123968501</v>
      </c>
      <c r="N44">
        <f t="shared" si="0"/>
        <v>0.31606087789407011</v>
      </c>
    </row>
    <row r="45" spans="1:14" x14ac:dyDescent="0.45">
      <c r="A45" s="5" t="s">
        <v>262</v>
      </c>
      <c r="B45" s="5">
        <v>3861849.5009361901</v>
      </c>
      <c r="C45" s="5">
        <v>3477554.4437826499</v>
      </c>
      <c r="D45" s="5">
        <v>4164900.79337407</v>
      </c>
      <c r="E45" s="5">
        <v>5024961.3446335103</v>
      </c>
      <c r="F45" s="5">
        <v>5185735.8803285202</v>
      </c>
      <c r="G45" s="5">
        <v>3505544.0204511299</v>
      </c>
      <c r="H45" s="5">
        <v>4131564.2766576</v>
      </c>
      <c r="I45" s="5">
        <v>3956132.3493301701</v>
      </c>
      <c r="J45" s="5">
        <v>3790841.6320599099</v>
      </c>
      <c r="K45" s="5">
        <v>6307839.4019354498</v>
      </c>
      <c r="L45" s="5">
        <v>5248216.8230021996</v>
      </c>
      <c r="M45" s="5">
        <v>4925253.9407841899</v>
      </c>
      <c r="N45">
        <f t="shared" si="0"/>
        <v>0.31713117034405619</v>
      </c>
    </row>
    <row r="46" spans="1:14" x14ac:dyDescent="0.45">
      <c r="A46" s="5" t="s">
        <v>114</v>
      </c>
      <c r="B46" s="5">
        <v>40964705.646025799</v>
      </c>
      <c r="C46" s="5">
        <v>21055619.8750281</v>
      </c>
      <c r="D46" s="5">
        <v>36698654.714452498</v>
      </c>
      <c r="E46" s="5">
        <v>56225588.171006702</v>
      </c>
      <c r="F46" s="5">
        <v>28190487.023901999</v>
      </c>
      <c r="G46" s="5">
        <v>19632455.8116979</v>
      </c>
      <c r="H46" s="5">
        <v>28871199.533607099</v>
      </c>
      <c r="I46" s="5">
        <v>28770274.814324901</v>
      </c>
      <c r="J46" s="5">
        <v>24889459.5040082</v>
      </c>
      <c r="K46" s="5">
        <v>78749937.619570807</v>
      </c>
      <c r="L46" s="5">
        <v>41754355.7116661</v>
      </c>
      <c r="M46" s="5">
        <v>66595255.568577297</v>
      </c>
      <c r="N46">
        <f t="shared" si="0"/>
        <v>0.32658661652650389</v>
      </c>
    </row>
    <row r="47" spans="1:14" x14ac:dyDescent="0.45">
      <c r="A47" s="5" t="s">
        <v>281</v>
      </c>
      <c r="B47" s="5">
        <v>1666872.7678510901</v>
      </c>
      <c r="C47" s="5">
        <v>1908672.14526422</v>
      </c>
      <c r="D47" s="5">
        <v>4999469.49500388</v>
      </c>
      <c r="E47" s="5">
        <v>1602833.6491328799</v>
      </c>
      <c r="F47" s="5">
        <v>1348209.34654052</v>
      </c>
      <c r="G47" s="5">
        <v>1575103.4680072099</v>
      </c>
      <c r="H47" s="5">
        <v>1456316.7122374</v>
      </c>
      <c r="I47" s="5">
        <v>2208210.2279298799</v>
      </c>
      <c r="J47" s="5">
        <v>2920073.56470535</v>
      </c>
      <c r="K47" s="5">
        <v>2162478.7010429199</v>
      </c>
      <c r="L47" s="5">
        <v>5746541.3746272204</v>
      </c>
      <c r="M47" s="5">
        <v>3789192.2991855899</v>
      </c>
      <c r="N47">
        <f t="shared" si="0"/>
        <v>0.33222089738796212</v>
      </c>
    </row>
    <row r="48" spans="1:14" x14ac:dyDescent="0.45">
      <c r="A48" s="5" t="s">
        <v>241</v>
      </c>
      <c r="B48" s="5">
        <v>19247.157041901999</v>
      </c>
      <c r="C48" s="5">
        <v>400735.75056510698</v>
      </c>
      <c r="D48" s="5">
        <v>39204.049311062503</v>
      </c>
      <c r="E48" s="5">
        <v>23041.647748372299</v>
      </c>
      <c r="F48" s="5">
        <v>348539.42947990901</v>
      </c>
      <c r="G48" s="5">
        <v>344496.59086614603</v>
      </c>
      <c r="H48" s="5">
        <v>318234.28920056898</v>
      </c>
      <c r="I48" s="5">
        <v>1741926.0996737599</v>
      </c>
      <c r="J48" s="5">
        <v>781668.25279081904</v>
      </c>
      <c r="K48" s="5">
        <v>19005.765534527702</v>
      </c>
      <c r="L48" s="5">
        <v>19062.3940078534</v>
      </c>
      <c r="M48" s="5">
        <v>18869.6436151083</v>
      </c>
      <c r="N48">
        <f t="shared" si="0"/>
        <v>0.34502363470728847</v>
      </c>
    </row>
    <row r="49" spans="1:15" x14ac:dyDescent="0.45">
      <c r="A49" s="5" t="s">
        <v>271</v>
      </c>
      <c r="B49" s="5">
        <v>6148652.6789783603</v>
      </c>
      <c r="C49" s="5">
        <v>7486166.1902624303</v>
      </c>
      <c r="D49" s="5">
        <v>3110454.5651998199</v>
      </c>
      <c r="E49" s="5">
        <v>11313579.841588501</v>
      </c>
      <c r="F49" s="5">
        <v>5905945.5882523302</v>
      </c>
      <c r="G49" s="5">
        <v>6364661.6338241696</v>
      </c>
      <c r="H49" s="5">
        <v>5604655.9371106997</v>
      </c>
      <c r="I49" s="5">
        <v>40562864.4942827</v>
      </c>
      <c r="J49" s="5">
        <v>6560109.7132745804</v>
      </c>
      <c r="K49" s="5">
        <v>8256892.5108735599</v>
      </c>
      <c r="L49" s="5">
        <v>6679730.5024901396</v>
      </c>
      <c r="M49" s="5">
        <v>6769044.5729273995</v>
      </c>
      <c r="N49">
        <f t="shared" si="0"/>
        <v>0.34597689073825966</v>
      </c>
    </row>
    <row r="50" spans="1:15" x14ac:dyDescent="0.45">
      <c r="A50" s="5" t="s">
        <v>265</v>
      </c>
      <c r="B50" s="5">
        <v>3945998.5303850998</v>
      </c>
      <c r="C50" s="5">
        <v>1811612.43457974</v>
      </c>
      <c r="D50" s="5">
        <v>2278050.8456818098</v>
      </c>
      <c r="E50" s="5">
        <v>1051446.60398089</v>
      </c>
      <c r="F50" s="5">
        <v>1755048.7181975101</v>
      </c>
      <c r="G50" s="5">
        <v>972900.83927872102</v>
      </c>
      <c r="H50" s="5">
        <v>5821775.3245438896</v>
      </c>
      <c r="I50" s="5">
        <v>851734.36692244303</v>
      </c>
      <c r="J50" s="5">
        <v>1439637.6466582001</v>
      </c>
      <c r="K50" s="5">
        <v>1334567.99647465</v>
      </c>
      <c r="L50" s="5">
        <v>9291029.8798980694</v>
      </c>
      <c r="M50" s="5">
        <v>1681884.1268905301</v>
      </c>
      <c r="N50">
        <f t="shared" si="0"/>
        <v>0.34939081214254619</v>
      </c>
    </row>
    <row r="51" spans="1:15" x14ac:dyDescent="0.45">
      <c r="A51" s="5" t="s">
        <v>32</v>
      </c>
      <c r="B51" s="5">
        <v>6945649.0422506304</v>
      </c>
      <c r="C51" s="5">
        <v>4297551.77348522</v>
      </c>
      <c r="D51" s="5">
        <v>3162619.3360498501</v>
      </c>
      <c r="E51" s="5">
        <v>8250820.6664532796</v>
      </c>
      <c r="F51" s="5">
        <v>6007652.2157618897</v>
      </c>
      <c r="G51" s="5">
        <v>3725300.0864480701</v>
      </c>
      <c r="H51" s="5">
        <v>3618657.5184054002</v>
      </c>
      <c r="I51" s="5">
        <v>2307523.4558699499</v>
      </c>
      <c r="J51" s="5">
        <v>4276793.6044338103</v>
      </c>
      <c r="K51" s="5">
        <v>16367578.1246485</v>
      </c>
      <c r="L51" s="5">
        <v>7718745.7338965302</v>
      </c>
      <c r="M51" s="5">
        <v>12250867.6135372</v>
      </c>
      <c r="N51">
        <f t="shared" si="0"/>
        <v>0.34945411793966796</v>
      </c>
      <c r="O51" s="13"/>
    </row>
    <row r="52" spans="1:15" x14ac:dyDescent="0.45">
      <c r="A52" s="5" t="s">
        <v>111</v>
      </c>
      <c r="B52" s="5">
        <v>68308119.192688793</v>
      </c>
      <c r="C52" s="5">
        <v>77760585.015671402</v>
      </c>
      <c r="D52" s="5">
        <v>139608889.90803301</v>
      </c>
      <c r="E52" s="5">
        <v>45882952.6465545</v>
      </c>
      <c r="F52" s="5">
        <v>79084026.928838506</v>
      </c>
      <c r="G52" s="5">
        <v>53172597.894793801</v>
      </c>
      <c r="H52" s="5">
        <v>90739364.669414699</v>
      </c>
      <c r="I52" s="5">
        <v>51575449.622960798</v>
      </c>
      <c r="J52" s="5">
        <v>81274091.073591605</v>
      </c>
      <c r="K52" s="5">
        <v>74457550.252174407</v>
      </c>
      <c r="L52" s="5">
        <v>175351392.969428</v>
      </c>
      <c r="M52" s="5">
        <v>114067917.92987999</v>
      </c>
      <c r="N52">
        <f t="shared" si="0"/>
        <v>0.37564457628028936</v>
      </c>
    </row>
    <row r="53" spans="1:15" x14ac:dyDescent="0.45">
      <c r="A53" s="5" t="s">
        <v>33</v>
      </c>
      <c r="B53" s="5">
        <v>81860.640702230696</v>
      </c>
      <c r="C53" s="5">
        <v>484792.97308886697</v>
      </c>
      <c r="D53" s="5">
        <v>308756.02415917499</v>
      </c>
      <c r="E53" s="5">
        <v>114207.792471272</v>
      </c>
      <c r="F53" s="5">
        <v>585237.82918688306</v>
      </c>
      <c r="G53" s="5">
        <v>434577.59532338299</v>
      </c>
      <c r="H53" s="5">
        <v>339474.34646076697</v>
      </c>
      <c r="I53" s="5">
        <v>222209.18365625001</v>
      </c>
      <c r="J53" s="5">
        <v>406172.69360945001</v>
      </c>
      <c r="K53" s="5">
        <v>166441.683452439</v>
      </c>
      <c r="L53" s="5">
        <v>198644.369650307</v>
      </c>
      <c r="M53" s="5">
        <v>175533.08641408299</v>
      </c>
      <c r="N53">
        <f t="shared" si="0"/>
        <v>0.38805878467642607</v>
      </c>
    </row>
    <row r="54" spans="1:15" x14ac:dyDescent="0.45">
      <c r="A54" s="5" t="s">
        <v>96</v>
      </c>
      <c r="B54" s="5">
        <v>236134.975710564</v>
      </c>
      <c r="C54" s="5">
        <v>1073568.7622138499</v>
      </c>
      <c r="D54" s="5">
        <v>504918.88692440599</v>
      </c>
      <c r="E54" s="5">
        <v>203218.89949073899</v>
      </c>
      <c r="F54" s="5">
        <v>836665.16647109203</v>
      </c>
      <c r="G54" s="5">
        <v>917916.163525949</v>
      </c>
      <c r="H54" s="5">
        <v>917078.81160829205</v>
      </c>
      <c r="I54" s="5">
        <v>4497961.3036856297</v>
      </c>
      <c r="J54" s="5">
        <v>1398274.36863982</v>
      </c>
      <c r="K54" s="5">
        <v>251999.05101042101</v>
      </c>
      <c r="L54" s="5">
        <v>247201.13967355201</v>
      </c>
      <c r="M54" s="5">
        <v>168226.794218572</v>
      </c>
      <c r="N54">
        <f t="shared" si="0"/>
        <v>0.39534108869936224</v>
      </c>
    </row>
    <row r="55" spans="1:15" x14ac:dyDescent="0.45">
      <c r="A55" s="5" t="s">
        <v>161</v>
      </c>
      <c r="B55" s="5">
        <v>220715443.74184299</v>
      </c>
      <c r="C55" s="5">
        <v>132665291.945647</v>
      </c>
      <c r="D55" s="5">
        <v>211900252.82348299</v>
      </c>
      <c r="E55" s="5">
        <v>213571931.03876901</v>
      </c>
      <c r="F55" s="5">
        <v>163675091.76964101</v>
      </c>
      <c r="G55" s="5">
        <v>95657943.837781295</v>
      </c>
      <c r="H55" s="5">
        <v>164788435.954759</v>
      </c>
      <c r="I55" s="5">
        <v>143006593.091791</v>
      </c>
      <c r="J55" s="5">
        <v>156613926.25115499</v>
      </c>
      <c r="K55" s="5">
        <v>251159754.796846</v>
      </c>
      <c r="L55" s="5">
        <v>222216734.11638999</v>
      </c>
      <c r="M55" s="5">
        <v>255826144.13556299</v>
      </c>
      <c r="N55">
        <f t="shared" si="0"/>
        <v>0.39711601531948948</v>
      </c>
    </row>
    <row r="56" spans="1:15" x14ac:dyDescent="0.45">
      <c r="A56" s="5" t="s">
        <v>259</v>
      </c>
      <c r="B56" s="5">
        <v>43560298.101821303</v>
      </c>
      <c r="C56" s="5">
        <v>21658834.818319499</v>
      </c>
      <c r="D56" s="5">
        <v>49966099.946239702</v>
      </c>
      <c r="E56" s="5">
        <v>23561455.582049899</v>
      </c>
      <c r="F56" s="5">
        <v>34655437.778078601</v>
      </c>
      <c r="G56" s="5">
        <v>23443195.516431201</v>
      </c>
      <c r="H56" s="5">
        <v>30207296.3291706</v>
      </c>
      <c r="I56" s="5">
        <v>17007782.853417199</v>
      </c>
      <c r="J56" s="5">
        <v>21527990.493044201</v>
      </c>
      <c r="K56" s="5">
        <v>34403179.155827403</v>
      </c>
      <c r="L56" s="5">
        <v>37368672.335487597</v>
      </c>
      <c r="M56" s="5">
        <v>25796173.1006032</v>
      </c>
      <c r="N56">
        <f t="shared" si="0"/>
        <v>0.40140167373482982</v>
      </c>
    </row>
    <row r="57" spans="1:15" x14ac:dyDescent="0.45">
      <c r="A57" s="5" t="s">
        <v>79</v>
      </c>
      <c r="B57" s="5">
        <v>4744320.3175332798</v>
      </c>
      <c r="C57" s="5">
        <v>1687448.07423841</v>
      </c>
      <c r="D57" s="5">
        <v>5641660.1367660798</v>
      </c>
      <c r="E57" s="5">
        <v>1821843.5897780899</v>
      </c>
      <c r="F57" s="5">
        <v>3924387.5329189701</v>
      </c>
      <c r="G57" s="5">
        <v>1279267.4703027101</v>
      </c>
      <c r="H57" s="5">
        <v>2740695.1951623098</v>
      </c>
      <c r="I57" s="5">
        <v>967438.96716481005</v>
      </c>
      <c r="J57" s="5">
        <v>3246346.3894853899</v>
      </c>
      <c r="K57" s="5">
        <v>6222437.1983026098</v>
      </c>
      <c r="L57" s="5">
        <v>7450722.9947276497</v>
      </c>
      <c r="M57" s="5">
        <v>4925433.2598334299</v>
      </c>
      <c r="N57">
        <f t="shared" si="0"/>
        <v>0.40238856722219063</v>
      </c>
      <c r="O57" s="13"/>
    </row>
    <row r="58" spans="1:15" x14ac:dyDescent="0.45">
      <c r="A58" s="5" t="s">
        <v>163</v>
      </c>
      <c r="B58" s="5">
        <v>9917188.1295177191</v>
      </c>
      <c r="C58" s="5">
        <v>12824546.5860488</v>
      </c>
      <c r="D58" s="5">
        <v>9346597.1032935493</v>
      </c>
      <c r="E58" s="5">
        <v>8284078.7526123002</v>
      </c>
      <c r="F58" s="5">
        <v>9469473.5842496492</v>
      </c>
      <c r="G58" s="5">
        <v>11431974.093123401</v>
      </c>
      <c r="H58" s="5">
        <v>9076231.7821778804</v>
      </c>
      <c r="I58" s="5">
        <v>19336305.941470899</v>
      </c>
      <c r="J58" s="5">
        <v>10220195.3252248</v>
      </c>
      <c r="K58" s="5">
        <v>10596410.955585999</v>
      </c>
      <c r="L58" s="5">
        <v>10792076.529445199</v>
      </c>
      <c r="M58" s="5">
        <v>10001884.782348599</v>
      </c>
      <c r="N58">
        <f t="shared" si="0"/>
        <v>0.4085517980229656</v>
      </c>
    </row>
    <row r="59" spans="1:15" x14ac:dyDescent="0.45">
      <c r="A59" s="5" t="s">
        <v>214</v>
      </c>
      <c r="B59" s="5">
        <v>1949464.8673481201</v>
      </c>
      <c r="C59" s="5">
        <v>10397092.397585601</v>
      </c>
      <c r="D59" s="5">
        <v>1958016.7354071401</v>
      </c>
      <c r="E59" s="5">
        <v>2553961.1767880898</v>
      </c>
      <c r="F59" s="5">
        <v>8210654.0070916899</v>
      </c>
      <c r="G59" s="5">
        <v>11327580.3736692</v>
      </c>
      <c r="H59" s="5">
        <v>6437076.0626502903</v>
      </c>
      <c r="I59" s="5">
        <v>36589964.716819599</v>
      </c>
      <c r="J59" s="5">
        <v>14990144.972322499</v>
      </c>
      <c r="K59" s="5">
        <v>2285492.7542409599</v>
      </c>
      <c r="L59" s="5">
        <v>2698502.0681465901</v>
      </c>
      <c r="M59" s="5">
        <v>2747546.9392216299</v>
      </c>
      <c r="N59">
        <f t="shared" si="0"/>
        <v>0.4170263573065206</v>
      </c>
    </row>
    <row r="60" spans="1:15" x14ac:dyDescent="0.45">
      <c r="A60" s="5" t="s">
        <v>187</v>
      </c>
      <c r="B60" s="5">
        <v>1494975.5657683299</v>
      </c>
      <c r="C60" s="5">
        <v>2831694.8000417501</v>
      </c>
      <c r="D60" s="5">
        <v>636980.10241451894</v>
      </c>
      <c r="E60" s="5">
        <v>359575.591996376</v>
      </c>
      <c r="F60" s="5">
        <v>2505661.5851984001</v>
      </c>
      <c r="G60" s="5">
        <v>1846819.7423624699</v>
      </c>
      <c r="H60" s="5">
        <v>1384499.19867429</v>
      </c>
      <c r="I60" s="5">
        <v>1911327.0075135201</v>
      </c>
      <c r="J60" s="5">
        <v>2532865.0070905602</v>
      </c>
      <c r="K60" s="5">
        <v>481652.31943668099</v>
      </c>
      <c r="L60" s="5">
        <v>307657.03684536897</v>
      </c>
      <c r="M60" s="5">
        <v>301217.80290497601</v>
      </c>
      <c r="N60">
        <f t="shared" si="0"/>
        <v>0.42848909559391246</v>
      </c>
    </row>
    <row r="61" spans="1:15" x14ac:dyDescent="0.45">
      <c r="A61" s="5" t="s">
        <v>202</v>
      </c>
      <c r="B61" s="5">
        <v>17946128.1013324</v>
      </c>
      <c r="C61" s="5">
        <v>8741122.1053736992</v>
      </c>
      <c r="D61" s="5">
        <v>16095272.2009202</v>
      </c>
      <c r="E61" s="5">
        <v>15892224.108408401</v>
      </c>
      <c r="F61" s="5">
        <v>10621328.4526507</v>
      </c>
      <c r="G61" s="5">
        <v>10177991.4878616</v>
      </c>
      <c r="H61" s="5">
        <v>10006744.203588299</v>
      </c>
      <c r="I61" s="5">
        <v>8727187.2030931804</v>
      </c>
      <c r="J61" s="5">
        <v>10014177.4972053</v>
      </c>
      <c r="K61" s="5">
        <v>23336315.889441501</v>
      </c>
      <c r="L61" s="5">
        <v>20185904.833461601</v>
      </c>
      <c r="M61" s="5">
        <v>23462951.307333801</v>
      </c>
      <c r="N61">
        <f t="shared" si="0"/>
        <v>0.42985272442842104</v>
      </c>
      <c r="O61" s="13"/>
    </row>
    <row r="62" spans="1:15" x14ac:dyDescent="0.45">
      <c r="A62" s="5" t="s">
        <v>264</v>
      </c>
      <c r="B62" s="5">
        <v>2994512.6464521098</v>
      </c>
      <c r="C62" s="5">
        <v>1765972.4259649301</v>
      </c>
      <c r="D62" s="5">
        <v>2389010.2357455301</v>
      </c>
      <c r="E62" s="5">
        <v>4601216.0113728102</v>
      </c>
      <c r="F62" s="5">
        <v>1848661.7820644199</v>
      </c>
      <c r="G62" s="5">
        <v>1835232.76987278</v>
      </c>
      <c r="H62" s="5">
        <v>1823658.0359418399</v>
      </c>
      <c r="I62" s="5">
        <v>2072057.2489356999</v>
      </c>
      <c r="J62" s="5">
        <v>1763615.5915532301</v>
      </c>
      <c r="K62" s="5">
        <v>2293071.9673824101</v>
      </c>
      <c r="L62" s="5">
        <v>3140433.54503563</v>
      </c>
      <c r="M62" s="5">
        <v>1984062.3286694</v>
      </c>
      <c r="N62">
        <f t="shared" si="0"/>
        <v>0.44512448126664073</v>
      </c>
    </row>
    <row r="63" spans="1:15" x14ac:dyDescent="0.45">
      <c r="A63" s="5" t="s">
        <v>186</v>
      </c>
      <c r="B63" s="5">
        <v>2238758.7927333498</v>
      </c>
      <c r="C63" s="5">
        <v>6393237.6118251504</v>
      </c>
      <c r="D63" s="5">
        <v>2432967.94485112</v>
      </c>
      <c r="E63" s="5">
        <v>2893056.28715256</v>
      </c>
      <c r="F63" s="5">
        <v>3899414.6412637401</v>
      </c>
      <c r="G63" s="5">
        <v>4258022.0020733196</v>
      </c>
      <c r="H63" s="5">
        <v>5924951.0879765302</v>
      </c>
      <c r="I63" s="5">
        <v>4425620.2672782</v>
      </c>
      <c r="J63" s="5">
        <v>6584516.0901146298</v>
      </c>
      <c r="K63" s="5">
        <v>2767033.8123818901</v>
      </c>
      <c r="L63" s="5">
        <v>3021814.5981959202</v>
      </c>
      <c r="M63" s="5">
        <v>3649914.82476521</v>
      </c>
      <c r="N63">
        <f t="shared" si="0"/>
        <v>0.44793363002952324</v>
      </c>
    </row>
    <row r="64" spans="1:15" x14ac:dyDescent="0.45">
      <c r="A64" s="5" t="s">
        <v>46</v>
      </c>
      <c r="B64" s="5">
        <v>18184556.7377025</v>
      </c>
      <c r="C64" s="5">
        <v>41511184.243469201</v>
      </c>
      <c r="D64" s="5">
        <v>29292108.618039899</v>
      </c>
      <c r="E64" s="5">
        <v>15838081.5387426</v>
      </c>
      <c r="F64" s="5">
        <v>32602319.424564499</v>
      </c>
      <c r="G64" s="5">
        <v>38981164.323812</v>
      </c>
      <c r="H64" s="5">
        <v>31220782.449486099</v>
      </c>
      <c r="I64" s="5">
        <v>130240074.505715</v>
      </c>
      <c r="J64" s="5">
        <v>38209457.648532502</v>
      </c>
      <c r="K64" s="5">
        <v>21161018.791444201</v>
      </c>
      <c r="L64" s="5">
        <v>21055166.860827599</v>
      </c>
      <c r="M64" s="5">
        <v>19675267.140840098</v>
      </c>
      <c r="N64">
        <f t="shared" si="0"/>
        <v>0.45122957664543706</v>
      </c>
    </row>
    <row r="65" spans="1:14" x14ac:dyDescent="0.45">
      <c r="A65" s="5" t="s">
        <v>227</v>
      </c>
      <c r="B65" s="5">
        <v>2300874.2486147201</v>
      </c>
      <c r="C65" s="5">
        <v>422320.70790425199</v>
      </c>
      <c r="D65" s="5">
        <v>659282.75455927197</v>
      </c>
      <c r="E65" s="5">
        <v>2121367.54736521</v>
      </c>
      <c r="F65" s="5">
        <v>716611.85039562103</v>
      </c>
      <c r="G65" s="5">
        <v>450620.86712543201</v>
      </c>
      <c r="H65" s="5">
        <v>1256149.5277002</v>
      </c>
      <c r="I65" s="5">
        <v>608811.608032146</v>
      </c>
      <c r="J65" s="5">
        <v>397036.99388666498</v>
      </c>
      <c r="K65" s="5">
        <v>1201073.38500631</v>
      </c>
      <c r="L65" s="5">
        <v>852195.11509964301</v>
      </c>
      <c r="M65" s="5">
        <v>571493.53091564402</v>
      </c>
      <c r="N65">
        <f t="shared" si="0"/>
        <v>0.45180381123910518</v>
      </c>
    </row>
    <row r="66" spans="1:14" x14ac:dyDescent="0.45">
      <c r="A66" s="5" t="s">
        <v>255</v>
      </c>
      <c r="B66" s="5">
        <v>9828483.8981065992</v>
      </c>
      <c r="C66" s="5">
        <v>7359740.9422214096</v>
      </c>
      <c r="D66" s="5">
        <v>4221465.16052189</v>
      </c>
      <c r="E66" s="5">
        <v>15458235.420628499</v>
      </c>
      <c r="F66" s="5">
        <v>12366215.524513001</v>
      </c>
      <c r="G66" s="5">
        <v>7925948.7581976801</v>
      </c>
      <c r="H66" s="5">
        <v>6886130.50091305</v>
      </c>
      <c r="I66" s="5">
        <v>9189021.26100697</v>
      </c>
      <c r="J66" s="5">
        <v>7887571.32460442</v>
      </c>
      <c r="K66" s="5">
        <v>18695214.5931498</v>
      </c>
      <c r="L66" s="5">
        <v>12457428.5929677</v>
      </c>
      <c r="M66" s="5">
        <v>13363988.374250799</v>
      </c>
      <c r="N66">
        <f t="shared" ref="N66:N129" si="2">TTEST(B66:G66,H66:M66,2,2)</f>
        <v>0.45225344383937316</v>
      </c>
    </row>
    <row r="67" spans="1:14" x14ac:dyDescent="0.45">
      <c r="A67" s="5" t="s">
        <v>47</v>
      </c>
      <c r="B67" s="5">
        <v>1593218884.0028999</v>
      </c>
      <c r="C67" s="5">
        <v>1242057174.47929</v>
      </c>
      <c r="D67" s="5">
        <v>1634098728.4286001</v>
      </c>
      <c r="E67" s="5">
        <v>1429271944.1635001</v>
      </c>
      <c r="F67" s="5">
        <v>1286081433.5190899</v>
      </c>
      <c r="G67" s="5">
        <v>1202268718.87571</v>
      </c>
      <c r="H67" s="5">
        <v>1273977926.5840399</v>
      </c>
      <c r="I67" s="5">
        <v>2381964661.3039298</v>
      </c>
      <c r="J67" s="5">
        <v>1276705399.1677401</v>
      </c>
      <c r="K67" s="5">
        <v>1598281439.8636</v>
      </c>
      <c r="L67" s="5">
        <v>1327372331.12538</v>
      </c>
      <c r="M67" s="5">
        <v>1413664482.51896</v>
      </c>
      <c r="N67">
        <f t="shared" si="2"/>
        <v>0.45562359303687705</v>
      </c>
    </row>
    <row r="68" spans="1:14" x14ac:dyDescent="0.45">
      <c r="A68" s="5" t="s">
        <v>37</v>
      </c>
      <c r="B68" s="5">
        <v>9066988.56998224</v>
      </c>
      <c r="C68" s="5">
        <v>7935861.3590930495</v>
      </c>
      <c r="D68" s="5">
        <v>1686511.8251928999</v>
      </c>
      <c r="E68" s="5">
        <v>2107939.1428582799</v>
      </c>
      <c r="F68" s="5">
        <v>6007016.9359133001</v>
      </c>
      <c r="G68" s="5">
        <v>2878363.23952233</v>
      </c>
      <c r="H68" s="5">
        <v>8626736.6069870796</v>
      </c>
      <c r="I68" s="5">
        <v>2035491.82755749</v>
      </c>
      <c r="J68" s="5">
        <v>6688408.8693191102</v>
      </c>
      <c r="K68" s="5">
        <v>1740476.4636534599</v>
      </c>
      <c r="L68" s="5">
        <v>744576.08233260305</v>
      </c>
      <c r="M68" s="5">
        <v>1232235.8980936201</v>
      </c>
      <c r="N68">
        <f t="shared" si="2"/>
        <v>0.45934712420235946</v>
      </c>
    </row>
    <row r="69" spans="1:14" x14ac:dyDescent="0.45">
      <c r="A69" s="5" t="s">
        <v>109</v>
      </c>
      <c r="B69" s="5">
        <v>1258493.66833094</v>
      </c>
      <c r="C69" s="5">
        <v>1252137.6527549699</v>
      </c>
      <c r="D69" s="5">
        <v>3276977.9638392101</v>
      </c>
      <c r="E69" s="5">
        <v>6015208.7231189404</v>
      </c>
      <c r="F69" s="5">
        <v>942582.14022623503</v>
      </c>
      <c r="G69" s="5">
        <v>748622.54825542297</v>
      </c>
      <c r="H69" s="5">
        <v>993009.59320717095</v>
      </c>
      <c r="I69" s="5">
        <v>654435.74112667504</v>
      </c>
      <c r="J69" s="5">
        <v>1275858.29636354</v>
      </c>
      <c r="K69" s="5">
        <v>2215237.79991072</v>
      </c>
      <c r="L69" s="5">
        <v>1244547.27254732</v>
      </c>
      <c r="M69" s="5">
        <v>2920492.3684112299</v>
      </c>
      <c r="N69">
        <f t="shared" si="2"/>
        <v>0.45993804756865009</v>
      </c>
    </row>
    <row r="70" spans="1:14" x14ac:dyDescent="0.45">
      <c r="A70" s="5" t="s">
        <v>247</v>
      </c>
      <c r="B70" s="5">
        <v>25596827.398058198</v>
      </c>
      <c r="C70" s="5">
        <v>9479580.16280628</v>
      </c>
      <c r="D70" s="5">
        <v>39575883.188619502</v>
      </c>
      <c r="E70" s="5">
        <v>33503242.479057401</v>
      </c>
      <c r="F70" s="5">
        <v>10578203.513395101</v>
      </c>
      <c r="G70" s="5">
        <v>22839624.707920801</v>
      </c>
      <c r="H70" s="5">
        <v>13010830.8718218</v>
      </c>
      <c r="I70" s="5">
        <v>10235954.161263799</v>
      </c>
      <c r="J70" s="5">
        <v>20550721.857825801</v>
      </c>
      <c r="K70" s="5">
        <v>19440423.287118599</v>
      </c>
      <c r="L70" s="5">
        <v>29933544.322803799</v>
      </c>
      <c r="M70" s="5">
        <v>22356767.592527099</v>
      </c>
      <c r="N70">
        <f t="shared" si="2"/>
        <v>0.46342135769677417</v>
      </c>
    </row>
    <row r="71" spans="1:14" x14ac:dyDescent="0.45">
      <c r="A71" s="5" t="s">
        <v>103</v>
      </c>
      <c r="B71" s="5">
        <v>2439588.4009658401</v>
      </c>
      <c r="C71" s="5">
        <v>11987727.5485128</v>
      </c>
      <c r="D71" s="5">
        <v>3295840.0518171298</v>
      </c>
      <c r="E71" s="5">
        <v>2792716.1963607301</v>
      </c>
      <c r="F71" s="5">
        <v>8911719.2305753697</v>
      </c>
      <c r="G71" s="5">
        <v>11356416.496233501</v>
      </c>
      <c r="H71" s="5">
        <v>8658670.4578468408</v>
      </c>
      <c r="I71" s="5">
        <v>37901899.565770097</v>
      </c>
      <c r="J71" s="5">
        <v>11434806.653107099</v>
      </c>
      <c r="K71" s="5">
        <v>3234486.7946104398</v>
      </c>
      <c r="L71" s="5">
        <v>2785737.8410954801</v>
      </c>
      <c r="M71" s="5">
        <v>2612749.5673200102</v>
      </c>
      <c r="N71">
        <f t="shared" si="2"/>
        <v>0.47851305072829176</v>
      </c>
    </row>
    <row r="72" spans="1:14" x14ac:dyDescent="0.45">
      <c r="A72" s="5" t="s">
        <v>135</v>
      </c>
      <c r="B72" s="5">
        <v>1165814.8898198199</v>
      </c>
      <c r="C72" s="5">
        <v>2077027.1083557301</v>
      </c>
      <c r="D72" s="5">
        <v>464632.42153297702</v>
      </c>
      <c r="E72" s="5">
        <v>2968972.9281404</v>
      </c>
      <c r="F72" s="5">
        <v>1777098.9044560799</v>
      </c>
      <c r="G72" s="5">
        <v>1179083.5166515601</v>
      </c>
      <c r="H72" s="5">
        <v>1993962.09842049</v>
      </c>
      <c r="I72" s="5">
        <v>1781421.70770846</v>
      </c>
      <c r="J72" s="5">
        <v>1609343.8303930999</v>
      </c>
      <c r="K72" s="5">
        <v>821061.76806449995</v>
      </c>
      <c r="L72" s="5">
        <v>643976.54194396897</v>
      </c>
      <c r="M72" s="5">
        <v>943536.44586416404</v>
      </c>
      <c r="N72">
        <f t="shared" si="2"/>
        <v>0.48585358601550821</v>
      </c>
    </row>
    <row r="73" spans="1:14" x14ac:dyDescent="0.45">
      <c r="A73" s="5" t="s">
        <v>280</v>
      </c>
      <c r="B73" s="5">
        <v>10983186.982388699</v>
      </c>
      <c r="C73" s="5">
        <v>20137680.7225978</v>
      </c>
      <c r="D73" s="5">
        <v>12727487.4796257</v>
      </c>
      <c r="E73" s="5">
        <v>12553183.773947001</v>
      </c>
      <c r="F73" s="5">
        <v>23026498.752966601</v>
      </c>
      <c r="G73" s="5">
        <v>20810629.079034202</v>
      </c>
      <c r="H73" s="5">
        <v>21130300.705812201</v>
      </c>
      <c r="I73" s="5">
        <v>19550233.279885601</v>
      </c>
      <c r="J73" s="5">
        <v>19652509.9329454</v>
      </c>
      <c r="K73" s="5">
        <v>10746173.102684399</v>
      </c>
      <c r="L73" s="5">
        <v>5835091.8253037799</v>
      </c>
      <c r="M73" s="5">
        <v>8543878.0234872699</v>
      </c>
      <c r="N73">
        <f t="shared" si="2"/>
        <v>0.49010321078630958</v>
      </c>
    </row>
    <row r="74" spans="1:14" x14ac:dyDescent="0.45">
      <c r="A74" s="5" t="s">
        <v>256</v>
      </c>
      <c r="B74" s="5">
        <v>6901061.0214074701</v>
      </c>
      <c r="C74" s="5">
        <v>3335073.9435701198</v>
      </c>
      <c r="D74" s="5">
        <v>12881434.877404699</v>
      </c>
      <c r="E74" s="5">
        <v>852728.909255423</v>
      </c>
      <c r="F74" s="5">
        <v>3521261.7701698099</v>
      </c>
      <c r="G74" s="5">
        <v>2570210.6961544799</v>
      </c>
      <c r="H74" s="5">
        <v>2755627.7715200898</v>
      </c>
      <c r="I74" s="5">
        <v>992188.04405872501</v>
      </c>
      <c r="J74" s="5">
        <v>190530.00289573401</v>
      </c>
      <c r="K74" s="5">
        <v>4663530.7860215101</v>
      </c>
      <c r="L74" s="5">
        <v>7356507.7736356296</v>
      </c>
      <c r="M74" s="5">
        <v>5322730.8944420498</v>
      </c>
      <c r="N74">
        <f t="shared" si="2"/>
        <v>0.49989063018843582</v>
      </c>
    </row>
    <row r="75" spans="1:14" x14ac:dyDescent="0.45">
      <c r="A75" s="5" t="s">
        <v>140</v>
      </c>
      <c r="B75" s="5">
        <v>10314770.095716</v>
      </c>
      <c r="C75" s="5">
        <v>10067130.887041699</v>
      </c>
      <c r="D75" s="5">
        <v>20001322.081905901</v>
      </c>
      <c r="E75" s="5">
        <v>12198777.287311999</v>
      </c>
      <c r="F75" s="5">
        <v>5761782.3099570395</v>
      </c>
      <c r="G75" s="5">
        <v>8215799.0088317702</v>
      </c>
      <c r="H75" s="5">
        <v>8722990.5665440504</v>
      </c>
      <c r="I75" s="5">
        <v>9344652.6044966895</v>
      </c>
      <c r="J75" s="5">
        <v>6487937.6195085002</v>
      </c>
      <c r="K75" s="5">
        <v>10176881.167556601</v>
      </c>
      <c r="L75" s="5">
        <v>12044338.7946428</v>
      </c>
      <c r="M75" s="5">
        <v>10831849.833564401</v>
      </c>
      <c r="N75">
        <f t="shared" si="2"/>
        <v>0.50145730074257133</v>
      </c>
    </row>
    <row r="76" spans="1:14" x14ac:dyDescent="0.45">
      <c r="A76" s="5" t="s">
        <v>99</v>
      </c>
      <c r="B76" s="5">
        <v>23262963.494684301</v>
      </c>
      <c r="C76" s="5">
        <v>106537486.803082</v>
      </c>
      <c r="D76" s="5">
        <v>15952541.5037216</v>
      </c>
      <c r="E76" s="5">
        <v>22609341.788054701</v>
      </c>
      <c r="F76" s="5">
        <v>93427011.421246603</v>
      </c>
      <c r="G76" s="5">
        <v>58706188.969110698</v>
      </c>
      <c r="H76" s="5">
        <v>57928357.338516504</v>
      </c>
      <c r="I76" s="5">
        <v>41561169.117755704</v>
      </c>
      <c r="J76" s="5">
        <v>90027235.368651003</v>
      </c>
      <c r="K76" s="5">
        <v>12823946.257266499</v>
      </c>
      <c r="L76" s="5">
        <v>15138603.9768485</v>
      </c>
      <c r="M76" s="5">
        <v>18771783.4879415</v>
      </c>
      <c r="N76">
        <f t="shared" si="2"/>
        <v>0.50457591101845134</v>
      </c>
    </row>
    <row r="77" spans="1:14" x14ac:dyDescent="0.45">
      <c r="A77" s="5" t="s">
        <v>40</v>
      </c>
      <c r="B77" s="5">
        <v>6572158.6999750501</v>
      </c>
      <c r="C77" s="5">
        <v>6902077.0224695401</v>
      </c>
      <c r="D77" s="5">
        <v>9474746.1562538501</v>
      </c>
      <c r="E77" s="5">
        <v>6625980.56803736</v>
      </c>
      <c r="F77" s="5">
        <v>5187401.9782805704</v>
      </c>
      <c r="G77" s="5">
        <v>4383399.7118189698</v>
      </c>
      <c r="H77" s="5">
        <v>5496057.8417557599</v>
      </c>
      <c r="I77" s="5">
        <v>4273159.3647580603</v>
      </c>
      <c r="J77" s="5">
        <v>3789270.0659437398</v>
      </c>
      <c r="K77" s="5">
        <v>7487949.50340172</v>
      </c>
      <c r="L77" s="5">
        <v>6454682.1352036595</v>
      </c>
      <c r="M77" s="5">
        <v>7679993.1523905499</v>
      </c>
      <c r="N77">
        <f t="shared" si="2"/>
        <v>0.51308674892105299</v>
      </c>
    </row>
    <row r="78" spans="1:14" x14ac:dyDescent="0.45">
      <c r="A78" s="5" t="s">
        <v>55</v>
      </c>
      <c r="B78" s="5">
        <v>131955.261365452</v>
      </c>
      <c r="C78" s="5">
        <v>51161.139219548699</v>
      </c>
      <c r="D78" s="5">
        <v>2231117.83914608</v>
      </c>
      <c r="E78" s="5">
        <v>2072668.82410171</v>
      </c>
      <c r="F78" s="5">
        <v>57199.702933036097</v>
      </c>
      <c r="G78" s="5">
        <v>46515.658017920403</v>
      </c>
      <c r="H78" s="5">
        <v>55374.349363362897</v>
      </c>
      <c r="I78" s="5">
        <v>58749.479737689697</v>
      </c>
      <c r="J78" s="5">
        <v>55322.437815688798</v>
      </c>
      <c r="K78" s="5">
        <v>861717.94476961403</v>
      </c>
      <c r="L78" s="5">
        <v>522259.34876613098</v>
      </c>
      <c r="M78" s="5">
        <v>1104137.77771931</v>
      </c>
      <c r="N78">
        <f t="shared" si="2"/>
        <v>0.51556465941645269</v>
      </c>
    </row>
    <row r="79" spans="1:14" x14ac:dyDescent="0.45">
      <c r="A79" s="5" t="s">
        <v>108</v>
      </c>
      <c r="B79" s="5">
        <v>1524326.5751654899</v>
      </c>
      <c r="C79" s="5">
        <v>1038910.99995626</v>
      </c>
      <c r="D79" s="5">
        <v>3023062.37784694</v>
      </c>
      <c r="E79" s="5">
        <v>1805750.7301586999</v>
      </c>
      <c r="F79" s="5">
        <v>1042069.64783883</v>
      </c>
      <c r="G79" s="5">
        <v>1282576.7249548</v>
      </c>
      <c r="H79" s="5">
        <v>1323103.41393136</v>
      </c>
      <c r="I79" s="5">
        <v>1429461.54775482</v>
      </c>
      <c r="J79" s="5">
        <v>2159170.6060834001</v>
      </c>
      <c r="K79" s="5">
        <v>1771078.0426741501</v>
      </c>
      <c r="L79" s="5">
        <v>1983318.45911921</v>
      </c>
      <c r="M79" s="5">
        <v>2455443.1088982802</v>
      </c>
      <c r="N79">
        <f t="shared" si="2"/>
        <v>0.52213399889494383</v>
      </c>
    </row>
    <row r="80" spans="1:14" x14ac:dyDescent="0.45">
      <c r="A80" s="5" t="s">
        <v>121</v>
      </c>
      <c r="B80" s="5">
        <v>678591.77189151396</v>
      </c>
      <c r="C80" s="5">
        <v>12507446.276856</v>
      </c>
      <c r="D80" s="5">
        <v>595904.46874484397</v>
      </c>
      <c r="E80" s="5">
        <v>178670.74263478001</v>
      </c>
      <c r="F80" s="5">
        <v>9392022.2122452892</v>
      </c>
      <c r="G80" s="5">
        <v>12230688.363851501</v>
      </c>
      <c r="H80" s="5">
        <v>9126395.25605716</v>
      </c>
      <c r="I80" s="5">
        <v>33155771.101477802</v>
      </c>
      <c r="J80" s="5">
        <v>13746563.1883367</v>
      </c>
      <c r="K80" s="5">
        <v>400264.93126163201</v>
      </c>
      <c r="L80" s="5">
        <v>1138056.3568612</v>
      </c>
      <c r="M80" s="5">
        <v>475724.67537777597</v>
      </c>
      <c r="N80">
        <f t="shared" si="2"/>
        <v>0.53051862546377104</v>
      </c>
    </row>
    <row r="81" spans="1:15" x14ac:dyDescent="0.45">
      <c r="A81" s="5" t="s">
        <v>230</v>
      </c>
      <c r="B81" s="5">
        <v>28105102.517822299</v>
      </c>
      <c r="C81" s="5">
        <v>9491790.2109314594</v>
      </c>
      <c r="D81" s="5">
        <v>38821019.092050098</v>
      </c>
      <c r="E81" s="5">
        <v>39556241.745631903</v>
      </c>
      <c r="F81" s="5">
        <v>19657726.8373079</v>
      </c>
      <c r="G81" s="5">
        <v>10252199.9894436</v>
      </c>
      <c r="H81" s="5">
        <v>5976013.9588438002</v>
      </c>
      <c r="I81" s="5">
        <v>11217464.827686099</v>
      </c>
      <c r="J81" s="5">
        <v>15839337.5105759</v>
      </c>
      <c r="K81" s="5">
        <v>54462388.557534598</v>
      </c>
      <c r="L81" s="5">
        <v>48246148.673130803</v>
      </c>
      <c r="M81" s="5">
        <v>50732259.445961699</v>
      </c>
      <c r="N81">
        <f t="shared" si="2"/>
        <v>0.53827938288477317</v>
      </c>
    </row>
    <row r="82" spans="1:15" x14ac:dyDescent="0.45">
      <c r="A82" s="5" t="s">
        <v>138</v>
      </c>
      <c r="B82" s="5">
        <v>25029309.627934799</v>
      </c>
      <c r="C82" s="5">
        <v>14600416.535595199</v>
      </c>
      <c r="D82" s="5">
        <v>34903477.5385499</v>
      </c>
      <c r="E82" s="5">
        <v>27106913.658468001</v>
      </c>
      <c r="F82" s="5">
        <v>16013847.739060501</v>
      </c>
      <c r="G82" s="5">
        <v>11986785.313859399</v>
      </c>
      <c r="H82" s="5">
        <v>21795775.280508999</v>
      </c>
      <c r="I82" s="5">
        <v>15396318.6090737</v>
      </c>
      <c r="J82" s="5">
        <v>15285575.054563999</v>
      </c>
      <c r="K82" s="5">
        <v>26475257.5799792</v>
      </c>
      <c r="L82" s="5">
        <v>37843887.894529097</v>
      </c>
      <c r="M82" s="5">
        <v>32709336.193421699</v>
      </c>
      <c r="N82">
        <f t="shared" si="2"/>
        <v>0.53956441000279665</v>
      </c>
    </row>
    <row r="83" spans="1:15" x14ac:dyDescent="0.45">
      <c r="A83" s="5" t="s">
        <v>105</v>
      </c>
      <c r="B83" s="5">
        <v>3374000.0400924799</v>
      </c>
      <c r="C83" s="5">
        <v>1940510.7192824299</v>
      </c>
      <c r="D83" s="5">
        <v>3328812.4244259899</v>
      </c>
      <c r="E83" s="5">
        <v>2919301.2558911098</v>
      </c>
      <c r="F83" s="5">
        <v>3185051.67643434</v>
      </c>
      <c r="G83" s="5">
        <v>2145055.27867084</v>
      </c>
      <c r="H83" s="5">
        <v>3145099.7391774398</v>
      </c>
      <c r="I83" s="5">
        <v>2357581.4642011798</v>
      </c>
      <c r="J83" s="5">
        <v>1712553.86059207</v>
      </c>
      <c r="K83" s="5">
        <v>3463418.8473185999</v>
      </c>
      <c r="L83" s="5">
        <v>4145437.9390522898</v>
      </c>
      <c r="M83" s="5">
        <v>3769864.7487012199</v>
      </c>
      <c r="N83">
        <f t="shared" si="2"/>
        <v>0.54325025405224903</v>
      </c>
    </row>
    <row r="84" spans="1:15" x14ac:dyDescent="0.45">
      <c r="A84" s="5" t="s">
        <v>173</v>
      </c>
      <c r="B84" s="5">
        <v>666099.22272508498</v>
      </c>
      <c r="C84" s="5">
        <v>2968605.5570318499</v>
      </c>
      <c r="D84" s="5">
        <v>4605255.4751530001</v>
      </c>
      <c r="E84" s="5">
        <v>1145366.23185368</v>
      </c>
      <c r="F84" s="5">
        <v>1417304.42201969</v>
      </c>
      <c r="G84" s="5">
        <v>1156524.58562969</v>
      </c>
      <c r="H84" s="5">
        <v>2190809.8390928102</v>
      </c>
      <c r="I84" s="5">
        <v>3930062.77998133</v>
      </c>
      <c r="J84" s="5">
        <v>2137066.1632931302</v>
      </c>
      <c r="K84" s="5">
        <v>112434.158358421</v>
      </c>
      <c r="L84" s="5">
        <v>116352.518488373</v>
      </c>
      <c r="M84" s="5">
        <v>146717.23771720601</v>
      </c>
      <c r="N84">
        <f t="shared" si="2"/>
        <v>0.54702873442201039</v>
      </c>
    </row>
    <row r="85" spans="1:15" x14ac:dyDescent="0.45">
      <c r="A85" s="5" t="s">
        <v>238</v>
      </c>
      <c r="B85" s="5">
        <v>18011963.644699302</v>
      </c>
      <c r="C85" s="5">
        <v>10038092.5541877</v>
      </c>
      <c r="D85" s="5">
        <v>16781627.421070602</v>
      </c>
      <c r="E85" s="5">
        <v>22845989.839586101</v>
      </c>
      <c r="F85" s="5">
        <v>12189751.194324899</v>
      </c>
      <c r="G85" s="5">
        <v>10517292.8730138</v>
      </c>
      <c r="H85" s="5">
        <v>12777366.065457899</v>
      </c>
      <c r="I85" s="5">
        <v>6721549.7472818298</v>
      </c>
      <c r="J85" s="5">
        <v>10752679.873773299</v>
      </c>
      <c r="K85" s="5">
        <v>16186051.3427455</v>
      </c>
      <c r="L85" s="5">
        <v>17705280.123856001</v>
      </c>
      <c r="M85" s="5">
        <v>16641382.0193682</v>
      </c>
      <c r="N85">
        <f t="shared" si="2"/>
        <v>0.56348503391324656</v>
      </c>
    </row>
    <row r="86" spans="1:15" x14ac:dyDescent="0.45">
      <c r="A86" s="5" t="s">
        <v>95</v>
      </c>
      <c r="B86" s="5">
        <v>1803168.1588349801</v>
      </c>
      <c r="C86" s="5">
        <v>1245965.0224493099</v>
      </c>
      <c r="D86" s="5">
        <v>7925939.6521946704</v>
      </c>
      <c r="E86" s="5">
        <v>2429120.0664660698</v>
      </c>
      <c r="F86" s="5">
        <v>1604107.68511635</v>
      </c>
      <c r="G86" s="5">
        <v>958023.10157748498</v>
      </c>
      <c r="H86" s="5">
        <v>2601968.7547226502</v>
      </c>
      <c r="I86" s="5">
        <v>643994.30642449099</v>
      </c>
      <c r="J86" s="5">
        <v>975180.424985772</v>
      </c>
      <c r="K86" s="5">
        <v>2639823.2989232098</v>
      </c>
      <c r="L86" s="5">
        <v>2359785.3585920599</v>
      </c>
      <c r="M86" s="5">
        <v>2743103.73939058</v>
      </c>
      <c r="N86">
        <f t="shared" si="2"/>
        <v>0.57084024749325746</v>
      </c>
    </row>
    <row r="87" spans="1:15" x14ac:dyDescent="0.45">
      <c r="A87" s="5" t="s">
        <v>119</v>
      </c>
      <c r="B87" s="5">
        <v>6098464.3851672299</v>
      </c>
      <c r="C87" s="5">
        <v>4381012.4035424199</v>
      </c>
      <c r="D87" s="5">
        <v>4995780.66061028</v>
      </c>
      <c r="E87" s="5">
        <v>4629566.1138549196</v>
      </c>
      <c r="F87" s="5">
        <v>3470187.2596872901</v>
      </c>
      <c r="G87" s="5">
        <v>4443450.7637321502</v>
      </c>
      <c r="H87" s="5">
        <v>6035605.3293178398</v>
      </c>
      <c r="I87" s="5">
        <v>4780871.9713445799</v>
      </c>
      <c r="J87" s="5">
        <v>3279679.1773840399</v>
      </c>
      <c r="K87" s="5">
        <v>5124592.1686454304</v>
      </c>
      <c r="L87" s="5">
        <v>6067021.3784708697</v>
      </c>
      <c r="M87" s="5">
        <v>4658283.1945848595</v>
      </c>
      <c r="N87">
        <f t="shared" si="2"/>
        <v>0.57203933491010717</v>
      </c>
    </row>
    <row r="88" spans="1:15" x14ac:dyDescent="0.45">
      <c r="A88" s="5" t="s">
        <v>125</v>
      </c>
      <c r="B88" s="5">
        <v>61932726.315492101</v>
      </c>
      <c r="C88" s="5">
        <v>37053907.206524901</v>
      </c>
      <c r="D88" s="5">
        <v>42676480.564847499</v>
      </c>
      <c r="E88" s="5">
        <v>49876573.806706399</v>
      </c>
      <c r="F88" s="5">
        <v>41478188.630417302</v>
      </c>
      <c r="G88" s="5">
        <v>29894632.071466599</v>
      </c>
      <c r="H88" s="5">
        <v>30944906.768442001</v>
      </c>
      <c r="I88" s="5">
        <v>28271028.560650501</v>
      </c>
      <c r="J88" s="5">
        <v>36392651.525591299</v>
      </c>
      <c r="K88" s="5">
        <v>80330229.435383797</v>
      </c>
      <c r="L88" s="5">
        <v>59632318.838303603</v>
      </c>
      <c r="M88" s="5">
        <v>60183559.280982397</v>
      </c>
      <c r="N88">
        <f t="shared" si="2"/>
        <v>0.57980584863671258</v>
      </c>
      <c r="O88" s="13"/>
    </row>
    <row r="89" spans="1:15" x14ac:dyDescent="0.45">
      <c r="A89" s="5" t="s">
        <v>220</v>
      </c>
      <c r="B89" s="5">
        <v>7888658.9174887799</v>
      </c>
      <c r="C89" s="5">
        <v>4651090.6794912601</v>
      </c>
      <c r="D89" s="5">
        <v>6051477.4282878302</v>
      </c>
      <c r="E89" s="5">
        <v>6661907.7536846101</v>
      </c>
      <c r="F89" s="5">
        <v>7467324.99577762</v>
      </c>
      <c r="G89" s="5">
        <v>4766340.4937455496</v>
      </c>
      <c r="H89" s="5">
        <v>5950321.5041553499</v>
      </c>
      <c r="I89" s="5">
        <v>3047888.6544946898</v>
      </c>
      <c r="J89" s="5">
        <v>5975357.4757580403</v>
      </c>
      <c r="K89" s="5">
        <v>10821035.2099822</v>
      </c>
      <c r="L89" s="5">
        <v>7165066.74672997</v>
      </c>
      <c r="M89" s="5">
        <v>8659222.8961731605</v>
      </c>
      <c r="N89">
        <f t="shared" si="2"/>
        <v>0.58322949485389519</v>
      </c>
    </row>
    <row r="90" spans="1:15" x14ac:dyDescent="0.45">
      <c r="A90" s="5" t="s">
        <v>116</v>
      </c>
      <c r="B90" s="5">
        <v>4266218.8276147498</v>
      </c>
      <c r="C90" s="5">
        <v>166352937.673868</v>
      </c>
      <c r="D90" s="5">
        <v>1261783.69532978</v>
      </c>
      <c r="E90" s="5">
        <v>258072865.24090499</v>
      </c>
      <c r="F90" s="5">
        <v>166638805.91397801</v>
      </c>
      <c r="G90" s="5">
        <v>172415767.84891999</v>
      </c>
      <c r="H90" s="5">
        <v>195789016.7579</v>
      </c>
      <c r="I90" s="5">
        <v>136352394.85571101</v>
      </c>
      <c r="J90" s="5">
        <v>67759735.678975895</v>
      </c>
      <c r="K90" s="5">
        <v>394163694.63128901</v>
      </c>
      <c r="L90" s="5">
        <v>10683382.2901405</v>
      </c>
      <c r="M90" s="5">
        <v>195979717.27969</v>
      </c>
      <c r="N90">
        <f t="shared" si="2"/>
        <v>0.58656217073932559</v>
      </c>
    </row>
    <row r="91" spans="1:15" x14ac:dyDescent="0.45">
      <c r="A91" s="5" t="s">
        <v>164</v>
      </c>
      <c r="B91" s="5">
        <v>47109940.799685501</v>
      </c>
      <c r="C91" s="5">
        <v>39539898.135522</v>
      </c>
      <c r="D91" s="5">
        <v>92958778.176270097</v>
      </c>
      <c r="E91" s="5">
        <v>74296463.979290307</v>
      </c>
      <c r="F91" s="5">
        <v>36201489.4282673</v>
      </c>
      <c r="G91" s="5">
        <v>53403345.164208703</v>
      </c>
      <c r="H91" s="5">
        <v>40828645.688396603</v>
      </c>
      <c r="I91" s="5">
        <v>45367849.713527702</v>
      </c>
      <c r="J91" s="5">
        <v>50896217.2158866</v>
      </c>
      <c r="K91" s="5">
        <v>79279954.962174505</v>
      </c>
      <c r="L91" s="5">
        <v>78316408.853836</v>
      </c>
      <c r="M91" s="5">
        <v>90358199.205562606</v>
      </c>
      <c r="N91">
        <f t="shared" si="2"/>
        <v>0.58955656071481743</v>
      </c>
    </row>
    <row r="92" spans="1:15" x14ac:dyDescent="0.45">
      <c r="A92" s="5" t="s">
        <v>170</v>
      </c>
      <c r="B92" s="5">
        <v>178536.46986989101</v>
      </c>
      <c r="C92" s="5">
        <v>311392.31132085301</v>
      </c>
      <c r="D92" s="5">
        <v>83816.298552999593</v>
      </c>
      <c r="E92" s="5">
        <v>39397.657074360803</v>
      </c>
      <c r="F92" s="5">
        <v>354722.57007744099</v>
      </c>
      <c r="G92" s="5">
        <v>214284.73636812001</v>
      </c>
      <c r="H92" s="5">
        <v>184820.58074499801</v>
      </c>
      <c r="I92" s="5">
        <v>293295.56461655098</v>
      </c>
      <c r="J92" s="5">
        <v>363601.85838073102</v>
      </c>
      <c r="K92" s="5">
        <v>11057.1003776006</v>
      </c>
      <c r="L92" s="5">
        <v>31460.482113372502</v>
      </c>
      <c r="M92" s="5">
        <v>37779.394529996898</v>
      </c>
      <c r="N92">
        <f t="shared" si="2"/>
        <v>0.59735126455120302</v>
      </c>
    </row>
    <row r="93" spans="1:15" x14ac:dyDescent="0.45">
      <c r="A93" s="5" t="s">
        <v>275</v>
      </c>
      <c r="B93" s="5">
        <v>4756139.9572647698</v>
      </c>
      <c r="C93" s="5">
        <v>4718631.8605755996</v>
      </c>
      <c r="D93" s="5">
        <v>11669786.082141099</v>
      </c>
      <c r="E93" s="5">
        <v>6171363.5354035096</v>
      </c>
      <c r="F93" s="5">
        <v>6749290.9389384398</v>
      </c>
      <c r="G93" s="5">
        <v>3830222.52430525</v>
      </c>
      <c r="H93" s="5">
        <v>4788549.6917871404</v>
      </c>
      <c r="I93" s="5">
        <v>4393738.1532424903</v>
      </c>
      <c r="J93" s="5">
        <v>3788996.3435573699</v>
      </c>
      <c r="K93" s="5">
        <v>7487981.6607117001</v>
      </c>
      <c r="L93" s="5">
        <v>6196593.3439950701</v>
      </c>
      <c r="M93" s="5">
        <v>7084705.6810711101</v>
      </c>
      <c r="N93">
        <f t="shared" si="2"/>
        <v>0.60883837783921524</v>
      </c>
    </row>
    <row r="94" spans="1:15" x14ac:dyDescent="0.45">
      <c r="A94" s="5" t="s">
        <v>235</v>
      </c>
      <c r="B94" s="5">
        <v>5673329.0567261297</v>
      </c>
      <c r="C94" s="5">
        <v>23565958.289538398</v>
      </c>
      <c r="D94" s="5">
        <v>2472009.5852136901</v>
      </c>
      <c r="E94" s="5">
        <v>1450042.94573272</v>
      </c>
      <c r="F94" s="5">
        <v>19201970.5023387</v>
      </c>
      <c r="G94" s="5">
        <v>10400551.724388501</v>
      </c>
      <c r="H94" s="5">
        <v>10152241.425989401</v>
      </c>
      <c r="I94" s="5">
        <v>8631156.5540173091</v>
      </c>
      <c r="J94" s="5">
        <v>24152343.5613885</v>
      </c>
      <c r="K94" s="5">
        <v>593777.52967873402</v>
      </c>
      <c r="L94" s="5">
        <v>1813221.6059017901</v>
      </c>
      <c r="M94" s="5">
        <v>787990.06884359301</v>
      </c>
      <c r="N94">
        <f t="shared" si="2"/>
        <v>0.60892811353548892</v>
      </c>
    </row>
    <row r="95" spans="1:15" x14ac:dyDescent="0.45">
      <c r="A95" s="5" t="s">
        <v>257</v>
      </c>
      <c r="B95" s="5">
        <v>4877599.6926372303</v>
      </c>
      <c r="C95" s="5">
        <v>12140117.016380999</v>
      </c>
      <c r="D95" s="5">
        <v>1754337.5682906499</v>
      </c>
      <c r="E95" s="5">
        <v>25646579.734976299</v>
      </c>
      <c r="F95" s="5">
        <v>13686481.882195501</v>
      </c>
      <c r="G95" s="5">
        <v>13094808.762709999</v>
      </c>
      <c r="H95" s="5">
        <v>9969538.5819119606</v>
      </c>
      <c r="I95" s="5">
        <v>14904809.139099199</v>
      </c>
      <c r="J95" s="5">
        <v>3066729.84629102</v>
      </c>
      <c r="K95" s="5">
        <v>57920178.943626001</v>
      </c>
      <c r="L95" s="5">
        <v>3346124.6830762201</v>
      </c>
      <c r="M95" s="5">
        <v>10679916.1860814</v>
      </c>
      <c r="N95">
        <f t="shared" si="2"/>
        <v>0.6114299070307756</v>
      </c>
    </row>
    <row r="96" spans="1:15" x14ac:dyDescent="0.45">
      <c r="A96" s="5" t="s">
        <v>106</v>
      </c>
      <c r="B96" s="5">
        <v>640756618.93078196</v>
      </c>
      <c r="C96" s="5">
        <v>534373079.35209697</v>
      </c>
      <c r="D96" s="5">
        <v>657504098.32128501</v>
      </c>
      <c r="E96" s="5">
        <v>646718805.13004601</v>
      </c>
      <c r="F96" s="5">
        <v>494376108.44435698</v>
      </c>
      <c r="G96" s="5">
        <v>436837498.62034798</v>
      </c>
      <c r="H96" s="5">
        <v>600251020.09050202</v>
      </c>
      <c r="I96" s="5">
        <v>356871991.21333402</v>
      </c>
      <c r="J96" s="5">
        <v>448268198.43485498</v>
      </c>
      <c r="K96" s="5">
        <v>643874909.72609997</v>
      </c>
      <c r="L96" s="5">
        <v>550791432.96494401</v>
      </c>
      <c r="M96" s="5">
        <v>624474397.74976003</v>
      </c>
      <c r="N96">
        <f t="shared" si="2"/>
        <v>0.61467239459551359</v>
      </c>
    </row>
    <row r="97" spans="1:14" x14ac:dyDescent="0.45">
      <c r="A97" s="5" t="s">
        <v>215</v>
      </c>
      <c r="B97" s="5">
        <v>1404209.4500297001</v>
      </c>
      <c r="C97" s="5">
        <v>1263922.80578313</v>
      </c>
      <c r="D97" s="5">
        <v>1886223.84177157</v>
      </c>
      <c r="E97" s="5">
        <v>2727751.33525234</v>
      </c>
      <c r="F97" s="5">
        <v>1137910.6754624101</v>
      </c>
      <c r="G97" s="5">
        <v>1036227.62650237</v>
      </c>
      <c r="H97" s="5">
        <v>921611.94852954196</v>
      </c>
      <c r="I97" s="5">
        <v>855368.38295155996</v>
      </c>
      <c r="J97" s="5">
        <v>938860.76036442595</v>
      </c>
      <c r="K97" s="5">
        <v>2047601.8934301999</v>
      </c>
      <c r="L97" s="5">
        <v>1719413.98355891</v>
      </c>
      <c r="M97" s="5">
        <v>1937789.5719626599</v>
      </c>
      <c r="N97">
        <f t="shared" si="2"/>
        <v>0.62821404454773644</v>
      </c>
    </row>
    <row r="98" spans="1:14" x14ac:dyDescent="0.45">
      <c r="A98" s="5" t="s">
        <v>153</v>
      </c>
      <c r="B98" s="5">
        <v>92039002.521173403</v>
      </c>
      <c r="C98" s="5">
        <v>40020028.877116099</v>
      </c>
      <c r="D98" s="5">
        <v>114385107.07939699</v>
      </c>
      <c r="E98" s="5">
        <v>75769819.063060895</v>
      </c>
      <c r="F98" s="5">
        <v>58408691.051850401</v>
      </c>
      <c r="G98" s="5">
        <v>65077747.447695598</v>
      </c>
      <c r="H98" s="5">
        <v>52733644.898921803</v>
      </c>
      <c r="I98" s="5">
        <v>42321916.199452199</v>
      </c>
      <c r="J98" s="5">
        <v>55359020.333698802</v>
      </c>
      <c r="K98" s="5">
        <v>109021978.672571</v>
      </c>
      <c r="L98" s="5">
        <v>121509985.712084</v>
      </c>
      <c r="M98" s="5">
        <v>119334007.743743</v>
      </c>
      <c r="N98">
        <f t="shared" si="2"/>
        <v>0.63325938988735841</v>
      </c>
    </row>
    <row r="99" spans="1:14" x14ac:dyDescent="0.45">
      <c r="A99" s="5" t="s">
        <v>222</v>
      </c>
      <c r="B99" s="5">
        <v>404655.25149165001</v>
      </c>
      <c r="C99" s="5">
        <v>453486.02006920398</v>
      </c>
      <c r="D99" s="5">
        <v>118361.926285115</v>
      </c>
      <c r="E99" s="5">
        <v>92079.753657474794</v>
      </c>
      <c r="F99" s="5">
        <v>347695.74744122202</v>
      </c>
      <c r="G99" s="5">
        <v>324964.68711065402</v>
      </c>
      <c r="H99" s="5">
        <v>360213.15292836103</v>
      </c>
      <c r="I99" s="5">
        <v>159370.89561213399</v>
      </c>
      <c r="J99" s="5">
        <v>539040.16026545805</v>
      </c>
      <c r="K99" s="5">
        <v>302582.73802991601</v>
      </c>
      <c r="L99" s="5">
        <v>394069.53927099501</v>
      </c>
      <c r="M99" s="5">
        <v>228050.38650528199</v>
      </c>
      <c r="N99">
        <f t="shared" si="2"/>
        <v>0.63357103951048455</v>
      </c>
    </row>
    <row r="100" spans="1:14" x14ac:dyDescent="0.45">
      <c r="A100" s="5" t="s">
        <v>101</v>
      </c>
      <c r="B100" s="5">
        <v>3616585.3410264798</v>
      </c>
      <c r="C100" s="5">
        <v>1061159.0418056799</v>
      </c>
      <c r="D100" s="5">
        <v>1735035.36434566</v>
      </c>
      <c r="E100" s="5">
        <v>1662547.13164536</v>
      </c>
      <c r="F100" s="5">
        <v>1799016.6168701099</v>
      </c>
      <c r="G100" s="5">
        <v>1211887.25181591</v>
      </c>
      <c r="H100" s="5">
        <v>1250930.6950968599</v>
      </c>
      <c r="I100" s="5">
        <v>1365300.6782947001</v>
      </c>
      <c r="J100" s="5">
        <v>1179914.44506751</v>
      </c>
      <c r="K100" s="5">
        <v>3808305.99371946</v>
      </c>
      <c r="L100" s="5">
        <v>2271474.7225516601</v>
      </c>
      <c r="M100" s="5">
        <v>2851867.9372969298</v>
      </c>
      <c r="N100">
        <f t="shared" si="2"/>
        <v>0.64276795733083714</v>
      </c>
    </row>
    <row r="101" spans="1:14" x14ac:dyDescent="0.45">
      <c r="A101" s="5" t="s">
        <v>54</v>
      </c>
      <c r="B101" s="5">
        <v>4662930.6420500297</v>
      </c>
      <c r="C101" s="5">
        <v>4016948.38252318</v>
      </c>
      <c r="D101" s="5">
        <v>9533771.8769498207</v>
      </c>
      <c r="E101" s="5">
        <v>7417108.3542764904</v>
      </c>
      <c r="F101" s="5">
        <v>3633158.7285099099</v>
      </c>
      <c r="G101" s="5">
        <v>5403106.6154669998</v>
      </c>
      <c r="H101" s="5">
        <v>3688793.48104655</v>
      </c>
      <c r="I101" s="5">
        <v>4862794.9692859398</v>
      </c>
      <c r="J101" s="5">
        <v>4636795.1937057199</v>
      </c>
      <c r="K101" s="5">
        <v>8273796.6921258997</v>
      </c>
      <c r="L101" s="5">
        <v>7438187.79762433</v>
      </c>
      <c r="M101" s="5">
        <v>9515886.52739577</v>
      </c>
      <c r="N101">
        <f t="shared" si="2"/>
        <v>0.64834533816280104</v>
      </c>
    </row>
    <row r="102" spans="1:14" x14ac:dyDescent="0.45">
      <c r="A102" s="5" t="s">
        <v>53</v>
      </c>
      <c r="B102" s="5">
        <v>5427505.1152080996</v>
      </c>
      <c r="C102" s="5">
        <v>5056397.7351329997</v>
      </c>
      <c r="D102" s="5">
        <v>13827379.481411301</v>
      </c>
      <c r="E102" s="5">
        <v>4917213.2596360696</v>
      </c>
      <c r="F102" s="5">
        <v>5623685.0826422898</v>
      </c>
      <c r="G102" s="5">
        <v>5814503.7102595298</v>
      </c>
      <c r="H102" s="5">
        <v>5710601.2841908997</v>
      </c>
      <c r="I102" s="5">
        <v>6412261.3357593296</v>
      </c>
      <c r="J102" s="5">
        <v>6784456.6814662702</v>
      </c>
      <c r="K102" s="5">
        <v>6685927.7088824203</v>
      </c>
      <c r="L102" s="5">
        <v>10132064.994438199</v>
      </c>
      <c r="M102" s="5">
        <v>9428275.0205012094</v>
      </c>
      <c r="N102">
        <f t="shared" si="2"/>
        <v>0.64941251907707231</v>
      </c>
    </row>
    <row r="103" spans="1:14" x14ac:dyDescent="0.45">
      <c r="A103" s="5" t="s">
        <v>141</v>
      </c>
      <c r="B103" s="5">
        <v>1579261.95224001</v>
      </c>
      <c r="C103" s="5">
        <v>1382609.4676153499</v>
      </c>
      <c r="D103" s="5">
        <v>163215.882815252</v>
      </c>
      <c r="E103" s="5">
        <v>38682.636999507798</v>
      </c>
      <c r="F103" s="5">
        <v>1522883.17222613</v>
      </c>
      <c r="G103" s="5">
        <v>147099.37660466199</v>
      </c>
      <c r="H103" s="5">
        <v>76246.749291133703</v>
      </c>
      <c r="I103" s="5">
        <v>108606.657230888</v>
      </c>
      <c r="J103" s="5">
        <v>2811985.2959044501</v>
      </c>
      <c r="K103" s="5">
        <v>31817.2428693289</v>
      </c>
      <c r="L103" s="5">
        <v>159671.75913631701</v>
      </c>
      <c r="M103" s="5">
        <v>116247.192879927</v>
      </c>
      <c r="N103">
        <f t="shared" si="2"/>
        <v>0.65212602818305765</v>
      </c>
    </row>
    <row r="104" spans="1:14" x14ac:dyDescent="0.45">
      <c r="A104" s="5" t="s">
        <v>98</v>
      </c>
      <c r="B104" s="5">
        <v>498866.65063442499</v>
      </c>
      <c r="C104" s="5">
        <v>134086.98410537399</v>
      </c>
      <c r="D104" s="5">
        <v>1009934.39085636</v>
      </c>
      <c r="E104" s="5">
        <v>378903.033723086</v>
      </c>
      <c r="F104" s="5">
        <v>176869.076651671</v>
      </c>
      <c r="G104" s="5">
        <v>153736.09454533699</v>
      </c>
      <c r="H104" s="5">
        <v>159410.885953391</v>
      </c>
      <c r="I104" s="5">
        <v>249913.46470804099</v>
      </c>
      <c r="J104" s="5">
        <v>281210.58544340398</v>
      </c>
      <c r="K104" s="5">
        <v>764151.96924224403</v>
      </c>
      <c r="L104" s="5">
        <v>634121.97830900596</v>
      </c>
      <c r="M104" s="5">
        <v>756310.57463835296</v>
      </c>
      <c r="N104">
        <f t="shared" si="2"/>
        <v>0.65244386915544927</v>
      </c>
    </row>
    <row r="105" spans="1:14" x14ac:dyDescent="0.45">
      <c r="A105" s="5" t="s">
        <v>60</v>
      </c>
      <c r="B105" s="5">
        <v>9691696.5943892598</v>
      </c>
      <c r="C105" s="5">
        <v>6434665.4106936799</v>
      </c>
      <c r="D105" s="5">
        <v>5414314.1505133696</v>
      </c>
      <c r="E105" s="5">
        <v>14892492.697183499</v>
      </c>
      <c r="F105" s="5">
        <v>7664214.8212442799</v>
      </c>
      <c r="G105" s="5">
        <v>9245223.89332214</v>
      </c>
      <c r="H105" s="5">
        <v>8026685.28528859</v>
      </c>
      <c r="I105" s="5">
        <v>517937.62939377798</v>
      </c>
      <c r="J105" s="5">
        <v>6827319.3046474699</v>
      </c>
      <c r="K105" s="5">
        <v>16929863.830783602</v>
      </c>
      <c r="L105" s="5">
        <v>12448927.3754951</v>
      </c>
      <c r="M105" s="5">
        <v>16790668.532001</v>
      </c>
      <c r="N105">
        <f t="shared" si="2"/>
        <v>0.65248015676171467</v>
      </c>
    </row>
    <row r="106" spans="1:14" x14ac:dyDescent="0.45">
      <c r="A106" s="5" t="s">
        <v>155</v>
      </c>
      <c r="B106" s="5">
        <v>34873623.293730997</v>
      </c>
      <c r="C106" s="5">
        <v>23181737.920157</v>
      </c>
      <c r="D106" s="5">
        <v>65605197.112760603</v>
      </c>
      <c r="E106" s="5">
        <v>39779308.371073604</v>
      </c>
      <c r="F106" s="5">
        <v>29634246.306816101</v>
      </c>
      <c r="G106" s="5">
        <v>34725614.170797899</v>
      </c>
      <c r="H106" s="5">
        <v>27286905.239941601</v>
      </c>
      <c r="I106" s="5">
        <v>23495979.889733002</v>
      </c>
      <c r="J106" s="5">
        <v>35980888.898759</v>
      </c>
      <c r="K106" s="5">
        <v>41019603.605635002</v>
      </c>
      <c r="L106" s="5">
        <v>63028331.631047897</v>
      </c>
      <c r="M106" s="5">
        <v>62342508.740881503</v>
      </c>
      <c r="N106">
        <f t="shared" si="2"/>
        <v>0.65506623314274792</v>
      </c>
    </row>
    <row r="107" spans="1:14" x14ac:dyDescent="0.45">
      <c r="A107" s="5" t="s">
        <v>166</v>
      </c>
      <c r="B107" s="5">
        <v>196905.952132062</v>
      </c>
      <c r="C107" s="5">
        <v>1312930.77461721</v>
      </c>
      <c r="D107" s="5">
        <v>416983.82036728301</v>
      </c>
      <c r="E107" s="5">
        <v>277910.64990814799</v>
      </c>
      <c r="F107" s="5">
        <v>837986.22938976798</v>
      </c>
      <c r="G107" s="5">
        <v>936753.536658881</v>
      </c>
      <c r="H107" s="5">
        <v>1070866.0445916101</v>
      </c>
      <c r="I107" s="5">
        <v>1824539.0037994001</v>
      </c>
      <c r="J107" s="5">
        <v>1241490.91571671</v>
      </c>
      <c r="K107" s="5">
        <v>247380.662506222</v>
      </c>
      <c r="L107" s="5">
        <v>200437.62335706799</v>
      </c>
      <c r="M107" s="5">
        <v>293925.42046516301</v>
      </c>
      <c r="N107">
        <f t="shared" si="2"/>
        <v>0.6557479277838123</v>
      </c>
    </row>
    <row r="108" spans="1:14" x14ac:dyDescent="0.45">
      <c r="A108" s="5" t="s">
        <v>113</v>
      </c>
      <c r="B108" s="5">
        <v>2861668.6811425802</v>
      </c>
      <c r="C108" s="5">
        <v>2378034.5848999401</v>
      </c>
      <c r="D108" s="5">
        <v>3477756.47685462</v>
      </c>
      <c r="E108" s="5">
        <v>6077716.5737934196</v>
      </c>
      <c r="F108" s="5">
        <v>2510525.8512089602</v>
      </c>
      <c r="G108" s="5">
        <v>2452608.8332174099</v>
      </c>
      <c r="H108" s="5">
        <v>2575856.1848696098</v>
      </c>
      <c r="I108" s="5">
        <v>2656687.1143638999</v>
      </c>
      <c r="J108" s="5">
        <v>2365957.89685742</v>
      </c>
      <c r="K108" s="5">
        <v>2659449.3204010301</v>
      </c>
      <c r="L108" s="5">
        <v>3386531.3087285501</v>
      </c>
      <c r="M108" s="5">
        <v>4314009.4040352898</v>
      </c>
      <c r="N108">
        <f t="shared" si="2"/>
        <v>0.65616072188280161</v>
      </c>
    </row>
    <row r="109" spans="1:14" x14ac:dyDescent="0.45">
      <c r="A109" s="5" t="s">
        <v>120</v>
      </c>
      <c r="B109" s="5">
        <v>6083063.0614432897</v>
      </c>
      <c r="C109" s="5">
        <v>2170695.8888830799</v>
      </c>
      <c r="D109" s="5">
        <v>3848146.8399298899</v>
      </c>
      <c r="E109" s="5">
        <v>5075557.3851875002</v>
      </c>
      <c r="F109" s="5">
        <v>3478129.5085761002</v>
      </c>
      <c r="G109" s="5">
        <v>2787030.05266674</v>
      </c>
      <c r="H109" s="5">
        <v>9593086.3614439406</v>
      </c>
      <c r="I109" s="5">
        <v>1779642.01741864</v>
      </c>
      <c r="J109" s="5">
        <v>3785026.2759113899</v>
      </c>
      <c r="K109" s="5">
        <v>4646883.9459228301</v>
      </c>
      <c r="L109" s="5">
        <v>3639777.0784592801</v>
      </c>
      <c r="M109" s="5">
        <v>3407944.5662140101</v>
      </c>
      <c r="N109">
        <f t="shared" si="2"/>
        <v>0.6573295334786442</v>
      </c>
    </row>
    <row r="110" spans="1:14" x14ac:dyDescent="0.45">
      <c r="A110" s="5" t="s">
        <v>45</v>
      </c>
      <c r="B110" s="5">
        <v>80808.603953376907</v>
      </c>
      <c r="C110" s="5">
        <v>3630036.44995768</v>
      </c>
      <c r="D110" s="5">
        <v>195627.01093780799</v>
      </c>
      <c r="E110" s="5">
        <v>320303.85887597001</v>
      </c>
      <c r="F110" s="5">
        <v>2660821.08175526</v>
      </c>
      <c r="G110" s="5">
        <v>3420428.33514645</v>
      </c>
      <c r="H110" s="5">
        <v>2509715.69207743</v>
      </c>
      <c r="I110" s="5">
        <v>6633336.93169994</v>
      </c>
      <c r="J110" s="5">
        <v>3481482.3433149601</v>
      </c>
      <c r="K110" s="5">
        <v>520524.35312051303</v>
      </c>
      <c r="L110" s="5">
        <v>435174.68498177599</v>
      </c>
      <c r="M110" s="5">
        <v>85514.415882579604</v>
      </c>
      <c r="N110">
        <f t="shared" si="2"/>
        <v>0.66149758008676773</v>
      </c>
    </row>
    <row r="111" spans="1:14" x14ac:dyDescent="0.45">
      <c r="A111" s="5" t="s">
        <v>226</v>
      </c>
      <c r="B111" s="5">
        <v>7842998.6563552199</v>
      </c>
      <c r="C111" s="5">
        <v>3590100.3996840101</v>
      </c>
      <c r="D111" s="5">
        <v>5083358.7921047201</v>
      </c>
      <c r="E111" s="5">
        <v>5508495.4156227103</v>
      </c>
      <c r="F111" s="5">
        <v>1533415.5823166899</v>
      </c>
      <c r="G111" s="5">
        <v>5126500.5627872003</v>
      </c>
      <c r="H111" s="5">
        <v>3970052.75711582</v>
      </c>
      <c r="I111" s="5">
        <v>2744764.91845454</v>
      </c>
      <c r="J111" s="5">
        <v>3933326.1032386199</v>
      </c>
      <c r="K111" s="5">
        <v>5558682.4162770202</v>
      </c>
      <c r="L111" s="5">
        <v>4973976.241103</v>
      </c>
      <c r="M111" s="5">
        <v>4940084.6730116699</v>
      </c>
      <c r="N111">
        <f t="shared" si="2"/>
        <v>0.66300472426519041</v>
      </c>
    </row>
    <row r="112" spans="1:14" x14ac:dyDescent="0.45">
      <c r="A112" s="5" t="s">
        <v>97</v>
      </c>
      <c r="B112" s="5">
        <v>30772861.7563335</v>
      </c>
      <c r="C112" s="5">
        <v>26714807.503438</v>
      </c>
      <c r="D112" s="5">
        <v>60672322.511498198</v>
      </c>
      <c r="E112" s="5">
        <v>49510341.6865343</v>
      </c>
      <c r="F112" s="5">
        <v>24407341.879869599</v>
      </c>
      <c r="G112" s="5">
        <v>35562342.813085303</v>
      </c>
      <c r="H112" s="5">
        <v>25136406.585384101</v>
      </c>
      <c r="I112" s="5">
        <v>31163336.673770599</v>
      </c>
      <c r="J112" s="5">
        <v>31402020.315551098</v>
      </c>
      <c r="K112" s="5">
        <v>52670285.601611599</v>
      </c>
      <c r="L112" s="5">
        <v>48092181.581040896</v>
      </c>
      <c r="M112" s="5">
        <v>61007848.156954199</v>
      </c>
      <c r="N112">
        <f t="shared" si="2"/>
        <v>0.66857711480391691</v>
      </c>
    </row>
    <row r="113" spans="1:14" x14ac:dyDescent="0.45">
      <c r="A113" s="5" t="s">
        <v>158</v>
      </c>
      <c r="B113" s="5">
        <v>6679372.1439427603</v>
      </c>
      <c r="C113" s="5">
        <v>21348377.995446101</v>
      </c>
      <c r="D113" s="5">
        <v>6540294.0552058201</v>
      </c>
      <c r="E113" s="5">
        <v>7078961.5922729103</v>
      </c>
      <c r="F113" s="5">
        <v>12607634.2644004</v>
      </c>
      <c r="G113" s="5">
        <v>16537117.7333366</v>
      </c>
      <c r="H113" s="5">
        <v>21204217.388634</v>
      </c>
      <c r="I113" s="5">
        <v>14887886.8800986</v>
      </c>
      <c r="J113" s="5">
        <v>19568142.410399199</v>
      </c>
      <c r="K113" s="5">
        <v>7110950.0132457903</v>
      </c>
      <c r="L113" s="5">
        <v>8499852.3475729208</v>
      </c>
      <c r="M113" s="5">
        <v>8754815.3714518398</v>
      </c>
      <c r="N113">
        <f t="shared" si="2"/>
        <v>0.67328878042321905</v>
      </c>
    </row>
    <row r="114" spans="1:14" x14ac:dyDescent="0.45">
      <c r="A114" s="5" t="s">
        <v>213</v>
      </c>
      <c r="B114" s="5">
        <v>10731308.5984757</v>
      </c>
      <c r="C114" s="5">
        <v>8811610.9865399394</v>
      </c>
      <c r="D114" s="5">
        <v>14868032.6682449</v>
      </c>
      <c r="E114" s="5">
        <v>7898509.5088096699</v>
      </c>
      <c r="F114" s="5">
        <v>8721794.9700832404</v>
      </c>
      <c r="G114" s="5">
        <v>10344057.4184172</v>
      </c>
      <c r="H114" s="5">
        <v>8562691.1873197202</v>
      </c>
      <c r="I114" s="5">
        <v>13679314.9422525</v>
      </c>
      <c r="J114" s="5">
        <v>9472582.0631908402</v>
      </c>
      <c r="K114" s="5">
        <v>7199612.4494906198</v>
      </c>
      <c r="L114" s="5">
        <v>9508102.9401092306</v>
      </c>
      <c r="M114" s="5">
        <v>9446451.7263584808</v>
      </c>
      <c r="N114">
        <f t="shared" si="2"/>
        <v>0.67520529539174634</v>
      </c>
    </row>
    <row r="115" spans="1:14" x14ac:dyDescent="0.45">
      <c r="A115" s="5" t="s">
        <v>36</v>
      </c>
      <c r="B115" s="5">
        <v>14397443.708982401</v>
      </c>
      <c r="C115" s="5">
        <v>11357600.766350901</v>
      </c>
      <c r="D115" s="5">
        <v>14720768.330501501</v>
      </c>
      <c r="E115" s="5">
        <v>13352419.1555357</v>
      </c>
      <c r="F115" s="5">
        <v>11686661.758225899</v>
      </c>
      <c r="G115" s="5">
        <v>11279884.5841412</v>
      </c>
      <c r="H115" s="5">
        <v>10008494.684647501</v>
      </c>
      <c r="I115" s="5">
        <v>22256304.812728599</v>
      </c>
      <c r="J115" s="5">
        <v>10655782.114912599</v>
      </c>
      <c r="K115" s="5">
        <v>14718860.155385301</v>
      </c>
      <c r="L115" s="5">
        <v>11215435.703415999</v>
      </c>
      <c r="M115" s="5">
        <v>12965859.800294099</v>
      </c>
      <c r="N115">
        <f t="shared" si="2"/>
        <v>0.67914905699193984</v>
      </c>
    </row>
    <row r="116" spans="1:14" x14ac:dyDescent="0.45">
      <c r="A116" s="5" t="s">
        <v>273</v>
      </c>
      <c r="B116" s="5">
        <v>9435111.8231936507</v>
      </c>
      <c r="C116" s="5">
        <v>5346339.1150909904</v>
      </c>
      <c r="D116" s="5">
        <v>6715394.6623627404</v>
      </c>
      <c r="E116" s="5">
        <v>3552833.5105236601</v>
      </c>
      <c r="F116" s="5">
        <v>8959981.4796482008</v>
      </c>
      <c r="G116" s="5">
        <v>4172688.3765176302</v>
      </c>
      <c r="H116" s="5">
        <v>4669205.07099659</v>
      </c>
      <c r="I116" s="5">
        <v>14083705.3720043</v>
      </c>
      <c r="J116" s="5">
        <v>5302732.2026733002</v>
      </c>
      <c r="K116" s="5">
        <v>3926588.2822042601</v>
      </c>
      <c r="L116" s="5">
        <v>2464428.15357967</v>
      </c>
      <c r="M116" s="5">
        <v>2547389.89560364</v>
      </c>
      <c r="N116">
        <f t="shared" si="2"/>
        <v>0.68063072361120802</v>
      </c>
    </row>
    <row r="117" spans="1:14" x14ac:dyDescent="0.45">
      <c r="A117" s="5" t="s">
        <v>277</v>
      </c>
      <c r="B117" s="5">
        <v>11757831.178488201</v>
      </c>
      <c r="C117" s="5">
        <v>225788962.850375</v>
      </c>
      <c r="D117" s="5">
        <v>17184018.1401827</v>
      </c>
      <c r="E117" s="5">
        <v>10847406.9834137</v>
      </c>
      <c r="F117" s="5">
        <v>142285947.13528401</v>
      </c>
      <c r="G117" s="5">
        <v>189412632.24214199</v>
      </c>
      <c r="H117" s="5">
        <v>124525492.45853101</v>
      </c>
      <c r="I117" s="5">
        <v>416636433.86190999</v>
      </c>
      <c r="J117" s="5">
        <v>198095872.42234701</v>
      </c>
      <c r="K117" s="5">
        <v>12088911.171097999</v>
      </c>
      <c r="L117" s="5">
        <v>20639207.191456102</v>
      </c>
      <c r="M117" s="5">
        <v>14666394.914415799</v>
      </c>
      <c r="N117">
        <f t="shared" si="2"/>
        <v>0.68745786359260319</v>
      </c>
    </row>
    <row r="118" spans="1:14" x14ac:dyDescent="0.45">
      <c r="A118" s="5" t="s">
        <v>279</v>
      </c>
      <c r="B118" s="5">
        <v>548612.59296182904</v>
      </c>
      <c r="C118" s="5">
        <v>3982457.8925323202</v>
      </c>
      <c r="D118" s="5">
        <v>671945.19766085898</v>
      </c>
      <c r="E118" s="5">
        <v>536152.83692928695</v>
      </c>
      <c r="F118" s="5">
        <v>3741924.97300083</v>
      </c>
      <c r="G118" s="5">
        <v>3943727.3813822102</v>
      </c>
      <c r="H118" s="5">
        <v>3561616.8888481501</v>
      </c>
      <c r="I118" s="5">
        <v>5347750.9746885402</v>
      </c>
      <c r="J118" s="5">
        <v>3712729.0650843498</v>
      </c>
      <c r="K118" s="5">
        <v>2645570.0702383299</v>
      </c>
      <c r="L118" s="5">
        <v>412263.30545284599</v>
      </c>
      <c r="M118" s="5">
        <v>438705.91055294598</v>
      </c>
      <c r="N118">
        <f t="shared" si="2"/>
        <v>0.68870115325876946</v>
      </c>
    </row>
    <row r="119" spans="1:14" x14ac:dyDescent="0.45">
      <c r="A119" s="5" t="s">
        <v>57</v>
      </c>
      <c r="B119" s="5">
        <v>5030706.7121648602</v>
      </c>
      <c r="C119" s="5">
        <v>4199717.6237697303</v>
      </c>
      <c r="D119" s="5">
        <v>9571111.2964508291</v>
      </c>
      <c r="E119" s="5">
        <v>7618834.5871467199</v>
      </c>
      <c r="F119" s="5">
        <v>3785970.3215695499</v>
      </c>
      <c r="G119" s="5">
        <v>5750396.7613931</v>
      </c>
      <c r="H119" s="5">
        <v>3943702.0837808</v>
      </c>
      <c r="I119" s="5">
        <v>4835970.3431432396</v>
      </c>
      <c r="J119" s="5">
        <v>4840190.8051036596</v>
      </c>
      <c r="K119" s="5">
        <v>8116889.40614428</v>
      </c>
      <c r="L119" s="5">
        <v>7342847.1854010997</v>
      </c>
      <c r="M119" s="5">
        <v>10151718.0815561</v>
      </c>
      <c r="N119">
        <f t="shared" si="2"/>
        <v>0.6906433102576659</v>
      </c>
    </row>
    <row r="120" spans="1:14" x14ac:dyDescent="0.45">
      <c r="A120" s="5" t="s">
        <v>77</v>
      </c>
      <c r="B120" s="5">
        <v>23862.395540604299</v>
      </c>
      <c r="C120" s="5">
        <v>593173.69536003703</v>
      </c>
      <c r="D120" s="5">
        <v>29260.223067074501</v>
      </c>
      <c r="E120" s="5">
        <v>29431.398550731501</v>
      </c>
      <c r="F120" s="5">
        <v>419757.82756996102</v>
      </c>
      <c r="G120" s="5">
        <v>495163.04645455198</v>
      </c>
      <c r="H120" s="5">
        <v>467374.80104199197</v>
      </c>
      <c r="I120" s="5">
        <v>791540.56414859497</v>
      </c>
      <c r="J120" s="5">
        <v>696756.97335573903</v>
      </c>
      <c r="K120" s="5">
        <v>26092.149425708601</v>
      </c>
      <c r="L120" s="5">
        <v>25090.5348266367</v>
      </c>
      <c r="M120" s="5">
        <v>28946.7176283433</v>
      </c>
      <c r="N120">
        <f t="shared" si="2"/>
        <v>0.69240692403681758</v>
      </c>
    </row>
    <row r="121" spans="1:14" x14ac:dyDescent="0.45">
      <c r="A121" s="5" t="s">
        <v>224</v>
      </c>
      <c r="B121" s="5">
        <v>1199303.9033017899</v>
      </c>
      <c r="C121" s="5">
        <v>34400981.202955298</v>
      </c>
      <c r="D121" s="5">
        <v>1676106.7662325499</v>
      </c>
      <c r="E121" s="5">
        <v>1020730.34142192</v>
      </c>
      <c r="F121" s="5">
        <v>24817855.557541501</v>
      </c>
      <c r="G121" s="5">
        <v>30317151.2232472</v>
      </c>
      <c r="H121" s="5">
        <v>22101044.264469799</v>
      </c>
      <c r="I121" s="5">
        <v>65820270.115057498</v>
      </c>
      <c r="J121" s="5">
        <v>30786122.4764218</v>
      </c>
      <c r="K121" s="5">
        <v>1130697.5166424301</v>
      </c>
      <c r="L121" s="5">
        <v>2056949.6893559501</v>
      </c>
      <c r="M121" s="5">
        <v>1285303.2517792501</v>
      </c>
      <c r="N121">
        <f t="shared" si="2"/>
        <v>0.69463170587917078</v>
      </c>
    </row>
    <row r="122" spans="1:14" x14ac:dyDescent="0.45">
      <c r="A122" s="5" t="s">
        <v>269</v>
      </c>
      <c r="B122" s="5">
        <v>630545.383811826</v>
      </c>
      <c r="C122" s="5">
        <v>7407006.3486313</v>
      </c>
      <c r="D122" s="5">
        <v>275175.51901249302</v>
      </c>
      <c r="E122" s="5">
        <v>510541.35474939301</v>
      </c>
      <c r="F122" s="5">
        <v>4830178.70123115</v>
      </c>
      <c r="G122" s="5">
        <v>6316053.3361952901</v>
      </c>
      <c r="H122" s="5">
        <v>4623645.4295757497</v>
      </c>
      <c r="I122" s="5">
        <v>11498220.624861799</v>
      </c>
      <c r="J122" s="5">
        <v>8136592.8158801999</v>
      </c>
      <c r="K122" s="5">
        <v>401457.74577582598</v>
      </c>
      <c r="L122" s="5">
        <v>379959.14467995998</v>
      </c>
      <c r="M122" s="5">
        <v>399467.13275054598</v>
      </c>
      <c r="N122">
        <f t="shared" si="2"/>
        <v>0.70541984047785744</v>
      </c>
    </row>
    <row r="123" spans="1:14" x14ac:dyDescent="0.45">
      <c r="A123" s="5" t="s">
        <v>174</v>
      </c>
      <c r="B123" s="5">
        <v>167278.090085356</v>
      </c>
      <c r="C123" s="5">
        <v>2386167.2161330399</v>
      </c>
      <c r="D123" s="5">
        <v>23708.4989790578</v>
      </c>
      <c r="E123" s="5">
        <v>20174.6608092776</v>
      </c>
      <c r="F123" s="5">
        <v>3291112.3802137999</v>
      </c>
      <c r="G123" s="5">
        <v>4873373.7405381398</v>
      </c>
      <c r="H123" s="5">
        <v>3082986.6377000902</v>
      </c>
      <c r="I123" s="5">
        <v>3261553.2670483999</v>
      </c>
      <c r="J123" s="5">
        <v>1824928.2657799299</v>
      </c>
      <c r="K123" s="5">
        <v>64261.659439419403</v>
      </c>
      <c r="L123" s="5">
        <v>73215.252605150294</v>
      </c>
      <c r="M123" s="5">
        <v>21548.0875826476</v>
      </c>
      <c r="N123">
        <f t="shared" si="2"/>
        <v>0.70677122561241745</v>
      </c>
    </row>
    <row r="124" spans="1:14" x14ac:dyDescent="0.45">
      <c r="A124" s="5" t="s">
        <v>42</v>
      </c>
      <c r="B124" s="5">
        <v>945012.238102676</v>
      </c>
      <c r="C124" s="5">
        <v>693826.17433058796</v>
      </c>
      <c r="D124" s="5">
        <v>996823.77628160501</v>
      </c>
      <c r="E124" s="5">
        <v>1326966.37711103</v>
      </c>
      <c r="F124" s="5">
        <v>699822.78870002797</v>
      </c>
      <c r="G124" s="5">
        <v>614828.76041230699</v>
      </c>
      <c r="H124" s="5">
        <v>815308.48008391098</v>
      </c>
      <c r="I124" s="5">
        <v>722259.46908523096</v>
      </c>
      <c r="J124" s="5">
        <v>793468.77519878501</v>
      </c>
      <c r="K124" s="5">
        <v>1218246.1796437299</v>
      </c>
      <c r="L124" s="5">
        <v>891366.90547130001</v>
      </c>
      <c r="M124" s="5">
        <v>1155123.97757869</v>
      </c>
      <c r="N124">
        <f t="shared" si="2"/>
        <v>0.70707216726268696</v>
      </c>
    </row>
    <row r="125" spans="1:14" x14ac:dyDescent="0.45">
      <c r="A125" s="5" t="s">
        <v>94</v>
      </c>
      <c r="B125" s="5">
        <v>31811140.429123901</v>
      </c>
      <c r="C125" s="5">
        <v>722765053.95175505</v>
      </c>
      <c r="D125" s="5">
        <v>43923525.742443897</v>
      </c>
      <c r="E125" s="5">
        <v>20228433.570144799</v>
      </c>
      <c r="F125" s="5">
        <v>584173307.56260502</v>
      </c>
      <c r="G125" s="5">
        <v>665972682.62444603</v>
      </c>
      <c r="H125" s="5">
        <v>546218725.39128399</v>
      </c>
      <c r="I125" s="5">
        <v>1253623329.0494699</v>
      </c>
      <c r="J125" s="5">
        <v>713970706.36278999</v>
      </c>
      <c r="K125" s="5">
        <v>25850408.568257701</v>
      </c>
      <c r="L125" s="5">
        <v>61539389.998869203</v>
      </c>
      <c r="M125" s="5">
        <v>28441952.016135499</v>
      </c>
      <c r="N125">
        <f t="shared" si="2"/>
        <v>0.71300052699216776</v>
      </c>
    </row>
    <row r="126" spans="1:14" x14ac:dyDescent="0.45">
      <c r="A126" s="5" t="s">
        <v>110</v>
      </c>
      <c r="B126" s="5">
        <v>290477213.610349</v>
      </c>
      <c r="C126" s="5">
        <v>128275322.64100599</v>
      </c>
      <c r="D126" s="5">
        <v>353751165.08918399</v>
      </c>
      <c r="E126" s="5">
        <v>243761921.56711701</v>
      </c>
      <c r="F126" s="5">
        <v>181215699.02836499</v>
      </c>
      <c r="G126" s="5">
        <v>202822373.713911</v>
      </c>
      <c r="H126" s="5">
        <v>153189355.55290499</v>
      </c>
      <c r="I126" s="5">
        <v>137341671.17166501</v>
      </c>
      <c r="J126" s="5">
        <v>164720281.02158099</v>
      </c>
      <c r="K126" s="5">
        <v>338644590.55723202</v>
      </c>
      <c r="L126" s="5">
        <v>359488190.92567098</v>
      </c>
      <c r="M126" s="5">
        <v>374561216.09281498</v>
      </c>
      <c r="N126">
        <f t="shared" si="2"/>
        <v>0.71629847681705328</v>
      </c>
    </row>
    <row r="127" spans="1:14" x14ac:dyDescent="0.45">
      <c r="A127" s="5" t="s">
        <v>284</v>
      </c>
      <c r="B127" s="5">
        <v>5349227.2987439902</v>
      </c>
      <c r="C127" s="5">
        <v>206476.182421406</v>
      </c>
      <c r="D127" s="5">
        <v>9384729.9415160902</v>
      </c>
      <c r="E127" s="5">
        <v>5644480.7581249196</v>
      </c>
      <c r="F127" s="5">
        <v>524165.89579014701</v>
      </c>
      <c r="G127" s="5">
        <v>444846.30841604999</v>
      </c>
      <c r="H127" s="5">
        <v>716903.03382151702</v>
      </c>
      <c r="I127" s="5">
        <v>44819.485264381299</v>
      </c>
      <c r="J127" s="5">
        <v>134814.48127769399</v>
      </c>
      <c r="K127" s="5">
        <v>4449183.8674788997</v>
      </c>
      <c r="L127" s="5">
        <v>6348801.6367750699</v>
      </c>
      <c r="M127" s="5">
        <v>5514509.3013702799</v>
      </c>
      <c r="N127">
        <f t="shared" si="2"/>
        <v>0.71722897879144942</v>
      </c>
    </row>
    <row r="128" spans="1:14" x14ac:dyDescent="0.45">
      <c r="A128" s="5" t="s">
        <v>115</v>
      </c>
      <c r="B128" s="5">
        <v>75611113.683093697</v>
      </c>
      <c r="C128" s="5">
        <v>59232967.876925699</v>
      </c>
      <c r="D128" s="5">
        <v>92538065.362923801</v>
      </c>
      <c r="E128" s="5">
        <v>68433715.713200897</v>
      </c>
      <c r="F128" s="5">
        <v>54956907.090848297</v>
      </c>
      <c r="G128" s="5">
        <v>43227783.110673703</v>
      </c>
      <c r="H128" s="5">
        <v>56519043.239446402</v>
      </c>
      <c r="I128" s="5">
        <v>51415707.129733197</v>
      </c>
      <c r="J128" s="5">
        <v>54215815.429069601</v>
      </c>
      <c r="K128" s="5">
        <v>82339235.721801698</v>
      </c>
      <c r="L128" s="5">
        <v>84175942.552458003</v>
      </c>
      <c r="M128" s="5">
        <v>87278771.252392396</v>
      </c>
      <c r="N128">
        <f t="shared" si="2"/>
        <v>0.71828797389715482</v>
      </c>
    </row>
    <row r="129" spans="1:14" x14ac:dyDescent="0.45">
      <c r="A129" s="5" t="s">
        <v>197</v>
      </c>
      <c r="B129" s="5">
        <v>785934.34515457996</v>
      </c>
      <c r="C129" s="5">
        <v>5325958.7987109898</v>
      </c>
      <c r="D129" s="5">
        <v>549421.92280944297</v>
      </c>
      <c r="E129" s="5">
        <v>747348.12271127698</v>
      </c>
      <c r="F129" s="5">
        <v>4451364.62938789</v>
      </c>
      <c r="G129" s="5">
        <v>5938793.3551680297</v>
      </c>
      <c r="H129" s="5">
        <v>4502250.3721924704</v>
      </c>
      <c r="I129" s="5">
        <v>9131868.7896382995</v>
      </c>
      <c r="J129" s="5">
        <v>5958095.9808247201</v>
      </c>
      <c r="K129" s="5">
        <v>1195758.0404618001</v>
      </c>
      <c r="L129" s="5">
        <v>596121.97112851299</v>
      </c>
      <c r="M129" s="5">
        <v>348638.023593347</v>
      </c>
      <c r="N129">
        <f t="shared" si="2"/>
        <v>0.71948540371876613</v>
      </c>
    </row>
    <row r="130" spans="1:14" x14ac:dyDescent="0.45">
      <c r="A130" s="5" t="s">
        <v>240</v>
      </c>
      <c r="B130" s="5">
        <v>530039067.72613001</v>
      </c>
      <c r="C130" s="5">
        <v>212396142.094392</v>
      </c>
      <c r="D130" s="5">
        <v>782566123.37737596</v>
      </c>
      <c r="E130" s="5">
        <v>437279790.50869697</v>
      </c>
      <c r="F130" s="5">
        <v>296826949.57795602</v>
      </c>
      <c r="G130" s="5">
        <v>284375408.61974502</v>
      </c>
      <c r="H130" s="5">
        <v>278125998.89013499</v>
      </c>
      <c r="I130" s="5">
        <v>165781584.887288</v>
      </c>
      <c r="J130" s="5">
        <v>222460666.719888</v>
      </c>
      <c r="K130" s="5">
        <v>548742970.93561494</v>
      </c>
      <c r="L130" s="5">
        <v>562246725.00522399</v>
      </c>
      <c r="M130" s="5">
        <v>520488319.77576798</v>
      </c>
      <c r="N130">
        <f t="shared" ref="N130:N193" si="3">TTEST(B130:G130,H130:M130,2,2)</f>
        <v>0.72460898411114461</v>
      </c>
    </row>
    <row r="131" spans="1:14" x14ac:dyDescent="0.45">
      <c r="A131" s="5" t="s">
        <v>211</v>
      </c>
      <c r="B131" s="5">
        <v>15491295.790985299</v>
      </c>
      <c r="C131" s="5">
        <v>7012872.9596553296</v>
      </c>
      <c r="D131" s="5">
        <v>37170659.179063298</v>
      </c>
      <c r="E131" s="5">
        <v>9607953.0771510899</v>
      </c>
      <c r="F131" s="5">
        <v>14636023.508427201</v>
      </c>
      <c r="G131" s="5">
        <v>6860852.2070631497</v>
      </c>
      <c r="H131" s="5">
        <v>11090759.213349801</v>
      </c>
      <c r="I131" s="5">
        <v>10030500.8982246</v>
      </c>
      <c r="J131" s="5">
        <v>13953731.3376079</v>
      </c>
      <c r="K131" s="5">
        <v>15373610.1820681</v>
      </c>
      <c r="L131" s="5">
        <v>14788796.1569968</v>
      </c>
      <c r="M131" s="5">
        <v>15277662.536580199</v>
      </c>
      <c r="N131">
        <f t="shared" si="3"/>
        <v>0.72629233354041622</v>
      </c>
    </row>
    <row r="132" spans="1:14" x14ac:dyDescent="0.45">
      <c r="A132" s="5" t="s">
        <v>196</v>
      </c>
      <c r="B132" s="5">
        <v>8086013.2097498998</v>
      </c>
      <c r="C132" s="5">
        <v>5818349.0599790504</v>
      </c>
      <c r="D132" s="5">
        <v>2854937.2063848102</v>
      </c>
      <c r="E132" s="5">
        <v>6447585.0650448604</v>
      </c>
      <c r="F132" s="5">
        <v>5453275.4241644302</v>
      </c>
      <c r="G132" s="5">
        <v>3064510.3484331002</v>
      </c>
      <c r="H132" s="5">
        <v>4068858.7010209602</v>
      </c>
      <c r="I132" s="5">
        <v>3376569.94639201</v>
      </c>
      <c r="J132" s="5">
        <v>7406638.5861971797</v>
      </c>
      <c r="K132" s="5">
        <v>10760836.1319292</v>
      </c>
      <c r="L132" s="5">
        <v>4017202.4802726498</v>
      </c>
      <c r="M132" s="5">
        <v>5096543.92464705</v>
      </c>
      <c r="N132">
        <f t="shared" si="3"/>
        <v>0.73101373138279246</v>
      </c>
    </row>
    <row r="133" spans="1:14" x14ac:dyDescent="0.45">
      <c r="A133" s="5" t="s">
        <v>285</v>
      </c>
      <c r="B133" s="5">
        <v>90353313.433298796</v>
      </c>
      <c r="C133" s="5">
        <v>523983837.42313802</v>
      </c>
      <c r="D133" s="5">
        <v>46474814.560951903</v>
      </c>
      <c r="E133" s="5">
        <v>60370220.025249504</v>
      </c>
      <c r="F133" s="5">
        <v>438572269.65693402</v>
      </c>
      <c r="G133" s="5">
        <v>567094665.22742403</v>
      </c>
      <c r="H133" s="5">
        <v>475832342.18065</v>
      </c>
      <c r="I133" s="5">
        <v>819130776.89037502</v>
      </c>
      <c r="J133" s="5">
        <v>490315728.49774897</v>
      </c>
      <c r="K133" s="5">
        <v>85177753.897388399</v>
      </c>
      <c r="L133" s="5">
        <v>111466441.151363</v>
      </c>
      <c r="M133" s="5">
        <v>80089501.557584599</v>
      </c>
      <c r="N133">
        <f t="shared" si="3"/>
        <v>0.73301864013013707</v>
      </c>
    </row>
    <row r="134" spans="1:14" x14ac:dyDescent="0.45">
      <c r="A134" s="5" t="s">
        <v>267</v>
      </c>
      <c r="B134" s="5">
        <v>360939.79829293001</v>
      </c>
      <c r="C134" s="5">
        <v>1588938.50901521</v>
      </c>
      <c r="D134" s="5">
        <v>191740.02135093999</v>
      </c>
      <c r="E134" s="5">
        <v>116877.067223808</v>
      </c>
      <c r="F134" s="5">
        <v>1043708.14471914</v>
      </c>
      <c r="G134" s="5">
        <v>853591.86571413698</v>
      </c>
      <c r="H134" s="5">
        <v>940131.68523500103</v>
      </c>
      <c r="I134" s="5">
        <v>2260691.99247916</v>
      </c>
      <c r="J134" s="5">
        <v>1546695.7965595101</v>
      </c>
      <c r="K134" s="5">
        <v>93847.919628276301</v>
      </c>
      <c r="L134" s="5">
        <v>132583.719787145</v>
      </c>
      <c r="M134" s="5">
        <v>91944.066570005394</v>
      </c>
      <c r="N134">
        <f t="shared" si="3"/>
        <v>0.73703071984792468</v>
      </c>
    </row>
    <row r="135" spans="1:14" x14ac:dyDescent="0.45">
      <c r="A135" s="5" t="s">
        <v>274</v>
      </c>
      <c r="B135" s="5">
        <v>496224.19184393901</v>
      </c>
      <c r="C135" s="5">
        <v>168047.00740566899</v>
      </c>
      <c r="D135" s="5">
        <v>339122.56209298701</v>
      </c>
      <c r="E135" s="5">
        <v>358735.11086725799</v>
      </c>
      <c r="F135" s="5">
        <v>237268.76287079099</v>
      </c>
      <c r="G135" s="5">
        <v>123919.923508376</v>
      </c>
      <c r="H135" s="5">
        <v>120239.141567901</v>
      </c>
      <c r="I135" s="5">
        <v>49080.088485075197</v>
      </c>
      <c r="J135" s="5">
        <v>109160.84231993101</v>
      </c>
      <c r="K135" s="5">
        <v>499636.99983679102</v>
      </c>
      <c r="L135" s="5">
        <v>367558.04374745901</v>
      </c>
      <c r="M135" s="5">
        <v>386039.79745977599</v>
      </c>
      <c r="N135">
        <f t="shared" si="3"/>
        <v>0.74169823482814679</v>
      </c>
    </row>
    <row r="136" spans="1:14" x14ac:dyDescent="0.45">
      <c r="A136" s="5" t="s">
        <v>171</v>
      </c>
      <c r="B136" s="5">
        <v>242815.534579687</v>
      </c>
      <c r="C136" s="5">
        <v>227682.82703679099</v>
      </c>
      <c r="D136" s="5">
        <v>558703.98347624403</v>
      </c>
      <c r="E136" s="5">
        <v>479501.79587127903</v>
      </c>
      <c r="F136" s="5">
        <v>196282.764441665</v>
      </c>
      <c r="G136" s="5">
        <v>145115.68323330799</v>
      </c>
      <c r="H136" s="5">
        <v>184117.912786284</v>
      </c>
      <c r="I136" s="5">
        <v>146646.85532053199</v>
      </c>
      <c r="J136" s="5">
        <v>724113.55945694703</v>
      </c>
      <c r="K136" s="5">
        <v>328056.06665330299</v>
      </c>
      <c r="L136" s="5">
        <v>290788.62436437397</v>
      </c>
      <c r="M136" s="5">
        <v>396654.08733264898</v>
      </c>
      <c r="N136">
        <f t="shared" si="3"/>
        <v>0.74335730749686446</v>
      </c>
    </row>
    <row r="137" spans="1:14" x14ac:dyDescent="0.45">
      <c r="A137" s="5" t="s">
        <v>177</v>
      </c>
      <c r="B137" s="5">
        <v>993603.48704739497</v>
      </c>
      <c r="C137" s="5">
        <v>634829.32336477505</v>
      </c>
      <c r="D137" s="5">
        <v>1975653.0416579801</v>
      </c>
      <c r="E137" s="5">
        <v>1776880.93432439</v>
      </c>
      <c r="F137" s="5">
        <v>733196.75753919198</v>
      </c>
      <c r="G137" s="5">
        <v>573440.29127520905</v>
      </c>
      <c r="H137" s="5">
        <v>562830.48540681601</v>
      </c>
      <c r="I137" s="5">
        <v>653724.28110330703</v>
      </c>
      <c r="J137" s="5">
        <v>870144.52079559502</v>
      </c>
      <c r="K137" s="5">
        <v>1853954.0557259901</v>
      </c>
      <c r="L137" s="5">
        <v>910100.19444593205</v>
      </c>
      <c r="M137" s="5">
        <v>1214297.8156874301</v>
      </c>
      <c r="N137">
        <f t="shared" si="3"/>
        <v>0.74852601376411732</v>
      </c>
    </row>
    <row r="138" spans="1:14" x14ac:dyDescent="0.45">
      <c r="A138" s="5" t="s">
        <v>31</v>
      </c>
      <c r="B138" s="5">
        <v>770026.11606018501</v>
      </c>
      <c r="C138" s="5">
        <v>669037.312583033</v>
      </c>
      <c r="D138" s="5">
        <v>2983280.7045652</v>
      </c>
      <c r="E138" s="5">
        <v>1590867.9206330799</v>
      </c>
      <c r="F138" s="5">
        <v>622938.61464211799</v>
      </c>
      <c r="G138" s="5">
        <v>684085.05521857098</v>
      </c>
      <c r="H138" s="5">
        <v>713576.68241191201</v>
      </c>
      <c r="I138" s="5">
        <v>544355.83574495104</v>
      </c>
      <c r="J138" s="5">
        <v>472668.95523978001</v>
      </c>
      <c r="K138" s="5">
        <v>1577552.4856292501</v>
      </c>
      <c r="L138" s="5">
        <v>1677257.95389162</v>
      </c>
      <c r="M138" s="5">
        <v>1459414.03798635</v>
      </c>
      <c r="N138">
        <f t="shared" si="3"/>
        <v>0.74964507978097594</v>
      </c>
    </row>
    <row r="139" spans="1:14" x14ac:dyDescent="0.45">
      <c r="A139" s="5" t="s">
        <v>68</v>
      </c>
      <c r="B139" s="5">
        <v>1397291.9170474301</v>
      </c>
      <c r="C139" s="5">
        <v>469023.16082838998</v>
      </c>
      <c r="D139" s="5">
        <v>3433274.88577807</v>
      </c>
      <c r="E139" s="5">
        <v>1429048.8034305</v>
      </c>
      <c r="F139" s="5">
        <v>689448.74836031999</v>
      </c>
      <c r="G139" s="5">
        <v>412259.05294355698</v>
      </c>
      <c r="H139" s="5">
        <v>608528.30301383499</v>
      </c>
      <c r="I139" s="5">
        <v>297308.19615574699</v>
      </c>
      <c r="J139" s="5">
        <v>336051.17100826802</v>
      </c>
      <c r="K139" s="5">
        <v>2105852.8211667701</v>
      </c>
      <c r="L139" s="5">
        <v>3045700.32616936</v>
      </c>
      <c r="M139" s="5">
        <v>2769320.6411401602</v>
      </c>
      <c r="N139">
        <f t="shared" si="3"/>
        <v>0.75505967821351172</v>
      </c>
    </row>
    <row r="140" spans="1:14" x14ac:dyDescent="0.45">
      <c r="A140" s="5" t="s">
        <v>219</v>
      </c>
      <c r="B140" s="5">
        <v>18450474.405767702</v>
      </c>
      <c r="C140" s="5">
        <v>2985837.19912139</v>
      </c>
      <c r="D140" s="5">
        <v>4959306.5642860997</v>
      </c>
      <c r="E140" s="5">
        <v>6558238.3081990704</v>
      </c>
      <c r="F140" s="5">
        <v>5523135.2134554395</v>
      </c>
      <c r="G140" s="5">
        <v>2965491.8562635402</v>
      </c>
      <c r="H140" s="5">
        <v>4467533.9049412804</v>
      </c>
      <c r="I140" s="5">
        <v>1593194.06736598</v>
      </c>
      <c r="J140" s="5">
        <v>1222142.4031485899</v>
      </c>
      <c r="K140" s="5">
        <v>19735262.476812899</v>
      </c>
      <c r="L140" s="5">
        <v>2783595.9522986799</v>
      </c>
      <c r="M140" s="5">
        <v>4631001.8582563903</v>
      </c>
      <c r="N140">
        <f t="shared" si="3"/>
        <v>0.7599049168381169</v>
      </c>
    </row>
    <row r="141" spans="1:14" x14ac:dyDescent="0.45">
      <c r="A141" s="5" t="s">
        <v>245</v>
      </c>
      <c r="B141" s="5">
        <v>211926197.706705</v>
      </c>
      <c r="C141" s="5">
        <v>73658110.101836503</v>
      </c>
      <c r="D141" s="5">
        <v>151857912.52552399</v>
      </c>
      <c r="E141" s="5">
        <v>546522366.51409197</v>
      </c>
      <c r="F141" s="5">
        <v>79853608.566136405</v>
      </c>
      <c r="G141" s="5">
        <v>78817751.2508775</v>
      </c>
      <c r="H141" s="5">
        <v>81667097.668015793</v>
      </c>
      <c r="I141" s="5">
        <v>58673223.379810601</v>
      </c>
      <c r="J141" s="5">
        <v>89878968.426489204</v>
      </c>
      <c r="K141" s="5">
        <v>301128613.25789601</v>
      </c>
      <c r="L141" s="5">
        <v>177368267.09210399</v>
      </c>
      <c r="M141" s="5">
        <v>276831236.39690101</v>
      </c>
      <c r="N141">
        <f t="shared" si="3"/>
        <v>0.76717515397866731</v>
      </c>
    </row>
    <row r="142" spans="1:14" x14ac:dyDescent="0.45">
      <c r="A142" s="5" t="s">
        <v>117</v>
      </c>
      <c r="B142" s="5">
        <v>9347626.0133483</v>
      </c>
      <c r="C142" s="5">
        <v>10110590.2608198</v>
      </c>
      <c r="D142" s="5">
        <v>1878970.49791918</v>
      </c>
      <c r="E142" s="5">
        <v>21914357.219061598</v>
      </c>
      <c r="F142" s="5">
        <v>10440104.072830999</v>
      </c>
      <c r="G142" s="5">
        <v>9125306.1656921599</v>
      </c>
      <c r="H142" s="5">
        <v>8958351.5780726206</v>
      </c>
      <c r="I142" s="5">
        <v>4211048.0370124597</v>
      </c>
      <c r="J142" s="5">
        <v>4197641.7987542897</v>
      </c>
      <c r="K142" s="5">
        <v>37621993.765381902</v>
      </c>
      <c r="L142" s="5">
        <v>7009606.6749627097</v>
      </c>
      <c r="M142" s="5">
        <v>11294874.415027</v>
      </c>
      <c r="N142">
        <f t="shared" si="3"/>
        <v>0.77076771876569938</v>
      </c>
    </row>
    <row r="143" spans="1:14" x14ac:dyDescent="0.45">
      <c r="A143" s="5" t="s">
        <v>102</v>
      </c>
      <c r="B143" s="5">
        <v>11189761.377364401</v>
      </c>
      <c r="C143" s="5">
        <v>50058566.902027197</v>
      </c>
      <c r="D143" s="5">
        <v>20925547.176977701</v>
      </c>
      <c r="E143" s="5">
        <v>8122277.2965267701</v>
      </c>
      <c r="F143" s="5">
        <v>40899062.133098401</v>
      </c>
      <c r="G143" s="5">
        <v>45955214.521986</v>
      </c>
      <c r="H143" s="5">
        <v>37276573.783176497</v>
      </c>
      <c r="I143" s="5">
        <v>82381556.808670893</v>
      </c>
      <c r="J143" s="5">
        <v>47066542.564458899</v>
      </c>
      <c r="K143" s="5">
        <v>9858480.9176900797</v>
      </c>
      <c r="L143" s="5">
        <v>14250947.0277321</v>
      </c>
      <c r="M143" s="5">
        <v>10958790.996169301</v>
      </c>
      <c r="N143">
        <f t="shared" si="3"/>
        <v>0.77211036050841375</v>
      </c>
    </row>
    <row r="144" spans="1:14" x14ac:dyDescent="0.45">
      <c r="A144" s="5" t="s">
        <v>278</v>
      </c>
      <c r="B144" s="5">
        <v>65332.697637802703</v>
      </c>
      <c r="C144" s="5">
        <v>25276.404066863801</v>
      </c>
      <c r="D144" s="5">
        <v>66705.662054474</v>
      </c>
      <c r="E144" s="5">
        <v>65588.751936051805</v>
      </c>
      <c r="F144" s="5">
        <v>25156.853049899499</v>
      </c>
      <c r="G144" s="5">
        <v>31532.9721048885</v>
      </c>
      <c r="H144" s="5">
        <v>22856.083580800499</v>
      </c>
      <c r="I144" s="5">
        <v>33072.467971958104</v>
      </c>
      <c r="J144" s="5">
        <v>24534.915446262701</v>
      </c>
      <c r="K144" s="5">
        <v>71345.975941588404</v>
      </c>
      <c r="L144" s="5">
        <v>64539.535837677002</v>
      </c>
      <c r="M144" s="5">
        <v>87083.314913925293</v>
      </c>
      <c r="N144">
        <f t="shared" si="3"/>
        <v>0.78394225495924186</v>
      </c>
    </row>
    <row r="145" spans="1:14" x14ac:dyDescent="0.45">
      <c r="A145" s="5" t="s">
        <v>258</v>
      </c>
      <c r="B145" s="5">
        <v>1156550.6572743601</v>
      </c>
      <c r="C145" s="5">
        <v>6186545.9079758096</v>
      </c>
      <c r="D145" s="5">
        <v>6757606.74580424</v>
      </c>
      <c r="E145" s="5">
        <v>1675520.56846079</v>
      </c>
      <c r="F145" s="5">
        <v>3076206.5445508701</v>
      </c>
      <c r="G145" s="5">
        <v>2632313.5402413802</v>
      </c>
      <c r="H145" s="5">
        <v>4915826.79078143</v>
      </c>
      <c r="I145" s="5">
        <v>8752954.5729784891</v>
      </c>
      <c r="J145" s="5">
        <v>4327769.5829971004</v>
      </c>
      <c r="K145" s="5">
        <v>157324.92121514701</v>
      </c>
      <c r="L145" s="5">
        <v>196063.403373357</v>
      </c>
      <c r="M145" s="5">
        <v>275662.33107184299</v>
      </c>
      <c r="N145">
        <f t="shared" si="3"/>
        <v>0.78810460168254215</v>
      </c>
    </row>
    <row r="146" spans="1:14" x14ac:dyDescent="0.45">
      <c r="A146" s="5" t="s">
        <v>61</v>
      </c>
      <c r="B146" s="5">
        <v>45535380.895784497</v>
      </c>
      <c r="C146" s="5">
        <v>30088934.994455699</v>
      </c>
      <c r="D146" s="5">
        <v>27625863.999618299</v>
      </c>
      <c r="E146" s="5">
        <v>70814956.640788704</v>
      </c>
      <c r="F146" s="5">
        <v>35171261.116104104</v>
      </c>
      <c r="G146" s="5">
        <v>42852821.521140203</v>
      </c>
      <c r="H146" s="5">
        <v>35400949.419760101</v>
      </c>
      <c r="I146" s="5">
        <v>2729346.43423894</v>
      </c>
      <c r="J146" s="5">
        <v>30019562.074512899</v>
      </c>
      <c r="K146" s="5">
        <v>72604458.235390097</v>
      </c>
      <c r="L146" s="5">
        <v>55138165.3411486</v>
      </c>
      <c r="M146" s="5">
        <v>77954614.160387993</v>
      </c>
      <c r="N146">
        <f t="shared" si="3"/>
        <v>0.79035102354547726</v>
      </c>
    </row>
    <row r="147" spans="1:14" x14ac:dyDescent="0.45">
      <c r="A147" s="5" t="s">
        <v>183</v>
      </c>
      <c r="B147" s="5">
        <v>1630414077.00069</v>
      </c>
      <c r="C147" s="5">
        <v>1001880473.56259</v>
      </c>
      <c r="D147" s="5">
        <v>2302666885.5039601</v>
      </c>
      <c r="E147" s="5">
        <v>1203417386.9854801</v>
      </c>
      <c r="F147" s="5">
        <v>1321036283.9251001</v>
      </c>
      <c r="G147" s="5">
        <v>1118963820.0006399</v>
      </c>
      <c r="H147" s="5">
        <v>1294973063.2579</v>
      </c>
      <c r="I147" s="5">
        <v>1053021078.02865</v>
      </c>
      <c r="J147" s="5">
        <v>1395156429.61147</v>
      </c>
      <c r="K147" s="5">
        <v>1631664643.0302899</v>
      </c>
      <c r="L147" s="5">
        <v>1849437301.04776</v>
      </c>
      <c r="M147" s="5">
        <v>1729748237.6347301</v>
      </c>
      <c r="N147">
        <f t="shared" si="3"/>
        <v>0.7911829278966751</v>
      </c>
    </row>
    <row r="148" spans="1:14" x14ac:dyDescent="0.45">
      <c r="A148" s="5" t="s">
        <v>282</v>
      </c>
      <c r="B148" s="5">
        <v>3680049.8285926101</v>
      </c>
      <c r="C148" s="5">
        <v>30343395.931092702</v>
      </c>
      <c r="D148" s="5">
        <v>2017513.86480966</v>
      </c>
      <c r="E148" s="5">
        <v>1377198.7683311801</v>
      </c>
      <c r="F148" s="5">
        <v>35653243.871511899</v>
      </c>
      <c r="G148" s="5">
        <v>53554318.022791997</v>
      </c>
      <c r="H148" s="5">
        <v>35234347.494868003</v>
      </c>
      <c r="I148" s="5">
        <v>42428904.529536203</v>
      </c>
      <c r="J148" s="5">
        <v>23866593.402005799</v>
      </c>
      <c r="K148" s="5">
        <v>2343992.4860497401</v>
      </c>
      <c r="L148" s="5">
        <v>2515587.74678778</v>
      </c>
      <c r="M148" s="5">
        <v>1285405.32770615</v>
      </c>
      <c r="N148">
        <f t="shared" si="3"/>
        <v>0.79250757029283159</v>
      </c>
    </row>
    <row r="149" spans="1:14" x14ac:dyDescent="0.45">
      <c r="A149" s="5" t="s">
        <v>176</v>
      </c>
      <c r="B149" s="5">
        <v>48197144.187938198</v>
      </c>
      <c r="C149" s="5">
        <v>22850327.8400237</v>
      </c>
      <c r="D149" s="5">
        <v>56374078.735508002</v>
      </c>
      <c r="E149" s="5">
        <v>37306260.571054399</v>
      </c>
      <c r="F149" s="5">
        <v>20940562.487657901</v>
      </c>
      <c r="G149" s="5">
        <v>25484931.934388299</v>
      </c>
      <c r="H149" s="5">
        <v>23257769.0515384</v>
      </c>
      <c r="I149" s="5">
        <v>21505108.945393998</v>
      </c>
      <c r="J149" s="5">
        <v>14710495.283118799</v>
      </c>
      <c r="K149" s="5">
        <v>42656635.979355797</v>
      </c>
      <c r="L149" s="5">
        <v>45389934.602000996</v>
      </c>
      <c r="M149" s="5">
        <v>49896833.6806015</v>
      </c>
      <c r="N149">
        <f t="shared" si="3"/>
        <v>0.79305688268755703</v>
      </c>
    </row>
    <row r="150" spans="1:14" x14ac:dyDescent="0.45">
      <c r="A150" s="5" t="s">
        <v>195</v>
      </c>
      <c r="B150" s="5">
        <v>150314.867485803</v>
      </c>
      <c r="C150" s="5">
        <v>4601026.5875869803</v>
      </c>
      <c r="D150" s="5">
        <v>130267.28388929499</v>
      </c>
      <c r="E150" s="5">
        <v>58897.270351571402</v>
      </c>
      <c r="F150" s="5">
        <v>3411600.43284918</v>
      </c>
      <c r="G150" s="5">
        <v>5140723.1656103302</v>
      </c>
      <c r="H150" s="5">
        <v>3144207.1844476</v>
      </c>
      <c r="I150" s="5">
        <v>8013736.00496059</v>
      </c>
      <c r="J150" s="5">
        <v>4570185.5552863702</v>
      </c>
      <c r="K150" s="5">
        <v>46376.457509202097</v>
      </c>
      <c r="L150" s="5">
        <v>231761.47489159499</v>
      </c>
      <c r="M150" s="5">
        <v>66240.108473415996</v>
      </c>
      <c r="N150">
        <f t="shared" si="3"/>
        <v>0.79881688315799937</v>
      </c>
    </row>
    <row r="151" spans="1:14" x14ac:dyDescent="0.45">
      <c r="A151" s="5" t="s">
        <v>232</v>
      </c>
      <c r="B151" s="5">
        <v>9065905.9067383297</v>
      </c>
      <c r="C151" s="5">
        <v>86733760.474906206</v>
      </c>
      <c r="D151" s="5">
        <v>6377756.6510328297</v>
      </c>
      <c r="E151" s="5">
        <v>7032542.1838739198</v>
      </c>
      <c r="F151" s="5">
        <v>51377423.355009302</v>
      </c>
      <c r="G151" s="5">
        <v>58454950.238472797</v>
      </c>
      <c r="H151" s="5">
        <v>53731685.092841297</v>
      </c>
      <c r="I151" s="5">
        <v>89286343.198672101</v>
      </c>
      <c r="J151" s="5">
        <v>87024713.2397338</v>
      </c>
      <c r="K151" s="5">
        <v>5308668.5489259204</v>
      </c>
      <c r="L151" s="5">
        <v>11999433.0097255</v>
      </c>
      <c r="M151" s="5">
        <v>5216130.4074879801</v>
      </c>
      <c r="N151">
        <f t="shared" si="3"/>
        <v>0.79943438019167856</v>
      </c>
    </row>
    <row r="152" spans="1:14" x14ac:dyDescent="0.45">
      <c r="A152" s="5" t="s">
        <v>143</v>
      </c>
      <c r="B152" s="5">
        <v>3010525.7640473498</v>
      </c>
      <c r="C152" s="5">
        <v>2682043.7938273102</v>
      </c>
      <c r="D152" s="5">
        <v>3090455.36007943</v>
      </c>
      <c r="E152" s="5">
        <v>3989752.22467463</v>
      </c>
      <c r="F152" s="5">
        <v>4048254.3126228899</v>
      </c>
      <c r="G152" s="5">
        <v>2700775.1327576502</v>
      </c>
      <c r="H152" s="5">
        <v>2540852.3372593601</v>
      </c>
      <c r="I152" s="5">
        <v>6042595.7183218496</v>
      </c>
      <c r="J152" s="5">
        <v>1784050.72516622</v>
      </c>
      <c r="K152" s="5">
        <v>3825265.8698633802</v>
      </c>
      <c r="L152" s="5">
        <v>2073890.67195782</v>
      </c>
      <c r="M152" s="5">
        <v>4356236.4805543898</v>
      </c>
      <c r="N152">
        <f t="shared" si="3"/>
        <v>0.80094277220441201</v>
      </c>
    </row>
    <row r="153" spans="1:14" x14ac:dyDescent="0.45">
      <c r="A153" s="5" t="s">
        <v>175</v>
      </c>
      <c r="B153" s="5">
        <v>111477.43342980801</v>
      </c>
      <c r="C153" s="5">
        <v>36125.355473185402</v>
      </c>
      <c r="D153" s="5">
        <v>126199.460803102</v>
      </c>
      <c r="E153" s="5">
        <v>69112.946685388903</v>
      </c>
      <c r="F153" s="5">
        <v>56036.511650841698</v>
      </c>
      <c r="G153" s="5">
        <v>33176.707278899201</v>
      </c>
      <c r="H153" s="5">
        <v>49854.038067638103</v>
      </c>
      <c r="I153" s="5">
        <v>29499.659059492202</v>
      </c>
      <c r="J153" s="5">
        <v>45214.472284599098</v>
      </c>
      <c r="K153" s="5">
        <v>133541.694014204</v>
      </c>
      <c r="L153" s="5">
        <v>91052.411494853193</v>
      </c>
      <c r="M153" s="5">
        <v>117676.868469165</v>
      </c>
      <c r="N153">
        <f t="shared" si="3"/>
        <v>0.81071901427420223</v>
      </c>
    </row>
    <row r="154" spans="1:14" x14ac:dyDescent="0.45">
      <c r="A154" s="5" t="s">
        <v>51</v>
      </c>
      <c r="B154" s="5">
        <v>727640.273307428</v>
      </c>
      <c r="C154" s="5">
        <v>2770051.9905614601</v>
      </c>
      <c r="D154" s="5">
        <v>774276.92878896999</v>
      </c>
      <c r="E154" s="5">
        <v>639084.40595538204</v>
      </c>
      <c r="F154" s="5">
        <v>1634090.5949039401</v>
      </c>
      <c r="G154" s="5">
        <v>3108043.82927251</v>
      </c>
      <c r="H154" s="5">
        <v>1969178.6890472199</v>
      </c>
      <c r="I154" s="5">
        <v>4517831.6833967799</v>
      </c>
      <c r="J154" s="5">
        <v>2767892.94316119</v>
      </c>
      <c r="K154" s="5">
        <v>478450.97162413999</v>
      </c>
      <c r="L154" s="5">
        <v>593981.82331797294</v>
      </c>
      <c r="M154" s="5">
        <v>484732.37875537103</v>
      </c>
      <c r="N154">
        <f t="shared" si="3"/>
        <v>0.81453699433889892</v>
      </c>
    </row>
    <row r="155" spans="1:14" x14ac:dyDescent="0.45">
      <c r="A155" s="5" t="s">
        <v>253</v>
      </c>
      <c r="B155" s="5">
        <v>360093.387656665</v>
      </c>
      <c r="C155" s="5">
        <v>2344778.2711395998</v>
      </c>
      <c r="D155" s="5">
        <v>75912.629125944004</v>
      </c>
      <c r="E155" s="5">
        <v>277254.48270761</v>
      </c>
      <c r="F155" s="5">
        <v>1657775.4579238701</v>
      </c>
      <c r="G155" s="5">
        <v>2060345.55382397</v>
      </c>
      <c r="H155" s="5">
        <v>1236950.5664397201</v>
      </c>
      <c r="I155" s="5">
        <v>1845954.90685763</v>
      </c>
      <c r="J155" s="5">
        <v>2006790.39019997</v>
      </c>
      <c r="K155" s="5">
        <v>529745.75401211798</v>
      </c>
      <c r="L155" s="5">
        <v>209350.458832665</v>
      </c>
      <c r="M155" s="5">
        <v>189543.79683613399</v>
      </c>
      <c r="N155">
        <f t="shared" si="3"/>
        <v>0.8155103717682205</v>
      </c>
    </row>
    <row r="156" spans="1:14" x14ac:dyDescent="0.45">
      <c r="A156" s="5" t="s">
        <v>107</v>
      </c>
      <c r="B156" s="5">
        <v>1380042.59774266</v>
      </c>
      <c r="C156" s="5">
        <v>2529658.17439073</v>
      </c>
      <c r="D156" s="5">
        <v>38256065.221831597</v>
      </c>
      <c r="E156" s="5">
        <v>529172.57664115005</v>
      </c>
      <c r="F156" s="5">
        <v>998260.22251359897</v>
      </c>
      <c r="G156" s="5">
        <v>269934.273832192</v>
      </c>
      <c r="H156" s="5">
        <v>283366.723812218</v>
      </c>
      <c r="I156" s="5">
        <v>235111.56463643399</v>
      </c>
      <c r="J156" s="5">
        <v>2973147.5735485102</v>
      </c>
      <c r="K156" s="5">
        <v>818268.88307643996</v>
      </c>
      <c r="L156" s="5">
        <v>229978.85129293799</v>
      </c>
      <c r="M156" s="5">
        <v>28681584.052381501</v>
      </c>
      <c r="N156">
        <f t="shared" si="3"/>
        <v>0.82185151787703536</v>
      </c>
    </row>
    <row r="157" spans="1:14" x14ac:dyDescent="0.45">
      <c r="A157" s="5" t="s">
        <v>287</v>
      </c>
      <c r="B157" s="5">
        <v>27891417.9948957</v>
      </c>
      <c r="C157" s="5">
        <v>141432749.921242</v>
      </c>
      <c r="D157" s="5">
        <v>3661955.97283345</v>
      </c>
      <c r="E157" s="5">
        <v>13932941.582137899</v>
      </c>
      <c r="F157" s="5">
        <v>102675595.76626401</v>
      </c>
      <c r="G157" s="5">
        <v>139393452.42561799</v>
      </c>
      <c r="H157" s="5">
        <v>84145488.887080595</v>
      </c>
      <c r="I157" s="5">
        <v>188756307.05713201</v>
      </c>
      <c r="J157" s="5">
        <v>149052940.141828</v>
      </c>
      <c r="K157" s="5">
        <v>35606864.912989303</v>
      </c>
      <c r="L157" s="5">
        <v>15223185.8576374</v>
      </c>
      <c r="M157" s="5">
        <v>10291099.887614001</v>
      </c>
      <c r="N157">
        <f t="shared" si="3"/>
        <v>0.82610501101980127</v>
      </c>
    </row>
    <row r="158" spans="1:14" x14ac:dyDescent="0.45">
      <c r="A158" s="5" t="s">
        <v>165</v>
      </c>
      <c r="B158" s="5">
        <v>2761620.3254197598</v>
      </c>
      <c r="C158" s="5">
        <v>1390437.6918792699</v>
      </c>
      <c r="D158" s="5">
        <v>4411673.62617689</v>
      </c>
      <c r="E158" s="5">
        <v>1948314.82223813</v>
      </c>
      <c r="F158" s="5">
        <v>2086345.45160649</v>
      </c>
      <c r="G158" s="5">
        <v>1744287.41278265</v>
      </c>
      <c r="H158" s="5">
        <v>1441701.8818021601</v>
      </c>
      <c r="I158" s="5">
        <v>2261640.5716565801</v>
      </c>
      <c r="J158" s="5">
        <v>1791397.3752991101</v>
      </c>
      <c r="K158" s="5">
        <v>3168004.6721604201</v>
      </c>
      <c r="L158" s="5">
        <v>3252971.6912532002</v>
      </c>
      <c r="M158" s="5">
        <v>3166405.3648747602</v>
      </c>
      <c r="N158">
        <f t="shared" si="3"/>
        <v>0.82710638508230616</v>
      </c>
    </row>
    <row r="159" spans="1:14" x14ac:dyDescent="0.45">
      <c r="A159" s="5" t="s">
        <v>41</v>
      </c>
      <c r="B159" s="5">
        <v>29102509.2940896</v>
      </c>
      <c r="C159" s="5">
        <v>18252650.1634553</v>
      </c>
      <c r="D159" s="5">
        <v>60131850.232973099</v>
      </c>
      <c r="E159" s="5">
        <v>17799464.144618101</v>
      </c>
      <c r="F159" s="5">
        <v>19610788.0369468</v>
      </c>
      <c r="G159" s="5">
        <v>17959102.444545899</v>
      </c>
      <c r="H159" s="5">
        <v>22509304.4874807</v>
      </c>
      <c r="I159" s="5">
        <v>17463971.065108601</v>
      </c>
      <c r="J159" s="5">
        <v>20657630.4637964</v>
      </c>
      <c r="K159" s="5">
        <v>26788896.191412099</v>
      </c>
      <c r="L159" s="5">
        <v>35897513.902756996</v>
      </c>
      <c r="M159" s="5">
        <v>29866336.570355002</v>
      </c>
      <c r="N159">
        <f t="shared" si="3"/>
        <v>0.83103842460772437</v>
      </c>
    </row>
    <row r="160" spans="1:14" x14ac:dyDescent="0.45">
      <c r="A160" s="5" t="s">
        <v>52</v>
      </c>
      <c r="B160" s="5">
        <v>1723757.50336317</v>
      </c>
      <c r="C160" s="5">
        <v>1113870.1662667801</v>
      </c>
      <c r="D160" s="5">
        <v>1871841.3650120499</v>
      </c>
      <c r="E160" s="5">
        <v>1953575.17989816</v>
      </c>
      <c r="F160" s="5">
        <v>983846.91167741001</v>
      </c>
      <c r="G160" s="5">
        <v>1181606.2126210199</v>
      </c>
      <c r="H160" s="5">
        <v>1174357.7293291499</v>
      </c>
      <c r="I160" s="5">
        <v>1303109.4959628901</v>
      </c>
      <c r="J160" s="5">
        <v>1198767.2051375699</v>
      </c>
      <c r="K160" s="5">
        <v>1643886.7045070999</v>
      </c>
      <c r="L160" s="5">
        <v>1700367.53834737</v>
      </c>
      <c r="M160" s="5">
        <v>2082615.3285695601</v>
      </c>
      <c r="N160">
        <f t="shared" si="3"/>
        <v>0.84396959214054179</v>
      </c>
    </row>
    <row r="161" spans="1:14" x14ac:dyDescent="0.45">
      <c r="A161" s="5" t="s">
        <v>178</v>
      </c>
      <c r="B161" s="5">
        <v>10804028.7150116</v>
      </c>
      <c r="C161" s="5">
        <v>7973672.9887797805</v>
      </c>
      <c r="D161" s="5">
        <v>12277622.996466201</v>
      </c>
      <c r="E161" s="5">
        <v>12893974.809857899</v>
      </c>
      <c r="F161" s="5">
        <v>7024395.2131811501</v>
      </c>
      <c r="G161" s="5">
        <v>7867699.88434627</v>
      </c>
      <c r="H161" s="5">
        <v>6933380.8161241096</v>
      </c>
      <c r="I161" s="5">
        <v>9518137.65865626</v>
      </c>
      <c r="J161" s="5">
        <v>7206743.7175303204</v>
      </c>
      <c r="K161" s="5">
        <v>11230858.826324699</v>
      </c>
      <c r="L161" s="5">
        <v>10157268.517996401</v>
      </c>
      <c r="M161" s="5">
        <v>12181700.389022499</v>
      </c>
      <c r="N161">
        <f t="shared" si="3"/>
        <v>0.84510294470826752</v>
      </c>
    </row>
    <row r="162" spans="1:14" x14ac:dyDescent="0.45">
      <c r="A162" s="5" t="s">
        <v>137</v>
      </c>
      <c r="B162" s="5">
        <v>32308496.054028202</v>
      </c>
      <c r="C162" s="5">
        <v>30567680.623750199</v>
      </c>
      <c r="D162" s="5">
        <v>65047551.307138197</v>
      </c>
      <c r="E162" s="5">
        <v>25640259.4811791</v>
      </c>
      <c r="F162" s="5">
        <v>28741308.922270902</v>
      </c>
      <c r="G162" s="5">
        <v>37583004.958799198</v>
      </c>
      <c r="H162" s="5">
        <v>29812621.136905499</v>
      </c>
      <c r="I162" s="5">
        <v>39125980.262525298</v>
      </c>
      <c r="J162" s="5">
        <v>31243177.630669199</v>
      </c>
      <c r="K162" s="5">
        <v>32004432.380633499</v>
      </c>
      <c r="L162" s="5">
        <v>42481918.4744002</v>
      </c>
      <c r="M162" s="5">
        <v>38022908.537476003</v>
      </c>
      <c r="N162">
        <f t="shared" si="3"/>
        <v>0.85201093491994151</v>
      </c>
    </row>
    <row r="163" spans="1:14" x14ac:dyDescent="0.45">
      <c r="A163" s="5" t="s">
        <v>179</v>
      </c>
      <c r="B163" s="5">
        <v>916291.29750478105</v>
      </c>
      <c r="C163" s="5">
        <v>20890027.526346698</v>
      </c>
      <c r="D163" s="5">
        <v>22091.901026201002</v>
      </c>
      <c r="E163" s="5">
        <v>286447.24665436998</v>
      </c>
      <c r="F163" s="5">
        <v>16807400.4345924</v>
      </c>
      <c r="G163" s="5">
        <v>23262679.8383331</v>
      </c>
      <c r="H163" s="5">
        <v>16859653.5383261</v>
      </c>
      <c r="I163" s="5">
        <v>17118275.846023399</v>
      </c>
      <c r="J163" s="5">
        <v>18527885.6830336</v>
      </c>
      <c r="K163" s="5">
        <v>289735.80883904902</v>
      </c>
      <c r="L163" s="5">
        <v>2423439.03634327</v>
      </c>
      <c r="M163" s="5">
        <v>324438.73451401602</v>
      </c>
      <c r="N163">
        <f t="shared" si="3"/>
        <v>0.85386514929444934</v>
      </c>
    </row>
    <row r="164" spans="1:14" x14ac:dyDescent="0.45">
      <c r="A164" s="5" t="s">
        <v>266</v>
      </c>
      <c r="B164" s="5">
        <v>135788.81462759501</v>
      </c>
      <c r="C164" s="5">
        <v>1199105.44951525</v>
      </c>
      <c r="D164" s="5">
        <v>50723.233673258597</v>
      </c>
      <c r="E164" s="5">
        <v>37843.583518828404</v>
      </c>
      <c r="F164" s="5">
        <v>1276392.31758671</v>
      </c>
      <c r="G164" s="5">
        <v>847012.24457230896</v>
      </c>
      <c r="H164" s="5">
        <v>746039.91511882795</v>
      </c>
      <c r="I164" s="5">
        <v>1271236.59948473</v>
      </c>
      <c r="J164" s="5">
        <v>1083990.8598674899</v>
      </c>
      <c r="K164" s="5">
        <v>10653.9201917754</v>
      </c>
      <c r="L164" s="5">
        <v>37267.308117441797</v>
      </c>
      <c r="M164" s="5">
        <v>23034.363963549698</v>
      </c>
      <c r="N164">
        <f t="shared" si="3"/>
        <v>0.85620254564319631</v>
      </c>
    </row>
    <row r="165" spans="1:14" x14ac:dyDescent="0.45">
      <c r="A165" s="5" t="s">
        <v>58</v>
      </c>
      <c r="B165" s="5">
        <v>19834060.770400699</v>
      </c>
      <c r="C165" s="5">
        <v>19189448.446761198</v>
      </c>
      <c r="D165" s="5">
        <v>63363211.596374698</v>
      </c>
      <c r="E165" s="5">
        <v>46096629.2726539</v>
      </c>
      <c r="F165" s="5">
        <v>21380671.717150301</v>
      </c>
      <c r="G165" s="5">
        <v>25891045.3540272</v>
      </c>
      <c r="H165" s="5">
        <v>42555138.837268703</v>
      </c>
      <c r="I165" s="5">
        <v>24365332.086142901</v>
      </c>
      <c r="J165" s="5">
        <v>14095120.0925759</v>
      </c>
      <c r="K165" s="5">
        <v>29668540.716665499</v>
      </c>
      <c r="L165" s="5">
        <v>34748710.965529896</v>
      </c>
      <c r="M165" s="5">
        <v>40828482.740652896</v>
      </c>
      <c r="N165">
        <f t="shared" si="3"/>
        <v>0.85767400848370023</v>
      </c>
    </row>
    <row r="166" spans="1:14" x14ac:dyDescent="0.45">
      <c r="A166" s="5" t="s">
        <v>268</v>
      </c>
      <c r="B166" s="5">
        <v>246696816.171682</v>
      </c>
      <c r="C166" s="5">
        <v>137431034.27394599</v>
      </c>
      <c r="D166" s="5">
        <v>161744945.35832301</v>
      </c>
      <c r="E166" s="5">
        <v>269634414.26409</v>
      </c>
      <c r="F166" s="5">
        <v>169053978.83387399</v>
      </c>
      <c r="G166" s="5">
        <v>129398363.22808801</v>
      </c>
      <c r="H166" s="5">
        <v>138152560.96169999</v>
      </c>
      <c r="I166" s="5">
        <v>121687714.59779701</v>
      </c>
      <c r="J166" s="5">
        <v>79266247.940013006</v>
      </c>
      <c r="K166" s="5">
        <v>296471998.840626</v>
      </c>
      <c r="L166" s="5">
        <v>207926829.01784599</v>
      </c>
      <c r="M166" s="5">
        <v>226148874.91685399</v>
      </c>
      <c r="N166">
        <f t="shared" si="3"/>
        <v>0.85849320412265206</v>
      </c>
    </row>
    <row r="167" spans="1:14" x14ac:dyDescent="0.45">
      <c r="A167" s="5" t="s">
        <v>123</v>
      </c>
      <c r="B167" s="5">
        <v>31352428.936691001</v>
      </c>
      <c r="C167" s="5">
        <v>22303298.6642575</v>
      </c>
      <c r="D167" s="5">
        <v>31112495.102546901</v>
      </c>
      <c r="E167" s="5">
        <v>27520387.3466595</v>
      </c>
      <c r="F167" s="5">
        <v>21255840.5982274</v>
      </c>
      <c r="G167" s="5">
        <v>22551044.502973799</v>
      </c>
      <c r="H167" s="5">
        <v>22737809.6141208</v>
      </c>
      <c r="I167" s="5">
        <v>26694815.661795001</v>
      </c>
      <c r="J167" s="5">
        <v>25732069.883474901</v>
      </c>
      <c r="K167" s="5">
        <v>25983140.5202871</v>
      </c>
      <c r="L167" s="5">
        <v>28765520.2482704</v>
      </c>
      <c r="M167" s="5">
        <v>28436544.228190999</v>
      </c>
      <c r="N167">
        <f t="shared" si="3"/>
        <v>0.8598478818290245</v>
      </c>
    </row>
    <row r="168" spans="1:14" x14ac:dyDescent="0.45">
      <c r="A168" s="5" t="s">
        <v>272</v>
      </c>
      <c r="B168" s="5">
        <v>450852.24085912498</v>
      </c>
      <c r="C168" s="5">
        <v>626005.05285700201</v>
      </c>
      <c r="D168" s="5">
        <v>430798.47806792799</v>
      </c>
      <c r="E168" s="5">
        <v>417830.15599505597</v>
      </c>
      <c r="F168" s="5">
        <v>570722.493769711</v>
      </c>
      <c r="G168" s="5">
        <v>500873.86772919702</v>
      </c>
      <c r="H168" s="5">
        <v>468292.73975040199</v>
      </c>
      <c r="I168" s="5">
        <v>593834.958291132</v>
      </c>
      <c r="J168" s="5">
        <v>717395.390109887</v>
      </c>
      <c r="K168" s="5">
        <v>399651.111803754</v>
      </c>
      <c r="L168" s="5">
        <v>381585.11236324802</v>
      </c>
      <c r="M168" s="5">
        <v>365685.09225886798</v>
      </c>
      <c r="N168">
        <f t="shared" si="3"/>
        <v>0.8632521243432395</v>
      </c>
    </row>
    <row r="169" spans="1:14" x14ac:dyDescent="0.45">
      <c r="A169" s="5" t="s">
        <v>162</v>
      </c>
      <c r="B169" s="5">
        <v>30435085.400394499</v>
      </c>
      <c r="C169" s="5">
        <v>24469761.524273999</v>
      </c>
      <c r="D169" s="5">
        <v>32473325.827751901</v>
      </c>
      <c r="E169" s="5">
        <v>31768917.1445271</v>
      </c>
      <c r="F169" s="5">
        <v>25254845.616342202</v>
      </c>
      <c r="G169" s="5">
        <v>27279022.309339002</v>
      </c>
      <c r="H169" s="5">
        <v>25489009.786563501</v>
      </c>
      <c r="I169" s="5">
        <v>25688286.670477301</v>
      </c>
      <c r="J169" s="5">
        <v>24196749.003536701</v>
      </c>
      <c r="K169" s="5">
        <v>31279350.773403101</v>
      </c>
      <c r="L169" s="5">
        <v>35898838.466195002</v>
      </c>
      <c r="M169" s="5">
        <v>31599567.346885599</v>
      </c>
      <c r="N169">
        <f t="shared" si="3"/>
        <v>0.86383654957774769</v>
      </c>
    </row>
    <row r="170" spans="1:14" x14ac:dyDescent="0.45">
      <c r="A170" s="5" t="s">
        <v>50</v>
      </c>
      <c r="B170" s="5">
        <v>6785231.66548998</v>
      </c>
      <c r="C170" s="5">
        <v>722006.13414109498</v>
      </c>
      <c r="D170" s="5">
        <v>3410180.3404260101</v>
      </c>
      <c r="E170" s="5">
        <v>2866652.6640278199</v>
      </c>
      <c r="F170" s="5">
        <v>771986.77866679104</v>
      </c>
      <c r="G170" s="5">
        <v>606911.24185938202</v>
      </c>
      <c r="H170" s="5">
        <v>605086.94500582397</v>
      </c>
      <c r="I170" s="5">
        <v>671131.69921726396</v>
      </c>
      <c r="J170" s="5">
        <v>781154.85390284401</v>
      </c>
      <c r="K170" s="5">
        <v>9838164.9739506207</v>
      </c>
      <c r="L170" s="5">
        <v>1160723.3963149199</v>
      </c>
      <c r="M170" s="5">
        <v>3914065.3519754</v>
      </c>
      <c r="N170">
        <f t="shared" si="3"/>
        <v>0.86959100777135045</v>
      </c>
    </row>
    <row r="171" spans="1:14" x14ac:dyDescent="0.45">
      <c r="A171" s="5" t="s">
        <v>104</v>
      </c>
      <c r="B171" s="5">
        <v>9041318.33420901</v>
      </c>
      <c r="C171" s="5">
        <v>9739533.4435617309</v>
      </c>
      <c r="D171" s="5">
        <v>27193869.579668101</v>
      </c>
      <c r="E171" s="5">
        <v>17621479.442679901</v>
      </c>
      <c r="F171" s="5">
        <v>8610747.8670000602</v>
      </c>
      <c r="G171" s="5">
        <v>14235183.2965704</v>
      </c>
      <c r="H171" s="5">
        <v>22530226.095633999</v>
      </c>
      <c r="I171" s="5">
        <v>17614427.527486999</v>
      </c>
      <c r="J171" s="5">
        <v>9246287.1936179698</v>
      </c>
      <c r="K171" s="5">
        <v>13468234.443379</v>
      </c>
      <c r="L171" s="5">
        <v>13879317.8879779</v>
      </c>
      <c r="M171" s="5">
        <v>13207196.6762095</v>
      </c>
      <c r="N171">
        <f t="shared" si="3"/>
        <v>0.86976759221664512</v>
      </c>
    </row>
    <row r="172" spans="1:14" x14ac:dyDescent="0.45">
      <c r="A172" s="5" t="s">
        <v>146</v>
      </c>
      <c r="B172" s="5">
        <v>303894735.31424201</v>
      </c>
      <c r="C172" s="5">
        <v>177766599.932928</v>
      </c>
      <c r="D172" s="5">
        <v>360276899.31733203</v>
      </c>
      <c r="E172" s="5">
        <v>216266368.395834</v>
      </c>
      <c r="F172" s="5">
        <v>205850532.834465</v>
      </c>
      <c r="G172" s="5">
        <v>190805466.23309401</v>
      </c>
      <c r="H172" s="5">
        <v>185004133.86799601</v>
      </c>
      <c r="I172" s="5">
        <v>195731939.879282</v>
      </c>
      <c r="J172" s="5">
        <v>181230781.04504001</v>
      </c>
      <c r="K172" s="5">
        <v>315308974.39067203</v>
      </c>
      <c r="L172" s="5">
        <v>308484878.55997998</v>
      </c>
      <c r="M172" s="5">
        <v>309852664.05001003</v>
      </c>
      <c r="N172">
        <f t="shared" si="3"/>
        <v>0.87079331374038627</v>
      </c>
    </row>
    <row r="173" spans="1:14" x14ac:dyDescent="0.45">
      <c r="A173" s="5" t="s">
        <v>74</v>
      </c>
      <c r="B173" s="5">
        <v>329295517.85779101</v>
      </c>
      <c r="C173" s="5">
        <v>294089179.90713501</v>
      </c>
      <c r="D173" s="5">
        <v>339911343.677284</v>
      </c>
      <c r="E173" s="5">
        <v>403160652.50095302</v>
      </c>
      <c r="F173" s="5">
        <v>242404164.181494</v>
      </c>
      <c r="G173" s="5">
        <v>288934845.356516</v>
      </c>
      <c r="H173" s="5">
        <v>261019595.73919699</v>
      </c>
      <c r="I173" s="5">
        <v>344963409.01476097</v>
      </c>
      <c r="J173" s="5">
        <v>259291235.16715801</v>
      </c>
      <c r="K173" s="5">
        <v>323577599.17852402</v>
      </c>
      <c r="L173" s="5">
        <v>341692265.76215702</v>
      </c>
      <c r="M173" s="5">
        <v>340314143.78025699</v>
      </c>
      <c r="N173">
        <f t="shared" si="3"/>
        <v>0.87510507174917485</v>
      </c>
    </row>
    <row r="174" spans="1:14" x14ac:dyDescent="0.45">
      <c r="A174" s="5" t="s">
        <v>144</v>
      </c>
      <c r="B174" s="5">
        <v>37228421.141860202</v>
      </c>
      <c r="C174" s="5">
        <v>24046657.740989499</v>
      </c>
      <c r="D174" s="5">
        <v>35712563.086119398</v>
      </c>
      <c r="E174" s="5">
        <v>27173609.592444099</v>
      </c>
      <c r="F174" s="5">
        <v>20264115.3793942</v>
      </c>
      <c r="G174" s="5">
        <v>19488403.338113099</v>
      </c>
      <c r="H174" s="5">
        <v>20318871.864263501</v>
      </c>
      <c r="I174" s="5">
        <v>18722990.294516198</v>
      </c>
      <c r="J174" s="5">
        <v>15573346.0219742</v>
      </c>
      <c r="K174" s="5">
        <v>34359791.586475499</v>
      </c>
      <c r="L174" s="5">
        <v>39319561.185874701</v>
      </c>
      <c r="M174" s="5">
        <v>40925759.000018403</v>
      </c>
      <c r="N174">
        <f t="shared" si="3"/>
        <v>0.87664595649673871</v>
      </c>
    </row>
    <row r="175" spans="1:14" x14ac:dyDescent="0.45">
      <c r="A175" s="5" t="s">
        <v>49</v>
      </c>
      <c r="B175" s="5">
        <v>83849730.612857297</v>
      </c>
      <c r="C175" s="5">
        <v>75940884.929891706</v>
      </c>
      <c r="D175" s="5">
        <v>98046566.395426795</v>
      </c>
      <c r="E175" s="5">
        <v>76058886.256480604</v>
      </c>
      <c r="F175" s="5">
        <v>65678754.629473098</v>
      </c>
      <c r="G175" s="5">
        <v>78824775.420579597</v>
      </c>
      <c r="H175" s="5">
        <v>67749955.534062997</v>
      </c>
      <c r="I175" s="5">
        <v>90370474.767682999</v>
      </c>
      <c r="J175" s="5">
        <v>62415819.775378004</v>
      </c>
      <c r="K175" s="5">
        <v>75393929.746022105</v>
      </c>
      <c r="L175" s="5">
        <v>93455860.7608345</v>
      </c>
      <c r="M175" s="5">
        <v>82826083.0290595</v>
      </c>
      <c r="N175">
        <f t="shared" si="3"/>
        <v>0.88068536612079706</v>
      </c>
    </row>
    <row r="176" spans="1:14" x14ac:dyDescent="0.45">
      <c r="A176" s="5" t="s">
        <v>244</v>
      </c>
      <c r="B176" s="5">
        <v>1214201.01436446</v>
      </c>
      <c r="C176" s="5">
        <v>834038.12533563899</v>
      </c>
      <c r="D176" s="5">
        <v>2084368.4990006101</v>
      </c>
      <c r="E176" s="5">
        <v>1192418.2894444801</v>
      </c>
      <c r="F176" s="5">
        <v>916002.05039281596</v>
      </c>
      <c r="G176" s="5">
        <v>932333.08287550998</v>
      </c>
      <c r="H176" s="5">
        <v>1051930.3277714299</v>
      </c>
      <c r="I176" s="5">
        <v>1037665.2269851801</v>
      </c>
      <c r="J176" s="5">
        <v>1184349.20774403</v>
      </c>
      <c r="K176" s="5">
        <v>996070.97425867303</v>
      </c>
      <c r="L176" s="5">
        <v>1338848.5576426301</v>
      </c>
      <c r="M176" s="5">
        <v>1382412.21643772</v>
      </c>
      <c r="N176">
        <f t="shared" si="3"/>
        <v>0.88259981802783682</v>
      </c>
    </row>
    <row r="177" spans="1:14" x14ac:dyDescent="0.45">
      <c r="A177" s="5" t="s">
        <v>252</v>
      </c>
      <c r="B177" s="5">
        <v>58675.380998348999</v>
      </c>
      <c r="C177" s="5">
        <v>743878.47831962805</v>
      </c>
      <c r="D177" s="5">
        <v>65999.297332998001</v>
      </c>
      <c r="E177" s="5">
        <v>83595.011096300499</v>
      </c>
      <c r="F177" s="5">
        <v>837150.35672144196</v>
      </c>
      <c r="G177" s="5">
        <v>733152.30195448198</v>
      </c>
      <c r="H177" s="5">
        <v>576221.183385866</v>
      </c>
      <c r="I177" s="5">
        <v>1151756.77994928</v>
      </c>
      <c r="J177" s="5">
        <v>826809.48933745397</v>
      </c>
      <c r="K177" s="5">
        <v>58037.796313866202</v>
      </c>
      <c r="L177" s="5">
        <v>58877.490859323501</v>
      </c>
      <c r="M177" s="5">
        <v>67009.083121678705</v>
      </c>
      <c r="N177">
        <f t="shared" si="3"/>
        <v>0.88746335278052968</v>
      </c>
    </row>
    <row r="178" spans="1:14" x14ac:dyDescent="0.45">
      <c r="A178" s="5" t="s">
        <v>152</v>
      </c>
      <c r="B178" s="5">
        <v>502113621.03520101</v>
      </c>
      <c r="C178" s="5">
        <v>404434612.66376603</v>
      </c>
      <c r="D178" s="5">
        <v>901795887.56556404</v>
      </c>
      <c r="E178" s="5">
        <v>230079403.629742</v>
      </c>
      <c r="F178" s="5">
        <v>381839969.79501301</v>
      </c>
      <c r="G178" s="5">
        <v>356612138.36377001</v>
      </c>
      <c r="H178" s="5">
        <v>410201936.65987498</v>
      </c>
      <c r="I178" s="5">
        <v>290637860.09880102</v>
      </c>
      <c r="J178" s="5">
        <v>377702282.05848497</v>
      </c>
      <c r="K178" s="5">
        <v>504568145.61471099</v>
      </c>
      <c r="L178" s="5">
        <v>702097408.39949405</v>
      </c>
      <c r="M178" s="5">
        <v>580080879.18797302</v>
      </c>
      <c r="N178">
        <f t="shared" si="3"/>
        <v>0.89853000264832583</v>
      </c>
    </row>
    <row r="179" spans="1:14" x14ac:dyDescent="0.45">
      <c r="A179" s="5" t="s">
        <v>56</v>
      </c>
      <c r="B179" s="5">
        <v>239637191.04173201</v>
      </c>
      <c r="C179" s="5">
        <v>299691798.15353799</v>
      </c>
      <c r="D179" s="5">
        <v>302812836.32587397</v>
      </c>
      <c r="E179" s="5">
        <v>271058844.86993301</v>
      </c>
      <c r="F179" s="5">
        <v>285262519.38485599</v>
      </c>
      <c r="G179" s="5">
        <v>242193093.03486201</v>
      </c>
      <c r="H179" s="5">
        <v>197656336.147212</v>
      </c>
      <c r="I179" s="5">
        <v>454543313.29722798</v>
      </c>
      <c r="J179" s="5">
        <v>365125850.932033</v>
      </c>
      <c r="K179" s="5">
        <v>290591659.15422601</v>
      </c>
      <c r="L179" s="5">
        <v>180264208.48954901</v>
      </c>
      <c r="M179" s="5">
        <v>189388659.09406701</v>
      </c>
      <c r="N179">
        <f t="shared" si="3"/>
        <v>0.89868380897983524</v>
      </c>
    </row>
    <row r="180" spans="1:14" x14ac:dyDescent="0.45">
      <c r="A180" s="5" t="s">
        <v>212</v>
      </c>
      <c r="B180" s="5">
        <v>10265803.8148594</v>
      </c>
      <c r="C180" s="5">
        <v>10165991.651990499</v>
      </c>
      <c r="D180" s="5">
        <v>1841719.0418664999</v>
      </c>
      <c r="E180" s="5">
        <v>2855531.79549838</v>
      </c>
      <c r="F180" s="5">
        <v>8139885.6360266404</v>
      </c>
      <c r="G180" s="5">
        <v>5922709.1168671697</v>
      </c>
      <c r="H180" s="5">
        <v>7278989.41047257</v>
      </c>
      <c r="I180" s="5">
        <v>3067747.0096415998</v>
      </c>
      <c r="J180" s="5">
        <v>5373373.13459545</v>
      </c>
      <c r="K180" s="5">
        <v>11347108.931585601</v>
      </c>
      <c r="L180" s="5">
        <v>4743485.8654327802</v>
      </c>
      <c r="M180" s="5">
        <v>5924161.7367775198</v>
      </c>
      <c r="N180">
        <f t="shared" si="3"/>
        <v>0.89974953698676607</v>
      </c>
    </row>
    <row r="181" spans="1:14" x14ac:dyDescent="0.45">
      <c r="A181" s="5" t="s">
        <v>199</v>
      </c>
      <c r="B181" s="5">
        <v>272107.78250319901</v>
      </c>
      <c r="C181" s="5">
        <v>1368156.15549988</v>
      </c>
      <c r="D181" s="5">
        <v>22307.022737536499</v>
      </c>
      <c r="E181" s="5">
        <v>63852.0437258702</v>
      </c>
      <c r="F181" s="5">
        <v>835381.47758669499</v>
      </c>
      <c r="G181" s="5">
        <v>1354155.4798819099</v>
      </c>
      <c r="H181" s="5">
        <v>980643.56653871504</v>
      </c>
      <c r="I181" s="5">
        <v>560967.43528582598</v>
      </c>
      <c r="J181" s="5">
        <v>1317750.7476373301</v>
      </c>
      <c r="K181" s="5">
        <v>137156.70499500199</v>
      </c>
      <c r="L181" s="5">
        <v>599402.06226415897</v>
      </c>
      <c r="M181" s="5">
        <v>91066.613623217607</v>
      </c>
      <c r="N181">
        <f t="shared" si="3"/>
        <v>0.90725086925142528</v>
      </c>
    </row>
    <row r="182" spans="1:14" x14ac:dyDescent="0.45">
      <c r="A182" s="5" t="s">
        <v>201</v>
      </c>
      <c r="B182" s="5">
        <v>16833238.909796901</v>
      </c>
      <c r="C182" s="5">
        <v>13106138.030362001</v>
      </c>
      <c r="D182" s="5">
        <v>19037712.719236299</v>
      </c>
      <c r="E182" s="5">
        <v>19732136.047267798</v>
      </c>
      <c r="F182" s="5">
        <v>10981473.060737399</v>
      </c>
      <c r="G182" s="5">
        <v>14521203.310427001</v>
      </c>
      <c r="H182" s="5">
        <v>12033657.993961601</v>
      </c>
      <c r="I182" s="5">
        <v>13049692.679515401</v>
      </c>
      <c r="J182" s="5">
        <v>11273542.3884368</v>
      </c>
      <c r="K182" s="5">
        <v>18996949.753536101</v>
      </c>
      <c r="L182" s="5">
        <v>17474689.846326001</v>
      </c>
      <c r="M182" s="5">
        <v>19929462.063093599</v>
      </c>
      <c r="N182">
        <f t="shared" si="3"/>
        <v>0.90987176539105308</v>
      </c>
    </row>
    <row r="183" spans="1:14" x14ac:dyDescent="0.45">
      <c r="A183" s="5" t="s">
        <v>38</v>
      </c>
      <c r="B183" s="5">
        <v>4643869.0393826496</v>
      </c>
      <c r="C183" s="5">
        <v>3675673.49766269</v>
      </c>
      <c r="D183" s="5">
        <v>7548312.7189799501</v>
      </c>
      <c r="E183" s="5">
        <v>1569271.26839168</v>
      </c>
      <c r="F183" s="5">
        <v>3619593.7038141098</v>
      </c>
      <c r="G183" s="5">
        <v>3468554.6418205299</v>
      </c>
      <c r="H183" s="5">
        <v>3958690.2685277001</v>
      </c>
      <c r="I183" s="5">
        <v>4183615.4957112302</v>
      </c>
      <c r="J183" s="5">
        <v>4303118.2071343297</v>
      </c>
      <c r="K183" s="5">
        <v>3334172.9367641201</v>
      </c>
      <c r="L183" s="5">
        <v>5634614.7625685297</v>
      </c>
      <c r="M183" s="5">
        <v>3707416.08392251</v>
      </c>
      <c r="N183">
        <f t="shared" si="3"/>
        <v>0.9109368509364113</v>
      </c>
    </row>
    <row r="184" spans="1:14" x14ac:dyDescent="0.45">
      <c r="A184" s="5" t="s">
        <v>237</v>
      </c>
      <c r="B184" s="5">
        <v>66657.990382930599</v>
      </c>
      <c r="C184" s="5">
        <v>772499.87307018298</v>
      </c>
      <c r="D184" s="5">
        <v>67952.869658647905</v>
      </c>
      <c r="E184" s="5">
        <v>65445.554274771101</v>
      </c>
      <c r="F184" s="5">
        <v>561946.11093253898</v>
      </c>
      <c r="G184" s="5">
        <v>797998.07624635997</v>
      </c>
      <c r="H184" s="5">
        <v>512832.18982375</v>
      </c>
      <c r="I184" s="5">
        <v>940363.12574445701</v>
      </c>
      <c r="J184" s="5">
        <v>835217.95678986399</v>
      </c>
      <c r="K184" s="5">
        <v>57732.629462770201</v>
      </c>
      <c r="L184" s="5">
        <v>66824.566492838901</v>
      </c>
      <c r="M184" s="5">
        <v>64424.074612132601</v>
      </c>
      <c r="N184">
        <f t="shared" si="3"/>
        <v>0.91584913722471661</v>
      </c>
    </row>
    <row r="185" spans="1:14" x14ac:dyDescent="0.45">
      <c r="A185" s="5" t="s">
        <v>216</v>
      </c>
      <c r="B185" s="5">
        <v>3765370.1522122002</v>
      </c>
      <c r="C185" s="5">
        <v>116270158.522383</v>
      </c>
      <c r="D185" s="5">
        <v>192736.09711818601</v>
      </c>
      <c r="E185" s="5">
        <v>1623822.7805024299</v>
      </c>
      <c r="F185" s="5">
        <v>98207296.698595405</v>
      </c>
      <c r="G185" s="5">
        <v>127260801.064364</v>
      </c>
      <c r="H185" s="5">
        <v>101843787.022688</v>
      </c>
      <c r="I185" s="5">
        <v>103157980.53369799</v>
      </c>
      <c r="J185" s="5">
        <v>107038533.79032101</v>
      </c>
      <c r="K185" s="5">
        <v>1435289.2323088199</v>
      </c>
      <c r="L185" s="5">
        <v>11683662.5788144</v>
      </c>
      <c r="M185" s="5">
        <v>1744874.5001904799</v>
      </c>
      <c r="N185">
        <f t="shared" si="3"/>
        <v>0.92157169792148186</v>
      </c>
    </row>
    <row r="186" spans="1:14" x14ac:dyDescent="0.45">
      <c r="A186" s="5" t="s">
        <v>148</v>
      </c>
      <c r="B186" s="5">
        <v>278818116.93568599</v>
      </c>
      <c r="C186" s="5">
        <v>181496857.267221</v>
      </c>
      <c r="D186" s="5">
        <v>290152810.97879201</v>
      </c>
      <c r="E186" s="5">
        <v>215043714.41202301</v>
      </c>
      <c r="F186" s="5">
        <v>199371961.14541501</v>
      </c>
      <c r="G186" s="5">
        <v>194752556.259424</v>
      </c>
      <c r="H186" s="5">
        <v>194317941.22406301</v>
      </c>
      <c r="I186" s="5">
        <v>198169209.582495</v>
      </c>
      <c r="J186" s="5">
        <v>175062847.20866299</v>
      </c>
      <c r="K186" s="5">
        <v>264146702.12623501</v>
      </c>
      <c r="L186" s="5">
        <v>287787588.16417801</v>
      </c>
      <c r="M186" s="5">
        <v>255919917.71901399</v>
      </c>
      <c r="N186">
        <f t="shared" si="3"/>
        <v>0.92314367288547228</v>
      </c>
    </row>
    <row r="187" spans="1:14" x14ac:dyDescent="0.45">
      <c r="A187" s="5" t="s">
        <v>139</v>
      </c>
      <c r="B187" s="5">
        <v>1030115.4267569199</v>
      </c>
      <c r="C187" s="5">
        <v>207641.425057452</v>
      </c>
      <c r="D187" s="5">
        <v>968410.17497112905</v>
      </c>
      <c r="E187" s="5">
        <v>1123198.1796299</v>
      </c>
      <c r="F187" s="5">
        <v>245720.820008448</v>
      </c>
      <c r="G187" s="5">
        <v>258411.40989743799</v>
      </c>
      <c r="H187" s="5">
        <v>207453.969984564</v>
      </c>
      <c r="I187" s="5">
        <v>230452.434524093</v>
      </c>
      <c r="J187" s="5">
        <v>199047.60375101</v>
      </c>
      <c r="K187" s="5">
        <v>1254220.01852499</v>
      </c>
      <c r="L187" s="5">
        <v>829403.31063428801</v>
      </c>
      <c r="M187" s="5">
        <v>1257587.1486314901</v>
      </c>
      <c r="N187">
        <f t="shared" si="3"/>
        <v>0.93265014854511796</v>
      </c>
    </row>
    <row r="188" spans="1:14" x14ac:dyDescent="0.45">
      <c r="A188" s="5" t="s">
        <v>182</v>
      </c>
      <c r="B188" s="5">
        <v>236662.64686529801</v>
      </c>
      <c r="C188" s="5">
        <v>1916986.3753662701</v>
      </c>
      <c r="D188" s="5">
        <v>17070.4823362157</v>
      </c>
      <c r="E188" s="5">
        <v>250752.602092555</v>
      </c>
      <c r="F188" s="5">
        <v>1460885.7927200301</v>
      </c>
      <c r="G188" s="5">
        <v>1966206.1842942699</v>
      </c>
      <c r="H188" s="5">
        <v>1454705.9701892301</v>
      </c>
      <c r="I188" s="5">
        <v>1997743.0102341101</v>
      </c>
      <c r="J188" s="5">
        <v>1904502.85783332</v>
      </c>
      <c r="K188" s="5">
        <v>19321.987782804801</v>
      </c>
      <c r="L188" s="5">
        <v>116694.774275902</v>
      </c>
      <c r="M188" s="5">
        <v>80501.901570401606</v>
      </c>
      <c r="N188">
        <f t="shared" si="3"/>
        <v>0.93371968696503715</v>
      </c>
    </row>
    <row r="189" spans="1:14" x14ac:dyDescent="0.45">
      <c r="A189" s="5" t="s">
        <v>234</v>
      </c>
      <c r="B189" s="5">
        <v>2065355.9039668699</v>
      </c>
      <c r="C189" s="5">
        <v>5139655.4065236701</v>
      </c>
      <c r="D189" s="5">
        <v>1229845.5565810399</v>
      </c>
      <c r="E189" s="5">
        <v>1209155.04370018</v>
      </c>
      <c r="F189" s="5">
        <v>3739339.6670400701</v>
      </c>
      <c r="G189" s="5">
        <v>4362379.4867300503</v>
      </c>
      <c r="H189" s="5">
        <v>4864783.7306540804</v>
      </c>
      <c r="I189" s="5">
        <v>4016347.7560783401</v>
      </c>
      <c r="J189" s="5">
        <v>6033504.5645975303</v>
      </c>
      <c r="K189" s="5">
        <v>1627921.5888668899</v>
      </c>
      <c r="L189" s="5">
        <v>1242887.6311596299</v>
      </c>
      <c r="M189" s="5">
        <v>540747.92066670605</v>
      </c>
      <c r="N189">
        <f t="shared" si="3"/>
        <v>0.93396840458200314</v>
      </c>
    </row>
    <row r="190" spans="1:14" x14ac:dyDescent="0.45">
      <c r="A190" s="5" t="s">
        <v>233</v>
      </c>
      <c r="B190" s="5">
        <v>1860720.9514852001</v>
      </c>
      <c r="C190" s="5">
        <v>10043040.5567539</v>
      </c>
      <c r="D190" s="5">
        <v>3612742.1836779998</v>
      </c>
      <c r="E190" s="5">
        <v>318431.35956101998</v>
      </c>
      <c r="F190" s="5">
        <v>12457617.6902059</v>
      </c>
      <c r="G190" s="5">
        <v>6077513.3191913804</v>
      </c>
      <c r="H190" s="5">
        <v>4973198.35727272</v>
      </c>
      <c r="I190" s="5">
        <v>18754707.8377988</v>
      </c>
      <c r="J190" s="5">
        <v>9911988.1684367694</v>
      </c>
      <c r="K190" s="5">
        <v>490651.67744401703</v>
      </c>
      <c r="L190" s="5">
        <v>1642850.0614664601</v>
      </c>
      <c r="M190" s="5">
        <v>387621.86758891301</v>
      </c>
      <c r="N190">
        <f t="shared" si="3"/>
        <v>0.93417298436076956</v>
      </c>
    </row>
    <row r="191" spans="1:14" x14ac:dyDescent="0.45">
      <c r="A191" s="5" t="s">
        <v>93</v>
      </c>
      <c r="B191" s="5">
        <v>27002868.360527098</v>
      </c>
      <c r="C191" s="5">
        <v>28894715.146694802</v>
      </c>
      <c r="D191" s="5">
        <v>68441568.454303995</v>
      </c>
      <c r="E191" s="5">
        <v>18758067.732104</v>
      </c>
      <c r="F191" s="5">
        <v>21973364.341425002</v>
      </c>
      <c r="G191" s="5">
        <v>25842053.575037099</v>
      </c>
      <c r="H191" s="5">
        <v>28881181.6327435</v>
      </c>
      <c r="I191" s="5">
        <v>41374236.641106002</v>
      </c>
      <c r="J191" s="5">
        <v>26099131.575781699</v>
      </c>
      <c r="K191" s="5">
        <v>25709038.3708716</v>
      </c>
      <c r="L191" s="5">
        <v>34600997.225693598</v>
      </c>
      <c r="M191" s="5">
        <v>30813615.511724502</v>
      </c>
      <c r="N191">
        <f t="shared" si="3"/>
        <v>0.94337491192208023</v>
      </c>
    </row>
    <row r="192" spans="1:14" x14ac:dyDescent="0.45">
      <c r="A192" s="5" t="s">
        <v>223</v>
      </c>
      <c r="B192" s="5">
        <v>174613322.231895</v>
      </c>
      <c r="C192" s="5">
        <v>237225287.124401</v>
      </c>
      <c r="D192" s="5">
        <v>177637687.02316099</v>
      </c>
      <c r="E192" s="5">
        <v>418053256.13014501</v>
      </c>
      <c r="F192" s="5">
        <v>181940197.49959099</v>
      </c>
      <c r="G192" s="5">
        <v>214646624.196062</v>
      </c>
      <c r="H192" s="5">
        <v>329678939.959701</v>
      </c>
      <c r="I192" s="5">
        <v>238398015.899046</v>
      </c>
      <c r="J192" s="5">
        <v>327123833.36113</v>
      </c>
      <c r="K192" s="5">
        <v>177083246.261305</v>
      </c>
      <c r="L192" s="5">
        <v>170391659.01890501</v>
      </c>
      <c r="M192" s="5">
        <v>182422894.26957899</v>
      </c>
      <c r="N192">
        <f t="shared" si="3"/>
        <v>0.94426492413895458</v>
      </c>
    </row>
    <row r="193" spans="1:14" x14ac:dyDescent="0.45">
      <c r="A193" s="5" t="s">
        <v>236</v>
      </c>
      <c r="B193" s="5">
        <v>4993401.2316360399</v>
      </c>
      <c r="C193" s="5">
        <v>34297179.109253503</v>
      </c>
      <c r="D193" s="5">
        <v>1561971.45462455</v>
      </c>
      <c r="E193" s="5">
        <v>1708663.7513341301</v>
      </c>
      <c r="F193" s="5">
        <v>25611072.475058898</v>
      </c>
      <c r="G193" s="5">
        <v>49751796.1257376</v>
      </c>
      <c r="H193" s="5">
        <v>27854550.270116501</v>
      </c>
      <c r="I193" s="5">
        <v>31112407.007671401</v>
      </c>
      <c r="J193" s="5">
        <v>41387022.4118587</v>
      </c>
      <c r="K193" s="5">
        <v>4388911.8401262797</v>
      </c>
      <c r="L193" s="5">
        <v>5995595.0360255102</v>
      </c>
      <c r="M193" s="5">
        <v>2702850.2775106202</v>
      </c>
      <c r="N193">
        <f t="shared" si="3"/>
        <v>0.94538990346625773</v>
      </c>
    </row>
    <row r="194" spans="1:14" x14ac:dyDescent="0.45">
      <c r="A194" s="5" t="s">
        <v>270</v>
      </c>
      <c r="B194" s="5">
        <v>515527.19013110898</v>
      </c>
      <c r="C194" s="5">
        <v>11213689.0627901</v>
      </c>
      <c r="D194" s="5">
        <v>472960.86443797598</v>
      </c>
      <c r="E194" s="5">
        <v>632075.34270021506</v>
      </c>
      <c r="F194" s="5">
        <v>7831876.6030177698</v>
      </c>
      <c r="G194" s="5">
        <v>9811926.8377093691</v>
      </c>
      <c r="H194" s="5">
        <v>8118204.7579385601</v>
      </c>
      <c r="I194" s="5">
        <v>11250714.4894065</v>
      </c>
      <c r="J194" s="5">
        <v>10186484.1651395</v>
      </c>
      <c r="K194" s="5">
        <v>396250.028654875</v>
      </c>
      <c r="L194" s="5">
        <v>1367955.04405803</v>
      </c>
      <c r="M194" s="5">
        <v>375331.43036202202</v>
      </c>
      <c r="N194">
        <f t="shared" ref="N194:N257" si="4">TTEST(B194:G194,H194:M194,2,2)</f>
        <v>0.94647631250417785</v>
      </c>
    </row>
    <row r="195" spans="1:14" x14ac:dyDescent="0.45">
      <c r="A195" s="5" t="s">
        <v>243</v>
      </c>
      <c r="B195" s="5">
        <v>6351517.5383581501</v>
      </c>
      <c r="C195" s="5">
        <v>19766878.912726801</v>
      </c>
      <c r="D195" s="5">
        <v>4599132.6404216504</v>
      </c>
      <c r="E195" s="5">
        <v>2814629.5014773798</v>
      </c>
      <c r="F195" s="5">
        <v>15804183.763790701</v>
      </c>
      <c r="G195" s="5">
        <v>19960782.149494201</v>
      </c>
      <c r="H195" s="5">
        <v>17652156.391325802</v>
      </c>
      <c r="I195" s="5">
        <v>24043418.2273832</v>
      </c>
      <c r="J195" s="5">
        <v>17335259.202745799</v>
      </c>
      <c r="K195" s="5">
        <v>6058822.8538895799</v>
      </c>
      <c r="L195" s="5">
        <v>3299700.8293176</v>
      </c>
      <c r="M195" s="5">
        <v>2865579.5103571699</v>
      </c>
      <c r="N195">
        <f t="shared" si="4"/>
        <v>0.94776423257942821</v>
      </c>
    </row>
    <row r="196" spans="1:14" x14ac:dyDescent="0.45">
      <c r="A196" s="5" t="s">
        <v>188</v>
      </c>
      <c r="B196" s="5">
        <v>1756738.85594148</v>
      </c>
      <c r="C196" s="5">
        <v>318378.54771742201</v>
      </c>
      <c r="D196" s="5">
        <v>2021507.19572955</v>
      </c>
      <c r="E196" s="5">
        <v>2579135.5716133402</v>
      </c>
      <c r="F196" s="5">
        <v>312486.63955499697</v>
      </c>
      <c r="G196" s="5">
        <v>320940.25823765498</v>
      </c>
      <c r="H196" s="5">
        <v>334303.75661983801</v>
      </c>
      <c r="I196" s="5">
        <v>402615.968067993</v>
      </c>
      <c r="J196" s="5">
        <v>249097.178302674</v>
      </c>
      <c r="K196" s="5">
        <v>1896129.00384226</v>
      </c>
      <c r="L196" s="5">
        <v>1978523.26411844</v>
      </c>
      <c r="M196" s="5">
        <v>2224222.2338460698</v>
      </c>
      <c r="N196">
        <f t="shared" si="4"/>
        <v>0.94874549313109036</v>
      </c>
    </row>
    <row r="197" spans="1:14" x14ac:dyDescent="0.45">
      <c r="A197" s="5" t="s">
        <v>210</v>
      </c>
      <c r="B197" s="5">
        <v>2828445.30282749</v>
      </c>
      <c r="C197" s="5">
        <v>359251.33065990702</v>
      </c>
      <c r="D197" s="5">
        <v>755048.89204968803</v>
      </c>
      <c r="E197" s="5">
        <v>727318.83480582002</v>
      </c>
      <c r="F197" s="5">
        <v>451216.13819523901</v>
      </c>
      <c r="G197" s="5">
        <v>340091.24762022501</v>
      </c>
      <c r="H197" s="5">
        <v>383863.80731802201</v>
      </c>
      <c r="I197" s="5">
        <v>157295.55691608001</v>
      </c>
      <c r="J197" s="5">
        <v>132974.71770974499</v>
      </c>
      <c r="K197" s="5">
        <v>3455624.0347603899</v>
      </c>
      <c r="L197" s="5">
        <v>430559.143696838</v>
      </c>
      <c r="M197" s="5">
        <v>1111524.5622302799</v>
      </c>
      <c r="N197">
        <f t="shared" si="4"/>
        <v>0.95817560089065534</v>
      </c>
    </row>
    <row r="198" spans="1:14" x14ac:dyDescent="0.45">
      <c r="A198" s="5" t="s">
        <v>159</v>
      </c>
      <c r="B198" s="5">
        <v>98509.146552344493</v>
      </c>
      <c r="C198" s="5">
        <v>3692093.3916584202</v>
      </c>
      <c r="D198" s="5">
        <v>70966.022568367</v>
      </c>
      <c r="E198" s="5">
        <v>102537.310189565</v>
      </c>
      <c r="F198" s="5">
        <v>1964528.43739468</v>
      </c>
      <c r="G198" s="5">
        <v>3492641.5688612</v>
      </c>
      <c r="H198" s="5">
        <v>2024008.35789743</v>
      </c>
      <c r="I198" s="5">
        <v>4707220.69663224</v>
      </c>
      <c r="J198" s="5">
        <v>2025249.58517093</v>
      </c>
      <c r="K198" s="5">
        <v>74404.857823160506</v>
      </c>
      <c r="L198" s="5">
        <v>217331.620387837</v>
      </c>
      <c r="M198" s="5">
        <v>74863.684049805699</v>
      </c>
      <c r="N198">
        <f t="shared" si="4"/>
        <v>0.96224989257078641</v>
      </c>
    </row>
    <row r="199" spans="1:14" x14ac:dyDescent="0.45">
      <c r="A199" s="5" t="s">
        <v>286</v>
      </c>
      <c r="B199" s="5">
        <v>5034388.7783415196</v>
      </c>
      <c r="C199" s="5">
        <v>710028239.03636503</v>
      </c>
      <c r="D199" s="5">
        <v>835938.47551611601</v>
      </c>
      <c r="E199" s="5">
        <v>7915199.48289074</v>
      </c>
      <c r="F199" s="5">
        <v>577174080.78691196</v>
      </c>
      <c r="G199" s="5">
        <v>518796405.56788599</v>
      </c>
      <c r="H199" s="5">
        <v>472865653.055592</v>
      </c>
      <c r="I199" s="5">
        <v>809598695.23364305</v>
      </c>
      <c r="J199" s="5">
        <v>580263086.75605702</v>
      </c>
      <c r="K199" s="5">
        <v>9925795.9835173003</v>
      </c>
      <c r="L199" s="5">
        <v>1435127.00688596</v>
      </c>
      <c r="M199" s="5">
        <v>3282660.7882054499</v>
      </c>
      <c r="N199">
        <f t="shared" si="4"/>
        <v>0.96240323305456044</v>
      </c>
    </row>
    <row r="200" spans="1:14" x14ac:dyDescent="0.45">
      <c r="A200" s="5" t="s">
        <v>124</v>
      </c>
      <c r="B200" s="5">
        <v>41351463.324416503</v>
      </c>
      <c r="C200" s="5">
        <v>26974661.483667601</v>
      </c>
      <c r="D200" s="5">
        <v>43651974.498445399</v>
      </c>
      <c r="E200" s="5">
        <v>31790966.252193</v>
      </c>
      <c r="F200" s="5">
        <v>29023858.4281458</v>
      </c>
      <c r="G200" s="5">
        <v>29560842.728148099</v>
      </c>
      <c r="H200" s="5">
        <v>27485430.460126501</v>
      </c>
      <c r="I200" s="5">
        <v>29898840.2536618</v>
      </c>
      <c r="J200" s="5">
        <v>25149586.074163999</v>
      </c>
      <c r="K200" s="5">
        <v>39160902.680786803</v>
      </c>
      <c r="L200" s="5">
        <v>41210092.106326602</v>
      </c>
      <c r="M200" s="5">
        <v>38418563.828830697</v>
      </c>
      <c r="N200">
        <f t="shared" si="4"/>
        <v>0.96660125873492841</v>
      </c>
    </row>
    <row r="201" spans="1:14" x14ac:dyDescent="0.45">
      <c r="A201" s="5" t="s">
        <v>84</v>
      </c>
      <c r="B201" s="5">
        <v>2745356.21282579</v>
      </c>
      <c r="C201" s="5">
        <v>293074371.58816499</v>
      </c>
      <c r="D201" s="5">
        <v>4508653.6640287004</v>
      </c>
      <c r="E201" s="5">
        <v>444960193.04672903</v>
      </c>
      <c r="F201" s="5">
        <v>249568667.661724</v>
      </c>
      <c r="G201" s="5">
        <v>372218622.74692702</v>
      </c>
      <c r="H201" s="5">
        <v>211626082.645271</v>
      </c>
      <c r="I201" s="5">
        <v>452316797.39209801</v>
      </c>
      <c r="J201" s="5">
        <v>92415121.298370302</v>
      </c>
      <c r="K201" s="5">
        <v>508747964.77663302</v>
      </c>
      <c r="L201" s="5">
        <v>1893286.7222589599</v>
      </c>
      <c r="M201" s="5">
        <v>127240499.14459901</v>
      </c>
      <c r="N201">
        <f t="shared" si="4"/>
        <v>0.96879507196334536</v>
      </c>
    </row>
    <row r="202" spans="1:14" x14ac:dyDescent="0.45">
      <c r="A202" s="5" t="s">
        <v>181</v>
      </c>
      <c r="B202" s="5">
        <v>8435401.9886031095</v>
      </c>
      <c r="C202" s="5">
        <v>21498047.474083401</v>
      </c>
      <c r="D202" s="5">
        <v>5966809.0030063801</v>
      </c>
      <c r="E202" s="5">
        <v>3184250.1815660801</v>
      </c>
      <c r="F202" s="5">
        <v>19861142.026835602</v>
      </c>
      <c r="G202" s="5">
        <v>24045491.541991901</v>
      </c>
      <c r="H202" s="5">
        <v>21668445.000771798</v>
      </c>
      <c r="I202" s="5">
        <v>25335636.9191369</v>
      </c>
      <c r="J202" s="5">
        <v>23026853.442570701</v>
      </c>
      <c r="K202" s="5">
        <v>7190021.70092222</v>
      </c>
      <c r="L202" s="5">
        <v>4013170.9016237301</v>
      </c>
      <c r="M202" s="5">
        <v>3048989.8741230899</v>
      </c>
      <c r="N202">
        <f t="shared" si="4"/>
        <v>0.97004941248348842</v>
      </c>
    </row>
    <row r="203" spans="1:14" x14ac:dyDescent="0.45">
      <c r="A203" s="5" t="s">
        <v>150</v>
      </c>
      <c r="B203" s="5">
        <v>227684701.40568399</v>
      </c>
      <c r="C203" s="5">
        <v>240870136.47961399</v>
      </c>
      <c r="D203" s="5">
        <v>151898164.63314301</v>
      </c>
      <c r="E203" s="5">
        <v>258627688.01371399</v>
      </c>
      <c r="F203" s="5">
        <v>255446711.35765699</v>
      </c>
      <c r="G203" s="5">
        <v>193809905.216708</v>
      </c>
      <c r="H203" s="5">
        <v>187844863.294209</v>
      </c>
      <c r="I203" s="5">
        <v>197850796.65055701</v>
      </c>
      <c r="J203" s="5">
        <v>286015064.80176902</v>
      </c>
      <c r="K203" s="5">
        <v>275148955.49863499</v>
      </c>
      <c r="L203" s="5">
        <v>196331658.45153299</v>
      </c>
      <c r="M203" s="5">
        <v>190738498.941351</v>
      </c>
      <c r="N203">
        <f t="shared" si="4"/>
        <v>0.97107999853758176</v>
      </c>
    </row>
    <row r="204" spans="1:14" x14ac:dyDescent="0.45">
      <c r="A204" s="5" t="s">
        <v>184</v>
      </c>
      <c r="B204" s="5">
        <v>30116810.248366602</v>
      </c>
      <c r="C204" s="5">
        <v>16695335.588323399</v>
      </c>
      <c r="D204" s="5">
        <v>32472045.9834489</v>
      </c>
      <c r="E204" s="5">
        <v>36088471.873629898</v>
      </c>
      <c r="F204" s="5">
        <v>16183434.5571394</v>
      </c>
      <c r="G204" s="5">
        <v>16106378.648592601</v>
      </c>
      <c r="H204" s="5">
        <v>15327757.4150861</v>
      </c>
      <c r="I204" s="5">
        <v>15909537.471698901</v>
      </c>
      <c r="J204" s="5">
        <v>15975677.0086757</v>
      </c>
      <c r="K204" s="5">
        <v>34262960.648639299</v>
      </c>
      <c r="L204" s="5">
        <v>29877250.592888001</v>
      </c>
      <c r="M204" s="5">
        <v>35175639.321344502</v>
      </c>
      <c r="N204">
        <f t="shared" si="4"/>
        <v>0.97313967210249286</v>
      </c>
    </row>
    <row r="205" spans="1:14" x14ac:dyDescent="0.45">
      <c r="A205" s="5" t="s">
        <v>100</v>
      </c>
      <c r="B205" s="5">
        <v>2414724.3123361999</v>
      </c>
      <c r="C205" s="5">
        <v>1416901.2336170101</v>
      </c>
      <c r="D205" s="5">
        <v>3968349.3919889401</v>
      </c>
      <c r="E205" s="5">
        <v>1500785.2688270099</v>
      </c>
      <c r="F205" s="5">
        <v>2057551.58205052</v>
      </c>
      <c r="G205" s="5">
        <v>1464278.67381548</v>
      </c>
      <c r="H205" s="5">
        <v>2105784.7074480602</v>
      </c>
      <c r="I205" s="5">
        <v>1512707.81124379</v>
      </c>
      <c r="J205" s="5">
        <v>2337227.3764279699</v>
      </c>
      <c r="K205" s="5">
        <v>2122889.1495268098</v>
      </c>
      <c r="L205" s="5">
        <v>2426308.6238158299</v>
      </c>
      <c r="M205" s="5">
        <v>2398340.3990512998</v>
      </c>
      <c r="N205">
        <f t="shared" si="4"/>
        <v>0.97533215039701171</v>
      </c>
    </row>
    <row r="206" spans="1:14" x14ac:dyDescent="0.45">
      <c r="A206" s="5" t="s">
        <v>59</v>
      </c>
      <c r="B206" s="5">
        <v>86896948.649665296</v>
      </c>
      <c r="C206" s="5">
        <v>66433402.388724297</v>
      </c>
      <c r="D206" s="5">
        <v>123479526.722197</v>
      </c>
      <c r="E206" s="5">
        <v>97128530.157799199</v>
      </c>
      <c r="F206" s="5">
        <v>70903360.327080801</v>
      </c>
      <c r="G206" s="5">
        <v>63859823.728146903</v>
      </c>
      <c r="H206" s="5">
        <v>63736070.877991699</v>
      </c>
      <c r="I206" s="5">
        <v>64345320.2406151</v>
      </c>
      <c r="J206" s="5">
        <v>57895945.716731898</v>
      </c>
      <c r="K206" s="5">
        <v>121197193.93975499</v>
      </c>
      <c r="L206" s="5">
        <v>96483791.720707998</v>
      </c>
      <c r="M206" s="5">
        <v>103368518.220441</v>
      </c>
      <c r="N206">
        <f t="shared" si="4"/>
        <v>0.98465778177354324</v>
      </c>
    </row>
    <row r="207" spans="1:14" x14ac:dyDescent="0.45">
      <c r="A207" s="5" t="s">
        <v>185</v>
      </c>
      <c r="B207" s="5">
        <v>476125.51812440797</v>
      </c>
      <c r="C207" s="5">
        <v>66774824.993462197</v>
      </c>
      <c r="D207" s="5">
        <v>110112.91128433699</v>
      </c>
      <c r="E207" s="5">
        <v>681437.06624710304</v>
      </c>
      <c r="F207" s="5">
        <v>54097591.841656402</v>
      </c>
      <c r="G207" s="5">
        <v>48807350.521434203</v>
      </c>
      <c r="H207" s="5">
        <v>42029036.382897697</v>
      </c>
      <c r="I207" s="5">
        <v>78337935.265476003</v>
      </c>
      <c r="J207" s="5">
        <v>51411893.052587204</v>
      </c>
      <c r="K207" s="5">
        <v>900518.71622820897</v>
      </c>
      <c r="L207" s="5">
        <v>94249.962979907694</v>
      </c>
      <c r="M207" s="5">
        <v>302782.44739022898</v>
      </c>
      <c r="N207">
        <f t="shared" si="4"/>
        <v>0.98520756390707787</v>
      </c>
    </row>
    <row r="208" spans="1:14" x14ac:dyDescent="0.45">
      <c r="A208" s="5" t="s">
        <v>76</v>
      </c>
      <c r="B208" s="5">
        <v>6449302.07382451</v>
      </c>
      <c r="C208" s="5">
        <v>4510234.4125617202</v>
      </c>
      <c r="D208" s="5">
        <v>42050219.479493402</v>
      </c>
      <c r="E208" s="5">
        <v>2977445.70917087</v>
      </c>
      <c r="F208" s="5">
        <v>9124468.7976111807</v>
      </c>
      <c r="G208" s="5">
        <v>2958468.2275346098</v>
      </c>
      <c r="H208" s="5">
        <v>8394812.6214183904</v>
      </c>
      <c r="I208" s="5">
        <v>1646800.62518476</v>
      </c>
      <c r="J208" s="5">
        <v>7996821.0243408298</v>
      </c>
      <c r="K208" s="5">
        <v>7148785.1224823203</v>
      </c>
      <c r="L208" s="5">
        <v>28303680.4080492</v>
      </c>
      <c r="M208" s="5">
        <v>13809185.694357401</v>
      </c>
      <c r="N208">
        <f t="shared" si="4"/>
        <v>0.98625517649359207</v>
      </c>
    </row>
    <row r="209" spans="1:14" x14ac:dyDescent="0.45">
      <c r="A209" s="5" t="s">
        <v>228</v>
      </c>
      <c r="B209" s="5">
        <v>13458660.210223399</v>
      </c>
      <c r="C209" s="5">
        <v>407648776.430668</v>
      </c>
      <c r="D209" s="5">
        <v>705370.44468747405</v>
      </c>
      <c r="E209" s="5">
        <v>5862576.8436984597</v>
      </c>
      <c r="F209" s="5">
        <v>346306624.08405101</v>
      </c>
      <c r="G209" s="5">
        <v>446531744.13990802</v>
      </c>
      <c r="H209" s="5">
        <v>370919183.27438802</v>
      </c>
      <c r="I209" s="5">
        <v>393736346.97398603</v>
      </c>
      <c r="J209" s="5">
        <v>392705965.64168501</v>
      </c>
      <c r="K209" s="5">
        <v>4837118.3002026305</v>
      </c>
      <c r="L209" s="5">
        <v>42023168.919346601</v>
      </c>
      <c r="M209" s="5">
        <v>6069839.3507790398</v>
      </c>
      <c r="N209">
        <f t="shared" si="4"/>
        <v>0.98907689386459452</v>
      </c>
    </row>
    <row r="210" spans="1:14" x14ac:dyDescent="0.45">
      <c r="A210" s="5" t="s">
        <v>200</v>
      </c>
      <c r="B210" s="5">
        <v>11729896.6964486</v>
      </c>
      <c r="C210" s="5">
        <v>2501285.4705204102</v>
      </c>
      <c r="D210" s="5">
        <v>13293307.0731005</v>
      </c>
      <c r="E210" s="5">
        <v>12881505.3165306</v>
      </c>
      <c r="F210" s="5">
        <v>11659734.8328193</v>
      </c>
      <c r="G210" s="5">
        <v>3850423.3883243599</v>
      </c>
      <c r="H210" s="5">
        <v>5508598.9076607404</v>
      </c>
      <c r="I210" s="5">
        <v>4927003.0268530203</v>
      </c>
      <c r="J210" s="5">
        <v>4245553.4838356301</v>
      </c>
      <c r="K210" s="5">
        <v>15189892.568282301</v>
      </c>
      <c r="L210" s="5">
        <v>9057796.8608388007</v>
      </c>
      <c r="M210" s="5">
        <v>16786335.7088788</v>
      </c>
      <c r="N210">
        <f t="shared" si="4"/>
        <v>0.99124628587536934</v>
      </c>
    </row>
    <row r="211" spans="1:14" x14ac:dyDescent="0.45">
      <c r="A211" s="5" t="s">
        <v>145</v>
      </c>
      <c r="B211" s="5">
        <v>151417820.88790801</v>
      </c>
      <c r="C211" s="5">
        <v>120073722.135958</v>
      </c>
      <c r="D211" s="5">
        <v>481504564.01034099</v>
      </c>
      <c r="E211" s="5">
        <v>151400330.88460201</v>
      </c>
      <c r="F211" s="5">
        <v>151683362.65818599</v>
      </c>
      <c r="G211" s="5">
        <v>143247010.69690701</v>
      </c>
      <c r="H211" s="5">
        <v>165770503.39383999</v>
      </c>
      <c r="I211" s="5">
        <v>127674952.524281</v>
      </c>
      <c r="J211" s="5">
        <v>163630799.73101199</v>
      </c>
      <c r="K211" s="5">
        <v>183067823.85381901</v>
      </c>
      <c r="L211" s="5">
        <v>276327633.955796</v>
      </c>
      <c r="M211" s="5">
        <v>286783938.88341397</v>
      </c>
      <c r="N211">
        <f t="shared" si="4"/>
        <v>0.99185000680875324</v>
      </c>
    </row>
    <row r="212" spans="1:14" x14ac:dyDescent="0.45">
      <c r="A212" s="5" t="s">
        <v>80</v>
      </c>
      <c r="B212" s="5">
        <v>295212591.45800602</v>
      </c>
      <c r="C212" s="5">
        <v>362899679.29296702</v>
      </c>
      <c r="D212" s="5">
        <v>231283146.26726601</v>
      </c>
      <c r="E212" s="5">
        <v>137425532.532114</v>
      </c>
      <c r="F212" s="5">
        <v>334273737.16496402</v>
      </c>
      <c r="G212" s="5">
        <v>279280206.55856597</v>
      </c>
      <c r="H212" s="5">
        <v>255547749.29238701</v>
      </c>
      <c r="I212" s="5">
        <v>353989299.28844303</v>
      </c>
      <c r="J212" s="5">
        <v>390456732.62477499</v>
      </c>
      <c r="K212" s="5">
        <v>192600781.88288099</v>
      </c>
      <c r="L212" s="5">
        <v>251357442.28431901</v>
      </c>
      <c r="M212" s="5">
        <v>197272964.94206801</v>
      </c>
      <c r="N212">
        <f t="shared" si="4"/>
        <v>0.99764599447474378</v>
      </c>
    </row>
    <row r="213" spans="1:14" x14ac:dyDescent="0.45">
      <c r="A213" s="1" t="s">
        <v>313</v>
      </c>
      <c r="B213" s="14" t="s">
        <v>312</v>
      </c>
      <c r="C213" s="14" t="s">
        <v>312</v>
      </c>
      <c r="D213" s="14" t="s">
        <v>312</v>
      </c>
      <c r="E213" s="14" t="s">
        <v>312</v>
      </c>
      <c r="F213" s="14" t="s">
        <v>312</v>
      </c>
      <c r="G213" s="14" t="s">
        <v>312</v>
      </c>
      <c r="H213" s="14" t="s">
        <v>310</v>
      </c>
      <c r="I213" s="14" t="s">
        <v>310</v>
      </c>
      <c r="J213" s="14" t="s">
        <v>310</v>
      </c>
      <c r="K213" s="14" t="s">
        <v>310</v>
      </c>
      <c r="L213" s="14" t="s">
        <v>310</v>
      </c>
      <c r="M213" s="14" t="s">
        <v>310</v>
      </c>
      <c r="N213" t="e">
        <f t="shared" si="4"/>
        <v>#DIV/0!</v>
      </c>
    </row>
  </sheetData>
  <sortState xmlns:xlrd2="http://schemas.microsoft.com/office/spreadsheetml/2017/richdata2" ref="A2:P214">
    <sortCondition ref="N1:N214"/>
  </sortState>
  <conditionalFormatting sqref="A1:A129">
    <cfRule type="duplicateValues" dxfId="6" priority="1"/>
  </conditionalFormatting>
  <conditionalFormatting sqref="A130:A213">
    <cfRule type="duplicateValues" dxfId="5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E08C-9664-45B7-92FD-CA017529BBEC}">
  <dimension ref="A1:Q9"/>
  <sheetViews>
    <sheetView workbookViewId="0">
      <selection activeCell="Q2" sqref="Q2"/>
    </sheetView>
  </sheetViews>
  <sheetFormatPr defaultRowHeight="14.25" x14ac:dyDescent="0.45"/>
  <cols>
    <col min="1" max="1" width="18.33203125" bestFit="1" customWidth="1"/>
  </cols>
  <sheetData>
    <row r="1" spans="1:17" x14ac:dyDescent="0.45">
      <c r="A1" s="1" t="s">
        <v>0</v>
      </c>
      <c r="B1" s="1" t="s">
        <v>292</v>
      </c>
      <c r="C1" s="1" t="s">
        <v>293</v>
      </c>
      <c r="D1" s="1" t="s">
        <v>300</v>
      </c>
      <c r="E1" s="1" t="s">
        <v>301</v>
      </c>
      <c r="F1" s="1" t="s">
        <v>306</v>
      </c>
      <c r="G1" s="1" t="s">
        <v>307</v>
      </c>
      <c r="H1" s="1" t="s">
        <v>289</v>
      </c>
      <c r="I1" s="1" t="s">
        <v>294</v>
      </c>
      <c r="J1" s="1" t="s">
        <v>297</v>
      </c>
      <c r="K1" s="1" t="s">
        <v>302</v>
      </c>
      <c r="L1" s="1" t="s">
        <v>304</v>
      </c>
      <c r="M1" s="1" t="s">
        <v>308</v>
      </c>
      <c r="N1" s="12" t="s">
        <v>314</v>
      </c>
      <c r="O1" s="12" t="s">
        <v>316</v>
      </c>
      <c r="P1" s="12" t="s">
        <v>317</v>
      </c>
      <c r="Q1" s="9" t="s">
        <v>318</v>
      </c>
    </row>
    <row r="2" spans="1:17" x14ac:dyDescent="0.45">
      <c r="A2" s="5" t="s">
        <v>147</v>
      </c>
      <c r="B2" s="13">
        <v>37948667.102324098</v>
      </c>
      <c r="C2" s="13">
        <v>42739634.778640501</v>
      </c>
      <c r="D2" s="13">
        <v>59990361.132868104</v>
      </c>
      <c r="E2" s="13">
        <v>34423727.743930399</v>
      </c>
      <c r="F2" s="13">
        <v>40826926.580809303</v>
      </c>
      <c r="G2" s="13">
        <v>39722338.0888891</v>
      </c>
      <c r="H2" s="13">
        <v>52493626.380338803</v>
      </c>
      <c r="I2" s="13">
        <v>60145977.727599896</v>
      </c>
      <c r="J2" s="13">
        <v>46162336.690043703</v>
      </c>
      <c r="K2" s="13">
        <v>70863162.255552307</v>
      </c>
      <c r="L2" s="13">
        <v>64042600.781485803</v>
      </c>
      <c r="M2" s="13">
        <v>73861106.089232102</v>
      </c>
      <c r="N2">
        <f>TTEST(B2:G2,H2:M2,2,2)</f>
        <v>8.2163586336473412E-3</v>
      </c>
      <c r="O2" s="13">
        <v>1</v>
      </c>
      <c r="P2">
        <f>N2*3/O2</f>
        <v>2.4649075900942022E-2</v>
      </c>
      <c r="Q2">
        <f>AVERAGE(H2:M2)/AVERAGE(B2:G2)</f>
        <v>1.4377720703965728</v>
      </c>
    </row>
    <row r="3" spans="1:17" x14ac:dyDescent="0.45">
      <c r="A3" s="5" t="s">
        <v>239</v>
      </c>
      <c r="B3" s="5">
        <v>73416643.622391194</v>
      </c>
      <c r="C3" s="5">
        <v>42324085.103019401</v>
      </c>
      <c r="D3" s="5">
        <v>53951461.883732103</v>
      </c>
      <c r="E3" s="5">
        <v>27356948.347272001</v>
      </c>
      <c r="F3" s="5">
        <v>20578142.620473702</v>
      </c>
      <c r="G3" s="5">
        <v>44435722.835086398</v>
      </c>
      <c r="H3" s="5">
        <v>23341824.218190599</v>
      </c>
      <c r="I3" s="5">
        <v>18858739.9175</v>
      </c>
      <c r="J3" s="5">
        <v>22845507.578219201</v>
      </c>
      <c r="K3" s="5">
        <v>28980564.554900501</v>
      </c>
      <c r="L3" s="5">
        <v>26172518.7173714</v>
      </c>
      <c r="M3" s="5">
        <v>32352712.7595153</v>
      </c>
      <c r="N3">
        <f>TTEST(B3:G3,H3:M3,2,2)</f>
        <v>4.5100114346086351E-2</v>
      </c>
      <c r="O3" s="16">
        <v>3</v>
      </c>
      <c r="P3">
        <f t="shared" ref="P3" si="0">N3*3/O3</f>
        <v>4.5100114346086351E-2</v>
      </c>
      <c r="Q3">
        <f>AVERAGE(H3:M3)/AVERAGE(B3:G3)</f>
        <v>0.58211905220272397</v>
      </c>
    </row>
    <row r="6" spans="1:17" x14ac:dyDescent="0.45">
      <c r="A6" s="1" t="s">
        <v>0</v>
      </c>
      <c r="B6" s="1" t="s">
        <v>292</v>
      </c>
      <c r="C6" s="1" t="s">
        <v>293</v>
      </c>
      <c r="D6" s="1" t="s">
        <v>300</v>
      </c>
      <c r="E6" s="1" t="s">
        <v>301</v>
      </c>
      <c r="F6" s="1" t="s">
        <v>306</v>
      </c>
      <c r="G6" s="1" t="s">
        <v>307</v>
      </c>
      <c r="H6" s="1" t="s">
        <v>289</v>
      </c>
      <c r="I6" s="1" t="s">
        <v>294</v>
      </c>
      <c r="J6" s="1" t="s">
        <v>297</v>
      </c>
      <c r="K6" s="1" t="s">
        <v>302</v>
      </c>
      <c r="L6" s="1" t="s">
        <v>304</v>
      </c>
      <c r="M6" s="1" t="s">
        <v>308</v>
      </c>
      <c r="N6" t="s">
        <v>317</v>
      </c>
    </row>
    <row r="7" spans="1:17" x14ac:dyDescent="0.45">
      <c r="A7" s="1" t="s">
        <v>313</v>
      </c>
      <c r="B7" s="14" t="s">
        <v>312</v>
      </c>
      <c r="C7" s="14" t="s">
        <v>312</v>
      </c>
      <c r="D7" s="14" t="s">
        <v>312</v>
      </c>
      <c r="E7" s="14" t="s">
        <v>312</v>
      </c>
      <c r="F7" s="14" t="s">
        <v>312</v>
      </c>
      <c r="G7" s="14" t="s">
        <v>312</v>
      </c>
      <c r="H7" s="14" t="s">
        <v>310</v>
      </c>
      <c r="I7" s="14" t="s">
        <v>310</v>
      </c>
      <c r="J7" s="14" t="s">
        <v>310</v>
      </c>
      <c r="K7" s="14" t="s">
        <v>310</v>
      </c>
      <c r="L7" s="14" t="s">
        <v>310</v>
      </c>
      <c r="M7" s="14" t="s">
        <v>310</v>
      </c>
      <c r="N7" t="s">
        <v>315</v>
      </c>
    </row>
    <row r="8" spans="1:17" x14ac:dyDescent="0.45">
      <c r="A8" s="5" t="s">
        <v>147</v>
      </c>
      <c r="B8">
        <f>LOG10(B2)</f>
        <v>7.5791965264694046</v>
      </c>
      <c r="C8">
        <f t="shared" ref="C8:M8" si="1">LOG10(C2)</f>
        <v>7.6308308066839512</v>
      </c>
      <c r="D8">
        <f t="shared" si="1"/>
        <v>7.7780814763321837</v>
      </c>
      <c r="E8">
        <f t="shared" si="1"/>
        <v>7.5368578982680772</v>
      </c>
      <c r="F8">
        <f t="shared" si="1"/>
        <v>7.610946687803624</v>
      </c>
      <c r="G8">
        <f t="shared" si="1"/>
        <v>7.5990348034995261</v>
      </c>
      <c r="H8">
        <f t="shared" si="1"/>
        <v>7.7201065758652971</v>
      </c>
      <c r="I8">
        <f t="shared" si="1"/>
        <v>7.7792065891302737</v>
      </c>
      <c r="J8">
        <f t="shared" si="1"/>
        <v>7.6642877842444497</v>
      </c>
      <c r="K8">
        <f t="shared" si="1"/>
        <v>7.8504205287407869</v>
      </c>
      <c r="L8">
        <f t="shared" si="1"/>
        <v>7.8064689603820669</v>
      </c>
      <c r="M8">
        <f t="shared" si="1"/>
        <v>7.8684158070362322</v>
      </c>
    </row>
    <row r="9" spans="1:17" x14ac:dyDescent="0.45">
      <c r="A9" s="5" t="s">
        <v>239</v>
      </c>
      <c r="B9">
        <f>LOG10(B3)</f>
        <v>7.8657945260465585</v>
      </c>
      <c r="C9">
        <f t="shared" ref="C9:M9" si="2">LOG10(C3)</f>
        <v>7.6265875789722397</v>
      </c>
      <c r="D9">
        <f t="shared" si="2"/>
        <v>7.7320032169417541</v>
      </c>
      <c r="E9">
        <f t="shared" si="2"/>
        <v>7.4370676504363518</v>
      </c>
      <c r="F9">
        <f t="shared" si="2"/>
        <v>7.3134061728519724</v>
      </c>
      <c r="G9">
        <f t="shared" si="2"/>
        <v>7.647732249222102</v>
      </c>
      <c r="H9">
        <f t="shared" si="2"/>
        <v>7.3681347941658704</v>
      </c>
      <c r="I9">
        <f t="shared" si="2"/>
        <v>7.2755126711606541</v>
      </c>
      <c r="J9">
        <f t="shared" si="2"/>
        <v>7.3588008115915873</v>
      </c>
      <c r="K9">
        <f t="shared" si="2"/>
        <v>7.4621068414764213</v>
      </c>
      <c r="L9">
        <f t="shared" si="2"/>
        <v>7.4178455190640316</v>
      </c>
      <c r="M9">
        <f t="shared" si="2"/>
        <v>7.5099107019164268</v>
      </c>
    </row>
  </sheetData>
  <sortState xmlns:xlrd2="http://schemas.microsoft.com/office/spreadsheetml/2017/richdata2" ref="A3:N3">
    <sortCondition ref="N1:N3"/>
  </sortState>
  <conditionalFormatting sqref="A1">
    <cfRule type="duplicateValues" dxfId="4" priority="4"/>
  </conditionalFormatting>
  <conditionalFormatting sqref="A2:A3">
    <cfRule type="duplicateValues" dxfId="3" priority="44"/>
  </conditionalFormatting>
  <conditionalFormatting sqref="A6">
    <cfRule type="duplicateValues" dxfId="2" priority="6"/>
  </conditionalFormatting>
  <conditionalFormatting sqref="A7">
    <cfRule type="duplicateValues" dxfId="1" priority="5"/>
  </conditionalFormatting>
  <conditionalFormatting sqref="A8:A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Full</vt:lpstr>
      <vt:lpstr>redundancy</vt:lpstr>
      <vt:lpstr>MA ready</vt:lpstr>
      <vt:lpstr>correlation significance</vt:lpstr>
      <vt:lpstr>PBS vs B. obeum</vt:lpstr>
      <vt:lpstr>Significant metabolites</vt:lpstr>
      <vt:lpstr>PBS vs. B. massiliensis</vt:lpstr>
      <vt:lpstr>FDR-adjusted 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Zhang</dc:creator>
  <cp:lastModifiedBy>Zhang, Shiqi</cp:lastModifiedBy>
  <dcterms:created xsi:type="dcterms:W3CDTF">2015-06-05T18:17:20Z</dcterms:created>
  <dcterms:modified xsi:type="dcterms:W3CDTF">2024-08-07T03:29:24Z</dcterms:modified>
</cp:coreProperties>
</file>